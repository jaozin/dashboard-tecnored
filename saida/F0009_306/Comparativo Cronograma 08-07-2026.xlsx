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6" documentId="11_01657878EF839143055A64AC3A7D5B843BD93BD9" xr6:coauthVersionLast="47" xr6:coauthVersionMax="47" xr10:uidLastSave="{A22F5A44-EA14-4AA8-91E8-CAF735B26C1E}"/>
  <bookViews>
    <workbookView xWindow="-120" yWindow="-120" windowWidth="29040" windowHeight="15720" activeTab="4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<sst xmlns="http://schemas.openxmlformats.org/spreadsheetml/2006/main" count="11056" uniqueCount="1027">
  <si>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</si>
  <si>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</si>
  <si>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</si>
  <si>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</si>
  <si>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</si>
  <si>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</si>
  <si>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</si>
  <si>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</si>
  <si>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</si>
  <si>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</si>
  <si>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</si>
  <si>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</si>
  <si>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</si>
  <si>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</si>
  <si>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</si>
  <si>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</si>
  <si>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</si>
  <si>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</si>
  <si>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</si>
  <si>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</si>
  <si>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</si>
  <si>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</si>
  <si>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</si>
  <si>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</si>
  <si>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</si>
  <si>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</si>
  <si>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</si>
  <si>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</si>
  <si>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</si>
  <si>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</si>
  <si>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</si>
  <si>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</si>
  <si>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</si>
  <si>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</si>
  <si>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</si>
  <si>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</si>
  <si>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</si>
  <si>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</si>
  <si>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</si>
  <si>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</si>
  <si>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440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</si>
  <si>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</si>
  <si>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</si>
  <si>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</si>
  <si>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</si>
  <si>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</si>
  <si>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</si>
  <si>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</si>
  <si>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</si>
  <si>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</si>
  <si>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</si>
  <si>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</si>
  <si>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</si>
  <si>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</si>
  <si>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</si>
  <si>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</si>
  <si>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</si>
  <si>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</si>
  <si>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</si>
  <si>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</si>
  <si>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</si>
  <si>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</si>
  <si>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</si>
  <si>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</si>
  <si>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</si>
  <si>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</si>
  <si>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</si>
  <si>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</si>
  <si>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</si>
  <si>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</si>
  <si>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</si>
  <si>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</si>
  <si>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</si>
  <si>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</si>
  <si>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</si>
  <si>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</si>
  <si>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</si>
  <si>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</si>
  <si>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</si>
  <si>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</si>
  <si>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</si>
  <si>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</si>
  <si>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</si>
  <si>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</si>
  <si>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</si>
  <si>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</si>
  <si>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</si>
  <si>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</si>
  <si>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</si>
  <si>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</si>
  <si>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</si>
  <si>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</si>
  <si>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</si>
  <si>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</si>
  <si>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</si>
  <si>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</si>
  <si>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</si>
  <si>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</si>
  <si>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</si>
  <si>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</si>
  <si>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</si>
  <si>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</si>
  <si>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</si>
  <si>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</si>
  <si>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</si>
  <si>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</si>
  <si>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</si>
  <si>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</si>
  <si>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</si>
  <si>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</si>
  <si>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</si>
  <si>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</si>
  <si>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</si>
  <si>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</si>
  <si>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</si>
  <si>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</si>
  <si>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</si>
  <si>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</si>
  <si>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</si>
  <si>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</si>
  <si>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</si>
  <si>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</si>
  <si>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</si>
  <si>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</si>
  <si>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</si>
  <si>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21;52;68;240;296;412;149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</si>
  <si>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</si>
  <si>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</si>
  <si>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</si>
  <si>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</si>
  <si>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</si>
  <si>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</si>
  <si>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</si>
  <si>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</si>
  <si>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</si>
  <si>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</si>
  <si>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</si>
  <si>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1.1.6</t>
  </si>
  <si>
    <t>processo</t>
  </si>
  <si>
    <t>32 hrs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</si>
  <si>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</si>
  <si>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</si>
  <si>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</si>
  <si>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</si>
  <si>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</si>
  <si>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</si>
  <si>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</si>
  <si>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</si>
  <si>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</si>
  <si>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</si>
  <si>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</si>
  <si>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Ter 09/06/26</t>
  </si>
  <si>
    <t>1.1.6.3.4</t>
  </si>
  <si>
    <t>Qui 11/06/26</t>
  </si>
  <si>
    <t>1.1.7</t>
  </si>
  <si>
    <t>mecânica</t>
  </si>
  <si>
    <t>312 hrs</t>
  </si>
  <si>
    <t>Ter 26/05/26</t>
  </si>
  <si>
    <t>MECÂNICA</t>
  </si>
  <si>
    <t>1.1.7.3</t>
  </si>
  <si>
    <t>Mecânica</t>
  </si>
  <si>
    <t>le-f0009-0306-mb-m-00001</t>
  </si>
  <si>
    <t>64 hrs</t>
  </si>
  <si>
    <t>1.1.7.3.1</t>
  </si>
  <si>
    <t>LE-F0009-0306-MB-M-00001</t>
  </si>
  <si>
    <t>68;6TI+5 dias</t>
  </si>
  <si>
    <t>79;316</t>
  </si>
  <si>
    <t>1.1.7.3.2</t>
  </si>
  <si>
    <t>4 dias</t>
  </si>
  <si>
    <t>1.1.7.3.3</t>
  </si>
  <si>
    <t>81;73</t>
  </si>
  <si>
    <t>1.1.7.3.4</t>
  </si>
  <si>
    <t>Ter 02/06/26</t>
  </si>
  <si>
    <t>1.1.7.4</t>
  </si>
  <si>
    <t>pq-f0009-0306-mb-m-00001</t>
  </si>
  <si>
    <t>56 hrs</t>
  </si>
  <si>
    <t>1.1.7.4.1</t>
  </si>
  <si>
    <t>PQ-F0009-0306-MB-M-00001</t>
  </si>
  <si>
    <t>73TI+30 dias</t>
  </si>
  <si>
    <t>1.1.7.4.2</t>
  </si>
  <si>
    <t>Sprint 9</t>
  </si>
  <si>
    <t>1.1.7.4.3</t>
  </si>
  <si>
    <t>1.1.7.4.4</t>
  </si>
  <si>
    <t>Qua 10/06/26</t>
  </si>
  <si>
    <t>1.1.7.5</t>
  </si>
  <si>
    <t>ag-f0009-0306-mb-l-00001</t>
  </si>
  <si>
    <t>80 hrs</t>
  </si>
  <si>
    <t>Qui 18/06/26</t>
  </si>
  <si>
    <t>1.1.7.5.1</t>
  </si>
  <si>
    <t>AG-F0009-0306-MB-L-00001</t>
  </si>
  <si>
    <t>1.1.7.5.2</t>
  </si>
  <si>
    <t>Qui 25/06/26</t>
  </si>
  <si>
    <t>1.1.7.5.3</t>
  </si>
  <si>
    <t>Sex 26/06/26</t>
  </si>
  <si>
    <t>Sprint 11</t>
  </si>
  <si>
    <t>1.1.7.5.4</t>
  </si>
  <si>
    <t>Ter 30/06/26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</si>
  <si>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</si>
  <si>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</si>
  <si>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</si>
  <si>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</si>
  <si>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</si>
  <si>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</si>
  <si>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</si>
  <si>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</si>
  <si>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</si>
  <si>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</si>
  <si>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</si>
  <si>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</si>
  <si>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</si>
  <si>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</si>
  <si>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</si>
  <si>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</si>
  <si>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</si>
  <si>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</si>
  <si>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</si>
  <si>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</si>
  <si>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</si>
  <si>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</si>
  <si>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</si>
  <si>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</si>
  <si>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</si>
  <si>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</si>
  <si>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</si>
  <si>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</si>
  <si>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</si>
  <si>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</si>
  <si>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</si>
  <si>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</si>
  <si>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</si>
  <si>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</si>
  <si>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152 hrs</t>
  </si>
  <si>
    <t>No Prazo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</si>
  <si>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</si>
  <si>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</si>
  <si>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</si>
  <si>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</si>
  <si>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</si>
  <si>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</si>
  <si>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</si>
  <si>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</si>
  <si>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</si>
  <si>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</si>
  <si>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</si>
  <si>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</si>
  <si>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</si>
  <si>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</si>
  <si>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</si>
  <si>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</si>
  <si>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</si>
  <si>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</si>
  <si>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</si>
  <si>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</si>
  <si>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</si>
  <si>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</si>
  <si>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</si>
  <si>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</si>
  <si>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</si>
  <si>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</si>
  <si>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</si>
  <si>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</si>
  <si>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</si>
  <si>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</si>
  <si>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</si>
  <si>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</si>
  <si>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</si>
  <si>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</si>
  <si>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</si>
  <si>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</si>
  <si>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</si>
  <si>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</si>
  <si>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</si>
  <si>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</si>
  <si>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</si>
  <si>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</si>
  <si>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</si>
  <si>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</si>
  <si>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</si>
  <si>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</si>
  <si>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</si>
  <si>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</si>
  <si>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</si>
  <si>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</si>
  <si>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</si>
  <si>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</si>
  <si>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</si>
  <si>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</si>
  <si>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</si>
  <si>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</si>
  <si>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</si>
  <si>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</si>
  <si>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</si>
  <si>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</si>
  <si>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</si>
  <si>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</si>
  <si>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</si>
  <si>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</si>
  <si>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</si>
  <si>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</si>
  <si>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</si>
  <si>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</si>
  <si>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</si>
  <si>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</si>
  <si>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</si>
  <si>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</si>
  <si>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</si>
  <si>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</si>
  <si>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</si>
  <si>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</si>
  <si>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</si>
  <si>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</si>
  <si>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</si>
  <si>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</si>
  <si>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</si>
  <si>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</si>
  <si>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</si>
  <si>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</si>
  <si>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</si>
  <si>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</si>
  <si>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</si>
  <si>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</si>
  <si>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</si>
  <si>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</si>
  <si>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</si>
  <si>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</si>
  <si>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</si>
  <si>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</si>
  <si>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</si>
  <si>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</si>
  <si>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</si>
  <si>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</si>
  <si>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</si>
  <si>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</si>
  <si>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</si>
  <si>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</si>
  <si>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</si>
  <si>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</si>
  <si>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</si>
  <si>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</si>
  <si>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</si>
  <si>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</si>
  <si>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</si>
  <si>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</si>
  <si>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</si>
  <si>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</si>
  <si>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</si>
  <si>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</si>
  <si>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</si>
  <si>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</si>
  <si>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</si>
  <si>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</si>
  <si>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</si>
  <si>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</si>
  <si>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</si>
  <si>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</si>
  <si>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</si>
  <si>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</si>
  <si>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</si>
  <si>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</si>
  <si>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</si>
  <si>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</si>
  <si>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</si>
  <si>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</si>
  <si>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</si>
  <si>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144 hrs</t>
  </si>
  <si>
    <t>ESTRUTURA METÁLICA</t>
  </si>
  <si>
    <t>1.1.9.2</t>
  </si>
  <si>
    <t>Estrutura metálica</t>
  </si>
  <si>
    <t>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</si>
  <si>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</si>
  <si>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</si>
  <si>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</si>
  <si>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</si>
  <si>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</si>
  <si>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</si>
  <si>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</si>
  <si>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</si>
  <si>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</si>
  <si>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</si>
  <si>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</si>
  <si>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</si>
  <si>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</si>
  <si>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</si>
  <si>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Qui 02/07/26</t>
  </si>
  <si>
    <t>1.1.9.3.3</t>
  </si>
  <si>
    <t>Sex 03/07/26</t>
  </si>
  <si>
    <t>1.1.9.3.4</t>
  </si>
  <si>
    <t>Ter 07/07/26</t>
  </si>
  <si>
    <t>1.1.9.5</t>
  </si>
  <si>
    <t>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</si>
  <si>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</si>
  <si>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</si>
  <si>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</si>
  <si>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</si>
  <si>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</si>
  <si>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</si>
  <si>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</si>
  <si>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</si>
  <si>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</si>
  <si>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</si>
  <si>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</si>
  <si>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</si>
  <si>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</si>
  <si>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</si>
  <si>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</si>
  <si>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</si>
  <si>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</si>
  <si>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</si>
  <si>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</si>
  <si>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</si>
  <si>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</si>
  <si>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</si>
  <si>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</si>
  <si>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</si>
  <si>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</si>
  <si>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</si>
  <si>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</si>
  <si>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</si>
  <si>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</si>
  <si>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</si>
  <si>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</si>
  <si>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</si>
  <si>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</si>
  <si>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</si>
  <si>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</si>
  <si>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</si>
  <si>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</si>
  <si>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</si>
  <si>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</si>
  <si>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</si>
  <si>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</si>
  <si>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</si>
  <si>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</si>
  <si>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</si>
  <si>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</si>
  <si>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</si>
  <si>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</si>
  <si>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</si>
  <si>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</si>
  <si>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</si>
  <si>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</si>
  <si>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</si>
  <si>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</si>
  <si>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</si>
  <si>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</si>
  <si>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</si>
  <si>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</si>
  <si>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</si>
  <si>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</si>
  <si>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</si>
  <si>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</si>
  <si>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</si>
  <si>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</si>
  <si>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</si>
  <si>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</si>
  <si>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</si>
  <si>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</si>
  <si>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</si>
  <si>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</si>
  <si>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</si>
  <si>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</si>
  <si>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</si>
  <si>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</si>
  <si>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</si>
  <si>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</si>
  <si>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</si>
  <si>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</si>
  <si>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</si>
  <si>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</si>
  <si>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</si>
  <si>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</si>
  <si>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</si>
  <si>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</si>
  <si>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</si>
  <si>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</si>
  <si>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</si>
  <si>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</si>
  <si>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</si>
  <si>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</si>
  <si>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</si>
  <si>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</si>
  <si>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</si>
  <si>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</si>
  <si>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</si>
  <si>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</si>
  <si>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</si>
  <si>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</si>
  <si>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</si>
  <si>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</si>
  <si>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</si>
  <si>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</si>
  <si>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</si>
  <si>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</si>
  <si>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</si>
  <si>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</si>
  <si>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</si>
  <si>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</si>
  <si>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</si>
  <si>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</si>
  <si>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</si>
  <si>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</si>
  <si>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</si>
  <si>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</si>
  <si>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</si>
  <si>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</si>
  <si>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</si>
  <si>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</si>
  <si>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</si>
  <si>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</si>
  <si>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</si>
  <si>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</si>
  <si>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</si>
  <si>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</si>
  <si>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</si>
  <si>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</si>
  <si>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8 dias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</si>
  <si>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</si>
  <si>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</si>
  <si>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</si>
  <si>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</si>
  <si>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</si>
  <si>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</si>
  <si>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</si>
  <si>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</si>
  <si>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</si>
  <si>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</si>
  <si>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</si>
  <si>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</si>
  <si>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</si>
  <si>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</si>
  <si>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</si>
  <si>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</si>
  <si>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</si>
  <si>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</si>
  <si>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</si>
  <si>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</si>
  <si>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</si>
  <si>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</si>
  <si>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</si>
  <si>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</si>
  <si>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</si>
  <si>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</si>
  <si>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</si>
  <si>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</si>
  <si>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</si>
  <si>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</si>
  <si>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</si>
  <si>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</si>
  <si>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</si>
  <si>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</si>
  <si>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</si>
  <si>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>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</si>
  <si>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</si>
  <si>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</si>
  <si>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</si>
  <si>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</si>
  <si>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</si>
  <si>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</si>
  <si>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</si>
  <si>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>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</si>
  <si>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</si>
  <si>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</si>
  <si>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</si>
  <si>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</si>
  <si>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</si>
  <si>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</si>
  <si>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</si>
  <si>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</si>
  <si>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</si>
  <si>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</si>
  <si>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</si>
  <si>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</si>
  <si>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</si>
  <si>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</si>
  <si>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</si>
  <si>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</si>
  <si>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</si>
  <si>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</si>
  <si>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</si>
  <si>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</si>
  <si>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</si>
  <si>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</si>
  <si>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</si>
  <si>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</si>
  <si>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</si>
  <si>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</si>
  <si>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</si>
  <si>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</si>
  <si>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</si>
  <si>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</si>
  <si>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</si>
  <si>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</si>
  <si>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</si>
  <si>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</si>
  <si>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</si>
  <si>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</si>
  <si>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</si>
  <si>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</si>
  <si>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</si>
  <si>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</si>
  <si>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</si>
  <si>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</si>
  <si>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</si>
  <si>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</si>
  <si>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</si>
  <si>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</si>
  <si>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</si>
  <si>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>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</si>
  <si>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</si>
  <si>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</si>
  <si>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</si>
  <si>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</si>
  <si>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</si>
  <si>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</si>
  <si>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</si>
  <si>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</si>
  <si>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</si>
  <si>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</si>
  <si>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>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</si>
  <si>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</si>
  <si>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</si>
  <si>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</si>
  <si>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</si>
  <si>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</si>
  <si>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</si>
  <si>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</si>
  <si>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</si>
  <si>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</si>
  <si>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</si>
  <si>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</si>
  <si>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</si>
  <si>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</si>
  <si>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</si>
  <si>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</si>
  <si>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</si>
  <si>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</si>
  <si>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</si>
  <si>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</si>
  <si>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</si>
  <si>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</si>
  <si>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</si>
  <si>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</si>
  <si>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</si>
  <si>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</si>
  <si>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</si>
  <si>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</si>
  <si>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</si>
  <si>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</si>
  <si>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</si>
  <si>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</si>
  <si>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</si>
  <si>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</si>
  <si>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</si>
  <si>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</si>
  <si>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</si>
  <si>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</si>
  <si>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</si>
  <si>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</si>
  <si>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</si>
  <si>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</si>
  <si>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</si>
  <si>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</si>
  <si>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</si>
  <si>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</si>
  <si>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</si>
  <si>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</si>
  <si>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</si>
  <si>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</si>
  <si>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</si>
  <si>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</si>
  <si>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</si>
  <si>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</si>
  <si>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</si>
  <si>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</si>
  <si>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</si>
  <si>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</si>
  <si>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</si>
  <si>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</si>
  <si>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</si>
  <si>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</si>
  <si>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</si>
  <si>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</si>
  <si>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</si>
  <si>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</si>
  <si>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</si>
  <si>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</si>
  <si>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</si>
  <si>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</si>
  <si>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</si>
  <si>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</si>
  <si>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</si>
  <si>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</si>
  <si>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</si>
  <si>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</si>
  <si>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</si>
  <si>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</si>
  <si>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</si>
  <si>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</si>
  <si>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</si>
  <si>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</si>
  <si>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</si>
  <si>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</si>
  <si>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</si>
  <si>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</si>
  <si>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</si>
  <si>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</si>
  <si>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</si>
  <si>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</si>
  <si>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</si>
  <si>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</si>
  <si>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</si>
  <si>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</si>
  <si>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</si>
  <si>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</si>
  <si>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</si>
  <si>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</si>
  <si>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</si>
  <si>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</si>
  <si>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</si>
  <si>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</si>
  <si>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</si>
  <si>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</si>
  <si>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</si>
  <si>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</si>
  <si>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</si>
  <si>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</si>
  <si>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</si>
  <si>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</si>
  <si>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</si>
  <si>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</si>
  <si>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</si>
  <si>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</si>
  <si>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</si>
  <si>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</si>
  <si>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</si>
  <si>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</si>
  <si>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</si>
  <si>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</si>
  <si>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</si>
  <si>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</si>
  <si>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</si>
  <si>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</si>
  <si>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</si>
  <si>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</si>
  <si>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</si>
  <si>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</si>
  <si>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</si>
  <si>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</si>
  <si>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</si>
  <si>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</si>
  <si>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</si>
  <si>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</si>
  <si>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</si>
  <si>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</si>
  <si>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</si>
  <si>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</si>
  <si>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</si>
  <si>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</si>
  <si>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</si>
  <si>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</si>
  <si>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</si>
  <si>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</si>
  <si>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</si>
  <si>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</si>
  <si>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</si>
  <si>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</si>
  <si>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</si>
  <si>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</si>
  <si>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</si>
  <si>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</si>
  <si>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</si>
  <si>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</si>
  <si>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</si>
  <si>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</si>
  <si>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</si>
  <si>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</si>
  <si>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</si>
  <si>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</si>
  <si>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</si>
  <si>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</si>
  <si>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</si>
  <si>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</si>
  <si>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</si>
  <si>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</si>
  <si>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</si>
  <si>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</si>
  <si>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</si>
  <si>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</si>
  <si>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</si>
  <si>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</si>
  <si>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</si>
  <si>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</si>
  <si>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</si>
  <si>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</si>
  <si>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</si>
  <si>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</si>
  <si>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</si>
  <si>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</si>
  <si>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</si>
  <si>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</si>
  <si>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</si>
  <si>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</si>
  <si>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</si>
  <si>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</si>
  <si>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</si>
  <si>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</si>
  <si>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</si>
  <si>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</si>
  <si>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</si>
  <si>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</si>
  <si>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</si>
  <si>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</si>
  <si>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</si>
  <si>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</si>
  <si>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</si>
  <si>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</si>
  <si>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</si>
  <si>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</si>
  <si>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</si>
  <si>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</si>
  <si>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</si>
  <si>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</si>
  <si>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</si>
  <si>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</si>
  <si>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</si>
  <si>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</si>
  <si>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</si>
  <si>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</si>
  <si>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</si>
  <si>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</si>
  <si>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</si>
  <si>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</si>
  <si>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</si>
  <si>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</si>
  <si>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</si>
  <si>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</si>
  <si>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</si>
  <si>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</si>
  <si>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</si>
  <si>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</si>
  <si>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</si>
  <si>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</si>
  <si>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</si>
  <si>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</si>
  <si>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</si>
  <si>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</si>
  <si>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1.1.11.43.1</t>
  </si>
  <si>
    <t>LB-F0009-0306-MB-J-00001</t>
  </si>
  <si>
    <t>3,8 dias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</si>
  <si>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</si>
  <si>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</si>
  <si>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</si>
  <si>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</si>
  <si>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</si>
  <si>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</si>
  <si>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</si>
  <si>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</si>
  <si>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</si>
  <si>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</si>
  <si>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</si>
  <si>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</si>
  <si>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</si>
  <si>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</si>
  <si>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</si>
  <si>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</si>
  <si>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</si>
  <si>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</si>
  <si>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</si>
  <si>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</si>
  <si>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</si>
  <si>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</si>
  <si>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</si>
  <si>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</si>
  <si>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</si>
  <si>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</si>
  <si>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</si>
  <si>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</si>
  <si>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</si>
  <si>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</si>
  <si>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</si>
  <si>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</si>
  <si>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</si>
  <si>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</si>
  <si>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</si>
  <si>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638TT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</si>
  <si>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</si>
  <si>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</si>
  <si>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</si>
  <si>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</si>
  <si>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</si>
  <si>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</si>
  <si>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</si>
  <si>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</si>
  <si>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</t>
  </si>
  <si>
    <t>coordenação</t>
  </si>
  <si>
    <t>52 dias</t>
  </si>
  <si>
    <t>COORDENAÇÃO</t>
  </si>
  <si>
    <t>Área 0306 - Sopradores -       Coordenação</t>
  </si>
  <si>
    <t xml:space="preserve">      Coordenação</t>
  </si>
  <si>
    <t>1.1.5.1</t>
  </si>
  <si>
    <t>Coordenação</t>
  </si>
  <si>
    <t>rm-f0009-0306-mb-g-00001</t>
  </si>
  <si>
    <t>Seg 01/06/26</t>
  </si>
  <si>
    <t>Coordenação -          RM-F0009-0306-MB-G-00001</t>
  </si>
  <si>
    <t xml:space="preserve">         RM-F0009-0306-MB-G-00001</t>
  </si>
  <si>
    <t>1.1.5.2</t>
  </si>
  <si>
    <t>rm-f0009-0306-mb-g-00002</t>
  </si>
  <si>
    <t>Coordenação -          RM-F0009-0306-MB-G-00002</t>
  </si>
  <si>
    <t xml:space="preserve">         RM-F0009-0306-MB-G-00002</t>
  </si>
  <si>
    <t>1.1.5.3</t>
  </si>
  <si>
    <t>rl-f0009-0306-mb-g-00001</t>
  </si>
  <si>
    <t>Coordenação -          RL-F0009-0306-MB-G-00001</t>
  </si>
  <si>
    <t xml:space="preserve">         RL-F0009-0306-MB-G-00001</t>
  </si>
  <si>
    <t>1.1.5.4</t>
  </si>
  <si>
    <t>lp-f0009-0306-mb-g-00001</t>
  </si>
  <si>
    <t>47 dias</t>
  </si>
  <si>
    <t>Coordenação -          LP-F0009-0306-MB-G-00001</t>
  </si>
  <si>
    <t xml:space="preserve">         LP-F0009-0306-MB-G-00001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</si>
  <si>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</si>
  <si>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</si>
  <si>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</si>
  <si>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</si>
  <si>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</si>
  <si>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</si>
  <si>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</si>
  <si>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</si>
  <si>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</si>
  <si>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</si>
  <si>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</si>
  <si>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</si>
  <si>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</si>
  <si>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</si>
  <si>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</si>
  <si>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</si>
  <si>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</si>
  <si>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</si>
  <si>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</si>
  <si>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</si>
  <si>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</si>
  <si>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</si>
  <si>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</si>
  <si>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</si>
  <si>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</si>
  <si>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</si>
  <si>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</si>
  <si>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</si>
  <si>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</si>
  <si>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</si>
  <si>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</si>
  <si>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</si>
  <si>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</si>
  <si>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</si>
  <si>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</si>
  <si>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</si>
  <si>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</si>
  <si>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</si>
  <si>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</si>
  <si>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</si>
  <si>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</si>
  <si>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</si>
  <si>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</si>
  <si>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</si>
  <si>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</si>
  <si>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</si>
  <si>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</si>
  <si>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</si>
  <si>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</si>
  <si>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</si>
  <si>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</si>
  <si>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</si>
  <si>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du-f0009-0306-mb-e-00004</t>
  </si>
  <si>
    <t>17 dias</t>
  </si>
  <si>
    <t>Elétrica -          DU-F0009-0306-MB-E-00004</t>
  </si>
  <si>
    <t xml:space="preserve">         DU-F0009-0306-MB-E-00004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</si>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</sst>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9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0</c:v>
                </c:pt>
                <c:pt idx="3">
                  <c:v>13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3-48D1-9879-8738534A1C0C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38</c:v>
                </c:pt>
                <c:pt idx="1">
                  <c:v>1</c:v>
                </c:pt>
                <c:pt idx="2">
                  <c:v>0</c:v>
                </c:pt>
                <c:pt idx="3">
                  <c:v>12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3-48D1-9879-8738534A1C0C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0.97435897435897434</c:v>
                </c:pt>
                <c:pt idx="1">
                  <c:v>0.5</c:v>
                </c:pt>
                <c:pt idx="2">
                  <c:v>0</c:v>
                </c:pt>
                <c:pt idx="3">
                  <c:v>0.92307692307692313</c:v>
                </c:pt>
                <c:pt idx="4">
                  <c:v>0.875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3-48D1-9879-8738534A1C0C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3-48D1-9879-8738534A1C0C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3-48D1-9879-8738534A1C0C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E3-48D1-9879-8738534A1C0C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E3-48D1-9879-8738534A1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E41-4027-A7A8-9AEA6509C5F4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E41-4027-A7A8-9AEA6509C5F4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E41-4027-A7A8-9AEA6509C5F4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E41-4027-A7A8-9AEA6509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08/07/2026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5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E-4EA7-A540-C63B2DDBED6E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21</c:v>
                </c:pt>
                <c:pt idx="103">
                  <c:v>3</c:v>
                </c:pt>
                <c:pt idx="104">
                  <c:v>3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11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E-4EA7-A540-C63B2DDBE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6</c:v>
                </c:pt>
                <c:pt idx="62">
                  <c:v>8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17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23</c:v>
                </c:pt>
                <c:pt idx="74">
                  <c:v>24</c:v>
                </c:pt>
                <c:pt idx="75">
                  <c:v>24</c:v>
                </c:pt>
                <c:pt idx="76">
                  <c:v>25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29</c:v>
                </c:pt>
                <c:pt idx="82">
                  <c:v>31</c:v>
                </c:pt>
                <c:pt idx="83">
                  <c:v>33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36</c:v>
                </c:pt>
                <c:pt idx="88">
                  <c:v>40</c:v>
                </c:pt>
                <c:pt idx="89">
                  <c:v>40</c:v>
                </c:pt>
                <c:pt idx="90">
                  <c:v>42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51</c:v>
                </c:pt>
                <c:pt idx="96">
                  <c:v>55</c:v>
                </c:pt>
                <c:pt idx="97">
                  <c:v>55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78</c:v>
                </c:pt>
                <c:pt idx="102">
                  <c:v>81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84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1E-4EA7-A540-C63B2DDBED6E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22</c:v>
                </c:pt>
                <c:pt idx="96">
                  <c:v>23</c:v>
                </c:pt>
                <c:pt idx="97">
                  <c:v>26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54</c:v>
                </c:pt>
                <c:pt idx="103">
                  <c:v>57</c:v>
                </c:pt>
                <c:pt idx="104">
                  <c:v>60</c:v>
                </c:pt>
                <c:pt idx="105">
                  <c:v>66</c:v>
                </c:pt>
                <c:pt idx="106">
                  <c:v>66</c:v>
                </c:pt>
                <c:pt idx="107">
                  <c:v>66</c:v>
                </c:pt>
                <c:pt idx="108">
                  <c:v>67</c:v>
                </c:pt>
                <c:pt idx="109">
                  <c:v>69</c:v>
                </c:pt>
                <c:pt idx="1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1E-4EA7-A540-C63B2DDBE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08/07/2026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5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E-4D6F-9004-6D42C54C0FD4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21</c:v>
                </c:pt>
                <c:pt idx="103">
                  <c:v>3</c:v>
                </c:pt>
                <c:pt idx="104">
                  <c:v>3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11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8E-4D6F-9004-6D42C54C0FD4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1</c:v>
                </c:pt>
                <c:pt idx="96">
                  <c:v>2</c:v>
                </c:pt>
                <c:pt idx="97">
                  <c:v>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0</c:v>
                </c:pt>
                <c:pt idx="104">
                  <c:v>7</c:v>
                </c:pt>
                <c:pt idx="105">
                  <c:v>18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E-4D6F-9004-6D42C54C0FD4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S'!$G$2:$G$118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8E-4D6F-9004-6D42C54C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6</c:v>
                </c:pt>
                <c:pt idx="62">
                  <c:v>8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17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23</c:v>
                </c:pt>
                <c:pt idx="74">
                  <c:v>24</c:v>
                </c:pt>
                <c:pt idx="75">
                  <c:v>24</c:v>
                </c:pt>
                <c:pt idx="76">
                  <c:v>25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29</c:v>
                </c:pt>
                <c:pt idx="82">
                  <c:v>31</c:v>
                </c:pt>
                <c:pt idx="83">
                  <c:v>33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36</c:v>
                </c:pt>
                <c:pt idx="88">
                  <c:v>40</c:v>
                </c:pt>
                <c:pt idx="89">
                  <c:v>40</c:v>
                </c:pt>
                <c:pt idx="90">
                  <c:v>42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51</c:v>
                </c:pt>
                <c:pt idx="96">
                  <c:v>55</c:v>
                </c:pt>
                <c:pt idx="97">
                  <c:v>55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78</c:v>
                </c:pt>
                <c:pt idx="102">
                  <c:v>81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84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8E-4D6F-9004-6D42C54C0FD4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22</c:v>
                </c:pt>
                <c:pt idx="96">
                  <c:v>23</c:v>
                </c:pt>
                <c:pt idx="97">
                  <c:v>26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54</c:v>
                </c:pt>
                <c:pt idx="103">
                  <c:v>57</c:v>
                </c:pt>
                <c:pt idx="104">
                  <c:v>60</c:v>
                </c:pt>
                <c:pt idx="105">
                  <c:v>66</c:v>
                </c:pt>
                <c:pt idx="106">
                  <c:v>66</c:v>
                </c:pt>
                <c:pt idx="107">
                  <c:v>66</c:v>
                </c:pt>
                <c:pt idx="108">
                  <c:v>67</c:v>
                </c:pt>
                <c:pt idx="109">
                  <c:v>69</c:v>
                </c:pt>
                <c:pt idx="1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8E-4D6F-9004-6D42C54C0FD4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S'!$H$2:$H$118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12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18</c:v>
                </c:pt>
                <c:pt idx="75">
                  <c:v>21</c:v>
                </c:pt>
                <c:pt idx="76">
                  <c:v>21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26</c:v>
                </c:pt>
                <c:pt idx="83">
                  <c:v>29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30</c:v>
                </c:pt>
                <c:pt idx="88">
                  <c:v>32</c:v>
                </c:pt>
                <c:pt idx="89">
                  <c:v>34</c:v>
                </c:pt>
                <c:pt idx="90">
                  <c:v>35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40</c:v>
                </c:pt>
                <c:pt idx="95">
                  <c:v>41</c:v>
                </c:pt>
                <c:pt idx="96">
                  <c:v>43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52</c:v>
                </c:pt>
                <c:pt idx="102">
                  <c:v>56</c:v>
                </c:pt>
                <c:pt idx="103">
                  <c:v>56</c:v>
                </c:pt>
                <c:pt idx="104">
                  <c:v>63</c:v>
                </c:pt>
                <c:pt idx="105">
                  <c:v>81</c:v>
                </c:pt>
                <c:pt idx="106">
                  <c:v>81</c:v>
                </c:pt>
                <c:pt idx="107">
                  <c:v>81</c:v>
                </c:pt>
                <c:pt idx="108">
                  <c:v>82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8E-4D6F-9004-6D42C54C0FD4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S'!$I$2:$I$118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8E-4D6F-9004-6D42C54C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57F7690-050D-4AE6-8BB8-07CA71F7E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3E6E19D-5C1D-43D7-B74F-F92D1D1A5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26</xdr:col>
      <xdr:colOff>730714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E51BB5-9621-4390-8A49-6A4174EBD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26</xdr:col>
      <xdr:colOff>749764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5A19E7-F5A5-4C1E-B0C1-314475E0C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E0967-C3F8-4B27-975C-7C1B2142E694}" name="Tabela1" displayName="Tabela1" ref="A1:AM522" totalsRowShown="0" headerRowDxfId="193" dataDxfId="192">
  <autoFilter ref="A1:AM522" xr:uid="{E3FE0967-C3F8-4B27-975C-7C1B2142E694}"/>
  <tableColumns count="39">
    <tableColumn id="1" xr3:uid="{BB939F5F-93B1-4002-86FA-CCC92475E9A7}" name="Id" dataDxfId="191"/>
    <tableColumn id="2" xr3:uid="{FFD1C67E-43CB-4F8F-A350-4FDBF4FF83BB}" name="EDT" dataDxfId="190"/>
    <tableColumn id="3" xr3:uid="{ED115EA2-DCB7-4BE4-A556-C7DCF0DEE093}" name="Nome do Resumo da Tarefa" dataDxfId="189"/>
    <tableColumn id="4" xr3:uid="{009D9892-89F2-49D9-89C3-B17E497487AA}" name="Nome da Tarefa" dataDxfId="188"/>
    <tableColumn id="5" xr3:uid="{FF58D1A4-B9AC-4CA2-BFD1-D38F68A9DF37}" name="Duração" dataDxfId="187"/>
    <tableColumn id="6" xr3:uid="{A979BC5D-3EE9-4564-B614-748D10676CAB}" name="Início" dataDxfId="186"/>
    <tableColumn id="7" xr3:uid="{59444BAE-1B71-41F7-B2F3-F2F3A9033670}" name="Término" dataDxfId="185"/>
    <tableColumn id="8" xr3:uid="{D421A3EE-AC03-4649-9F52-B4018D013F30}" name="% concluída" dataDxfId="184" dataCellStyle="Porcentagem"/>
    <tableColumn id="9" xr3:uid="{D24AE202-3626-4E3B-B199-6671D2682EE7}" name="Término real" dataDxfId="183"/>
    <tableColumn id="10" xr3:uid="{597D236D-90F6-4D70-8C2A-0D1BB793B15F}" name="Status" dataDxfId="182"/>
    <tableColumn id="11" xr3:uid="{C3B99E10-1D3F-4D82-9F35-713D61C9D9DE}" name="Predecessoras" dataDxfId="181"/>
    <tableColumn id="12" xr3:uid="{999C2E39-9D1E-49F6-AD1C-CF082831665B}" name="Sucessoras" dataDxfId="180"/>
    <tableColumn id="13" xr3:uid="{FF8DA14B-1E1A-4ED8-9171-3C00A2942A82}" name="Início da Linha de Base" dataDxfId="179"/>
    <tableColumn id="14" xr3:uid="{A87F6840-0B2F-4CDE-B368-625810262AE6}" name="Término da linha de base" dataDxfId="178"/>
    <tableColumn id="15" xr3:uid="{B9F2995C-66E9-42A5-9341-3C72D4942E9F}" name="Nomes dos recursos" dataDxfId="177"/>
    <tableColumn id="16" xr3:uid="{0943FE05-76E5-496B-AADE-909CBCFB21A9}" name="Sprint" dataDxfId="176"/>
    <tableColumn id="17" xr3:uid="{413B56BC-63A5-4F41-945D-7AA916F5DE9B}" name="Crítica" dataDxfId="175"/>
    <tableColumn id="18" xr3:uid="{BCF21DEA-88BA-498B-9628-129EE56CB0C3}" name="Disciplina" dataDxfId="174"/>
    <tableColumn id="19" xr3:uid="{5128C142-FA78-4B2C-A706-6469381DEA3A}" name="Início_LB_R0" dataDxfId="173"/>
    <tableColumn id="20" xr3:uid="{1EDAFA6B-E403-49D2-B5BB-ED5498C79E89}" name="Término_LB_R0" dataDxfId="172"/>
    <tableColumn id="21" xr3:uid="{3E32A9F2-36BF-4CD2-B313-50E9ECCC3B89}" name="Comparação" dataDxfId="171"/>
    <tableColumn id="22" xr3:uid="{CF8E9905-A75B-468D-A85E-31587AF5038F}" name="Unnamed: 20" dataDxfId="170"/>
    <tableColumn id="23" xr3:uid="{BBA9D720-EFB6-4FFB-9D0B-6ED9C409D409}" name="Concat_Plan" dataDxfId="169"/>
    <tableColumn id="24" xr3:uid="{69146066-EE1C-4E93-A8EF-DE79582C7C8B}" name="Nome do Resumo da Tarefa.1" dataDxfId="168"/>
    <tableColumn id="25" xr3:uid="{6D5C5483-5F65-4D9C-8A64-1ACA49DCD168}" name="Nome da Tarefa.1" dataDxfId="167"/>
    <tableColumn id="26" xr3:uid="{694A95DA-5A3C-4183-BB12-E1E4E90429B2}" name="Concat_Proj" dataDxfId="166"/>
    <tableColumn id="27" xr3:uid="{0405A985-3337-4986-A1BA-254A9016D386}" name="Unnamed: 25" dataDxfId="165"/>
    <tableColumn id="28" xr3:uid="{83EB8B53-AF8F-4837-90BC-AD44134351E1}" name="pct_val" dataDxfId="164"/>
    <tableColumn id="29" xr3:uid="{E2C34D41-A7B5-4D5B-B136-5ABFB6DDA1C8}" name="Emissão inicial total" dataDxfId="163"/>
    <tableColumn id="30" xr3:uid="{F55C6B40-4904-48D1-A74C-6AE78A271C04}" name="Emissão inicial concluída" dataDxfId="162"/>
    <tableColumn id="31" xr3:uid="{39449DE9-37D6-43C0-B964-0A256CDECD19}" name="Emissão Inicial Atrasada" dataDxfId="161"/>
    <tableColumn id="32" xr3:uid="{74A94691-13DA-4F59-9B23-1676B8EAEB5F}" name="Aprovação total" dataDxfId="160"/>
    <tableColumn id="33" xr3:uid="{3D548B0B-25BB-426F-8DCD-F12CEDD277B4}" name="Avaliação do cliente concluída" dataDxfId="159"/>
    <tableColumn id="34" xr3:uid="{8D0CCF53-0338-4F6E-BEC5-319ED77C5686}" name="Avaliação Cliente Atrasada" dataDxfId="158"/>
    <tableColumn id="35" xr3:uid="{DB99087E-A48C-47C9-9C15-F2D984EF533B}" name="Atendimento de comentário concluído" dataDxfId="157"/>
    <tableColumn id="36" xr3:uid="{984C6273-C608-4552-BBF2-A3907BCA7384}" name="Atendimento Atrasado" dataDxfId="156"/>
    <tableColumn id="37" xr3:uid="{6E1EE862-6A82-4185-8ADC-BB10946CC597}" name="Aprovação concluída" dataDxfId="155"/>
    <tableColumn id="38" xr3:uid="{36B2300A-A546-4309-9BA2-51BF044D762C}" name="Aprovação Atrasada" dataDxfId="154"/>
    <tableColumn id="39" xr3:uid="{3CED24F3-D179-4A55-8B4C-C15BCB303EB8}" name="Aderência" dataDxfId="1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0C7715-E32D-4A1C-BDB5-3F4FB2137E1D}" name="Tabela2" displayName="Tabela2" ref="A3:H16" totalsRowCount="1" headerRowDxfId="152" dataDxfId="151">
  <autoFilter ref="A3:H15" xr:uid="{870C7715-E32D-4A1C-BDB5-3F4FB2137E1D}"/>
  <tableColumns count="8">
    <tableColumn id="1" xr3:uid="{89E34D5C-8343-45D5-A04B-893FC68E353F}" name="Disciplina" totalsRowLabel="TOTAL" dataDxfId="150" totalsRowDxfId="149"/>
    <tableColumn id="2" xr3:uid="{843C210B-9421-4EE7-96D9-DD525FEA54AA}" name="Emissão inicial total" totalsRowFunction="sum" dataDxfId="148" totalsRowDxfId="147"/>
    <tableColumn id="3" xr3:uid="{8E1D901F-7DE0-4859-952A-01BF36367094}" name="Emissão inicial concluída" totalsRowFunction="sum" dataDxfId="146" totalsRowDxfId="145"/>
    <tableColumn id="4" xr3:uid="{68E04107-BE3F-4878-AA65-842CB106FD7E}" name="%EI" dataDxfId="144" totalsRowDxfId="143"/>
    <tableColumn id="5" xr3:uid="{69B75A1F-1AE9-4D0C-A962-41FFC72DD186}" name="Avaliação do cliente concluída" totalsRowFunction="sum" dataDxfId="142" totalsRowDxfId="141"/>
    <tableColumn id="6" xr3:uid="{D03D9500-E49D-43DE-B402-7DB2E1B1225A}" name="Atendimento de comentário concluído" totalsRowFunction="sum" dataDxfId="140" totalsRowDxfId="139"/>
    <tableColumn id="7" xr3:uid="{8C7F4462-E34E-485D-98F1-0C48636086E7}" name="Aprovação concluída" totalsRowFunction="sum" dataDxfId="138" totalsRowDxfId="137"/>
    <tableColumn id="8" xr3:uid="{00031A73-1692-48BF-ABA1-E991D9758D47}" name="%AP" dataDxfId="136" totalsRowDxfId="1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7BCAB-8B83-460C-91B4-0057E33E6475}" name="Tabela3" displayName="Tabela3" ref="A21:E34" totalsRowCount="1" headerRowDxfId="134" dataDxfId="133">
  <autoFilter ref="A21:E33" xr:uid="{91E7BCAB-8B83-460C-91B4-0057E33E6475}"/>
  <tableColumns count="5">
    <tableColumn id="1" xr3:uid="{250A29CF-02E7-4A52-B685-BF743C5D3952}" name="Disciplina" totalsRowLabel="TOTAL" dataDxfId="132" totalsRowDxfId="131"/>
    <tableColumn id="2" xr3:uid="{DD15C2AE-88F0-434E-9B2C-3A143B3951A3}" name="Emissão Inicial Atrasada" totalsRowFunction="sum" dataDxfId="130" totalsRowDxfId="129"/>
    <tableColumn id="3" xr3:uid="{B6FDA2DB-CA79-4CD6-B0BD-A91CE85FED58}" name="Avaliação Cliente Atrasada" totalsRowFunction="sum" dataDxfId="128" totalsRowDxfId="127"/>
    <tableColumn id="4" xr3:uid="{5B07FEB1-887D-44FA-9A26-318EF8B70785}" name="Atendimento Atrasado" totalsRowFunction="sum" dataDxfId="126" totalsRowDxfId="125"/>
    <tableColumn id="5" xr3:uid="{B11C6DA1-D880-4FA3-8B34-5DE5A1B58002}" name="Aprovação Atrasada" totalsRowFunction="sum" dataDxfId="124" totalsRowDxfId="1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99EF2E-1747-4A88-9CB0-A3D95CA0D4CA}" name="Tabela4" displayName="Tabela4" ref="A1:O118" totalsRowShown="0" headerRowDxfId="122" dataDxfId="121">
  <autoFilter ref="A1:O118" xr:uid="{1E99EF2E-1747-4A88-9CB0-A3D95CA0D4CA}"/>
  <tableColumns count="15">
    <tableColumn id="1" xr3:uid="{0D8F619D-48D5-453E-996C-A5F9153B187B}" name="Data" dataDxfId="120"/>
    <tableColumn id="2" xr3:uid="{5941B598-65C1-4B3A-B17B-D099108511D2}" name="Emissão prevista na LB" dataDxfId="119"/>
    <tableColumn id="3" xr3:uid="{A523615B-DE8A-4949-BD46-7F17A358AA42}" name="Emissão prevista na LB acumulada" dataDxfId="118"/>
    <tableColumn id="4" xr3:uid="{FA92E02E-7303-407F-8B1D-B19604CC30B7}" name="Emissão realizada por dia" dataDxfId="117"/>
    <tableColumn id="5" xr3:uid="{7CE60498-26E5-42D0-A3FE-F58E17DB004F}" name="Emissão realizada acumulada" dataDxfId="116"/>
    <tableColumn id="6" xr3:uid="{B233F7E5-5962-409F-A92C-4973643057B5}" name="Aprovação prevista na LB" dataDxfId="115"/>
    <tableColumn id="7" xr3:uid="{D880D043-FF8F-4EE1-9E8E-CC15098FF32F}" name="Aprovação realizada por dia" dataDxfId="114"/>
    <tableColumn id="8" xr3:uid="{F5405819-E539-4CAE-A227-4173F0D3A9CF}" name="Aprovação prevista na LB acumulada" dataDxfId="113"/>
    <tableColumn id="9" xr3:uid="{DB13C457-6480-4A78-BE45-23D566E70688}" name="Aprovação realizada acumulada" dataDxfId="112"/>
    <tableColumn id="10" xr3:uid="{696A1574-C773-461B-B4A2-5344CE71D3B0}" name="Avanço da EI previsto na LB" dataDxfId="111"/>
    <tableColumn id="11" xr3:uid="{E1130EC5-23EA-4006-8B84-6F0286B81AE3}" name="Avanço real da EI na LB" dataDxfId="110"/>
    <tableColumn id="12" xr3:uid="{BB512D6E-5C8F-4434-B0E7-BF2E717389C2}" name="COMP_EI" dataDxfId="109"/>
    <tableColumn id="13" xr3:uid="{28A21920-021D-4FCA-97E8-768B2FEBA3CD}" name="Avanço da AP previsto na LB" dataDxfId="108"/>
    <tableColumn id="14" xr3:uid="{F18BF056-1DEC-4EE8-9301-874ED01FA73F}" name="Avanço da AP real na LB" dataDxfId="107"/>
    <tableColumn id="15" xr3:uid="{95FBF257-D5BA-4ABD-BA9D-8B8911AF15D3}" name="COMP_AP" dataDxfId="1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DFCD60-19BE-48E4-B54F-442F94EB861A}" name="Tabela5" displayName="Tabela5" ref="A1:AM141" totalsRowShown="0" headerRowDxfId="105" dataDxfId="104">
  <autoFilter ref="A1:AM141" xr:uid="{45DFCD60-19BE-48E4-B54F-442F94EB861A}">
    <filterColumn colId="3">
      <filters>
        <filter val="emissão inicial"/>
      </filters>
    </filterColumn>
  </autoFilter>
  <tableColumns count="39">
    <tableColumn id="1" xr3:uid="{BF3C3614-7737-4816-BA8C-049F1E98EE8F}" name="Id" dataDxfId="103"/>
    <tableColumn id="2" xr3:uid="{6DC6C5A1-9803-4A52-A2B1-391FE6F1B417}" name="EDT" dataDxfId="102"/>
    <tableColumn id="3" xr3:uid="{A47D5073-0E4C-444D-866C-3B2B3FFE71D1}" name="Nome do Resumo da Tarefa" dataDxfId="101"/>
    <tableColumn id="4" xr3:uid="{62590749-4862-4F35-A6C5-E4E5CE7C8E5C}" name="Nome da Tarefa" dataDxfId="100"/>
    <tableColumn id="5" xr3:uid="{BA924F9B-13C1-4B08-B0C4-54B175D5A6A3}" name="Duração" dataDxfId="99"/>
    <tableColumn id="6" xr3:uid="{4A42E766-C338-4D5D-8F2C-BEDFC5BEEDBF}" name="Início" dataDxfId="98"/>
    <tableColumn id="7" xr3:uid="{8E3021F9-8326-4E84-ACB4-9628C408A45B}" name="Término" dataDxfId="97"/>
    <tableColumn id="8" xr3:uid="{F30290A8-F720-4DC7-A335-921B19B69A41}" name="% concluída" dataDxfId="96" dataCellStyle="Porcentagem"/>
    <tableColumn id="9" xr3:uid="{C32763A5-2DBA-49F2-84F7-07D435AC5CF4}" name="Término real" dataDxfId="95"/>
    <tableColumn id="10" xr3:uid="{A1C59322-652B-48F4-B105-3B035C9B93A4}" name="Status" dataDxfId="94"/>
    <tableColumn id="11" xr3:uid="{9DB90512-E7AD-4C6B-9282-C6B09643FF81}" name="Predecessoras" dataDxfId="93"/>
    <tableColumn id="12" xr3:uid="{8BF40DE9-384E-419F-BF7C-DEB12CE03A39}" name="Sucessoras" dataDxfId="92"/>
    <tableColumn id="13" xr3:uid="{F1C3AD5E-9499-4E19-B52E-57442FC576C2}" name="Início da Linha de Base" dataDxfId="91"/>
    <tableColumn id="14" xr3:uid="{7A659457-C373-4D19-8E42-769DEB3012E8}" name="Término da linha de base" dataDxfId="90"/>
    <tableColumn id="15" xr3:uid="{AC6B6DB8-15BC-447D-84D6-2E5EAA72CA97}" name="Nomes dos recursos" dataDxfId="89"/>
    <tableColumn id="16" xr3:uid="{689CE316-E05F-4F18-AD4E-F240CF02A41E}" name="Sprint" dataDxfId="88"/>
    <tableColumn id="17" xr3:uid="{E13BD681-EA1D-495D-BC59-AF70CD89A816}" name="Crítica" dataDxfId="87"/>
    <tableColumn id="18" xr3:uid="{ECC0AE60-A1B9-4C2D-A004-2DC2A8CBBC1C}" name="Disciplina" dataDxfId="86"/>
    <tableColumn id="19" xr3:uid="{AA8A7E0A-520B-4E4B-931D-8D012CB7DC28}" name="Início_LB_R0" dataDxfId="85"/>
    <tableColumn id="20" xr3:uid="{81694C8C-0180-42A4-BF19-68E7FB7B2C7D}" name="Término_LB_R0" dataDxfId="84"/>
    <tableColumn id="21" xr3:uid="{66238A0C-B01E-40B7-9F12-771016E3DE7E}" name="Comparação" dataDxfId="83"/>
    <tableColumn id="22" xr3:uid="{23C59098-FE63-4096-834F-BD46CCA2EB45}" name="Unnamed: 20" dataDxfId="82"/>
    <tableColumn id="23" xr3:uid="{56AB35BD-E8E8-4F64-B438-299FD6E20D10}" name="Concat_Plan" dataDxfId="81"/>
    <tableColumn id="24" xr3:uid="{C8BD1934-D971-4222-AE49-32695AA6775F}" name="Nome do Resumo da Tarefa.1" dataDxfId="80"/>
    <tableColumn id="25" xr3:uid="{3D60D7A3-F085-4C80-AEBF-75140137E5F5}" name="Nome da Tarefa.1" dataDxfId="79"/>
    <tableColumn id="26" xr3:uid="{CA9B77DB-5868-4E73-9225-4836DC699628}" name="Concat_Proj" dataDxfId="78"/>
    <tableColumn id="27" xr3:uid="{D7A30F38-D7E5-40CE-86D5-857A328A9EB2}" name="Unnamed: 25" dataDxfId="77"/>
    <tableColumn id="28" xr3:uid="{65AB40F5-68C1-46E6-B265-7B38059F75E4}" name="pct_val" dataDxfId="76"/>
    <tableColumn id="29" xr3:uid="{3ADDD11A-3151-46B0-AA37-181D3C3BF559}" name="Emissão inicial total" dataDxfId="75"/>
    <tableColumn id="30" xr3:uid="{883E7A04-9E28-43E9-923C-752AFDD3E570}" name="Emissão inicial concluída" dataDxfId="74"/>
    <tableColumn id="31" xr3:uid="{8A281BAD-6BB4-4293-9E4C-3ED1388FA67C}" name="Emissão Inicial Atrasada" dataDxfId="73"/>
    <tableColumn id="32" xr3:uid="{86868304-140A-45FC-8DA5-B31649D341DC}" name="Aprovação total" dataDxfId="72"/>
    <tableColumn id="33" xr3:uid="{C3019422-371A-4985-8F8E-4A0B665B0CE5}" name="Avaliação do cliente concluída" dataDxfId="71"/>
    <tableColumn id="34" xr3:uid="{6CA93596-B5FE-485C-B020-FB3C0790F371}" name="Avaliação Cliente Atrasada" dataDxfId="70"/>
    <tableColumn id="35" xr3:uid="{1EDD4F2B-DE9D-4CB7-A2F9-89370D4C3AAF}" name="Atendimento de comentário concluído" dataDxfId="69"/>
    <tableColumn id="36" xr3:uid="{2FD60F7B-1789-4B2C-86B0-4C2206D31519}" name="Atendimento Atrasado" dataDxfId="68"/>
    <tableColumn id="37" xr3:uid="{8BC24D8D-7DD3-49C1-9F79-2F725ABD23E3}" name="Aprovação concluída" dataDxfId="67"/>
    <tableColumn id="38" xr3:uid="{97D39135-AA03-41A2-A29D-8B73D84EB7F5}" name="Aprovação Atrasada" dataDxfId="66"/>
    <tableColumn id="39" xr3:uid="{4F43BA9A-0AEC-455E-8799-1FC298F51637}" name="Aderência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595EEF-07F4-45B7-A960-08A882589E19}" name="Tabela6" displayName="Tabela6" ref="A1:AM251" totalsRowShown="0" headerRowDxfId="64" dataDxfId="63">
  <autoFilter ref="A1:AM251" xr:uid="{22595EEF-07F4-45B7-A960-08A882589E19}"/>
  <tableColumns count="39">
    <tableColumn id="1" xr3:uid="{C07B4A26-02FE-41EB-A0B1-3EB154B1490C}" name="Id" dataDxfId="62"/>
    <tableColumn id="2" xr3:uid="{0D3EF1C0-A56D-406E-A5E1-E7D5B8671912}" name="EDT" dataDxfId="61"/>
    <tableColumn id="3" xr3:uid="{8D462593-B19E-4F6A-8876-B30294FABDC6}" name="Nome do Resumo da Tarefa" dataDxfId="60"/>
    <tableColumn id="4" xr3:uid="{0FEDFCE5-1A69-4240-B08B-5000012E84E3}" name="Nome da Tarefa" dataDxfId="59"/>
    <tableColumn id="5" xr3:uid="{C21CF7DF-993C-4139-B847-C6D140517A35}" name="Duração" dataDxfId="58"/>
    <tableColumn id="6" xr3:uid="{67864F2E-C98C-479A-AD39-05C74F810B37}" name="Início" dataDxfId="57"/>
    <tableColumn id="7" xr3:uid="{792CD49F-9D70-4BA4-9482-572993DBC4E9}" name="Término" dataDxfId="56"/>
    <tableColumn id="8" xr3:uid="{07C05CE7-9ADA-4326-8428-632BB1E73B1A}" name="% concluída" dataDxfId="55" dataCellStyle="Porcentagem"/>
    <tableColumn id="9" xr3:uid="{A5F7EEE4-ADB4-4AFC-A209-73006043C43E}" name="Término real" dataDxfId="54"/>
    <tableColumn id="10" xr3:uid="{14F7EF72-63D6-40E7-9227-4A8A1F54BA46}" name="Status" dataDxfId="53"/>
    <tableColumn id="11" xr3:uid="{FEA57523-D4CD-4F1F-9030-DFB1570DC087}" name="Predecessoras" dataDxfId="52"/>
    <tableColumn id="12" xr3:uid="{F30B8D8D-7A38-45D3-A676-2309D11471D7}" name="Sucessoras" dataDxfId="51"/>
    <tableColumn id="13" xr3:uid="{60DC6130-E923-450C-9995-0599B12CEF84}" name="Início da Linha de Base" dataDxfId="50"/>
    <tableColumn id="14" xr3:uid="{5909B328-2EE0-4433-83C4-1C58857C7C45}" name="Término da linha de base" dataDxfId="49"/>
    <tableColumn id="15" xr3:uid="{5411EC46-2619-4BA2-90C5-F008277F2412}" name="Nomes dos recursos" dataDxfId="48"/>
    <tableColumn id="16" xr3:uid="{47E9B891-3493-40FA-BEFC-5AF233406D65}" name="Sprint" dataDxfId="47"/>
    <tableColumn id="17" xr3:uid="{B6E83251-D60D-4522-B239-FDBB6A17A01B}" name="Crítica" dataDxfId="46"/>
    <tableColumn id="18" xr3:uid="{A984F158-B68C-44C9-A751-2EEEE138518D}" name="Disciplina" dataDxfId="45"/>
    <tableColumn id="19" xr3:uid="{A9F9874B-5BFC-4D3B-8B24-27AD33EF97FD}" name="Início_LB_R0" dataDxfId="44"/>
    <tableColumn id="20" xr3:uid="{4FFBFCFB-AFC5-4E5E-9628-7012AEFAE5D4}" name="Término_LB_R0" dataDxfId="43"/>
    <tableColumn id="21" xr3:uid="{CDF9FA8F-B5AB-4089-BA86-43945B2BF5B4}" name="Comparação" dataDxfId="42"/>
    <tableColumn id="22" xr3:uid="{8EDD12BB-A0AE-4100-A953-1EC1827889DB}" name="Unnamed: 20" dataDxfId="41"/>
    <tableColumn id="23" xr3:uid="{5558A613-3DDF-422F-9359-606AEFFC84AD}" name="Concat_Plan" dataDxfId="40"/>
    <tableColumn id="24" xr3:uid="{0D3DFD0C-6AB1-4201-B742-C3BE5B6AD947}" name="Nome do Resumo da Tarefa.1" dataDxfId="39"/>
    <tableColumn id="25" xr3:uid="{9AF01674-1CE7-433D-A775-73CABE751DB1}" name="Nome da Tarefa.1" dataDxfId="38"/>
    <tableColumn id="26" xr3:uid="{A5A82E22-821B-4DF4-9CC7-C0CAD85D66D3}" name="Concat_Proj" dataDxfId="37"/>
    <tableColumn id="27" xr3:uid="{105777B7-B347-4FE1-A2D7-4A4A6C11DF01}" name="Unnamed: 25" dataDxfId="36"/>
    <tableColumn id="28" xr3:uid="{65B3336C-76A6-491F-9C3C-CE722720D89C}" name="pct_val" dataDxfId="35"/>
    <tableColumn id="29" xr3:uid="{F9A67155-3287-4A79-BE28-0DD0206E04B5}" name="Emissão inicial total" dataDxfId="34"/>
    <tableColumn id="30" xr3:uid="{0B32E964-4B55-45BB-8F3F-EC860433A688}" name="Emissão inicial concluída" dataDxfId="33"/>
    <tableColumn id="31" xr3:uid="{3D874DD6-F35F-4550-B72E-B83B879691B8}" name="Emissão Inicial Atrasada" dataDxfId="32"/>
    <tableColumn id="32" xr3:uid="{E6C39F29-AFEC-464D-B570-35DEBA48DBA2}" name="Aprovação total" dataDxfId="31"/>
    <tableColumn id="33" xr3:uid="{5295605A-415B-4941-B06A-37245305032C}" name="Avaliação do cliente concluída" dataDxfId="30"/>
    <tableColumn id="34" xr3:uid="{BC745173-B62C-4528-A1F0-822FC33CF0B0}" name="Avaliação Cliente Atrasada" dataDxfId="29"/>
    <tableColumn id="35" xr3:uid="{72C44225-51AA-4E63-8ADC-B77FBB03C713}" name="Atendimento de comentário concluído" dataDxfId="28"/>
    <tableColumn id="36" xr3:uid="{51D01A7B-5460-4BBB-B37B-25DAABAF7631}" name="Atendimento Atrasado" dataDxfId="27"/>
    <tableColumn id="37" xr3:uid="{C1B59464-DA55-429A-B89D-BF61E65A6A5E}" name="Aprovação concluída" dataDxfId="26"/>
    <tableColumn id="38" xr3:uid="{2DAE49CF-D978-492F-8627-ABC24CD97ADC}" name="Aprovação Atrasada" dataDxfId="25"/>
    <tableColumn id="39" xr3:uid="{D5180499-2EA5-4888-A252-15231F20E1EA}" name="Aderência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4DFAFF-AEFC-42D7-B37A-27BCC11FA777}" name="Tabela7" displayName="Tabela7" ref="A1:J284" totalsRowShown="0" headerRowDxfId="23" dataDxfId="22">
  <autoFilter ref="A1:J284" xr:uid="{E64DFAFF-AEFC-42D7-B37A-27BCC11FA777}">
    <filterColumn colId="4">
      <filters>
        <filter val="emissão inicial"/>
      </filters>
    </filterColumn>
  </autoFilter>
  <tableColumns count="10">
    <tableColumn id="1" xr3:uid="{07BF7847-3287-403E-8F9B-55BB457440EE}" name="Sprint" dataDxfId="21"/>
    <tableColumn id="2" xr3:uid="{8DCB35B4-73FF-4873-B20F-ED233234F2A4}" name="Id" dataDxfId="20"/>
    <tableColumn id="3" xr3:uid="{85EC2DEF-B087-4074-A387-49AE03BC8BFA}" name="EDT" dataDxfId="19"/>
    <tableColumn id="4" xr3:uid="{19766DD3-7EF9-47B0-8980-8A89DDD23ECE}" name="Nome do Resumo da Tarefa" dataDxfId="18"/>
    <tableColumn id="5" xr3:uid="{9581B394-349E-40C4-8007-947EB107ACAD}" name="Nome da Tarefa" dataDxfId="17"/>
    <tableColumn id="6" xr3:uid="{944A8930-9293-498B-9AB2-32F0EC2A087A}" name="Status" dataDxfId="16"/>
    <tableColumn id="7" xr3:uid="{DCC7835A-FBC2-4B24-B19E-466ACD4D346F}" name="% concluída" dataDxfId="15" dataCellStyle="Porcentagem"/>
    <tableColumn id="8" xr3:uid="{2CBF5FD8-0095-40E4-8052-E1B7F45F3145}" name="Nomes dos recursos" dataDxfId="14"/>
    <tableColumn id="9" xr3:uid="{379E813B-7570-433C-9480-2293E94C6679}" name="Disciplina" dataDxfId="13"/>
    <tableColumn id="10" xr3:uid="{3084C712-A0D1-48DC-903E-6A6D781A779D}" name="Crític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F8B30A-3576-4FCF-A898-A11B4857EFFC}" name="Tabela8" displayName="Tabela8" ref="A1:J59" totalsRowShown="0" headerRowDxfId="11" dataDxfId="10">
  <autoFilter ref="A1:J59" xr:uid="{A6F8B30A-3576-4FCF-A898-A11B4857EFFC}">
    <filterColumn colId="4">
      <filters>
        <filter val="análise tecnored"/>
        <filter val="aprovação"/>
        <filter val="atendimento de comentários"/>
      </filters>
    </filterColumn>
  </autoFilter>
  <tableColumns count="10">
    <tableColumn id="1" xr3:uid="{E237F7D7-EE6F-43D8-8C95-ADB333E5FA55}" name="Sprint" dataDxfId="9"/>
    <tableColumn id="2" xr3:uid="{A3DE0393-5D89-4966-AE99-37EBDBB43C99}" name="Id" dataDxfId="8"/>
    <tableColumn id="3" xr3:uid="{8CF3FE0A-E41E-4509-B1BC-FC07A02E45B4}" name="EDT" dataDxfId="7"/>
    <tableColumn id="4" xr3:uid="{4F6EF9BA-4F94-4043-8C24-03A6FCEF7E12}" name="Nome do Resumo da Tarefa" dataDxfId="6"/>
    <tableColumn id="5" xr3:uid="{7AE8B2D8-AE5F-4999-BB93-CFDF01230505}" name="Nome da Tarefa" dataDxfId="5"/>
    <tableColumn id="6" xr3:uid="{7459A68D-2098-4C99-81E0-3F35A0CEF3DF}" name="Status" dataDxfId="4"/>
    <tableColumn id="7" xr3:uid="{445E8AAA-1648-4679-B07F-8596E5A9974B}" name="% concluída" dataDxfId="3"/>
    <tableColumn id="8" xr3:uid="{183EC6DC-96E0-4C30-9E00-26449E37FB4C}" name="Nomes dos recursos" dataDxfId="2"/>
    <tableColumn id="9" xr3:uid="{F944E93F-0920-4D36-BC87-E00C44A8C99A}" name="Disciplina" dataDxfId="1"/>
    <tableColumn id="10" xr3:uid="{86F226EE-B00D-489E-9D60-08D61AE72346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2"/>
  <sheetViews>
    <sheetView workbookViewId="0">
      <selection activeCell="H7" sqref="H7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7.28515625" style="1" bestFit="1" customWidth="1"/>
    <col min="5" max="5" width="10.42578125" style="1" bestFit="1" customWidth="1"/>
    <col min="6" max="7" width="10.7109375" style="2" bestFit="1" customWidth="1"/>
    <col min="8" max="8" width="13.7109375" style="4" bestFit="1" customWidth="1"/>
    <col min="9" max="9" width="14.5703125" style="2" bestFit="1" customWidth="1"/>
    <col min="10" max="10" width="12.42578125" style="1" bestFit="1" customWidth="1"/>
    <col min="11" max="11" width="16.140625" style="1" bestFit="1" customWidth="1"/>
    <col min="12" max="12" width="111.140625" style="1" bestFit="1" customWidth="1"/>
    <col min="13" max="13" width="23.42578125" style="1" bestFit="1" customWidth="1"/>
    <col min="14" max="14" width="25.85546875" style="1" bestFit="1" customWidth="1"/>
    <col min="15" max="15" width="21.28515625" style="1" bestFit="1" customWidth="1"/>
    <col min="16" max="16" width="14.5703125" style="1" bestFit="1" customWidth="1"/>
    <col min="17" max="17" width="8.85546875" style="1" bestFit="1" customWidth="1"/>
    <col min="18" max="18" width="32.140625" style="1" bestFit="1" customWidth="1"/>
    <col min="19" max="20" width="18.28515625" style="1" bestFit="1" customWidth="1"/>
    <col min="21" max="21" width="14.28515625" style="1" bestFit="1" customWidth="1"/>
    <col min="22" max="22" width="15" style="1" bestFit="1" customWidth="1"/>
    <col min="23" max="23" width="57.5703125" style="1" bestFit="1" customWidth="1"/>
    <col min="24" max="24" width="29.7109375" style="1" bestFit="1" customWidth="1"/>
    <col min="25" max="25" width="35.28515625" style="1" bestFit="1" customWidth="1"/>
    <col min="26" max="26" width="57.5703125" style="1" bestFit="1" customWidth="1"/>
    <col min="27" max="27" width="15" style="1" bestFit="1" customWidth="1"/>
    <col min="28" max="28" width="9.5703125" style="1" bestFit="1" customWidth="1"/>
    <col min="29" max="29" width="21" style="1" bestFit="1" customWidth="1"/>
    <col min="30" max="30" width="25.42578125" style="1" bestFit="1" customWidth="1"/>
    <col min="31" max="31" width="24.7109375" style="1" bestFit="1" customWidth="1"/>
    <col min="32" max="32" width="17.28515625" style="1" bestFit="1" customWidth="1"/>
    <col min="33" max="33" width="30.42578125" style="1" bestFit="1" customWidth="1"/>
    <col min="34" max="34" width="27.140625" style="1" bestFit="1" customWidth="1"/>
    <col min="35" max="35" width="38.28515625" style="1" bestFit="1" customWidth="1"/>
    <col min="36" max="36" width="23.85546875" style="1" bestFit="1" customWidth="1"/>
    <col min="37" max="37" width="21.7109375" style="1" bestFit="1" customWidth="1"/>
    <col min="38" max="38" width="21" style="1" bestFit="1" customWidth="1"/>
    <col min="39" max="39" width="12.285156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1</v>
      </c>
      <c r="B2" s="1">
        <v>1</v>
      </c>
      <c r="D2" s="1" t="s">
        <v>39</v>
      </c>
      <c r="E2" s="1" t="s">
        <v>40</v>
      </c>
      <c r="F2" s="2">
        <v>46139</v>
      </c>
      <c r="G2" s="2">
        <v>46219</v>
      </c>
      <c r="H2" s="4">
        <v>0.66</v>
      </c>
      <c r="J2" s="1" t="s">
        <v>41</v>
      </c>
      <c r="M2" s="1" t="s">
        <v>42</v>
      </c>
      <c r="N2" s="3">
        <v>46211</v>
      </c>
      <c r="P2" s="1" t="s">
        <v>43</v>
      </c>
      <c r="Q2" s="1" t="s">
        <v>44</v>
      </c>
      <c r="R2" s="1" t="s">
        <v>45</v>
      </c>
      <c r="S2" s="3">
        <v>46139</v>
      </c>
      <c r="T2" s="3">
        <v>46210</v>
      </c>
      <c r="AB2" s="1">
        <v>0.66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2">
        <v>46139</v>
      </c>
      <c r="G3" s="2">
        <v>46219</v>
      </c>
      <c r="H3" s="4">
        <v>0.66</v>
      </c>
      <c r="J3" s="1" t="s">
        <v>41</v>
      </c>
      <c r="M3" s="1" t="s">
        <v>42</v>
      </c>
      <c r="N3" s="3">
        <v>46211</v>
      </c>
      <c r="P3" s="1" t="s">
        <v>43</v>
      </c>
      <c r="Q3" s="1" t="s">
        <v>44</v>
      </c>
      <c r="R3" s="1" t="s">
        <v>45</v>
      </c>
      <c r="S3" s="3">
        <v>46139</v>
      </c>
      <c r="T3" s="3">
        <v>46210</v>
      </c>
      <c r="AB3" s="1">
        <v>0.66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2">
        <v>46139</v>
      </c>
      <c r="G4" s="2">
        <v>46139</v>
      </c>
      <c r="H4" s="4">
        <v>1</v>
      </c>
      <c r="I4" s="2">
        <v>46139</v>
      </c>
      <c r="J4" s="1" t="s">
        <v>53</v>
      </c>
      <c r="L4" s="1" t="s">
        <v>54</v>
      </c>
      <c r="M4" s="1" t="s">
        <v>42</v>
      </c>
      <c r="N4" s="3">
        <v>46139</v>
      </c>
      <c r="P4" s="1" t="s">
        <v>43</v>
      </c>
      <c r="Q4" s="1" t="s">
        <v>55</v>
      </c>
      <c r="R4" s="1" t="s">
        <v>45</v>
      </c>
      <c r="S4" s="3">
        <v>46139</v>
      </c>
      <c r="T4" s="3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2">
        <v>46161</v>
      </c>
      <c r="G5" s="2">
        <v>46216</v>
      </c>
      <c r="H5" s="4">
        <v>0.78</v>
      </c>
      <c r="J5" s="1" t="s">
        <v>41</v>
      </c>
      <c r="M5" s="1" t="s">
        <v>59</v>
      </c>
      <c r="N5" s="3">
        <v>46178</v>
      </c>
      <c r="P5" s="1" t="s">
        <v>60</v>
      </c>
      <c r="Q5" s="1" t="s">
        <v>44</v>
      </c>
      <c r="R5" s="1" t="s">
        <v>61</v>
      </c>
      <c r="S5" s="3">
        <v>46161</v>
      </c>
      <c r="T5" s="3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1">
        <v>5</v>
      </c>
      <c r="B6" s="1" t="s">
        <v>62</v>
      </c>
      <c r="C6" s="1" t="s">
        <v>63</v>
      </c>
      <c r="D6" s="1" t="s">
        <v>64</v>
      </c>
      <c r="E6" s="1" t="s">
        <v>52</v>
      </c>
      <c r="F6" s="2">
        <v>46203</v>
      </c>
      <c r="G6" s="2">
        <v>46203</v>
      </c>
      <c r="H6" s="4">
        <v>0.7</v>
      </c>
      <c r="J6" s="1" t="s">
        <v>41</v>
      </c>
      <c r="L6" s="1" t="s">
        <v>65</v>
      </c>
      <c r="M6" s="1" t="s">
        <v>66</v>
      </c>
      <c r="N6" s="3">
        <v>46178</v>
      </c>
      <c r="P6" s="1" t="s">
        <v>67</v>
      </c>
      <c r="Q6" s="1" t="s">
        <v>55</v>
      </c>
      <c r="R6" s="1" t="s">
        <v>61</v>
      </c>
      <c r="S6" s="3">
        <v>46178</v>
      </c>
      <c r="T6" s="3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6</v>
      </c>
      <c r="B7" s="1" t="s">
        <v>68</v>
      </c>
      <c r="C7" s="1" t="s">
        <v>63</v>
      </c>
      <c r="D7" s="1" t="s">
        <v>69</v>
      </c>
      <c r="E7" s="1" t="s">
        <v>52</v>
      </c>
      <c r="F7" s="2">
        <v>46161</v>
      </c>
      <c r="G7" s="2">
        <v>46161</v>
      </c>
      <c r="H7" s="4">
        <v>1</v>
      </c>
      <c r="I7" s="2">
        <v>46161</v>
      </c>
      <c r="J7" s="1" t="s">
        <v>53</v>
      </c>
      <c r="L7" s="1" t="s">
        <v>70</v>
      </c>
      <c r="M7" s="1" t="s">
        <v>59</v>
      </c>
      <c r="N7" s="3">
        <v>46161</v>
      </c>
      <c r="P7" s="1" t="s">
        <v>60</v>
      </c>
      <c r="Q7" s="1" t="s">
        <v>55</v>
      </c>
      <c r="R7" s="1" t="s">
        <v>61</v>
      </c>
      <c r="S7" s="3">
        <v>46161</v>
      </c>
      <c r="T7" s="3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7</v>
      </c>
      <c r="B8" s="1" t="s">
        <v>71</v>
      </c>
      <c r="C8" s="1" t="s">
        <v>63</v>
      </c>
      <c r="D8" s="1" t="s">
        <v>72</v>
      </c>
      <c r="E8" s="1" t="s">
        <v>52</v>
      </c>
      <c r="F8" s="2">
        <v>46188</v>
      </c>
      <c r="G8" s="2">
        <v>46188</v>
      </c>
      <c r="H8" s="4">
        <v>1</v>
      </c>
      <c r="I8" s="2">
        <v>46188</v>
      </c>
      <c r="J8" s="1" t="s">
        <v>53</v>
      </c>
      <c r="L8" s="1">
        <v>297</v>
      </c>
      <c r="M8" s="1" t="s">
        <v>66</v>
      </c>
      <c r="N8" s="3">
        <v>46178</v>
      </c>
      <c r="P8" s="1" t="s">
        <v>73</v>
      </c>
      <c r="Q8" s="1" t="s">
        <v>55</v>
      </c>
      <c r="R8" s="1" t="s">
        <v>61</v>
      </c>
      <c r="S8" s="3">
        <v>46178</v>
      </c>
      <c r="T8" s="3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8</v>
      </c>
      <c r="B9" s="1" t="s">
        <v>74</v>
      </c>
      <c r="C9" s="1" t="s">
        <v>63</v>
      </c>
      <c r="D9" s="1" t="s">
        <v>75</v>
      </c>
      <c r="E9" s="1" t="s">
        <v>52</v>
      </c>
      <c r="F9" s="2">
        <v>46182</v>
      </c>
      <c r="G9" s="2">
        <v>46182</v>
      </c>
      <c r="H9" s="4">
        <v>1</v>
      </c>
      <c r="I9" s="2">
        <v>46182</v>
      </c>
      <c r="J9" s="1" t="s">
        <v>53</v>
      </c>
      <c r="L9" s="1">
        <v>413</v>
      </c>
      <c r="M9" s="1" t="s">
        <v>66</v>
      </c>
      <c r="N9" s="3">
        <v>46178</v>
      </c>
      <c r="P9" s="1" t="s">
        <v>76</v>
      </c>
      <c r="Q9" s="1" t="s">
        <v>55</v>
      </c>
      <c r="R9" s="1" t="s">
        <v>61</v>
      </c>
      <c r="S9" s="3">
        <v>46178</v>
      </c>
      <c r="T9" s="3">
        <v>46178</v>
      </c>
      <c r="U9" s="1" t="s">
        <v>77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9</v>
      </c>
      <c r="B10" s="1" t="s">
        <v>78</v>
      </c>
      <c r="C10" s="1" t="s">
        <v>63</v>
      </c>
      <c r="D10" s="1" t="s">
        <v>79</v>
      </c>
      <c r="E10" s="1" t="s">
        <v>52</v>
      </c>
      <c r="F10" s="2">
        <v>46164</v>
      </c>
      <c r="G10" s="2">
        <v>46164</v>
      </c>
      <c r="H10" s="4">
        <v>1</v>
      </c>
      <c r="I10" s="2">
        <v>46164</v>
      </c>
      <c r="J10" s="1" t="s">
        <v>53</v>
      </c>
      <c r="L10" s="1">
        <v>150</v>
      </c>
      <c r="M10" s="1" t="s">
        <v>80</v>
      </c>
      <c r="N10" s="3">
        <v>46164</v>
      </c>
      <c r="P10" s="1" t="s">
        <v>60</v>
      </c>
      <c r="Q10" s="1" t="s">
        <v>55</v>
      </c>
      <c r="R10" s="1" t="s">
        <v>61</v>
      </c>
      <c r="S10" s="3">
        <v>46164</v>
      </c>
      <c r="T10" s="3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10</v>
      </c>
      <c r="B11" s="1" t="s">
        <v>81</v>
      </c>
      <c r="C11" s="1" t="s">
        <v>63</v>
      </c>
      <c r="D11" s="1" t="s">
        <v>82</v>
      </c>
      <c r="E11" s="1" t="s">
        <v>52</v>
      </c>
      <c r="F11" s="2">
        <v>46216</v>
      </c>
      <c r="G11" s="2">
        <v>46216</v>
      </c>
      <c r="H11" s="4">
        <v>0</v>
      </c>
      <c r="J11" s="1" t="s">
        <v>83</v>
      </c>
      <c r="L11" s="1">
        <v>240</v>
      </c>
      <c r="M11" s="1" t="s">
        <v>66</v>
      </c>
      <c r="N11" s="3">
        <v>46178</v>
      </c>
      <c r="P11" s="1" t="s">
        <v>43</v>
      </c>
      <c r="Q11" s="1" t="s">
        <v>55</v>
      </c>
      <c r="R11" s="1" t="s">
        <v>61</v>
      </c>
      <c r="S11" s="3">
        <v>46178</v>
      </c>
      <c r="T11" s="3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11</v>
      </c>
      <c r="B12" s="1" t="s">
        <v>84</v>
      </c>
      <c r="C12" s="1" t="s">
        <v>50</v>
      </c>
      <c r="D12" s="1" t="s">
        <v>85</v>
      </c>
      <c r="E12" s="1" t="s">
        <v>86</v>
      </c>
      <c r="F12" s="2">
        <v>46141</v>
      </c>
      <c r="G12" s="2">
        <v>46141</v>
      </c>
      <c r="H12" s="4">
        <v>1</v>
      </c>
      <c r="I12" s="2">
        <v>46141</v>
      </c>
      <c r="J12" s="1" t="s">
        <v>53</v>
      </c>
      <c r="M12" s="1" t="s">
        <v>87</v>
      </c>
      <c r="N12" s="3">
        <v>46141</v>
      </c>
      <c r="P12" s="1" t="s">
        <v>43</v>
      </c>
      <c r="Q12" s="1" t="s">
        <v>55</v>
      </c>
      <c r="R12" s="1" t="s">
        <v>88</v>
      </c>
      <c r="S12" s="3">
        <v>46141</v>
      </c>
      <c r="T12" s="3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2">
        <v>46141</v>
      </c>
      <c r="G13" s="2">
        <v>46141</v>
      </c>
      <c r="H13" s="4">
        <v>1</v>
      </c>
      <c r="I13" s="2">
        <v>46141</v>
      </c>
      <c r="J13" s="1" t="s">
        <v>53</v>
      </c>
      <c r="M13" s="1" t="s">
        <v>87</v>
      </c>
      <c r="N13" s="3">
        <v>46141</v>
      </c>
      <c r="P13" s="1" t="s">
        <v>43</v>
      </c>
      <c r="Q13" s="1" t="s">
        <v>55</v>
      </c>
      <c r="R13" s="1" t="s">
        <v>88</v>
      </c>
      <c r="S13" s="3">
        <v>46141</v>
      </c>
      <c r="T13" s="3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2">
        <v>46139</v>
      </c>
      <c r="G14" s="2">
        <v>46175</v>
      </c>
      <c r="H14" s="4">
        <v>1</v>
      </c>
      <c r="I14" s="2">
        <v>46175</v>
      </c>
      <c r="J14" s="1" t="s">
        <v>53</v>
      </c>
      <c r="M14" s="1" t="s">
        <v>42</v>
      </c>
      <c r="N14" s="3">
        <v>46174</v>
      </c>
      <c r="P14" s="1" t="s">
        <v>43</v>
      </c>
      <c r="Q14" s="1" t="s">
        <v>55</v>
      </c>
      <c r="R14" s="1" t="s">
        <v>95</v>
      </c>
      <c r="S14" s="3">
        <v>46139</v>
      </c>
      <c r="T14" s="3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2">
        <v>46139</v>
      </c>
      <c r="G15" s="2">
        <v>46175</v>
      </c>
      <c r="H15" s="4">
        <v>1</v>
      </c>
      <c r="I15" s="2">
        <v>46175</v>
      </c>
      <c r="J15" s="1" t="s">
        <v>53</v>
      </c>
      <c r="M15" s="1" t="s">
        <v>42</v>
      </c>
      <c r="N15" s="3">
        <v>46174</v>
      </c>
      <c r="P15" s="1" t="s">
        <v>43</v>
      </c>
      <c r="Q15" s="1" t="s">
        <v>55</v>
      </c>
      <c r="R15" s="1" t="s">
        <v>95</v>
      </c>
      <c r="S15" s="3">
        <v>46139</v>
      </c>
      <c r="T15" s="3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2">
        <v>46139</v>
      </c>
      <c r="G16" s="2">
        <v>46141</v>
      </c>
      <c r="H16" s="4">
        <v>1</v>
      </c>
      <c r="I16" s="2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3">
        <v>46141</v>
      </c>
      <c r="P16" s="1" t="s">
        <v>43</v>
      </c>
      <c r="Q16" s="1" t="s">
        <v>55</v>
      </c>
      <c r="R16" s="1" t="s">
        <v>95</v>
      </c>
      <c r="S16" s="3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2">
        <v>46142</v>
      </c>
      <c r="G17" s="2">
        <v>46142</v>
      </c>
      <c r="H17" s="4">
        <v>1</v>
      </c>
      <c r="I17" s="2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3">
        <v>46142</v>
      </c>
      <c r="P17" s="1" t="s">
        <v>43</v>
      </c>
      <c r="Q17" s="1" t="s">
        <v>55</v>
      </c>
      <c r="R17" s="1" t="s">
        <v>95</v>
      </c>
      <c r="S17" s="3">
        <v>46142</v>
      </c>
      <c r="T17" s="3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2">
        <v>46143</v>
      </c>
      <c r="G18" s="2">
        <v>46154</v>
      </c>
      <c r="H18" s="4">
        <v>1</v>
      </c>
      <c r="I18" s="2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3">
        <v>46154</v>
      </c>
      <c r="P18" s="1" t="s">
        <v>43</v>
      </c>
      <c r="Q18" s="1" t="s">
        <v>55</v>
      </c>
      <c r="R18" s="1" t="s">
        <v>95</v>
      </c>
      <c r="S18" s="3">
        <v>46143</v>
      </c>
      <c r="T18" s="3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2">
        <v>46174</v>
      </c>
      <c r="G19" s="2">
        <v>46175</v>
      </c>
      <c r="H19" s="4">
        <v>1</v>
      </c>
      <c r="I19" s="2">
        <v>46175</v>
      </c>
      <c r="J19" s="1" t="s">
        <v>53</v>
      </c>
      <c r="K19" s="1" t="s">
        <v>117</v>
      </c>
      <c r="M19" s="1" t="s">
        <v>118</v>
      </c>
      <c r="N19" s="3">
        <v>46174</v>
      </c>
      <c r="P19" s="1" t="s">
        <v>119</v>
      </c>
      <c r="Q19" s="1" t="s">
        <v>55</v>
      </c>
      <c r="R19" s="1" t="s">
        <v>95</v>
      </c>
      <c r="S19" s="3">
        <v>46154</v>
      </c>
      <c r="T19" s="3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2">
        <v>46142</v>
      </c>
      <c r="G20" s="2">
        <v>46174</v>
      </c>
      <c r="H20" s="4">
        <v>1</v>
      </c>
      <c r="I20" s="2">
        <v>46174</v>
      </c>
      <c r="J20" s="1" t="s">
        <v>53</v>
      </c>
      <c r="M20" s="1" t="s">
        <v>107</v>
      </c>
      <c r="N20" s="3">
        <v>46171</v>
      </c>
      <c r="P20" s="1" t="s">
        <v>43</v>
      </c>
      <c r="Q20" s="1" t="s">
        <v>55</v>
      </c>
      <c r="R20" s="1" t="s">
        <v>95</v>
      </c>
      <c r="S20" s="3">
        <v>46142</v>
      </c>
      <c r="T20" s="3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2">
        <v>46142</v>
      </c>
      <c r="G21" s="2">
        <v>46146</v>
      </c>
      <c r="H21" s="4">
        <v>1</v>
      </c>
      <c r="I21" s="2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3">
        <v>46146</v>
      </c>
      <c r="P21" s="1" t="s">
        <v>43</v>
      </c>
      <c r="Q21" s="1" t="s">
        <v>55</v>
      </c>
      <c r="R21" s="1" t="s">
        <v>95</v>
      </c>
      <c r="S21" s="3">
        <v>46142</v>
      </c>
      <c r="T21" s="3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 x14ac:dyDescent="0.25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2">
        <v>46147</v>
      </c>
      <c r="G22" s="2">
        <v>46147</v>
      </c>
      <c r="H22" s="4">
        <v>1</v>
      </c>
      <c r="I22" s="2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3">
        <v>46147</v>
      </c>
      <c r="P22" s="1" t="s">
        <v>43</v>
      </c>
      <c r="Q22" s="1" t="s">
        <v>55</v>
      </c>
      <c r="R22" s="1" t="s">
        <v>95</v>
      </c>
      <c r="S22" s="3">
        <v>46147</v>
      </c>
      <c r="T22" s="3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2">
        <v>46148</v>
      </c>
      <c r="G23" s="2">
        <v>46157</v>
      </c>
      <c r="H23" s="4">
        <v>1</v>
      </c>
      <c r="I23" s="2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3">
        <v>46157</v>
      </c>
      <c r="P23" s="1" t="s">
        <v>43</v>
      </c>
      <c r="Q23" s="1" t="s">
        <v>55</v>
      </c>
      <c r="R23" s="1" t="s">
        <v>95</v>
      </c>
      <c r="S23" s="3">
        <v>46148</v>
      </c>
      <c r="T23" s="3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2">
        <v>46171</v>
      </c>
      <c r="G24" s="2">
        <v>46174</v>
      </c>
      <c r="H24" s="4">
        <v>1</v>
      </c>
      <c r="I24" s="2">
        <v>46174</v>
      </c>
      <c r="J24" s="1" t="s">
        <v>53</v>
      </c>
      <c r="K24" s="1" t="s">
        <v>134</v>
      </c>
      <c r="M24" s="1" t="s">
        <v>135</v>
      </c>
      <c r="N24" s="3">
        <v>46171</v>
      </c>
      <c r="P24" s="1" t="s">
        <v>136</v>
      </c>
      <c r="Q24" s="1" t="s">
        <v>55</v>
      </c>
      <c r="R24" s="1" t="s">
        <v>95</v>
      </c>
      <c r="S24" s="3">
        <v>46157</v>
      </c>
      <c r="T24" s="3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 x14ac:dyDescent="0.25">
      <c r="A25" s="1">
        <v>50</v>
      </c>
      <c r="B25" s="1" t="s">
        <v>137</v>
      </c>
      <c r="C25" s="1" t="s">
        <v>50</v>
      </c>
      <c r="D25" s="1" t="s">
        <v>138</v>
      </c>
      <c r="E25" s="1" t="s">
        <v>139</v>
      </c>
      <c r="F25" s="2">
        <v>46178</v>
      </c>
      <c r="G25" s="2">
        <v>46184</v>
      </c>
      <c r="H25" s="4">
        <v>1</v>
      </c>
      <c r="I25" s="2">
        <v>46184</v>
      </c>
      <c r="J25" s="1" t="s">
        <v>53</v>
      </c>
      <c r="M25" s="1" t="s">
        <v>66</v>
      </c>
      <c r="N25" s="3">
        <v>46184</v>
      </c>
      <c r="P25" s="1" t="s">
        <v>119</v>
      </c>
      <c r="Q25" s="1" t="s">
        <v>55</v>
      </c>
      <c r="R25" s="1" t="s">
        <v>140</v>
      </c>
      <c r="S25" s="3">
        <v>46147</v>
      </c>
      <c r="T25" s="3">
        <v>46195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61</v>
      </c>
      <c r="B26" s="1" t="s">
        <v>141</v>
      </c>
      <c r="C26" s="1" t="s">
        <v>142</v>
      </c>
      <c r="D26" s="1" t="s">
        <v>143</v>
      </c>
      <c r="E26" s="1" t="s">
        <v>139</v>
      </c>
      <c r="F26" s="2">
        <v>46178</v>
      </c>
      <c r="G26" s="2">
        <v>46184</v>
      </c>
      <c r="H26" s="4">
        <v>1</v>
      </c>
      <c r="I26" s="2">
        <v>46184</v>
      </c>
      <c r="J26" s="1" t="s">
        <v>53</v>
      </c>
      <c r="M26" s="1" t="s">
        <v>66</v>
      </c>
      <c r="N26" s="3">
        <v>46184</v>
      </c>
      <c r="P26" s="1" t="s">
        <v>119</v>
      </c>
      <c r="Q26" s="1" t="s">
        <v>55</v>
      </c>
      <c r="R26" s="1" t="s">
        <v>140</v>
      </c>
      <c r="S26" s="3">
        <v>46156</v>
      </c>
      <c r="T26" s="3">
        <v>46162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62</v>
      </c>
      <c r="B27" s="1" t="s">
        <v>144</v>
      </c>
      <c r="C27" s="1" t="s">
        <v>145</v>
      </c>
      <c r="D27" s="1" t="s">
        <v>101</v>
      </c>
      <c r="E27" s="1" t="s">
        <v>52</v>
      </c>
      <c r="F27" s="2">
        <v>46178</v>
      </c>
      <c r="G27" s="2">
        <v>46178</v>
      </c>
      <c r="H27" s="4">
        <v>1</v>
      </c>
      <c r="I27" s="2">
        <v>46178</v>
      </c>
      <c r="J27" s="1" t="s">
        <v>53</v>
      </c>
      <c r="K27" s="1" t="s">
        <v>146</v>
      </c>
      <c r="L27" s="1" t="s">
        <v>147</v>
      </c>
      <c r="M27" s="1" t="s">
        <v>66</v>
      </c>
      <c r="N27" s="3">
        <v>46178</v>
      </c>
      <c r="P27" s="1" t="s">
        <v>119</v>
      </c>
      <c r="Q27" s="1" t="s">
        <v>55</v>
      </c>
      <c r="R27" s="1" t="s">
        <v>140</v>
      </c>
      <c r="S27" s="3">
        <v>46156</v>
      </c>
      <c r="T27" s="3">
        <v>46156</v>
      </c>
      <c r="AB27" s="1">
        <v>1</v>
      </c>
      <c r="AC27" s="1">
        <v>1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</row>
    <row r="28" spans="1:39" x14ac:dyDescent="0.25">
      <c r="A28" s="1">
        <v>63</v>
      </c>
      <c r="B28" s="1" t="s">
        <v>148</v>
      </c>
      <c r="C28" s="1" t="s">
        <v>145</v>
      </c>
      <c r="D28" s="1" t="s">
        <v>105</v>
      </c>
      <c r="E28" s="1" t="s">
        <v>52</v>
      </c>
      <c r="F28" s="2">
        <v>46181</v>
      </c>
      <c r="G28" s="2">
        <v>46181</v>
      </c>
      <c r="H28" s="4">
        <v>1</v>
      </c>
      <c r="I28" s="2">
        <v>46181</v>
      </c>
      <c r="J28" s="1" t="s">
        <v>53</v>
      </c>
      <c r="K28" s="1">
        <v>62</v>
      </c>
      <c r="L28" s="1">
        <v>64</v>
      </c>
      <c r="M28" s="1" t="s">
        <v>149</v>
      </c>
      <c r="N28" s="3">
        <v>46181</v>
      </c>
      <c r="P28" s="1" t="s">
        <v>76</v>
      </c>
      <c r="Q28" s="1" t="s">
        <v>55</v>
      </c>
      <c r="R28" s="1" t="s">
        <v>140</v>
      </c>
      <c r="S28" s="3">
        <v>46157</v>
      </c>
      <c r="T28" s="3">
        <v>46157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64</v>
      </c>
      <c r="B29" s="1" t="s">
        <v>150</v>
      </c>
      <c r="C29" s="1" t="s">
        <v>145</v>
      </c>
      <c r="D29" s="1" t="s">
        <v>109</v>
      </c>
      <c r="E29" s="1" t="s">
        <v>116</v>
      </c>
      <c r="F29" s="2">
        <v>46182</v>
      </c>
      <c r="G29" s="2">
        <v>46183</v>
      </c>
      <c r="H29" s="4">
        <v>1</v>
      </c>
      <c r="I29" s="2">
        <v>46183</v>
      </c>
      <c r="J29" s="1" t="s">
        <v>53</v>
      </c>
      <c r="K29" s="1">
        <v>63</v>
      </c>
      <c r="L29" s="1">
        <v>65</v>
      </c>
      <c r="M29" s="1" t="s">
        <v>151</v>
      </c>
      <c r="N29" s="3">
        <v>46183</v>
      </c>
      <c r="P29" s="1" t="s">
        <v>76</v>
      </c>
      <c r="Q29" s="1" t="s">
        <v>55</v>
      </c>
      <c r="R29" s="1" t="s">
        <v>140</v>
      </c>
      <c r="S29" s="3">
        <v>46160</v>
      </c>
      <c r="T29" s="3">
        <v>46161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0</v>
      </c>
    </row>
    <row r="30" spans="1:39" x14ac:dyDescent="0.25">
      <c r="A30" s="1">
        <v>65</v>
      </c>
      <c r="B30" s="1" t="s">
        <v>152</v>
      </c>
      <c r="C30" s="1" t="s">
        <v>145</v>
      </c>
      <c r="D30" s="1" t="s">
        <v>115</v>
      </c>
      <c r="E30" s="1" t="s">
        <v>52</v>
      </c>
      <c r="F30" s="2">
        <v>46184</v>
      </c>
      <c r="G30" s="2">
        <v>46184</v>
      </c>
      <c r="H30" s="4">
        <v>1</v>
      </c>
      <c r="I30" s="2">
        <v>46184</v>
      </c>
      <c r="J30" s="1" t="s">
        <v>53</v>
      </c>
      <c r="K30" s="1">
        <v>64</v>
      </c>
      <c r="M30" s="1" t="s">
        <v>153</v>
      </c>
      <c r="N30" s="3">
        <v>46184</v>
      </c>
      <c r="P30" s="1" t="s">
        <v>76</v>
      </c>
      <c r="Q30" s="1" t="s">
        <v>55</v>
      </c>
      <c r="R30" s="1" t="s">
        <v>140</v>
      </c>
      <c r="S30" s="3">
        <v>46162</v>
      </c>
      <c r="T30" s="3">
        <v>46162</v>
      </c>
      <c r="AB30" s="1">
        <v>1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0</v>
      </c>
      <c r="AM30" s="1">
        <v>0</v>
      </c>
    </row>
    <row r="31" spans="1:39" x14ac:dyDescent="0.25">
      <c r="A31" s="1">
        <v>66</v>
      </c>
      <c r="B31" s="1" t="s">
        <v>154</v>
      </c>
      <c r="C31" s="1" t="s">
        <v>50</v>
      </c>
      <c r="D31" s="1" t="s">
        <v>155</v>
      </c>
      <c r="E31" s="1" t="s">
        <v>156</v>
      </c>
      <c r="F31" s="2">
        <v>46160</v>
      </c>
      <c r="G31" s="2">
        <v>46218</v>
      </c>
      <c r="H31" s="4">
        <v>0.62</v>
      </c>
      <c r="J31" s="1" t="s">
        <v>41</v>
      </c>
      <c r="M31" s="1" t="s">
        <v>157</v>
      </c>
      <c r="N31" s="3">
        <v>46203</v>
      </c>
      <c r="P31" s="1" t="s">
        <v>136</v>
      </c>
      <c r="Q31" s="1" t="s">
        <v>55</v>
      </c>
      <c r="R31" s="1" t="s">
        <v>158</v>
      </c>
      <c r="S31" s="3">
        <v>46147</v>
      </c>
      <c r="T31" s="3">
        <v>46195</v>
      </c>
      <c r="AB31" s="1">
        <v>0.62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77</v>
      </c>
      <c r="B32" s="1" t="s">
        <v>159</v>
      </c>
      <c r="C32" s="1" t="s">
        <v>160</v>
      </c>
      <c r="D32" s="1" t="s">
        <v>161</v>
      </c>
      <c r="E32" s="1" t="s">
        <v>162</v>
      </c>
      <c r="F32" s="2">
        <v>46184</v>
      </c>
      <c r="G32" s="2">
        <v>46195</v>
      </c>
      <c r="H32" s="4">
        <v>1</v>
      </c>
      <c r="I32" s="2">
        <v>46195</v>
      </c>
      <c r="J32" s="1" t="s">
        <v>53</v>
      </c>
      <c r="M32" s="1" t="s">
        <v>157</v>
      </c>
      <c r="N32" s="3">
        <v>46175</v>
      </c>
      <c r="P32" s="1" t="s">
        <v>76</v>
      </c>
      <c r="Q32" s="1" t="s">
        <v>55</v>
      </c>
      <c r="R32" s="1" t="s">
        <v>158</v>
      </c>
      <c r="S32" s="3">
        <v>46156</v>
      </c>
      <c r="T32" s="3">
        <v>46163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1">
        <v>78</v>
      </c>
      <c r="B33" s="1" t="s">
        <v>163</v>
      </c>
      <c r="C33" s="1" t="s">
        <v>164</v>
      </c>
      <c r="D33" s="1" t="s">
        <v>101</v>
      </c>
      <c r="E33" s="1" t="s">
        <v>116</v>
      </c>
      <c r="F33" s="2">
        <v>46184</v>
      </c>
      <c r="G33" s="2">
        <v>46185</v>
      </c>
      <c r="H33" s="4">
        <v>1</v>
      </c>
      <c r="I33" s="2">
        <v>46185</v>
      </c>
      <c r="J33" s="1" t="s">
        <v>53</v>
      </c>
      <c r="K33" s="1" t="s">
        <v>165</v>
      </c>
      <c r="L33" s="1" t="s">
        <v>166</v>
      </c>
      <c r="M33" s="1" t="s">
        <v>157</v>
      </c>
      <c r="N33" s="3">
        <v>46169</v>
      </c>
      <c r="P33" s="1" t="s">
        <v>76</v>
      </c>
      <c r="Q33" s="1" t="s">
        <v>55</v>
      </c>
      <c r="R33" s="1" t="s">
        <v>158</v>
      </c>
      <c r="S33" s="3">
        <v>46156</v>
      </c>
      <c r="T33" s="3">
        <v>46157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x14ac:dyDescent="0.25">
      <c r="A34" s="1">
        <v>79</v>
      </c>
      <c r="B34" s="1" t="s">
        <v>167</v>
      </c>
      <c r="C34" s="1" t="s">
        <v>164</v>
      </c>
      <c r="D34" s="1" t="s">
        <v>105</v>
      </c>
      <c r="E34" s="1" t="s">
        <v>168</v>
      </c>
      <c r="F34" s="2">
        <v>46185</v>
      </c>
      <c r="G34" s="2">
        <v>46190</v>
      </c>
      <c r="H34" s="4">
        <v>1</v>
      </c>
      <c r="I34" s="2">
        <v>46190</v>
      </c>
      <c r="J34" s="1" t="s">
        <v>53</v>
      </c>
      <c r="K34" s="1">
        <v>78</v>
      </c>
      <c r="L34" s="1">
        <v>80</v>
      </c>
      <c r="M34" s="1" t="s">
        <v>135</v>
      </c>
      <c r="N34" s="3">
        <v>46170</v>
      </c>
      <c r="P34" s="1" t="s">
        <v>73</v>
      </c>
      <c r="Q34" s="1" t="s">
        <v>55</v>
      </c>
      <c r="R34" s="1" t="s">
        <v>158</v>
      </c>
      <c r="S34" s="3">
        <v>46160</v>
      </c>
      <c r="T34" s="3">
        <v>46160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1">
        <v>80</v>
      </c>
      <c r="B35" s="1" t="s">
        <v>169</v>
      </c>
      <c r="C35" s="1" t="s">
        <v>164</v>
      </c>
      <c r="D35" s="1" t="s">
        <v>109</v>
      </c>
      <c r="E35" s="1" t="s">
        <v>116</v>
      </c>
      <c r="F35" s="2">
        <v>46191</v>
      </c>
      <c r="G35" s="2">
        <v>46192</v>
      </c>
      <c r="H35" s="4">
        <v>1</v>
      </c>
      <c r="I35" s="2">
        <v>46192</v>
      </c>
      <c r="J35" s="1" t="s">
        <v>53</v>
      </c>
      <c r="K35" s="1">
        <v>79</v>
      </c>
      <c r="L35" s="1" t="s">
        <v>170</v>
      </c>
      <c r="M35" s="1" t="s">
        <v>118</v>
      </c>
      <c r="N35" s="3">
        <v>46174</v>
      </c>
      <c r="P35" s="1" t="s">
        <v>73</v>
      </c>
      <c r="Q35" s="1" t="s">
        <v>55</v>
      </c>
      <c r="R35" s="1" t="s">
        <v>158</v>
      </c>
      <c r="S35" s="3">
        <v>46161</v>
      </c>
      <c r="T35" s="3">
        <v>46162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81</v>
      </c>
      <c r="B36" s="1" t="s">
        <v>171</v>
      </c>
      <c r="C36" s="1" t="s">
        <v>164</v>
      </c>
      <c r="D36" s="1" t="s">
        <v>115</v>
      </c>
      <c r="E36" s="1" t="s">
        <v>116</v>
      </c>
      <c r="F36" s="2">
        <v>46192</v>
      </c>
      <c r="G36" s="2">
        <v>46195</v>
      </c>
      <c r="H36" s="4">
        <v>1</v>
      </c>
      <c r="I36" s="2">
        <v>46195</v>
      </c>
      <c r="J36" s="1" t="s">
        <v>53</v>
      </c>
      <c r="K36" s="1">
        <v>80</v>
      </c>
      <c r="M36" s="1" t="s">
        <v>172</v>
      </c>
      <c r="N36" s="3">
        <v>46175</v>
      </c>
      <c r="P36" s="1" t="s">
        <v>73</v>
      </c>
      <c r="Q36" s="1" t="s">
        <v>55</v>
      </c>
      <c r="R36" s="1" t="s">
        <v>158</v>
      </c>
      <c r="S36" s="3">
        <v>46163</v>
      </c>
      <c r="T36" s="3">
        <v>46163</v>
      </c>
      <c r="AB36" s="1">
        <v>1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</row>
    <row r="37" spans="1:39" x14ac:dyDescent="0.25">
      <c r="A37" s="1">
        <v>82</v>
      </c>
      <c r="B37" s="1" t="s">
        <v>173</v>
      </c>
      <c r="C37" s="1" t="s">
        <v>160</v>
      </c>
      <c r="D37" s="1" t="s">
        <v>174</v>
      </c>
      <c r="E37" s="1" t="s">
        <v>175</v>
      </c>
      <c r="F37" s="2">
        <v>46182</v>
      </c>
      <c r="G37" s="2">
        <v>46190</v>
      </c>
      <c r="H37" s="4">
        <v>0.5</v>
      </c>
      <c r="J37" s="1" t="s">
        <v>41</v>
      </c>
      <c r="M37" s="1" t="s">
        <v>172</v>
      </c>
      <c r="N37" s="3">
        <v>46183</v>
      </c>
      <c r="P37" s="1" t="s">
        <v>76</v>
      </c>
      <c r="Q37" s="1" t="s">
        <v>55</v>
      </c>
      <c r="R37" s="1" t="s">
        <v>158</v>
      </c>
      <c r="S37" s="3">
        <v>46168</v>
      </c>
      <c r="T37" s="3">
        <v>46176</v>
      </c>
      <c r="AB37" s="1">
        <v>0.5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x14ac:dyDescent="0.25">
      <c r="A38" s="1">
        <v>83</v>
      </c>
      <c r="B38" s="1" t="s">
        <v>176</v>
      </c>
      <c r="C38" s="1" t="s">
        <v>177</v>
      </c>
      <c r="D38" s="1" t="s">
        <v>101</v>
      </c>
      <c r="E38" s="1" t="s">
        <v>102</v>
      </c>
      <c r="F38" s="2">
        <v>46182</v>
      </c>
      <c r="G38" s="2">
        <v>46185</v>
      </c>
      <c r="H38" s="4">
        <v>1</v>
      </c>
      <c r="I38" s="2">
        <v>46185</v>
      </c>
      <c r="J38" s="1" t="s">
        <v>53</v>
      </c>
      <c r="K38" s="1" t="s">
        <v>178</v>
      </c>
      <c r="L38" s="1">
        <v>84</v>
      </c>
      <c r="M38" s="1" t="s">
        <v>172</v>
      </c>
      <c r="N38" s="3">
        <v>46177</v>
      </c>
      <c r="P38" s="1" t="s">
        <v>76</v>
      </c>
      <c r="Q38" s="1" t="s">
        <v>55</v>
      </c>
      <c r="R38" s="1" t="s">
        <v>158</v>
      </c>
      <c r="S38" s="3">
        <v>46168</v>
      </c>
      <c r="T38" s="3">
        <v>46170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</row>
    <row r="39" spans="1:39" x14ac:dyDescent="0.25">
      <c r="A39" s="1">
        <v>84</v>
      </c>
      <c r="B39" s="1" t="s">
        <v>179</v>
      </c>
      <c r="C39" s="1" t="s">
        <v>177</v>
      </c>
      <c r="D39" s="1" t="s">
        <v>105</v>
      </c>
      <c r="E39" s="1" t="s">
        <v>52</v>
      </c>
      <c r="F39" s="2">
        <v>46188</v>
      </c>
      <c r="G39" s="2">
        <v>46188</v>
      </c>
      <c r="H39" s="4">
        <v>0</v>
      </c>
      <c r="J39" s="1" t="s">
        <v>41</v>
      </c>
      <c r="K39" s="1">
        <v>83</v>
      </c>
      <c r="L39" s="1">
        <v>85</v>
      </c>
      <c r="M39" s="1" t="s">
        <v>66</v>
      </c>
      <c r="N39" s="3">
        <v>46178</v>
      </c>
      <c r="P39" s="1" t="s">
        <v>180</v>
      </c>
      <c r="Q39" s="1" t="s">
        <v>55</v>
      </c>
      <c r="R39" s="1" t="s">
        <v>158</v>
      </c>
      <c r="S39" s="3">
        <v>46171</v>
      </c>
      <c r="T39" s="3">
        <v>46171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85</v>
      </c>
      <c r="B40" s="1" t="s">
        <v>181</v>
      </c>
      <c r="C40" s="1" t="s">
        <v>177</v>
      </c>
      <c r="D40" s="1" t="s">
        <v>109</v>
      </c>
      <c r="E40" s="1" t="s">
        <v>52</v>
      </c>
      <c r="F40" s="2">
        <v>46189</v>
      </c>
      <c r="G40" s="2">
        <v>46189</v>
      </c>
      <c r="H40" s="4">
        <v>0</v>
      </c>
      <c r="J40" s="1" t="s">
        <v>41</v>
      </c>
      <c r="K40" s="1">
        <v>84</v>
      </c>
      <c r="L40" s="1">
        <v>86</v>
      </c>
      <c r="M40" s="1" t="s">
        <v>149</v>
      </c>
      <c r="N40" s="3">
        <v>46182</v>
      </c>
      <c r="P40" s="1" t="s">
        <v>180</v>
      </c>
      <c r="Q40" s="1" t="s">
        <v>55</v>
      </c>
      <c r="R40" s="1" t="s">
        <v>158</v>
      </c>
      <c r="S40" s="3">
        <v>46174</v>
      </c>
      <c r="T40" s="3">
        <v>46175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0</v>
      </c>
      <c r="AM40" s="1">
        <v>0</v>
      </c>
    </row>
    <row r="41" spans="1:39" x14ac:dyDescent="0.25">
      <c r="A41" s="1">
        <v>86</v>
      </c>
      <c r="B41" s="1" t="s">
        <v>182</v>
      </c>
      <c r="C41" s="1" t="s">
        <v>177</v>
      </c>
      <c r="D41" s="1" t="s">
        <v>115</v>
      </c>
      <c r="E41" s="1" t="s">
        <v>52</v>
      </c>
      <c r="F41" s="2">
        <v>46190</v>
      </c>
      <c r="G41" s="2">
        <v>46190</v>
      </c>
      <c r="H41" s="4">
        <v>0</v>
      </c>
      <c r="J41" s="1" t="s">
        <v>41</v>
      </c>
      <c r="K41" s="1">
        <v>85</v>
      </c>
      <c r="M41" s="1" t="s">
        <v>183</v>
      </c>
      <c r="N41" s="3">
        <v>46183</v>
      </c>
      <c r="P41" s="1" t="s">
        <v>67</v>
      </c>
      <c r="Q41" s="1" t="s">
        <v>55</v>
      </c>
      <c r="R41" s="1" t="s">
        <v>158</v>
      </c>
      <c r="S41" s="3">
        <v>46176</v>
      </c>
      <c r="T41" s="3">
        <v>46176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</row>
    <row r="42" spans="1:39" x14ac:dyDescent="0.25">
      <c r="A42" s="1">
        <v>87</v>
      </c>
      <c r="B42" s="1" t="s">
        <v>184</v>
      </c>
      <c r="C42" s="1" t="s">
        <v>160</v>
      </c>
      <c r="D42" s="1" t="s">
        <v>185</v>
      </c>
      <c r="E42" s="1" t="s">
        <v>186</v>
      </c>
      <c r="F42" s="2">
        <v>46203</v>
      </c>
      <c r="G42" s="2">
        <v>46218</v>
      </c>
      <c r="H42" s="4">
        <v>0.4</v>
      </c>
      <c r="J42" s="1" t="s">
        <v>41</v>
      </c>
      <c r="M42" s="1" t="s">
        <v>187</v>
      </c>
      <c r="N42" s="3">
        <v>46203</v>
      </c>
      <c r="P42" s="1" t="s">
        <v>67</v>
      </c>
      <c r="Q42" s="1" t="s">
        <v>55</v>
      </c>
      <c r="R42" s="1" t="s">
        <v>158</v>
      </c>
      <c r="S42" s="3">
        <v>46183</v>
      </c>
      <c r="T42" s="3">
        <v>46195</v>
      </c>
      <c r="AB42" s="1">
        <v>0.4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88</v>
      </c>
      <c r="B43" s="1" t="s">
        <v>188</v>
      </c>
      <c r="C43" s="1" t="s">
        <v>189</v>
      </c>
      <c r="D43" s="1" t="s">
        <v>101</v>
      </c>
      <c r="E43" s="1" t="s">
        <v>168</v>
      </c>
      <c r="F43" s="2">
        <v>46203</v>
      </c>
      <c r="G43" s="2">
        <v>46206</v>
      </c>
      <c r="H43" s="4">
        <v>1</v>
      </c>
      <c r="I43" s="2">
        <v>46206</v>
      </c>
      <c r="J43" s="1" t="s">
        <v>53</v>
      </c>
      <c r="K43" s="1">
        <v>245</v>
      </c>
      <c r="L43" s="1">
        <v>89</v>
      </c>
      <c r="M43" s="1" t="s">
        <v>187</v>
      </c>
      <c r="N43" s="3">
        <v>46197</v>
      </c>
      <c r="P43" s="1" t="s">
        <v>67</v>
      </c>
      <c r="Q43" s="1" t="s">
        <v>55</v>
      </c>
      <c r="R43" s="1" t="s">
        <v>158</v>
      </c>
      <c r="S43" s="3">
        <v>46183</v>
      </c>
      <c r="T43" s="3">
        <v>46189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x14ac:dyDescent="0.25">
      <c r="A44" s="1">
        <v>89</v>
      </c>
      <c r="B44" s="1" t="s">
        <v>190</v>
      </c>
      <c r="C44" s="1" t="s">
        <v>189</v>
      </c>
      <c r="D44" s="1" t="s">
        <v>105</v>
      </c>
      <c r="E44" s="1" t="s">
        <v>168</v>
      </c>
      <c r="F44" s="2">
        <v>46209</v>
      </c>
      <c r="G44" s="2">
        <v>46216</v>
      </c>
      <c r="H44" s="4">
        <v>0</v>
      </c>
      <c r="J44" s="1" t="s">
        <v>41</v>
      </c>
      <c r="K44" s="1">
        <v>88</v>
      </c>
      <c r="L44" s="1">
        <v>90</v>
      </c>
      <c r="M44" s="1" t="s">
        <v>191</v>
      </c>
      <c r="N44" s="3">
        <v>46198</v>
      </c>
      <c r="P44" s="1" t="s">
        <v>67</v>
      </c>
      <c r="Q44" s="1" t="s">
        <v>55</v>
      </c>
      <c r="R44" s="1" t="s">
        <v>158</v>
      </c>
      <c r="S44" s="3">
        <v>46190</v>
      </c>
      <c r="T44" s="3">
        <v>46190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90</v>
      </c>
      <c r="B45" s="1" t="s">
        <v>192</v>
      </c>
      <c r="C45" s="1" t="s">
        <v>189</v>
      </c>
      <c r="D45" s="1" t="s">
        <v>109</v>
      </c>
      <c r="E45" s="1" t="s">
        <v>52</v>
      </c>
      <c r="F45" s="2">
        <v>46217</v>
      </c>
      <c r="G45" s="2">
        <v>46217</v>
      </c>
      <c r="H45" s="4">
        <v>0</v>
      </c>
      <c r="J45" s="1" t="s">
        <v>83</v>
      </c>
      <c r="K45" s="1">
        <v>89</v>
      </c>
      <c r="L45" s="1">
        <v>91</v>
      </c>
      <c r="M45" s="1" t="s">
        <v>193</v>
      </c>
      <c r="N45" s="3">
        <v>46202</v>
      </c>
      <c r="P45" s="1" t="s">
        <v>194</v>
      </c>
      <c r="Q45" s="1" t="s">
        <v>55</v>
      </c>
      <c r="R45" s="1" t="s">
        <v>158</v>
      </c>
      <c r="S45" s="3">
        <v>46191</v>
      </c>
      <c r="T45" s="3">
        <v>46192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91</v>
      </c>
      <c r="B46" s="1" t="s">
        <v>195</v>
      </c>
      <c r="C46" s="1" t="s">
        <v>189</v>
      </c>
      <c r="D46" s="1" t="s">
        <v>115</v>
      </c>
      <c r="E46" s="1" t="s">
        <v>52</v>
      </c>
      <c r="F46" s="2">
        <v>46218</v>
      </c>
      <c r="G46" s="2">
        <v>46218</v>
      </c>
      <c r="H46" s="4">
        <v>0</v>
      </c>
      <c r="J46" s="1" t="s">
        <v>83</v>
      </c>
      <c r="K46" s="1">
        <v>90</v>
      </c>
      <c r="M46" s="1" t="s">
        <v>196</v>
      </c>
      <c r="N46" s="3">
        <v>46203</v>
      </c>
      <c r="P46" s="1" t="s">
        <v>194</v>
      </c>
      <c r="Q46" s="1" t="s">
        <v>55</v>
      </c>
      <c r="R46" s="1" t="s">
        <v>158</v>
      </c>
      <c r="S46" s="3">
        <v>46195</v>
      </c>
      <c r="T46" s="3">
        <v>46195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92</v>
      </c>
      <c r="B47" s="1" t="s">
        <v>197</v>
      </c>
      <c r="C47" s="1" t="s">
        <v>160</v>
      </c>
      <c r="D47" s="1" t="s">
        <v>198</v>
      </c>
      <c r="E47" s="1" t="s">
        <v>186</v>
      </c>
      <c r="F47" s="2">
        <v>46203</v>
      </c>
      <c r="G47" s="2">
        <v>46218</v>
      </c>
      <c r="H47" s="4">
        <v>0.4</v>
      </c>
      <c r="J47" s="1" t="s">
        <v>41</v>
      </c>
      <c r="M47" s="1" t="s">
        <v>187</v>
      </c>
      <c r="N47" s="3">
        <v>46203</v>
      </c>
      <c r="P47" s="1" t="s">
        <v>67</v>
      </c>
      <c r="Q47" s="1" t="s">
        <v>55</v>
      </c>
      <c r="R47" s="1" t="s">
        <v>158</v>
      </c>
      <c r="S47" s="3">
        <v>46183</v>
      </c>
      <c r="T47" s="3">
        <v>46195</v>
      </c>
      <c r="AB47" s="1">
        <v>0.4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93</v>
      </c>
      <c r="B48" s="1" t="s">
        <v>199</v>
      </c>
      <c r="C48" s="1" t="s">
        <v>200</v>
      </c>
      <c r="D48" s="1" t="s">
        <v>101</v>
      </c>
      <c r="E48" s="1" t="s">
        <v>168</v>
      </c>
      <c r="F48" s="2">
        <v>46203</v>
      </c>
      <c r="G48" s="2">
        <v>46206</v>
      </c>
      <c r="H48" s="4">
        <v>1</v>
      </c>
      <c r="I48" s="2">
        <v>46206</v>
      </c>
      <c r="J48" s="1" t="s">
        <v>53</v>
      </c>
      <c r="K48" s="1">
        <v>245</v>
      </c>
      <c r="L48" s="1">
        <v>94</v>
      </c>
      <c r="M48" s="1" t="s">
        <v>187</v>
      </c>
      <c r="N48" s="3">
        <v>46197</v>
      </c>
      <c r="P48" s="1" t="s">
        <v>67</v>
      </c>
      <c r="Q48" s="1" t="s">
        <v>55</v>
      </c>
      <c r="R48" s="1" t="s">
        <v>158</v>
      </c>
      <c r="S48" s="3">
        <v>46183</v>
      </c>
      <c r="T48" s="3">
        <v>46189</v>
      </c>
      <c r="AB48" s="1">
        <v>1</v>
      </c>
      <c r="AC48" s="1">
        <v>1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</row>
    <row r="49" spans="1:39" x14ac:dyDescent="0.25">
      <c r="A49" s="1">
        <v>94</v>
      </c>
      <c r="B49" s="1" t="s">
        <v>201</v>
      </c>
      <c r="C49" s="1" t="s">
        <v>200</v>
      </c>
      <c r="D49" s="1" t="s">
        <v>105</v>
      </c>
      <c r="E49" s="1" t="s">
        <v>168</v>
      </c>
      <c r="F49" s="2">
        <v>46209</v>
      </c>
      <c r="G49" s="2">
        <v>46216</v>
      </c>
      <c r="H49" s="4">
        <v>0</v>
      </c>
      <c r="J49" s="1" t="s">
        <v>41</v>
      </c>
      <c r="K49" s="1">
        <v>93</v>
      </c>
      <c r="L49" s="1">
        <v>95</v>
      </c>
      <c r="M49" s="1" t="s">
        <v>191</v>
      </c>
      <c r="N49" s="3">
        <v>46198</v>
      </c>
      <c r="P49" s="1" t="s">
        <v>67</v>
      </c>
      <c r="Q49" s="1" t="s">
        <v>55</v>
      </c>
      <c r="R49" s="1" t="s">
        <v>158</v>
      </c>
      <c r="S49" s="3">
        <v>46190</v>
      </c>
      <c r="T49" s="3">
        <v>46190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x14ac:dyDescent="0.25">
      <c r="A50" s="1">
        <v>95</v>
      </c>
      <c r="B50" s="1" t="s">
        <v>202</v>
      </c>
      <c r="C50" s="1" t="s">
        <v>200</v>
      </c>
      <c r="D50" s="1" t="s">
        <v>109</v>
      </c>
      <c r="E50" s="1" t="s">
        <v>52</v>
      </c>
      <c r="F50" s="2">
        <v>46217</v>
      </c>
      <c r="G50" s="2">
        <v>46217</v>
      </c>
      <c r="H50" s="4">
        <v>0</v>
      </c>
      <c r="J50" s="1" t="s">
        <v>83</v>
      </c>
      <c r="K50" s="1">
        <v>94</v>
      </c>
      <c r="L50" s="1">
        <v>96</v>
      </c>
      <c r="M50" s="1" t="s">
        <v>193</v>
      </c>
      <c r="N50" s="3">
        <v>46202</v>
      </c>
      <c r="P50" s="1" t="s">
        <v>194</v>
      </c>
      <c r="Q50" s="1" t="s">
        <v>55</v>
      </c>
      <c r="R50" s="1" t="s">
        <v>158</v>
      </c>
      <c r="S50" s="3">
        <v>46191</v>
      </c>
      <c r="T50" s="3">
        <v>46192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96</v>
      </c>
      <c r="B51" s="1" t="s">
        <v>203</v>
      </c>
      <c r="C51" s="1" t="s">
        <v>200</v>
      </c>
      <c r="D51" s="1" t="s">
        <v>115</v>
      </c>
      <c r="E51" s="1" t="s">
        <v>52</v>
      </c>
      <c r="F51" s="2">
        <v>46218</v>
      </c>
      <c r="G51" s="2">
        <v>46218</v>
      </c>
      <c r="H51" s="4">
        <v>0</v>
      </c>
      <c r="J51" s="1" t="s">
        <v>83</v>
      </c>
      <c r="K51" s="1">
        <v>95</v>
      </c>
      <c r="M51" s="1" t="s">
        <v>196</v>
      </c>
      <c r="N51" s="3">
        <v>46203</v>
      </c>
      <c r="P51" s="1" t="s">
        <v>194</v>
      </c>
      <c r="Q51" s="1" t="s">
        <v>55</v>
      </c>
      <c r="R51" s="1" t="s">
        <v>158</v>
      </c>
      <c r="S51" s="3">
        <v>46195</v>
      </c>
      <c r="T51" s="3">
        <v>46195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97</v>
      </c>
      <c r="B52" s="1" t="s">
        <v>204</v>
      </c>
      <c r="C52" s="1" t="s">
        <v>160</v>
      </c>
      <c r="D52" s="1" t="s">
        <v>205</v>
      </c>
      <c r="E52" s="1" t="s">
        <v>186</v>
      </c>
      <c r="F52" s="2">
        <v>46203</v>
      </c>
      <c r="G52" s="2">
        <v>46218</v>
      </c>
      <c r="H52" s="4">
        <v>0.4</v>
      </c>
      <c r="J52" s="1" t="s">
        <v>41</v>
      </c>
      <c r="M52" s="1" t="s">
        <v>187</v>
      </c>
      <c r="N52" s="3">
        <v>46203</v>
      </c>
      <c r="P52" s="1" t="s">
        <v>67</v>
      </c>
      <c r="Q52" s="1" t="s">
        <v>55</v>
      </c>
      <c r="R52" s="1" t="s">
        <v>158</v>
      </c>
      <c r="S52" s="3">
        <v>46183</v>
      </c>
      <c r="T52" s="3">
        <v>46195</v>
      </c>
      <c r="AB52" s="1">
        <v>0.4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x14ac:dyDescent="0.25">
      <c r="A53" s="1">
        <v>98</v>
      </c>
      <c r="B53" s="1" t="s">
        <v>206</v>
      </c>
      <c r="C53" s="1" t="s">
        <v>207</v>
      </c>
      <c r="D53" s="1" t="s">
        <v>101</v>
      </c>
      <c r="E53" s="1" t="s">
        <v>168</v>
      </c>
      <c r="F53" s="2">
        <v>46203</v>
      </c>
      <c r="G53" s="2">
        <v>46206</v>
      </c>
      <c r="H53" s="4">
        <v>1</v>
      </c>
      <c r="I53" s="2">
        <v>46206</v>
      </c>
      <c r="J53" s="1" t="s">
        <v>53</v>
      </c>
      <c r="K53" s="1">
        <v>245</v>
      </c>
      <c r="L53" s="1">
        <v>99</v>
      </c>
      <c r="M53" s="1" t="s">
        <v>187</v>
      </c>
      <c r="N53" s="3">
        <v>46197</v>
      </c>
      <c r="P53" s="1" t="s">
        <v>67</v>
      </c>
      <c r="Q53" s="1" t="s">
        <v>55</v>
      </c>
      <c r="R53" s="1" t="s">
        <v>158</v>
      </c>
      <c r="S53" s="3">
        <v>46183</v>
      </c>
      <c r="T53" s="3">
        <v>46189</v>
      </c>
      <c r="AB53" s="1">
        <v>1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</row>
    <row r="54" spans="1:39" x14ac:dyDescent="0.25">
      <c r="A54" s="1">
        <v>99</v>
      </c>
      <c r="B54" s="1" t="s">
        <v>208</v>
      </c>
      <c r="C54" s="1" t="s">
        <v>207</v>
      </c>
      <c r="D54" s="1" t="s">
        <v>105</v>
      </c>
      <c r="E54" s="1" t="s">
        <v>168</v>
      </c>
      <c r="F54" s="2">
        <v>46209</v>
      </c>
      <c r="G54" s="2">
        <v>46216</v>
      </c>
      <c r="H54" s="4">
        <v>0</v>
      </c>
      <c r="J54" s="1" t="s">
        <v>41</v>
      </c>
      <c r="K54" s="1">
        <v>98</v>
      </c>
      <c r="L54" s="1">
        <v>100</v>
      </c>
      <c r="M54" s="1" t="s">
        <v>191</v>
      </c>
      <c r="N54" s="3">
        <v>46198</v>
      </c>
      <c r="P54" s="1" t="s">
        <v>67</v>
      </c>
      <c r="Q54" s="1" t="s">
        <v>55</v>
      </c>
      <c r="R54" s="1" t="s">
        <v>158</v>
      </c>
      <c r="S54" s="3">
        <v>46190</v>
      </c>
      <c r="T54" s="3">
        <v>46190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</row>
    <row r="55" spans="1:39" x14ac:dyDescent="0.25">
      <c r="A55" s="1">
        <v>100</v>
      </c>
      <c r="B55" s="1" t="s">
        <v>209</v>
      </c>
      <c r="C55" s="1" t="s">
        <v>207</v>
      </c>
      <c r="D55" s="1" t="s">
        <v>109</v>
      </c>
      <c r="E55" s="1" t="s">
        <v>52</v>
      </c>
      <c r="F55" s="2">
        <v>46217</v>
      </c>
      <c r="G55" s="2">
        <v>46217</v>
      </c>
      <c r="H55" s="4">
        <v>0</v>
      </c>
      <c r="J55" s="1" t="s">
        <v>83</v>
      </c>
      <c r="K55" s="1">
        <v>99</v>
      </c>
      <c r="L55" s="1">
        <v>101</v>
      </c>
      <c r="M55" s="1" t="s">
        <v>193</v>
      </c>
      <c r="N55" s="3">
        <v>46202</v>
      </c>
      <c r="P55" s="1" t="s">
        <v>194</v>
      </c>
      <c r="Q55" s="1" t="s">
        <v>55</v>
      </c>
      <c r="R55" s="1" t="s">
        <v>158</v>
      </c>
      <c r="S55" s="3">
        <v>46191</v>
      </c>
      <c r="T55" s="3">
        <v>46192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101</v>
      </c>
      <c r="B56" s="1" t="s">
        <v>210</v>
      </c>
      <c r="C56" s="1" t="s">
        <v>207</v>
      </c>
      <c r="D56" s="1" t="s">
        <v>115</v>
      </c>
      <c r="E56" s="1" t="s">
        <v>52</v>
      </c>
      <c r="F56" s="2">
        <v>46218</v>
      </c>
      <c r="G56" s="2">
        <v>46218</v>
      </c>
      <c r="H56" s="4">
        <v>0</v>
      </c>
      <c r="J56" s="1" t="s">
        <v>83</v>
      </c>
      <c r="K56" s="1">
        <v>100</v>
      </c>
      <c r="M56" s="1" t="s">
        <v>196</v>
      </c>
      <c r="N56" s="3">
        <v>46203</v>
      </c>
      <c r="P56" s="1" t="s">
        <v>194</v>
      </c>
      <c r="Q56" s="1" t="s">
        <v>55</v>
      </c>
      <c r="R56" s="1" t="s">
        <v>158</v>
      </c>
      <c r="S56" s="3">
        <v>46195</v>
      </c>
      <c r="T56" s="3">
        <v>46195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102</v>
      </c>
      <c r="B57" s="1" t="s">
        <v>211</v>
      </c>
      <c r="C57" s="1" t="s">
        <v>160</v>
      </c>
      <c r="D57" s="1" t="s">
        <v>212</v>
      </c>
      <c r="E57" s="1" t="s">
        <v>186</v>
      </c>
      <c r="F57" s="2">
        <v>46203</v>
      </c>
      <c r="G57" s="2">
        <v>46218</v>
      </c>
      <c r="H57" s="4">
        <v>0.4</v>
      </c>
      <c r="J57" s="1" t="s">
        <v>41</v>
      </c>
      <c r="M57" s="1" t="s">
        <v>187</v>
      </c>
      <c r="N57" s="3">
        <v>46203</v>
      </c>
      <c r="P57" s="1" t="s">
        <v>67</v>
      </c>
      <c r="Q57" s="1" t="s">
        <v>55</v>
      </c>
      <c r="R57" s="1" t="s">
        <v>158</v>
      </c>
      <c r="S57" s="3">
        <v>46183</v>
      </c>
      <c r="T57" s="3">
        <v>46195</v>
      </c>
      <c r="AB57" s="1">
        <v>0.4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x14ac:dyDescent="0.25">
      <c r="A58" s="1">
        <v>103</v>
      </c>
      <c r="B58" s="1" t="s">
        <v>213</v>
      </c>
      <c r="C58" s="1" t="s">
        <v>214</v>
      </c>
      <c r="D58" s="1" t="s">
        <v>101</v>
      </c>
      <c r="E58" s="1" t="s">
        <v>168</v>
      </c>
      <c r="F58" s="2">
        <v>46203</v>
      </c>
      <c r="G58" s="2">
        <v>46206</v>
      </c>
      <c r="H58" s="4">
        <v>1</v>
      </c>
      <c r="I58" s="2">
        <v>46206</v>
      </c>
      <c r="J58" s="1" t="s">
        <v>53</v>
      </c>
      <c r="K58" s="1">
        <v>245</v>
      </c>
      <c r="L58" s="1">
        <v>104</v>
      </c>
      <c r="M58" s="1" t="s">
        <v>187</v>
      </c>
      <c r="N58" s="3">
        <v>46197</v>
      </c>
      <c r="P58" s="1" t="s">
        <v>67</v>
      </c>
      <c r="Q58" s="1" t="s">
        <v>55</v>
      </c>
      <c r="R58" s="1" t="s">
        <v>158</v>
      </c>
      <c r="S58" s="3">
        <v>46183</v>
      </c>
      <c r="T58" s="3">
        <v>46189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104</v>
      </c>
      <c r="B59" s="1" t="s">
        <v>215</v>
      </c>
      <c r="C59" s="1" t="s">
        <v>214</v>
      </c>
      <c r="D59" s="1" t="s">
        <v>105</v>
      </c>
      <c r="E59" s="1" t="s">
        <v>168</v>
      </c>
      <c r="F59" s="2">
        <v>46209</v>
      </c>
      <c r="G59" s="2">
        <v>46216</v>
      </c>
      <c r="H59" s="4">
        <v>0</v>
      </c>
      <c r="J59" s="1" t="s">
        <v>41</v>
      </c>
      <c r="K59" s="1">
        <v>103</v>
      </c>
      <c r="L59" s="1">
        <v>105</v>
      </c>
      <c r="M59" s="1" t="s">
        <v>191</v>
      </c>
      <c r="N59" s="3">
        <v>46198</v>
      </c>
      <c r="P59" s="1" t="s">
        <v>67</v>
      </c>
      <c r="Q59" s="1" t="s">
        <v>55</v>
      </c>
      <c r="R59" s="1" t="s">
        <v>158</v>
      </c>
      <c r="S59" s="3">
        <v>46190</v>
      </c>
      <c r="T59" s="3">
        <v>46190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x14ac:dyDescent="0.25">
      <c r="A60" s="1">
        <v>105</v>
      </c>
      <c r="B60" s="1" t="s">
        <v>216</v>
      </c>
      <c r="C60" s="1" t="s">
        <v>214</v>
      </c>
      <c r="D60" s="1" t="s">
        <v>109</v>
      </c>
      <c r="E60" s="1" t="s">
        <v>52</v>
      </c>
      <c r="F60" s="2">
        <v>46217</v>
      </c>
      <c r="G60" s="2">
        <v>46217</v>
      </c>
      <c r="H60" s="4">
        <v>0</v>
      </c>
      <c r="J60" s="1" t="s">
        <v>83</v>
      </c>
      <c r="K60" s="1">
        <v>104</v>
      </c>
      <c r="L60" s="1">
        <v>106</v>
      </c>
      <c r="M60" s="1" t="s">
        <v>193</v>
      </c>
      <c r="N60" s="3">
        <v>46202</v>
      </c>
      <c r="P60" s="1" t="s">
        <v>194</v>
      </c>
      <c r="Q60" s="1" t="s">
        <v>55</v>
      </c>
      <c r="R60" s="1" t="s">
        <v>158</v>
      </c>
      <c r="S60" s="3">
        <v>46191</v>
      </c>
      <c r="T60" s="3">
        <v>46192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106</v>
      </c>
      <c r="B61" s="1" t="s">
        <v>217</v>
      </c>
      <c r="C61" s="1" t="s">
        <v>214</v>
      </c>
      <c r="D61" s="1" t="s">
        <v>115</v>
      </c>
      <c r="E61" s="1" t="s">
        <v>52</v>
      </c>
      <c r="F61" s="2">
        <v>46218</v>
      </c>
      <c r="G61" s="2">
        <v>46218</v>
      </c>
      <c r="H61" s="4">
        <v>0</v>
      </c>
      <c r="J61" s="1" t="s">
        <v>83</v>
      </c>
      <c r="K61" s="1">
        <v>105</v>
      </c>
      <c r="M61" s="1" t="s">
        <v>196</v>
      </c>
      <c r="N61" s="3">
        <v>46203</v>
      </c>
      <c r="P61" s="1" t="s">
        <v>194</v>
      </c>
      <c r="Q61" s="1" t="s">
        <v>55</v>
      </c>
      <c r="R61" s="1" t="s">
        <v>158</v>
      </c>
      <c r="S61" s="3">
        <v>46195</v>
      </c>
      <c r="T61" s="3">
        <v>46195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107</v>
      </c>
      <c r="B62" s="1" t="s">
        <v>218</v>
      </c>
      <c r="C62" s="1" t="s">
        <v>160</v>
      </c>
      <c r="D62" s="1" t="s">
        <v>219</v>
      </c>
      <c r="E62" s="1" t="s">
        <v>186</v>
      </c>
      <c r="F62" s="2">
        <v>46176</v>
      </c>
      <c r="G62" s="2">
        <v>46191</v>
      </c>
      <c r="H62" s="4">
        <v>1</v>
      </c>
      <c r="I62" s="2">
        <v>46191</v>
      </c>
      <c r="J62" s="1" t="s">
        <v>53</v>
      </c>
      <c r="M62" s="1" t="s">
        <v>220</v>
      </c>
      <c r="N62" s="3">
        <v>46191</v>
      </c>
      <c r="P62" s="1" t="s">
        <v>119</v>
      </c>
      <c r="Q62" s="1" t="s">
        <v>55</v>
      </c>
      <c r="R62" s="1" t="s">
        <v>158</v>
      </c>
      <c r="S62" s="3">
        <v>46163</v>
      </c>
      <c r="T62" s="3">
        <v>46178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108</v>
      </c>
      <c r="B63" s="1" t="s">
        <v>221</v>
      </c>
      <c r="C63" s="1" t="s">
        <v>222</v>
      </c>
      <c r="D63" s="1" t="s">
        <v>101</v>
      </c>
      <c r="E63" s="1" t="s">
        <v>223</v>
      </c>
      <c r="F63" s="2">
        <v>46176</v>
      </c>
      <c r="G63" s="2">
        <v>46185</v>
      </c>
      <c r="H63" s="4">
        <v>1</v>
      </c>
      <c r="I63" s="2">
        <v>46185</v>
      </c>
      <c r="J63" s="1" t="s">
        <v>53</v>
      </c>
      <c r="K63" s="1">
        <v>129</v>
      </c>
      <c r="L63" s="1">
        <v>109</v>
      </c>
      <c r="M63" s="1" t="s">
        <v>220</v>
      </c>
      <c r="N63" s="3">
        <v>46185</v>
      </c>
      <c r="P63" s="1" t="s">
        <v>119</v>
      </c>
      <c r="Q63" s="1" t="s">
        <v>55</v>
      </c>
      <c r="R63" s="1" t="s">
        <v>158</v>
      </c>
      <c r="S63" s="3">
        <v>46163</v>
      </c>
      <c r="T63" s="3">
        <v>46174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x14ac:dyDescent="0.25">
      <c r="A64" s="1">
        <v>109</v>
      </c>
      <c r="B64" s="1" t="s">
        <v>224</v>
      </c>
      <c r="C64" s="1" t="s">
        <v>222</v>
      </c>
      <c r="D64" s="1" t="s">
        <v>105</v>
      </c>
      <c r="E64" s="1" t="s">
        <v>52</v>
      </c>
      <c r="F64" s="2">
        <v>46188</v>
      </c>
      <c r="G64" s="2">
        <v>46188</v>
      </c>
      <c r="H64" s="4">
        <v>1</v>
      </c>
      <c r="I64" s="2">
        <v>46188</v>
      </c>
      <c r="J64" s="1" t="s">
        <v>53</v>
      </c>
      <c r="K64" s="1">
        <v>108</v>
      </c>
      <c r="L64" s="1">
        <v>110</v>
      </c>
      <c r="M64" s="1" t="s">
        <v>225</v>
      </c>
      <c r="N64" s="3">
        <v>46188</v>
      </c>
      <c r="P64" s="1" t="s">
        <v>73</v>
      </c>
      <c r="Q64" s="1" t="s">
        <v>55</v>
      </c>
      <c r="R64" s="1" t="s">
        <v>158</v>
      </c>
      <c r="S64" s="3">
        <v>46175</v>
      </c>
      <c r="T64" s="3">
        <v>46175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1">
        <v>110</v>
      </c>
      <c r="B65" s="1" t="s">
        <v>226</v>
      </c>
      <c r="C65" s="1" t="s">
        <v>222</v>
      </c>
      <c r="D65" s="1" t="s">
        <v>109</v>
      </c>
      <c r="E65" s="1" t="s">
        <v>116</v>
      </c>
      <c r="F65" s="2">
        <v>46189</v>
      </c>
      <c r="G65" s="2">
        <v>46190</v>
      </c>
      <c r="H65" s="4">
        <v>1</v>
      </c>
      <c r="I65" s="2">
        <v>46190</v>
      </c>
      <c r="J65" s="1" t="s">
        <v>53</v>
      </c>
      <c r="K65" s="1">
        <v>109</v>
      </c>
      <c r="L65" s="1">
        <v>111</v>
      </c>
      <c r="M65" s="1" t="s">
        <v>227</v>
      </c>
      <c r="N65" s="3">
        <v>46190</v>
      </c>
      <c r="P65" s="1" t="s">
        <v>73</v>
      </c>
      <c r="Q65" s="1" t="s">
        <v>55</v>
      </c>
      <c r="R65" s="1" t="s">
        <v>158</v>
      </c>
      <c r="S65" s="3">
        <v>46176</v>
      </c>
      <c r="T65" s="3">
        <v>46177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111</v>
      </c>
      <c r="B66" s="1" t="s">
        <v>228</v>
      </c>
      <c r="C66" s="1" t="s">
        <v>222</v>
      </c>
      <c r="D66" s="1" t="s">
        <v>115</v>
      </c>
      <c r="E66" s="1" t="s">
        <v>52</v>
      </c>
      <c r="F66" s="2">
        <v>46191</v>
      </c>
      <c r="G66" s="2">
        <v>46191</v>
      </c>
      <c r="H66" s="4">
        <v>1</v>
      </c>
      <c r="I66" s="2">
        <v>46191</v>
      </c>
      <c r="J66" s="1" t="s">
        <v>53</v>
      </c>
      <c r="K66" s="1">
        <v>110</v>
      </c>
      <c r="M66" s="1" t="s">
        <v>187</v>
      </c>
      <c r="N66" s="3">
        <v>46191</v>
      </c>
      <c r="P66" s="1" t="s">
        <v>73</v>
      </c>
      <c r="Q66" s="1" t="s">
        <v>55</v>
      </c>
      <c r="R66" s="1" t="s">
        <v>158</v>
      </c>
      <c r="S66" s="3">
        <v>46178</v>
      </c>
      <c r="T66" s="3">
        <v>46178</v>
      </c>
      <c r="AB66" s="1">
        <v>1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</row>
    <row r="67" spans="1:39" x14ac:dyDescent="0.25">
      <c r="A67" s="1">
        <v>117</v>
      </c>
      <c r="B67" s="1" t="s">
        <v>229</v>
      </c>
      <c r="C67" s="1" t="s">
        <v>160</v>
      </c>
      <c r="D67" s="1" t="s">
        <v>230</v>
      </c>
      <c r="E67" s="1" t="s">
        <v>231</v>
      </c>
      <c r="F67" s="2">
        <v>46185</v>
      </c>
      <c r="G67" s="2">
        <v>46211</v>
      </c>
      <c r="H67" s="4">
        <v>0.67</v>
      </c>
      <c r="J67" s="1" t="s">
        <v>232</v>
      </c>
      <c r="M67" s="1" t="s">
        <v>220</v>
      </c>
      <c r="N67" s="3">
        <v>46188</v>
      </c>
      <c r="P67" s="1" t="s">
        <v>76</v>
      </c>
      <c r="Q67" s="1" t="s">
        <v>55</v>
      </c>
      <c r="R67" s="1" t="s">
        <v>158</v>
      </c>
      <c r="S67" s="3">
        <v>46163</v>
      </c>
      <c r="T67" s="3">
        <v>46175</v>
      </c>
      <c r="AB67" s="1">
        <v>0.67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118</v>
      </c>
      <c r="B68" s="1" t="s">
        <v>233</v>
      </c>
      <c r="C68" s="1" t="s">
        <v>234</v>
      </c>
      <c r="D68" s="1" t="s">
        <v>101</v>
      </c>
      <c r="E68" s="1" t="s">
        <v>116</v>
      </c>
      <c r="F68" s="2">
        <v>46185</v>
      </c>
      <c r="G68" s="2">
        <v>46188</v>
      </c>
      <c r="H68" s="4">
        <v>1</v>
      </c>
      <c r="I68" s="2">
        <v>46188</v>
      </c>
      <c r="J68" s="1" t="s">
        <v>53</v>
      </c>
      <c r="K68" s="1">
        <v>129</v>
      </c>
      <c r="L68" s="1" t="s">
        <v>235</v>
      </c>
      <c r="M68" s="1" t="s">
        <v>220</v>
      </c>
      <c r="N68" s="3">
        <v>46182</v>
      </c>
      <c r="P68" s="1" t="s">
        <v>76</v>
      </c>
      <c r="Q68" s="1" t="s">
        <v>55</v>
      </c>
      <c r="R68" s="1" t="s">
        <v>158</v>
      </c>
      <c r="S68" s="3">
        <v>46163</v>
      </c>
      <c r="T68" s="3">
        <v>46169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119</v>
      </c>
      <c r="B69" s="1" t="s">
        <v>236</v>
      </c>
      <c r="C69" s="1" t="s">
        <v>234</v>
      </c>
      <c r="D69" s="1" t="s">
        <v>105</v>
      </c>
      <c r="E69" s="1" t="s">
        <v>52</v>
      </c>
      <c r="F69" s="2">
        <v>46189</v>
      </c>
      <c r="G69" s="2">
        <v>46190</v>
      </c>
      <c r="H69" s="4">
        <v>1</v>
      </c>
      <c r="I69" s="2">
        <v>46190</v>
      </c>
      <c r="J69" s="1" t="s">
        <v>53</v>
      </c>
      <c r="K69" s="1">
        <v>118</v>
      </c>
      <c r="L69" s="1" t="s">
        <v>237</v>
      </c>
      <c r="M69" s="1" t="s">
        <v>183</v>
      </c>
      <c r="N69" s="3">
        <v>46183</v>
      </c>
      <c r="P69" s="1" t="s">
        <v>73</v>
      </c>
      <c r="Q69" s="1" t="s">
        <v>55</v>
      </c>
      <c r="R69" s="1" t="s">
        <v>158</v>
      </c>
      <c r="S69" s="3">
        <v>46170</v>
      </c>
      <c r="T69" s="3">
        <v>46170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x14ac:dyDescent="0.25">
      <c r="A70" s="1">
        <v>120</v>
      </c>
      <c r="B70" s="1" t="s">
        <v>238</v>
      </c>
      <c r="C70" s="1" t="s">
        <v>234</v>
      </c>
      <c r="D70" s="1" t="s">
        <v>109</v>
      </c>
      <c r="E70" s="1" t="s">
        <v>116</v>
      </c>
      <c r="F70" s="2">
        <v>46209</v>
      </c>
      <c r="G70" s="2">
        <v>46210</v>
      </c>
      <c r="H70" s="4">
        <v>0.5</v>
      </c>
      <c r="J70" s="1" t="s">
        <v>232</v>
      </c>
      <c r="K70" s="1">
        <v>119</v>
      </c>
      <c r="L70" s="1">
        <v>121</v>
      </c>
      <c r="M70" s="1" t="s">
        <v>153</v>
      </c>
      <c r="N70" s="3">
        <v>46185</v>
      </c>
      <c r="P70" s="1" t="s">
        <v>73</v>
      </c>
      <c r="Q70" s="1" t="s">
        <v>55</v>
      </c>
      <c r="R70" s="1" t="s">
        <v>158</v>
      </c>
      <c r="S70" s="3">
        <v>46171</v>
      </c>
      <c r="T70" s="3">
        <v>46174</v>
      </c>
      <c r="AB70" s="1">
        <v>0.5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121</v>
      </c>
      <c r="B71" s="1" t="s">
        <v>239</v>
      </c>
      <c r="C71" s="1" t="s">
        <v>234</v>
      </c>
      <c r="D71" s="1" t="s">
        <v>115</v>
      </c>
      <c r="E71" s="1" t="s">
        <v>52</v>
      </c>
      <c r="F71" s="2">
        <v>46211</v>
      </c>
      <c r="G71" s="2">
        <v>46211</v>
      </c>
      <c r="H71" s="4">
        <v>0</v>
      </c>
      <c r="J71" s="1" t="s">
        <v>83</v>
      </c>
      <c r="K71" s="1">
        <v>120</v>
      </c>
      <c r="M71" s="1" t="s">
        <v>225</v>
      </c>
      <c r="N71" s="3">
        <v>46188</v>
      </c>
      <c r="P71" s="1" t="s">
        <v>180</v>
      </c>
      <c r="Q71" s="1" t="s">
        <v>55</v>
      </c>
      <c r="R71" s="1" t="s">
        <v>158</v>
      </c>
      <c r="S71" s="3">
        <v>46175</v>
      </c>
      <c r="T71" s="3">
        <v>46175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122</v>
      </c>
      <c r="B72" s="1" t="s">
        <v>240</v>
      </c>
      <c r="C72" s="1" t="s">
        <v>160</v>
      </c>
      <c r="D72" s="1" t="s">
        <v>241</v>
      </c>
      <c r="E72" s="1" t="s">
        <v>231</v>
      </c>
      <c r="F72" s="2">
        <v>46185</v>
      </c>
      <c r="G72" s="2">
        <v>46211</v>
      </c>
      <c r="H72" s="4">
        <v>0.67</v>
      </c>
      <c r="J72" s="1" t="s">
        <v>232</v>
      </c>
      <c r="M72" s="1" t="s">
        <v>220</v>
      </c>
      <c r="N72" s="3">
        <v>46188</v>
      </c>
      <c r="P72" s="1" t="s">
        <v>76</v>
      </c>
      <c r="Q72" s="1" t="s">
        <v>55</v>
      </c>
      <c r="R72" s="1" t="s">
        <v>158</v>
      </c>
      <c r="S72" s="3">
        <v>46163</v>
      </c>
      <c r="T72" s="3">
        <v>46175</v>
      </c>
      <c r="U72" s="1" t="s">
        <v>77</v>
      </c>
      <c r="AB72" s="1">
        <v>0.67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123</v>
      </c>
      <c r="B73" s="1" t="s">
        <v>242</v>
      </c>
      <c r="C73" s="1" t="s">
        <v>243</v>
      </c>
      <c r="D73" s="1" t="s">
        <v>101</v>
      </c>
      <c r="E73" s="1" t="s">
        <v>116</v>
      </c>
      <c r="F73" s="2">
        <v>46185</v>
      </c>
      <c r="G73" s="2">
        <v>46188</v>
      </c>
      <c r="H73" s="4">
        <v>1</v>
      </c>
      <c r="I73" s="2">
        <v>46188</v>
      </c>
      <c r="J73" s="1" t="s">
        <v>53</v>
      </c>
      <c r="K73" s="1">
        <v>129</v>
      </c>
      <c r="L73" s="1" t="s">
        <v>244</v>
      </c>
      <c r="M73" s="1" t="s">
        <v>245</v>
      </c>
      <c r="N73" s="3">
        <v>46188</v>
      </c>
      <c r="P73" s="1" t="s">
        <v>76</v>
      </c>
      <c r="Q73" s="1" t="s">
        <v>55</v>
      </c>
      <c r="R73" s="1" t="s">
        <v>158</v>
      </c>
      <c r="S73" s="3">
        <v>46185</v>
      </c>
      <c r="T73" s="3">
        <v>46188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 x14ac:dyDescent="0.25">
      <c r="A74" s="1">
        <v>124</v>
      </c>
      <c r="B74" s="1" t="s">
        <v>246</v>
      </c>
      <c r="C74" s="1" t="s">
        <v>243</v>
      </c>
      <c r="D74" s="1" t="s">
        <v>105</v>
      </c>
      <c r="E74" s="1" t="s">
        <v>52</v>
      </c>
      <c r="F74" s="2">
        <v>46190</v>
      </c>
      <c r="G74" s="2">
        <v>46190</v>
      </c>
      <c r="H74" s="4">
        <v>1</v>
      </c>
      <c r="I74" s="2">
        <v>46190</v>
      </c>
      <c r="J74" s="1" t="s">
        <v>53</v>
      </c>
      <c r="K74" s="1">
        <v>123</v>
      </c>
      <c r="L74" s="1" t="s">
        <v>247</v>
      </c>
      <c r="M74" s="1" t="s">
        <v>248</v>
      </c>
      <c r="N74" s="3">
        <v>46190</v>
      </c>
      <c r="P74" s="1" t="s">
        <v>73</v>
      </c>
      <c r="Q74" s="1" t="s">
        <v>55</v>
      </c>
      <c r="R74" s="1" t="s">
        <v>158</v>
      </c>
      <c r="S74" s="3">
        <v>46190</v>
      </c>
      <c r="T74" s="3">
        <v>46190</v>
      </c>
      <c r="AB74" s="1">
        <v>1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x14ac:dyDescent="0.25">
      <c r="A75" s="1">
        <v>125</v>
      </c>
      <c r="B75" s="1" t="s">
        <v>249</v>
      </c>
      <c r="C75" s="1" t="s">
        <v>243</v>
      </c>
      <c r="D75" s="1" t="s">
        <v>109</v>
      </c>
      <c r="E75" s="1" t="s">
        <v>116</v>
      </c>
      <c r="F75" s="2">
        <v>46209</v>
      </c>
      <c r="G75" s="2">
        <v>46210</v>
      </c>
      <c r="H75" s="4">
        <v>0.5</v>
      </c>
      <c r="J75" s="1" t="s">
        <v>232</v>
      </c>
      <c r="K75" s="1">
        <v>124</v>
      </c>
      <c r="L75" s="1">
        <v>126</v>
      </c>
      <c r="M75" s="1" t="s">
        <v>187</v>
      </c>
      <c r="N75" s="3">
        <v>46192</v>
      </c>
      <c r="P75" s="1" t="s">
        <v>73</v>
      </c>
      <c r="Q75" s="1" t="s">
        <v>55</v>
      </c>
      <c r="R75" s="1" t="s">
        <v>158</v>
      </c>
      <c r="S75" s="3">
        <v>46191</v>
      </c>
      <c r="T75" s="3">
        <v>46192</v>
      </c>
      <c r="AB75" s="1">
        <v>0.5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126</v>
      </c>
      <c r="B76" s="1" t="s">
        <v>250</v>
      </c>
      <c r="C76" s="1" t="s">
        <v>243</v>
      </c>
      <c r="D76" s="1" t="s">
        <v>115</v>
      </c>
      <c r="E76" s="1" t="s">
        <v>52</v>
      </c>
      <c r="F76" s="2">
        <v>46211</v>
      </c>
      <c r="G76" s="2">
        <v>46211</v>
      </c>
      <c r="H76" s="4">
        <v>0</v>
      </c>
      <c r="J76" s="1" t="s">
        <v>83</v>
      </c>
      <c r="K76" s="1">
        <v>125</v>
      </c>
      <c r="M76" s="1" t="s">
        <v>251</v>
      </c>
      <c r="N76" s="3">
        <v>46196</v>
      </c>
      <c r="P76" s="1" t="s">
        <v>180</v>
      </c>
      <c r="Q76" s="1" t="s">
        <v>55</v>
      </c>
      <c r="R76" s="1" t="s">
        <v>158</v>
      </c>
      <c r="S76" s="3">
        <v>46196</v>
      </c>
      <c r="T76" s="3">
        <v>46196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127</v>
      </c>
      <c r="B77" s="1" t="s">
        <v>252</v>
      </c>
      <c r="C77" s="1" t="s">
        <v>160</v>
      </c>
      <c r="D77" s="1" t="s">
        <v>253</v>
      </c>
      <c r="E77" s="1" t="s">
        <v>254</v>
      </c>
      <c r="F77" s="2">
        <v>46160</v>
      </c>
      <c r="G77" s="2">
        <v>46170</v>
      </c>
      <c r="H77" s="4">
        <v>1</v>
      </c>
      <c r="I77" s="2">
        <v>46170</v>
      </c>
      <c r="J77" s="1" t="s">
        <v>53</v>
      </c>
      <c r="M77" s="1" t="s">
        <v>157</v>
      </c>
      <c r="N77" s="3">
        <v>46178</v>
      </c>
      <c r="P77" s="1" t="s">
        <v>136</v>
      </c>
      <c r="Q77" s="1" t="s">
        <v>55</v>
      </c>
      <c r="R77" s="1" t="s">
        <v>158</v>
      </c>
      <c r="S77" s="3">
        <v>46156</v>
      </c>
      <c r="T77" s="3">
        <v>46167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128</v>
      </c>
      <c r="B78" s="1" t="s">
        <v>255</v>
      </c>
      <c r="C78" s="1" t="s">
        <v>256</v>
      </c>
      <c r="D78" s="1" t="s">
        <v>101</v>
      </c>
      <c r="E78" s="1" t="s">
        <v>257</v>
      </c>
      <c r="F78" s="2">
        <v>46160</v>
      </c>
      <c r="G78" s="2">
        <v>46164</v>
      </c>
      <c r="H78" s="4">
        <v>1</v>
      </c>
      <c r="I78" s="2">
        <v>46164</v>
      </c>
      <c r="J78" s="1" t="s">
        <v>53</v>
      </c>
      <c r="K78" s="1" t="s">
        <v>165</v>
      </c>
      <c r="L78" s="1" t="s">
        <v>258</v>
      </c>
      <c r="M78" s="1" t="s">
        <v>157</v>
      </c>
      <c r="N78" s="3">
        <v>46174</v>
      </c>
      <c r="P78" s="1" t="s">
        <v>136</v>
      </c>
      <c r="Q78" s="1" t="s">
        <v>55</v>
      </c>
      <c r="R78" s="1" t="s">
        <v>158</v>
      </c>
      <c r="S78" s="3">
        <v>46156</v>
      </c>
      <c r="T78" s="3">
        <v>46161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x14ac:dyDescent="0.25">
      <c r="A79" s="1">
        <v>129</v>
      </c>
      <c r="B79" s="1" t="s">
        <v>259</v>
      </c>
      <c r="C79" s="1" t="s">
        <v>256</v>
      </c>
      <c r="D79" s="1" t="s">
        <v>105</v>
      </c>
      <c r="E79" s="1" t="s">
        <v>52</v>
      </c>
      <c r="F79" s="2">
        <v>46167</v>
      </c>
      <c r="G79" s="2">
        <v>46167</v>
      </c>
      <c r="H79" s="4">
        <v>1</v>
      </c>
      <c r="I79" s="2">
        <v>46167</v>
      </c>
      <c r="J79" s="1" t="s">
        <v>53</v>
      </c>
      <c r="K79" s="1">
        <v>128</v>
      </c>
      <c r="L79" s="1" t="s">
        <v>260</v>
      </c>
      <c r="M79" s="1" t="s">
        <v>172</v>
      </c>
      <c r="N79" s="3">
        <v>46175</v>
      </c>
      <c r="P79" s="1" t="s">
        <v>119</v>
      </c>
      <c r="Q79" s="1" t="s">
        <v>55</v>
      </c>
      <c r="R79" s="1" t="s">
        <v>158</v>
      </c>
      <c r="S79" s="3">
        <v>46162</v>
      </c>
      <c r="T79" s="3">
        <v>46162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130</v>
      </c>
      <c r="B80" s="1" t="s">
        <v>261</v>
      </c>
      <c r="C80" s="1" t="s">
        <v>256</v>
      </c>
      <c r="D80" s="1" t="s">
        <v>109</v>
      </c>
      <c r="E80" s="1" t="s">
        <v>116</v>
      </c>
      <c r="F80" s="2">
        <v>46168</v>
      </c>
      <c r="G80" s="2">
        <v>46169</v>
      </c>
      <c r="H80" s="4">
        <v>1</v>
      </c>
      <c r="I80" s="2">
        <v>46169</v>
      </c>
      <c r="J80" s="1" t="s">
        <v>53</v>
      </c>
      <c r="K80" s="1">
        <v>129</v>
      </c>
      <c r="L80" s="1" t="s">
        <v>262</v>
      </c>
      <c r="M80" s="1" t="s">
        <v>220</v>
      </c>
      <c r="N80" s="3">
        <v>46177</v>
      </c>
      <c r="P80" s="1" t="s">
        <v>119</v>
      </c>
      <c r="Q80" s="1" t="s">
        <v>55</v>
      </c>
      <c r="R80" s="1" t="s">
        <v>158</v>
      </c>
      <c r="S80" s="3">
        <v>46163</v>
      </c>
      <c r="T80" s="3">
        <v>46164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131</v>
      </c>
      <c r="B81" s="1" t="s">
        <v>263</v>
      </c>
      <c r="C81" s="1" t="s">
        <v>256</v>
      </c>
      <c r="D81" s="1" t="s">
        <v>115</v>
      </c>
      <c r="E81" s="1" t="s">
        <v>52</v>
      </c>
      <c r="F81" s="2">
        <v>46170</v>
      </c>
      <c r="G81" s="2">
        <v>46170</v>
      </c>
      <c r="H81" s="4">
        <v>1</v>
      </c>
      <c r="I81" s="2">
        <v>46170</v>
      </c>
      <c r="J81" s="1" t="s">
        <v>53</v>
      </c>
      <c r="K81" s="1">
        <v>130</v>
      </c>
      <c r="M81" s="1" t="s">
        <v>66</v>
      </c>
      <c r="N81" s="3">
        <v>46178</v>
      </c>
      <c r="P81" s="1" t="s">
        <v>76</v>
      </c>
      <c r="Q81" s="1" t="s">
        <v>55</v>
      </c>
      <c r="R81" s="1" t="s">
        <v>158</v>
      </c>
      <c r="S81" s="3">
        <v>46167</v>
      </c>
      <c r="T81" s="3">
        <v>46167</v>
      </c>
      <c r="AB81" s="1">
        <v>1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1</v>
      </c>
      <c r="AL81" s="1">
        <v>0</v>
      </c>
      <c r="AM81" s="1">
        <v>0</v>
      </c>
    </row>
    <row r="82" spans="1:39" x14ac:dyDescent="0.25">
      <c r="A82" s="1">
        <v>132</v>
      </c>
      <c r="B82" s="1" t="s">
        <v>264</v>
      </c>
      <c r="C82" s="1" t="s">
        <v>160</v>
      </c>
      <c r="D82" s="1" t="s">
        <v>265</v>
      </c>
      <c r="E82" s="1" t="s">
        <v>175</v>
      </c>
      <c r="F82" s="2">
        <v>46190</v>
      </c>
      <c r="G82" s="2">
        <v>46198</v>
      </c>
      <c r="H82" s="4">
        <v>0.5</v>
      </c>
      <c r="J82" s="1" t="s">
        <v>41</v>
      </c>
      <c r="M82" s="1" t="s">
        <v>183</v>
      </c>
      <c r="N82" s="3">
        <v>46191</v>
      </c>
      <c r="P82" s="1" t="s">
        <v>73</v>
      </c>
      <c r="Q82" s="1" t="s">
        <v>55</v>
      </c>
      <c r="R82" s="1" t="s">
        <v>158</v>
      </c>
      <c r="S82" s="3">
        <v>46170</v>
      </c>
      <c r="T82" s="3">
        <v>46178</v>
      </c>
      <c r="AB82" s="1">
        <v>0.5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x14ac:dyDescent="0.25">
      <c r="A83" s="1">
        <v>133</v>
      </c>
      <c r="B83" s="1" t="s">
        <v>266</v>
      </c>
      <c r="C83" s="1" t="s">
        <v>267</v>
      </c>
      <c r="D83" s="1" t="s">
        <v>101</v>
      </c>
      <c r="E83" s="1" t="s">
        <v>102</v>
      </c>
      <c r="F83" s="2">
        <v>46190</v>
      </c>
      <c r="G83" s="2">
        <v>46192</v>
      </c>
      <c r="H83" s="4">
        <v>1</v>
      </c>
      <c r="I83" s="2">
        <v>46192</v>
      </c>
      <c r="J83" s="1" t="s">
        <v>53</v>
      </c>
      <c r="K83" s="1" t="s">
        <v>268</v>
      </c>
      <c r="L83" s="1">
        <v>134</v>
      </c>
      <c r="M83" s="1" t="s">
        <v>183</v>
      </c>
      <c r="N83" s="3">
        <v>46185</v>
      </c>
      <c r="P83" s="1" t="s">
        <v>73</v>
      </c>
      <c r="Q83" s="1" t="s">
        <v>55</v>
      </c>
      <c r="R83" s="1" t="s">
        <v>158</v>
      </c>
      <c r="S83" s="3">
        <v>46170</v>
      </c>
      <c r="T83" s="3">
        <v>46174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 x14ac:dyDescent="0.25">
      <c r="A84" s="1">
        <v>134</v>
      </c>
      <c r="B84" s="1" t="s">
        <v>269</v>
      </c>
      <c r="C84" s="1" t="s">
        <v>267</v>
      </c>
      <c r="D84" s="1" t="s">
        <v>105</v>
      </c>
      <c r="E84" s="1" t="s">
        <v>52</v>
      </c>
      <c r="F84" s="2">
        <v>46195</v>
      </c>
      <c r="G84" s="2">
        <v>46195</v>
      </c>
      <c r="H84" s="4">
        <v>0.5</v>
      </c>
      <c r="J84" s="1" t="s">
        <v>41</v>
      </c>
      <c r="K84" s="1">
        <v>133</v>
      </c>
      <c r="L84" s="1">
        <v>135</v>
      </c>
      <c r="M84" s="1" t="s">
        <v>225</v>
      </c>
      <c r="N84" s="3">
        <v>46188</v>
      </c>
      <c r="P84" s="1" t="s">
        <v>180</v>
      </c>
      <c r="Q84" s="1" t="s">
        <v>55</v>
      </c>
      <c r="R84" s="1" t="s">
        <v>158</v>
      </c>
      <c r="S84" s="3">
        <v>46175</v>
      </c>
      <c r="T84" s="3">
        <v>46175</v>
      </c>
      <c r="AB84" s="1">
        <v>0.5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</row>
    <row r="85" spans="1:39" x14ac:dyDescent="0.25">
      <c r="A85" s="1">
        <v>135</v>
      </c>
      <c r="B85" s="1" t="s">
        <v>270</v>
      </c>
      <c r="C85" s="1" t="s">
        <v>267</v>
      </c>
      <c r="D85" s="1" t="s">
        <v>109</v>
      </c>
      <c r="E85" s="1" t="s">
        <v>116</v>
      </c>
      <c r="F85" s="2">
        <v>46196</v>
      </c>
      <c r="G85" s="2">
        <v>46197</v>
      </c>
      <c r="H85" s="4">
        <v>0</v>
      </c>
      <c r="J85" s="1" t="s">
        <v>41</v>
      </c>
      <c r="K85" s="1">
        <v>134</v>
      </c>
      <c r="L85" s="1">
        <v>136</v>
      </c>
      <c r="M85" s="1" t="s">
        <v>227</v>
      </c>
      <c r="N85" s="3">
        <v>46190</v>
      </c>
      <c r="P85" s="1" t="s">
        <v>180</v>
      </c>
      <c r="Q85" s="1" t="s">
        <v>55</v>
      </c>
      <c r="R85" s="1" t="s">
        <v>158</v>
      </c>
      <c r="S85" s="3">
        <v>46176</v>
      </c>
      <c r="T85" s="3">
        <v>46177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s="1">
        <v>0</v>
      </c>
      <c r="AM85" s="1">
        <v>0</v>
      </c>
    </row>
    <row r="86" spans="1:39" x14ac:dyDescent="0.25">
      <c r="A86" s="1">
        <v>136</v>
      </c>
      <c r="B86" s="1" t="s">
        <v>271</v>
      </c>
      <c r="C86" s="1" t="s">
        <v>267</v>
      </c>
      <c r="D86" s="1" t="s">
        <v>115</v>
      </c>
      <c r="E86" s="1" t="s">
        <v>52</v>
      </c>
      <c r="F86" s="2">
        <v>46198</v>
      </c>
      <c r="G86" s="2">
        <v>46198</v>
      </c>
      <c r="H86" s="4">
        <v>0</v>
      </c>
      <c r="J86" s="1" t="s">
        <v>41</v>
      </c>
      <c r="K86" s="1">
        <v>135</v>
      </c>
      <c r="M86" s="1" t="s">
        <v>187</v>
      </c>
      <c r="N86" s="3">
        <v>46191</v>
      </c>
      <c r="P86" s="1" t="s">
        <v>180</v>
      </c>
      <c r="Q86" s="1" t="s">
        <v>55</v>
      </c>
      <c r="R86" s="1" t="s">
        <v>158</v>
      </c>
      <c r="S86" s="3">
        <v>46178</v>
      </c>
      <c r="T86" s="3">
        <v>46178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</row>
    <row r="87" spans="1:39" x14ac:dyDescent="0.25">
      <c r="A87" s="1">
        <v>137</v>
      </c>
      <c r="B87" s="1" t="s">
        <v>272</v>
      </c>
      <c r="C87" s="1" t="s">
        <v>160</v>
      </c>
      <c r="D87" s="1" t="s">
        <v>273</v>
      </c>
      <c r="E87" s="1" t="s">
        <v>175</v>
      </c>
      <c r="F87" s="2">
        <v>46190</v>
      </c>
      <c r="G87" s="2">
        <v>46198</v>
      </c>
      <c r="H87" s="4">
        <v>0.5</v>
      </c>
      <c r="J87" s="1" t="s">
        <v>41</v>
      </c>
      <c r="M87" s="1" t="s">
        <v>183</v>
      </c>
      <c r="N87" s="3">
        <v>46191</v>
      </c>
      <c r="P87" s="1" t="s">
        <v>73</v>
      </c>
      <c r="Q87" s="1" t="s">
        <v>55</v>
      </c>
      <c r="R87" s="1" t="s">
        <v>158</v>
      </c>
      <c r="S87" s="3">
        <v>46170</v>
      </c>
      <c r="T87" s="3">
        <v>46178</v>
      </c>
      <c r="AB87" s="1">
        <v>0.5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x14ac:dyDescent="0.25">
      <c r="A88" s="1">
        <v>138</v>
      </c>
      <c r="B88" s="1" t="s">
        <v>274</v>
      </c>
      <c r="C88" s="1" t="s">
        <v>275</v>
      </c>
      <c r="D88" s="1" t="s">
        <v>101</v>
      </c>
      <c r="E88" s="1" t="s">
        <v>102</v>
      </c>
      <c r="F88" s="2">
        <v>46190</v>
      </c>
      <c r="G88" s="2">
        <v>46192</v>
      </c>
      <c r="H88" s="4">
        <v>1</v>
      </c>
      <c r="I88" s="2">
        <v>46192</v>
      </c>
      <c r="J88" s="1" t="s">
        <v>53</v>
      </c>
      <c r="K88" s="1" t="s">
        <v>268</v>
      </c>
      <c r="L88" s="1">
        <v>139</v>
      </c>
      <c r="M88" s="1" t="s">
        <v>183</v>
      </c>
      <c r="N88" s="3">
        <v>46185</v>
      </c>
      <c r="P88" s="1" t="s">
        <v>73</v>
      </c>
      <c r="Q88" s="1" t="s">
        <v>55</v>
      </c>
      <c r="R88" s="1" t="s">
        <v>158</v>
      </c>
      <c r="S88" s="3">
        <v>46170</v>
      </c>
      <c r="T88" s="3">
        <v>46174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139</v>
      </c>
      <c r="B89" s="1" t="s">
        <v>276</v>
      </c>
      <c r="C89" s="1" t="s">
        <v>275</v>
      </c>
      <c r="D89" s="1" t="s">
        <v>105</v>
      </c>
      <c r="E89" s="1" t="s">
        <v>52</v>
      </c>
      <c r="F89" s="2">
        <v>46195</v>
      </c>
      <c r="G89" s="2">
        <v>46195</v>
      </c>
      <c r="H89" s="4">
        <v>0.5</v>
      </c>
      <c r="J89" s="1" t="s">
        <v>41</v>
      </c>
      <c r="K89" s="1">
        <v>138</v>
      </c>
      <c r="L89" s="1">
        <v>140</v>
      </c>
      <c r="M89" s="1" t="s">
        <v>225</v>
      </c>
      <c r="N89" s="3">
        <v>46188</v>
      </c>
      <c r="P89" s="1" t="s">
        <v>180</v>
      </c>
      <c r="Q89" s="1" t="s">
        <v>55</v>
      </c>
      <c r="R89" s="1" t="s">
        <v>158</v>
      </c>
      <c r="S89" s="3">
        <v>46175</v>
      </c>
      <c r="T89" s="3">
        <v>46175</v>
      </c>
      <c r="AB89" s="1">
        <v>0.5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 x14ac:dyDescent="0.25">
      <c r="A90" s="1">
        <v>140</v>
      </c>
      <c r="B90" s="1" t="s">
        <v>277</v>
      </c>
      <c r="C90" s="1" t="s">
        <v>275</v>
      </c>
      <c r="D90" s="1" t="s">
        <v>109</v>
      </c>
      <c r="E90" s="1" t="s">
        <v>116</v>
      </c>
      <c r="F90" s="2">
        <v>46196</v>
      </c>
      <c r="G90" s="2">
        <v>46197</v>
      </c>
      <c r="H90" s="4">
        <v>0</v>
      </c>
      <c r="J90" s="1" t="s">
        <v>41</v>
      </c>
      <c r="K90" s="1">
        <v>139</v>
      </c>
      <c r="L90" s="1">
        <v>141</v>
      </c>
      <c r="M90" s="1" t="s">
        <v>227</v>
      </c>
      <c r="N90" s="3">
        <v>46190</v>
      </c>
      <c r="P90" s="1" t="s">
        <v>180</v>
      </c>
      <c r="Q90" s="1" t="s">
        <v>55</v>
      </c>
      <c r="R90" s="1" t="s">
        <v>158</v>
      </c>
      <c r="S90" s="3">
        <v>46176</v>
      </c>
      <c r="T90" s="3">
        <v>46177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</row>
    <row r="91" spans="1:39" x14ac:dyDescent="0.25">
      <c r="A91" s="1">
        <v>141</v>
      </c>
      <c r="B91" s="1" t="s">
        <v>278</v>
      </c>
      <c r="C91" s="1" t="s">
        <v>275</v>
      </c>
      <c r="D91" s="1" t="s">
        <v>115</v>
      </c>
      <c r="E91" s="1" t="s">
        <v>52</v>
      </c>
      <c r="F91" s="2">
        <v>46198</v>
      </c>
      <c r="G91" s="2">
        <v>46198</v>
      </c>
      <c r="H91" s="4">
        <v>0</v>
      </c>
      <c r="J91" s="1" t="s">
        <v>41</v>
      </c>
      <c r="K91" s="1">
        <v>140</v>
      </c>
      <c r="M91" s="1" t="s">
        <v>187</v>
      </c>
      <c r="N91" s="3">
        <v>46191</v>
      </c>
      <c r="P91" s="1" t="s">
        <v>180</v>
      </c>
      <c r="Q91" s="1" t="s">
        <v>55</v>
      </c>
      <c r="R91" s="1" t="s">
        <v>158</v>
      </c>
      <c r="S91" s="3">
        <v>46178</v>
      </c>
      <c r="T91" s="3">
        <v>46178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</row>
    <row r="92" spans="1:39" x14ac:dyDescent="0.25">
      <c r="A92" s="1">
        <v>142</v>
      </c>
      <c r="B92" s="1" t="s">
        <v>279</v>
      </c>
      <c r="C92" s="1" t="s">
        <v>160</v>
      </c>
      <c r="D92" s="1" t="s">
        <v>280</v>
      </c>
      <c r="E92" s="1" t="s">
        <v>175</v>
      </c>
      <c r="F92" s="2">
        <v>46190</v>
      </c>
      <c r="G92" s="2">
        <v>46198</v>
      </c>
      <c r="H92" s="4">
        <v>0.5</v>
      </c>
      <c r="J92" s="1" t="s">
        <v>41</v>
      </c>
      <c r="M92" s="1" t="s">
        <v>183</v>
      </c>
      <c r="N92" s="3">
        <v>46191</v>
      </c>
      <c r="P92" s="1" t="s">
        <v>73</v>
      </c>
      <c r="Q92" s="1" t="s">
        <v>55</v>
      </c>
      <c r="R92" s="1" t="s">
        <v>158</v>
      </c>
      <c r="S92" s="3">
        <v>46170</v>
      </c>
      <c r="T92" s="3">
        <v>46178</v>
      </c>
      <c r="U92" s="1" t="s">
        <v>77</v>
      </c>
      <c r="AB92" s="1">
        <v>0.5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x14ac:dyDescent="0.25">
      <c r="A93" s="1">
        <v>143</v>
      </c>
      <c r="B93" s="1" t="s">
        <v>281</v>
      </c>
      <c r="C93" s="1" t="s">
        <v>282</v>
      </c>
      <c r="D93" s="1" t="s">
        <v>101</v>
      </c>
      <c r="E93" s="1" t="s">
        <v>102</v>
      </c>
      <c r="F93" s="2">
        <v>46190</v>
      </c>
      <c r="G93" s="2">
        <v>46192</v>
      </c>
      <c r="H93" s="4">
        <v>1</v>
      </c>
      <c r="I93" s="2">
        <v>46192</v>
      </c>
      <c r="J93" s="1" t="s">
        <v>53</v>
      </c>
      <c r="K93" s="1" t="s">
        <v>268</v>
      </c>
      <c r="L93" s="1">
        <v>144</v>
      </c>
      <c r="M93" s="1" t="s">
        <v>248</v>
      </c>
      <c r="N93" s="3">
        <v>46192</v>
      </c>
      <c r="P93" s="1" t="s">
        <v>73</v>
      </c>
      <c r="Q93" s="1" t="s">
        <v>55</v>
      </c>
      <c r="R93" s="1" t="s">
        <v>158</v>
      </c>
      <c r="S93" s="3">
        <v>46190</v>
      </c>
      <c r="T93" s="3">
        <v>46192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144</v>
      </c>
      <c r="B94" s="1" t="s">
        <v>283</v>
      </c>
      <c r="C94" s="1" t="s">
        <v>282</v>
      </c>
      <c r="D94" s="1" t="s">
        <v>105</v>
      </c>
      <c r="E94" s="1" t="s">
        <v>52</v>
      </c>
      <c r="F94" s="2">
        <v>46195</v>
      </c>
      <c r="G94" s="2">
        <v>46195</v>
      </c>
      <c r="H94" s="4">
        <v>0.5</v>
      </c>
      <c r="J94" s="1" t="s">
        <v>41</v>
      </c>
      <c r="K94" s="1">
        <v>143</v>
      </c>
      <c r="L94" s="1">
        <v>145</v>
      </c>
      <c r="M94" s="1" t="s">
        <v>284</v>
      </c>
      <c r="N94" s="3">
        <v>46195</v>
      </c>
      <c r="P94" s="1" t="s">
        <v>180</v>
      </c>
      <c r="Q94" s="1" t="s">
        <v>55</v>
      </c>
      <c r="R94" s="1" t="s">
        <v>158</v>
      </c>
      <c r="S94" s="3">
        <v>46195</v>
      </c>
      <c r="T94" s="3">
        <v>46195</v>
      </c>
      <c r="AB94" s="1">
        <v>0.5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</row>
    <row r="95" spans="1:39" x14ac:dyDescent="0.25">
      <c r="A95" s="1">
        <v>145</v>
      </c>
      <c r="B95" s="1" t="s">
        <v>285</v>
      </c>
      <c r="C95" s="1" t="s">
        <v>282</v>
      </c>
      <c r="D95" s="1" t="s">
        <v>109</v>
      </c>
      <c r="E95" s="1" t="s">
        <v>116</v>
      </c>
      <c r="F95" s="2">
        <v>46196</v>
      </c>
      <c r="G95" s="2">
        <v>46197</v>
      </c>
      <c r="H95" s="4">
        <v>0</v>
      </c>
      <c r="J95" s="1" t="s">
        <v>41</v>
      </c>
      <c r="K95" s="1">
        <v>144</v>
      </c>
      <c r="L95" s="1">
        <v>146</v>
      </c>
      <c r="M95" s="1" t="s">
        <v>251</v>
      </c>
      <c r="N95" s="3">
        <v>46197</v>
      </c>
      <c r="P95" s="1" t="s">
        <v>180</v>
      </c>
      <c r="Q95" s="1" t="s">
        <v>55</v>
      </c>
      <c r="R95" s="1" t="s">
        <v>158</v>
      </c>
      <c r="S95" s="3">
        <v>46196</v>
      </c>
      <c r="T95" s="3">
        <v>46197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s="1">
        <v>0</v>
      </c>
      <c r="AM95" s="1">
        <v>0</v>
      </c>
    </row>
    <row r="96" spans="1:39" x14ac:dyDescent="0.25">
      <c r="A96" s="1">
        <v>146</v>
      </c>
      <c r="B96" s="1" t="s">
        <v>286</v>
      </c>
      <c r="C96" s="1" t="s">
        <v>282</v>
      </c>
      <c r="D96" s="1" t="s">
        <v>115</v>
      </c>
      <c r="E96" s="1" t="s">
        <v>52</v>
      </c>
      <c r="F96" s="2">
        <v>46198</v>
      </c>
      <c r="G96" s="2">
        <v>46198</v>
      </c>
      <c r="H96" s="4">
        <v>0</v>
      </c>
      <c r="J96" s="1" t="s">
        <v>41</v>
      </c>
      <c r="K96" s="1">
        <v>145</v>
      </c>
      <c r="M96" s="1" t="s">
        <v>191</v>
      </c>
      <c r="N96" s="3">
        <v>46198</v>
      </c>
      <c r="P96" s="1" t="s">
        <v>180</v>
      </c>
      <c r="Q96" s="1" t="s">
        <v>55</v>
      </c>
      <c r="R96" s="1" t="s">
        <v>158</v>
      </c>
      <c r="S96" s="3">
        <v>46198</v>
      </c>
      <c r="T96" s="3">
        <v>46198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</v>
      </c>
      <c r="AM96" s="1">
        <v>0</v>
      </c>
    </row>
    <row r="97" spans="1:39" x14ac:dyDescent="0.25">
      <c r="A97" s="1">
        <v>147</v>
      </c>
      <c r="B97" s="1" t="s">
        <v>287</v>
      </c>
      <c r="C97" s="1" t="s">
        <v>50</v>
      </c>
      <c r="D97" s="1" t="s">
        <v>288</v>
      </c>
      <c r="E97" s="1" t="s">
        <v>289</v>
      </c>
      <c r="F97" s="2">
        <v>46181</v>
      </c>
      <c r="G97" s="2">
        <v>46210</v>
      </c>
      <c r="H97" s="4">
        <v>0.48</v>
      </c>
      <c r="J97" s="1" t="s">
        <v>41</v>
      </c>
      <c r="M97" s="1" t="s">
        <v>172</v>
      </c>
      <c r="N97" s="3">
        <v>46202</v>
      </c>
      <c r="P97" s="1" t="s">
        <v>76</v>
      </c>
      <c r="Q97" s="1" t="s">
        <v>55</v>
      </c>
      <c r="R97" s="1" t="s">
        <v>290</v>
      </c>
      <c r="S97" s="3">
        <v>46147</v>
      </c>
      <c r="T97" s="3">
        <v>46189</v>
      </c>
      <c r="AB97" s="1">
        <v>0.48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x14ac:dyDescent="0.25">
      <c r="A98" s="1">
        <v>158</v>
      </c>
      <c r="B98" s="1" t="s">
        <v>291</v>
      </c>
      <c r="C98" s="1" t="s">
        <v>292</v>
      </c>
      <c r="D98" s="1" t="s">
        <v>293</v>
      </c>
      <c r="E98" s="1" t="s">
        <v>294</v>
      </c>
      <c r="F98" s="2">
        <v>46188</v>
      </c>
      <c r="G98" s="2">
        <v>46202</v>
      </c>
      <c r="H98" s="4">
        <v>0.64</v>
      </c>
      <c r="J98" s="1" t="s">
        <v>41</v>
      </c>
      <c r="M98" s="1" t="s">
        <v>172</v>
      </c>
      <c r="N98" s="3">
        <v>46183</v>
      </c>
      <c r="P98" s="1" t="s">
        <v>73</v>
      </c>
      <c r="Q98" s="1" t="s">
        <v>55</v>
      </c>
      <c r="R98" s="1" t="s">
        <v>290</v>
      </c>
      <c r="S98" s="3">
        <v>46162</v>
      </c>
      <c r="T98" s="3">
        <v>46170</v>
      </c>
      <c r="AB98" s="1">
        <v>0.64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x14ac:dyDescent="0.25">
      <c r="A99" s="1">
        <v>159</v>
      </c>
      <c r="B99" s="1" t="s">
        <v>295</v>
      </c>
      <c r="C99" s="1" t="s">
        <v>296</v>
      </c>
      <c r="D99" s="1" t="s">
        <v>101</v>
      </c>
      <c r="E99" s="1" t="s">
        <v>297</v>
      </c>
      <c r="F99" s="2">
        <v>46188</v>
      </c>
      <c r="G99" s="2">
        <v>46196</v>
      </c>
      <c r="H99" s="4">
        <v>1</v>
      </c>
      <c r="I99" s="2">
        <v>46196</v>
      </c>
      <c r="J99" s="1" t="s">
        <v>53</v>
      </c>
      <c r="L99" s="1">
        <v>160</v>
      </c>
      <c r="M99" s="1" t="s">
        <v>172</v>
      </c>
      <c r="N99" s="3">
        <v>46177</v>
      </c>
      <c r="P99" s="1" t="s">
        <v>73</v>
      </c>
      <c r="Q99" s="1" t="s">
        <v>55</v>
      </c>
      <c r="R99" s="1" t="s">
        <v>290</v>
      </c>
      <c r="S99" s="3">
        <v>46162</v>
      </c>
      <c r="T99" s="3">
        <v>46164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160</v>
      </c>
      <c r="B100" s="1" t="s">
        <v>298</v>
      </c>
      <c r="C100" s="1" t="s">
        <v>296</v>
      </c>
      <c r="D100" s="1" t="s">
        <v>105</v>
      </c>
      <c r="E100" s="1" t="s">
        <v>52</v>
      </c>
      <c r="F100" s="2">
        <v>46197</v>
      </c>
      <c r="G100" s="2">
        <v>46197</v>
      </c>
      <c r="H100" s="4">
        <v>0</v>
      </c>
      <c r="J100" s="1" t="s">
        <v>41</v>
      </c>
      <c r="K100" s="1">
        <v>159</v>
      </c>
      <c r="L100" s="1" t="s">
        <v>299</v>
      </c>
      <c r="M100" s="1" t="s">
        <v>66</v>
      </c>
      <c r="N100" s="3">
        <v>46178</v>
      </c>
      <c r="P100" s="1" t="s">
        <v>180</v>
      </c>
      <c r="Q100" s="1" t="s">
        <v>55</v>
      </c>
      <c r="R100" s="1" t="s">
        <v>290</v>
      </c>
      <c r="S100" s="3">
        <v>46167</v>
      </c>
      <c r="T100" s="3">
        <v>46167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161</v>
      </c>
      <c r="B101" s="1" t="s">
        <v>300</v>
      </c>
      <c r="C101" s="1" t="s">
        <v>296</v>
      </c>
      <c r="D101" s="1" t="s">
        <v>109</v>
      </c>
      <c r="E101" s="1" t="s">
        <v>116</v>
      </c>
      <c r="F101" s="2">
        <v>46198</v>
      </c>
      <c r="G101" s="2">
        <v>46199</v>
      </c>
      <c r="H101" s="4">
        <v>0</v>
      </c>
      <c r="J101" s="1" t="s">
        <v>41</v>
      </c>
      <c r="K101" s="1">
        <v>160</v>
      </c>
      <c r="L101" s="1">
        <v>162</v>
      </c>
      <c r="M101" s="1" t="s">
        <v>149</v>
      </c>
      <c r="N101" s="3">
        <v>46182</v>
      </c>
      <c r="P101" s="1" t="s">
        <v>180</v>
      </c>
      <c r="Q101" s="1" t="s">
        <v>55</v>
      </c>
      <c r="R101" s="1" t="s">
        <v>290</v>
      </c>
      <c r="S101" s="3">
        <v>46168</v>
      </c>
      <c r="T101" s="3">
        <v>46169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162</v>
      </c>
      <c r="B102" s="1" t="s">
        <v>301</v>
      </c>
      <c r="C102" s="1" t="s">
        <v>296</v>
      </c>
      <c r="D102" s="1" t="s">
        <v>115</v>
      </c>
      <c r="E102" s="1" t="s">
        <v>52</v>
      </c>
      <c r="F102" s="2">
        <v>46202</v>
      </c>
      <c r="G102" s="2">
        <v>46202</v>
      </c>
      <c r="H102" s="4">
        <v>0</v>
      </c>
      <c r="J102" s="1" t="s">
        <v>41</v>
      </c>
      <c r="K102" s="1">
        <v>161</v>
      </c>
      <c r="M102" s="1" t="s">
        <v>183</v>
      </c>
      <c r="N102" s="3">
        <v>46183</v>
      </c>
      <c r="P102" s="1" t="s">
        <v>180</v>
      </c>
      <c r="Q102" s="1" t="s">
        <v>55</v>
      </c>
      <c r="R102" s="1" t="s">
        <v>290</v>
      </c>
      <c r="S102" s="3">
        <v>46170</v>
      </c>
      <c r="T102" s="3">
        <v>46170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178</v>
      </c>
      <c r="B103" s="1" t="s">
        <v>302</v>
      </c>
      <c r="C103" s="1" t="s">
        <v>292</v>
      </c>
      <c r="D103" s="1" t="s">
        <v>303</v>
      </c>
      <c r="E103" s="1" t="s">
        <v>162</v>
      </c>
      <c r="F103" s="2">
        <v>46195</v>
      </c>
      <c r="G103" s="2">
        <v>46204</v>
      </c>
      <c r="H103" s="4">
        <v>0.33</v>
      </c>
      <c r="J103" s="1" t="s">
        <v>41</v>
      </c>
      <c r="M103" s="1" t="s">
        <v>304</v>
      </c>
      <c r="N103" s="3">
        <v>46202</v>
      </c>
      <c r="P103" s="1" t="s">
        <v>180</v>
      </c>
      <c r="Q103" s="1" t="s">
        <v>55</v>
      </c>
      <c r="R103" s="1" t="s">
        <v>290</v>
      </c>
      <c r="S103" s="3">
        <v>46181</v>
      </c>
      <c r="T103" s="3">
        <v>46189</v>
      </c>
      <c r="AB103" s="1">
        <v>0.33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179</v>
      </c>
      <c r="B104" s="1" t="s">
        <v>305</v>
      </c>
      <c r="C104" s="1" t="s">
        <v>306</v>
      </c>
      <c r="D104" s="1" t="s">
        <v>101</v>
      </c>
      <c r="E104" s="1" t="s">
        <v>116</v>
      </c>
      <c r="F104" s="2">
        <v>46195</v>
      </c>
      <c r="G104" s="2">
        <v>46198</v>
      </c>
      <c r="H104" s="4">
        <v>1</v>
      </c>
      <c r="I104" s="2">
        <v>46198</v>
      </c>
      <c r="J104" s="1" t="s">
        <v>53</v>
      </c>
      <c r="K104" s="1">
        <v>185</v>
      </c>
      <c r="L104" s="1">
        <v>180</v>
      </c>
      <c r="M104" s="1" t="s">
        <v>304</v>
      </c>
      <c r="N104" s="3">
        <v>46196</v>
      </c>
      <c r="P104" s="1" t="s">
        <v>180</v>
      </c>
      <c r="Q104" s="1" t="s">
        <v>55</v>
      </c>
      <c r="R104" s="1" t="s">
        <v>290</v>
      </c>
      <c r="S104" s="3">
        <v>46181</v>
      </c>
      <c r="T104" s="3">
        <v>46183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180</v>
      </c>
      <c r="B105" s="1" t="s">
        <v>307</v>
      </c>
      <c r="C105" s="1" t="s">
        <v>306</v>
      </c>
      <c r="D105" s="1" t="s">
        <v>105</v>
      </c>
      <c r="E105" s="1" t="s">
        <v>52</v>
      </c>
      <c r="F105" s="2">
        <v>46199</v>
      </c>
      <c r="G105" s="2">
        <v>46199</v>
      </c>
      <c r="H105" s="4">
        <v>0</v>
      </c>
      <c r="J105" s="1" t="s">
        <v>41</v>
      </c>
      <c r="K105" s="1">
        <v>179</v>
      </c>
      <c r="L105" s="1">
        <v>181</v>
      </c>
      <c r="M105" s="1" t="s">
        <v>308</v>
      </c>
      <c r="N105" s="3">
        <v>46197</v>
      </c>
      <c r="P105" s="1" t="s">
        <v>180</v>
      </c>
      <c r="Q105" s="1" t="s">
        <v>55</v>
      </c>
      <c r="R105" s="1" t="s">
        <v>290</v>
      </c>
      <c r="S105" s="3">
        <v>46184</v>
      </c>
      <c r="T105" s="3">
        <v>46184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181</v>
      </c>
      <c r="B106" s="1" t="s">
        <v>309</v>
      </c>
      <c r="C106" s="1" t="s">
        <v>306</v>
      </c>
      <c r="D106" s="1" t="s">
        <v>109</v>
      </c>
      <c r="E106" s="1" t="s">
        <v>116</v>
      </c>
      <c r="F106" s="2">
        <v>46202</v>
      </c>
      <c r="G106" s="2">
        <v>46203</v>
      </c>
      <c r="H106" s="4">
        <v>0</v>
      </c>
      <c r="J106" s="1" t="s">
        <v>41</v>
      </c>
      <c r="K106" s="1">
        <v>180</v>
      </c>
      <c r="L106" s="1">
        <v>182</v>
      </c>
      <c r="M106" s="1" t="s">
        <v>191</v>
      </c>
      <c r="N106" s="3">
        <v>46199</v>
      </c>
      <c r="P106" s="1" t="s">
        <v>67</v>
      </c>
      <c r="Q106" s="1" t="s">
        <v>55</v>
      </c>
      <c r="R106" s="1" t="s">
        <v>290</v>
      </c>
      <c r="S106" s="3">
        <v>46185</v>
      </c>
      <c r="T106" s="3">
        <v>46188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5">
      <c r="A107" s="1">
        <v>182</v>
      </c>
      <c r="B107" s="1" t="s">
        <v>310</v>
      </c>
      <c r="C107" s="1" t="s">
        <v>306</v>
      </c>
      <c r="D107" s="1" t="s">
        <v>115</v>
      </c>
      <c r="E107" s="1" t="s">
        <v>52</v>
      </c>
      <c r="F107" s="2">
        <v>46204</v>
      </c>
      <c r="G107" s="2">
        <v>46204</v>
      </c>
      <c r="H107" s="4">
        <v>0</v>
      </c>
      <c r="J107" s="1" t="s">
        <v>41</v>
      </c>
      <c r="K107" s="1">
        <v>181</v>
      </c>
      <c r="M107" s="1" t="s">
        <v>311</v>
      </c>
      <c r="N107" s="3">
        <v>46202</v>
      </c>
      <c r="P107" s="1" t="s">
        <v>67</v>
      </c>
      <c r="Q107" s="1" t="s">
        <v>55</v>
      </c>
      <c r="R107" s="1" t="s">
        <v>290</v>
      </c>
      <c r="S107" s="3">
        <v>46189</v>
      </c>
      <c r="T107" s="3">
        <v>46189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 x14ac:dyDescent="0.25">
      <c r="A108" s="1">
        <v>183</v>
      </c>
      <c r="B108" s="1" t="s">
        <v>312</v>
      </c>
      <c r="C108" s="1" t="s">
        <v>292</v>
      </c>
      <c r="D108" s="1" t="s">
        <v>313</v>
      </c>
      <c r="E108" s="1" t="s">
        <v>175</v>
      </c>
      <c r="F108" s="2">
        <v>46202</v>
      </c>
      <c r="G108" s="2">
        <v>46210</v>
      </c>
      <c r="H108" s="4">
        <v>0.43</v>
      </c>
      <c r="J108" s="1" t="s">
        <v>41</v>
      </c>
      <c r="M108" s="1" t="s">
        <v>172</v>
      </c>
      <c r="N108" s="3">
        <v>46183</v>
      </c>
      <c r="P108" s="1" t="s">
        <v>314</v>
      </c>
      <c r="Q108" s="1" t="s">
        <v>55</v>
      </c>
      <c r="R108" s="1" t="s">
        <v>290</v>
      </c>
      <c r="S108" s="3">
        <v>46162</v>
      </c>
      <c r="T108" s="3">
        <v>46170</v>
      </c>
      <c r="AB108" s="1">
        <v>0.43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x14ac:dyDescent="0.25">
      <c r="A109" s="1">
        <v>184</v>
      </c>
      <c r="B109" s="1" t="s">
        <v>315</v>
      </c>
      <c r="C109" s="1" t="s">
        <v>316</v>
      </c>
      <c r="D109" s="1" t="s">
        <v>101</v>
      </c>
      <c r="E109" s="1" t="s">
        <v>102</v>
      </c>
      <c r="F109" s="2">
        <v>46202</v>
      </c>
      <c r="G109" s="2">
        <v>46204</v>
      </c>
      <c r="H109" s="4">
        <v>1</v>
      </c>
      <c r="I109" s="2">
        <v>46204</v>
      </c>
      <c r="J109" s="1" t="s">
        <v>53</v>
      </c>
      <c r="K109" s="1" t="s">
        <v>317</v>
      </c>
      <c r="L109" s="1" t="s">
        <v>318</v>
      </c>
      <c r="M109" s="1" t="s">
        <v>172</v>
      </c>
      <c r="N109" s="3">
        <v>46177</v>
      </c>
      <c r="P109" s="1" t="s">
        <v>314</v>
      </c>
      <c r="Q109" s="1" t="s">
        <v>55</v>
      </c>
      <c r="R109" s="1" t="s">
        <v>290</v>
      </c>
      <c r="S109" s="3">
        <v>46162</v>
      </c>
      <c r="T109" s="3">
        <v>46164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185</v>
      </c>
      <c r="B110" s="1" t="s">
        <v>319</v>
      </c>
      <c r="C110" s="1" t="s">
        <v>316</v>
      </c>
      <c r="D110" s="1" t="s">
        <v>105</v>
      </c>
      <c r="E110" s="1" t="s">
        <v>52</v>
      </c>
      <c r="F110" s="2">
        <v>46205</v>
      </c>
      <c r="G110" s="2">
        <v>46205</v>
      </c>
      <c r="H110" s="4">
        <v>0</v>
      </c>
      <c r="J110" s="1" t="s">
        <v>41</v>
      </c>
      <c r="K110" s="1">
        <v>184</v>
      </c>
      <c r="L110" s="1" t="s">
        <v>320</v>
      </c>
      <c r="M110" s="1" t="s">
        <v>66</v>
      </c>
      <c r="N110" s="3">
        <v>46178</v>
      </c>
      <c r="P110" s="1" t="s">
        <v>314</v>
      </c>
      <c r="Q110" s="1" t="s">
        <v>55</v>
      </c>
      <c r="R110" s="1" t="s">
        <v>290</v>
      </c>
      <c r="S110" s="3">
        <v>46167</v>
      </c>
      <c r="T110" s="3">
        <v>46167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186</v>
      </c>
      <c r="B111" s="1" t="s">
        <v>321</v>
      </c>
      <c r="C111" s="1" t="s">
        <v>316</v>
      </c>
      <c r="D111" s="1" t="s">
        <v>109</v>
      </c>
      <c r="E111" s="1" t="s">
        <v>116</v>
      </c>
      <c r="F111" s="2">
        <v>46206</v>
      </c>
      <c r="G111" s="2">
        <v>46209</v>
      </c>
      <c r="H111" s="4">
        <v>0</v>
      </c>
      <c r="J111" s="1" t="s">
        <v>41</v>
      </c>
      <c r="K111" s="1">
        <v>185</v>
      </c>
      <c r="L111" s="1">
        <v>187</v>
      </c>
      <c r="M111" s="1" t="s">
        <v>149</v>
      </c>
      <c r="N111" s="3">
        <v>46182</v>
      </c>
      <c r="P111" s="1" t="s">
        <v>314</v>
      </c>
      <c r="Q111" s="1" t="s">
        <v>55</v>
      </c>
      <c r="R111" s="1" t="s">
        <v>290</v>
      </c>
      <c r="S111" s="3">
        <v>46168</v>
      </c>
      <c r="T111" s="3">
        <v>46169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 x14ac:dyDescent="0.25">
      <c r="A112" s="1">
        <v>187</v>
      </c>
      <c r="B112" s="1" t="s">
        <v>322</v>
      </c>
      <c r="C112" s="1" t="s">
        <v>316</v>
      </c>
      <c r="D112" s="1" t="s">
        <v>115</v>
      </c>
      <c r="E112" s="1" t="s">
        <v>52</v>
      </c>
      <c r="F112" s="2">
        <v>46210</v>
      </c>
      <c r="G112" s="2">
        <v>46210</v>
      </c>
      <c r="H112" s="4">
        <v>0</v>
      </c>
      <c r="J112" s="1" t="s">
        <v>232</v>
      </c>
      <c r="K112" s="1">
        <v>186</v>
      </c>
      <c r="M112" s="1" t="s">
        <v>183</v>
      </c>
      <c r="N112" s="3">
        <v>46183</v>
      </c>
      <c r="P112" s="1" t="s">
        <v>314</v>
      </c>
      <c r="Q112" s="1" t="s">
        <v>55</v>
      </c>
      <c r="R112" s="1" t="s">
        <v>290</v>
      </c>
      <c r="S112" s="3">
        <v>46170</v>
      </c>
      <c r="T112" s="3">
        <v>46170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</row>
    <row r="113" spans="1:39" x14ac:dyDescent="0.25">
      <c r="A113" s="1">
        <v>188</v>
      </c>
      <c r="B113" s="1" t="s">
        <v>323</v>
      </c>
      <c r="C113" s="1" t="s">
        <v>292</v>
      </c>
      <c r="D113" s="1" t="s">
        <v>324</v>
      </c>
      <c r="E113" s="1" t="s">
        <v>186</v>
      </c>
      <c r="F113" s="2">
        <v>46181</v>
      </c>
      <c r="G113" s="2">
        <v>46192</v>
      </c>
      <c r="H113" s="4">
        <v>0.38</v>
      </c>
      <c r="J113" s="1" t="s">
        <v>41</v>
      </c>
      <c r="M113" s="1" t="s">
        <v>149</v>
      </c>
      <c r="N113" s="3">
        <v>46198</v>
      </c>
      <c r="P113" s="1" t="s">
        <v>76</v>
      </c>
      <c r="Q113" s="1" t="s">
        <v>55</v>
      </c>
      <c r="R113" s="1" t="s">
        <v>290</v>
      </c>
      <c r="S113" s="3">
        <v>46157</v>
      </c>
      <c r="T113" s="3">
        <v>46176</v>
      </c>
      <c r="AB113" s="1">
        <v>0.38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189</v>
      </c>
      <c r="B114" s="1" t="s">
        <v>325</v>
      </c>
      <c r="C114" s="1" t="s">
        <v>326</v>
      </c>
      <c r="D114" s="1" t="s">
        <v>101</v>
      </c>
      <c r="E114" s="1" t="s">
        <v>102</v>
      </c>
      <c r="F114" s="2">
        <v>46181</v>
      </c>
      <c r="G114" s="2">
        <v>46185</v>
      </c>
      <c r="H114" s="4">
        <v>1</v>
      </c>
      <c r="I114" s="2">
        <v>46185</v>
      </c>
      <c r="J114" s="1" t="s">
        <v>53</v>
      </c>
      <c r="K114" s="1" t="s">
        <v>327</v>
      </c>
      <c r="L114" s="1">
        <v>190</v>
      </c>
      <c r="M114" s="1" t="s">
        <v>149</v>
      </c>
      <c r="N114" s="3">
        <v>46192</v>
      </c>
      <c r="P114" s="1" t="s">
        <v>76</v>
      </c>
      <c r="Q114" s="1" t="s">
        <v>55</v>
      </c>
      <c r="R114" s="1" t="s">
        <v>290</v>
      </c>
      <c r="S114" s="3">
        <v>46157</v>
      </c>
      <c r="T114" s="3">
        <v>46170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x14ac:dyDescent="0.25">
      <c r="A115" s="1">
        <v>190</v>
      </c>
      <c r="B115" s="1" t="s">
        <v>328</v>
      </c>
      <c r="C115" s="1" t="s">
        <v>326</v>
      </c>
      <c r="D115" s="1" t="s">
        <v>105</v>
      </c>
      <c r="E115" s="1" t="s">
        <v>116</v>
      </c>
      <c r="F115" s="2">
        <v>46188</v>
      </c>
      <c r="G115" s="2">
        <v>46189</v>
      </c>
      <c r="H115" s="4">
        <v>0</v>
      </c>
      <c r="J115" s="1" t="s">
        <v>41</v>
      </c>
      <c r="K115" s="1">
        <v>189</v>
      </c>
      <c r="L115" s="1" t="s">
        <v>329</v>
      </c>
      <c r="M115" s="1" t="s">
        <v>284</v>
      </c>
      <c r="N115" s="3">
        <v>46195</v>
      </c>
      <c r="P115" s="1" t="s">
        <v>76</v>
      </c>
      <c r="Q115" s="1" t="s">
        <v>55</v>
      </c>
      <c r="R115" s="1" t="s">
        <v>290</v>
      </c>
      <c r="S115" s="3">
        <v>46171</v>
      </c>
      <c r="T115" s="3">
        <v>46171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x14ac:dyDescent="0.25">
      <c r="A116" s="1">
        <v>191</v>
      </c>
      <c r="B116" s="1" t="s">
        <v>330</v>
      </c>
      <c r="C116" s="1" t="s">
        <v>326</v>
      </c>
      <c r="D116" s="1" t="s">
        <v>109</v>
      </c>
      <c r="E116" s="1" t="s">
        <v>116</v>
      </c>
      <c r="F116" s="2">
        <v>46190</v>
      </c>
      <c r="G116" s="2">
        <v>46191</v>
      </c>
      <c r="H116" s="4">
        <v>0</v>
      </c>
      <c r="J116" s="1" t="s">
        <v>41</v>
      </c>
      <c r="K116" s="1">
        <v>190</v>
      </c>
      <c r="L116" s="1">
        <v>192</v>
      </c>
      <c r="M116" s="1" t="s">
        <v>251</v>
      </c>
      <c r="N116" s="3">
        <v>46197</v>
      </c>
      <c r="P116" s="1" t="s">
        <v>76</v>
      </c>
      <c r="Q116" s="1" t="s">
        <v>55</v>
      </c>
      <c r="R116" s="1" t="s">
        <v>290</v>
      </c>
      <c r="S116" s="3">
        <v>46174</v>
      </c>
      <c r="T116" s="3">
        <v>46175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0</v>
      </c>
      <c r="AL116" s="1">
        <v>0</v>
      </c>
      <c r="AM116" s="1">
        <v>0</v>
      </c>
    </row>
    <row r="117" spans="1:39" x14ac:dyDescent="0.25">
      <c r="A117" s="1">
        <v>192</v>
      </c>
      <c r="B117" s="1" t="s">
        <v>331</v>
      </c>
      <c r="C117" s="1" t="s">
        <v>326</v>
      </c>
      <c r="D117" s="1" t="s">
        <v>115</v>
      </c>
      <c r="E117" s="1" t="s">
        <v>52</v>
      </c>
      <c r="F117" s="2">
        <v>46192</v>
      </c>
      <c r="G117" s="2">
        <v>46192</v>
      </c>
      <c r="H117" s="4">
        <v>0</v>
      </c>
      <c r="J117" s="1" t="s">
        <v>41</v>
      </c>
      <c r="K117" s="1">
        <v>191</v>
      </c>
      <c r="M117" s="1" t="s">
        <v>191</v>
      </c>
      <c r="N117" s="3">
        <v>46198</v>
      </c>
      <c r="P117" s="1" t="s">
        <v>76</v>
      </c>
      <c r="Q117" s="1" t="s">
        <v>55</v>
      </c>
      <c r="R117" s="1" t="s">
        <v>290</v>
      </c>
      <c r="S117" s="3">
        <v>46176</v>
      </c>
      <c r="T117" s="3">
        <v>46176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</row>
    <row r="118" spans="1:39" x14ac:dyDescent="0.25">
      <c r="A118" s="1">
        <v>198</v>
      </c>
      <c r="B118" s="1" t="s">
        <v>332</v>
      </c>
      <c r="C118" s="1" t="s">
        <v>292</v>
      </c>
      <c r="D118" s="1" t="s">
        <v>333</v>
      </c>
      <c r="E118" s="1" t="s">
        <v>334</v>
      </c>
      <c r="F118" s="2">
        <v>46196</v>
      </c>
      <c r="G118" s="2">
        <v>46205</v>
      </c>
      <c r="H118" s="4">
        <v>0.56000000000000005</v>
      </c>
      <c r="J118" s="1" t="s">
        <v>41</v>
      </c>
      <c r="L118" s="1">
        <v>154</v>
      </c>
      <c r="M118" s="1" t="s">
        <v>66</v>
      </c>
      <c r="N118" s="3">
        <v>46188</v>
      </c>
      <c r="P118" s="1" t="s">
        <v>180</v>
      </c>
      <c r="Q118" s="1" t="s">
        <v>55</v>
      </c>
      <c r="R118" s="1" t="s">
        <v>290</v>
      </c>
      <c r="S118" s="3">
        <v>46167</v>
      </c>
      <c r="T118" s="3">
        <v>46175</v>
      </c>
      <c r="AB118" s="1">
        <v>0.56000000000000005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</row>
    <row r="119" spans="1:39" x14ac:dyDescent="0.25">
      <c r="A119" s="1">
        <v>199</v>
      </c>
      <c r="B119" s="1" t="s">
        <v>335</v>
      </c>
      <c r="C119" s="1" t="s">
        <v>336</v>
      </c>
      <c r="D119" s="1" t="s">
        <v>101</v>
      </c>
      <c r="E119" s="1" t="s">
        <v>168</v>
      </c>
      <c r="F119" s="2">
        <v>46196</v>
      </c>
      <c r="G119" s="2">
        <v>46199</v>
      </c>
      <c r="H119" s="4">
        <v>1</v>
      </c>
      <c r="I119" s="2">
        <v>46199</v>
      </c>
      <c r="J119" s="1" t="s">
        <v>53</v>
      </c>
      <c r="K119" s="1">
        <v>160</v>
      </c>
      <c r="L119" s="1">
        <v>200</v>
      </c>
      <c r="M119" s="1" t="s">
        <v>66</v>
      </c>
      <c r="N119" s="3">
        <v>46182</v>
      </c>
      <c r="P119" s="1" t="s">
        <v>180</v>
      </c>
      <c r="Q119" s="1" t="s">
        <v>55</v>
      </c>
      <c r="R119" s="1" t="s">
        <v>290</v>
      </c>
      <c r="S119" s="3">
        <v>46167</v>
      </c>
      <c r="T119" s="3">
        <v>46169</v>
      </c>
      <c r="AB119" s="1">
        <v>1</v>
      </c>
      <c r="AC119" s="1">
        <v>1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</row>
    <row r="120" spans="1:39" x14ac:dyDescent="0.25">
      <c r="A120" s="1">
        <v>200</v>
      </c>
      <c r="B120" s="1" t="s">
        <v>337</v>
      </c>
      <c r="C120" s="1" t="s">
        <v>336</v>
      </c>
      <c r="D120" s="1" t="s">
        <v>105</v>
      </c>
      <c r="E120" s="1" t="s">
        <v>52</v>
      </c>
      <c r="F120" s="2">
        <v>46199</v>
      </c>
      <c r="G120" s="2">
        <v>46202</v>
      </c>
      <c r="H120" s="4">
        <v>0.5</v>
      </c>
      <c r="J120" s="1" t="s">
        <v>41</v>
      </c>
      <c r="K120" s="1">
        <v>199</v>
      </c>
      <c r="L120" s="1">
        <v>201</v>
      </c>
      <c r="M120" s="1" t="s">
        <v>183</v>
      </c>
      <c r="N120" s="3">
        <v>46183</v>
      </c>
      <c r="P120" s="1" t="s">
        <v>180</v>
      </c>
      <c r="Q120" s="1" t="s">
        <v>55</v>
      </c>
      <c r="R120" s="1" t="s">
        <v>290</v>
      </c>
      <c r="S120" s="3">
        <v>46170</v>
      </c>
      <c r="T120" s="3">
        <v>46170</v>
      </c>
      <c r="AB120" s="1">
        <v>0.5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x14ac:dyDescent="0.25">
      <c r="A121" s="1">
        <v>201</v>
      </c>
      <c r="B121" s="1" t="s">
        <v>338</v>
      </c>
      <c r="C121" s="1" t="s">
        <v>336</v>
      </c>
      <c r="D121" s="1" t="s">
        <v>109</v>
      </c>
      <c r="E121" s="1" t="s">
        <v>116</v>
      </c>
      <c r="F121" s="2">
        <v>46202</v>
      </c>
      <c r="G121" s="2">
        <v>46204</v>
      </c>
      <c r="H121" s="4">
        <v>0</v>
      </c>
      <c r="J121" s="1" t="s">
        <v>41</v>
      </c>
      <c r="K121" s="1">
        <v>200</v>
      </c>
      <c r="L121" s="1">
        <v>202</v>
      </c>
      <c r="M121" s="1" t="s">
        <v>153</v>
      </c>
      <c r="N121" s="3">
        <v>46185</v>
      </c>
      <c r="P121" s="1" t="s">
        <v>67</v>
      </c>
      <c r="Q121" s="1" t="s">
        <v>55</v>
      </c>
      <c r="R121" s="1" t="s">
        <v>290</v>
      </c>
      <c r="S121" s="3">
        <v>46171</v>
      </c>
      <c r="T121" s="3">
        <v>46174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0</v>
      </c>
      <c r="AL121" s="1">
        <v>0</v>
      </c>
      <c r="AM121" s="1">
        <v>0</v>
      </c>
    </row>
    <row r="122" spans="1:39" x14ac:dyDescent="0.25">
      <c r="A122" s="1">
        <v>202</v>
      </c>
      <c r="B122" s="1" t="s">
        <v>339</v>
      </c>
      <c r="C122" s="1" t="s">
        <v>336</v>
      </c>
      <c r="D122" s="1" t="s">
        <v>115</v>
      </c>
      <c r="E122" s="1" t="s">
        <v>52</v>
      </c>
      <c r="F122" s="2">
        <v>46204</v>
      </c>
      <c r="G122" s="2">
        <v>46205</v>
      </c>
      <c r="H122" s="4">
        <v>0</v>
      </c>
      <c r="J122" s="1" t="s">
        <v>41</v>
      </c>
      <c r="K122" s="1">
        <v>201</v>
      </c>
      <c r="M122" s="1" t="s">
        <v>225</v>
      </c>
      <c r="N122" s="3">
        <v>46188</v>
      </c>
      <c r="P122" s="1" t="s">
        <v>67</v>
      </c>
      <c r="Q122" s="1" t="s">
        <v>55</v>
      </c>
      <c r="R122" s="1" t="s">
        <v>290</v>
      </c>
      <c r="S122" s="3">
        <v>46175</v>
      </c>
      <c r="T122" s="3">
        <v>46175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</row>
    <row r="123" spans="1:39" x14ac:dyDescent="0.25">
      <c r="A123" s="1">
        <v>203</v>
      </c>
      <c r="B123" s="1" t="s">
        <v>340</v>
      </c>
      <c r="C123" s="1" t="s">
        <v>292</v>
      </c>
      <c r="D123" s="1" t="s">
        <v>341</v>
      </c>
      <c r="E123" s="1" t="s">
        <v>334</v>
      </c>
      <c r="F123" s="2">
        <v>46196</v>
      </c>
      <c r="G123" s="2">
        <v>46205</v>
      </c>
      <c r="H123" s="4">
        <v>0.56000000000000005</v>
      </c>
      <c r="J123" s="1" t="s">
        <v>41</v>
      </c>
      <c r="M123" s="1" t="s">
        <v>66</v>
      </c>
      <c r="N123" s="3">
        <v>46188</v>
      </c>
      <c r="P123" s="1" t="s">
        <v>180</v>
      </c>
      <c r="Q123" s="1" t="s">
        <v>55</v>
      </c>
      <c r="R123" s="1" t="s">
        <v>290</v>
      </c>
      <c r="S123" s="3">
        <v>46167</v>
      </c>
      <c r="T123" s="3">
        <v>46175</v>
      </c>
      <c r="AB123" s="1">
        <v>0.56000000000000005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204</v>
      </c>
      <c r="B124" s="1" t="s">
        <v>342</v>
      </c>
      <c r="C124" s="1" t="s">
        <v>343</v>
      </c>
      <c r="D124" s="1" t="s">
        <v>101</v>
      </c>
      <c r="E124" s="1" t="s">
        <v>168</v>
      </c>
      <c r="F124" s="2">
        <v>46196</v>
      </c>
      <c r="G124" s="2">
        <v>46199</v>
      </c>
      <c r="H124" s="4">
        <v>1</v>
      </c>
      <c r="I124" s="2">
        <v>46199</v>
      </c>
      <c r="J124" s="1" t="s">
        <v>53</v>
      </c>
      <c r="K124" s="1">
        <v>160</v>
      </c>
      <c r="L124" s="1">
        <v>205</v>
      </c>
      <c r="M124" s="1" t="s">
        <v>66</v>
      </c>
      <c r="N124" s="3">
        <v>46182</v>
      </c>
      <c r="P124" s="1" t="s">
        <v>180</v>
      </c>
      <c r="Q124" s="1" t="s">
        <v>55</v>
      </c>
      <c r="R124" s="1" t="s">
        <v>290</v>
      </c>
      <c r="S124" s="3">
        <v>46167</v>
      </c>
      <c r="T124" s="3">
        <v>46169</v>
      </c>
      <c r="AB124" s="1">
        <v>1</v>
      </c>
      <c r="AC124" s="1">
        <v>1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</v>
      </c>
    </row>
    <row r="125" spans="1:39" x14ac:dyDescent="0.25">
      <c r="A125" s="1">
        <v>205</v>
      </c>
      <c r="B125" s="1" t="s">
        <v>344</v>
      </c>
      <c r="C125" s="1" t="s">
        <v>343</v>
      </c>
      <c r="D125" s="1" t="s">
        <v>105</v>
      </c>
      <c r="E125" s="1" t="s">
        <v>52</v>
      </c>
      <c r="F125" s="2">
        <v>46199</v>
      </c>
      <c r="G125" s="2">
        <v>46202</v>
      </c>
      <c r="H125" s="4">
        <v>0.5</v>
      </c>
      <c r="J125" s="1" t="s">
        <v>41</v>
      </c>
      <c r="K125" s="1">
        <v>204</v>
      </c>
      <c r="L125" s="1">
        <v>206</v>
      </c>
      <c r="M125" s="1" t="s">
        <v>183</v>
      </c>
      <c r="N125" s="3">
        <v>46183</v>
      </c>
      <c r="P125" s="1" t="s">
        <v>180</v>
      </c>
      <c r="Q125" s="1" t="s">
        <v>55</v>
      </c>
      <c r="R125" s="1" t="s">
        <v>290</v>
      </c>
      <c r="S125" s="3">
        <v>46170</v>
      </c>
      <c r="T125" s="3">
        <v>46170</v>
      </c>
      <c r="AB125" s="1">
        <v>0.5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</row>
    <row r="126" spans="1:39" x14ac:dyDescent="0.25">
      <c r="A126" s="1">
        <v>206</v>
      </c>
      <c r="B126" s="1" t="s">
        <v>345</v>
      </c>
      <c r="C126" s="1" t="s">
        <v>343</v>
      </c>
      <c r="D126" s="1" t="s">
        <v>109</v>
      </c>
      <c r="E126" s="1" t="s">
        <v>116</v>
      </c>
      <c r="F126" s="2">
        <v>46202</v>
      </c>
      <c r="G126" s="2">
        <v>46204</v>
      </c>
      <c r="H126" s="4">
        <v>0</v>
      </c>
      <c r="J126" s="1" t="s">
        <v>41</v>
      </c>
      <c r="K126" s="1">
        <v>205</v>
      </c>
      <c r="L126" s="1">
        <v>207</v>
      </c>
      <c r="M126" s="1" t="s">
        <v>153</v>
      </c>
      <c r="N126" s="3">
        <v>46185</v>
      </c>
      <c r="P126" s="1" t="s">
        <v>67</v>
      </c>
      <c r="Q126" s="1" t="s">
        <v>55</v>
      </c>
      <c r="R126" s="1" t="s">
        <v>290</v>
      </c>
      <c r="S126" s="3">
        <v>46171</v>
      </c>
      <c r="T126" s="3">
        <v>46174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  <c r="AK126" s="1">
        <v>0</v>
      </c>
      <c r="AL126" s="1">
        <v>0</v>
      </c>
      <c r="AM126" s="1">
        <v>0</v>
      </c>
    </row>
    <row r="127" spans="1:39" x14ac:dyDescent="0.25">
      <c r="A127" s="1">
        <v>207</v>
      </c>
      <c r="B127" s="1" t="s">
        <v>346</v>
      </c>
      <c r="C127" s="1" t="s">
        <v>343</v>
      </c>
      <c r="D127" s="1" t="s">
        <v>115</v>
      </c>
      <c r="E127" s="1" t="s">
        <v>52</v>
      </c>
      <c r="F127" s="2">
        <v>46204</v>
      </c>
      <c r="G127" s="2">
        <v>46205</v>
      </c>
      <c r="H127" s="4">
        <v>0</v>
      </c>
      <c r="J127" s="1" t="s">
        <v>41</v>
      </c>
      <c r="K127" s="1">
        <v>206</v>
      </c>
      <c r="M127" s="1" t="s">
        <v>225</v>
      </c>
      <c r="N127" s="3">
        <v>46188</v>
      </c>
      <c r="P127" s="1" t="s">
        <v>67</v>
      </c>
      <c r="Q127" s="1" t="s">
        <v>55</v>
      </c>
      <c r="R127" s="1" t="s">
        <v>290</v>
      </c>
      <c r="S127" s="3">
        <v>46175</v>
      </c>
      <c r="T127" s="3">
        <v>46175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</row>
    <row r="128" spans="1:39" x14ac:dyDescent="0.25">
      <c r="A128" s="1">
        <v>208</v>
      </c>
      <c r="B128" s="1" t="s">
        <v>347</v>
      </c>
      <c r="C128" s="1" t="s">
        <v>292</v>
      </c>
      <c r="D128" s="1" t="s">
        <v>348</v>
      </c>
      <c r="E128" s="1" t="s">
        <v>334</v>
      </c>
      <c r="F128" s="2">
        <v>46196</v>
      </c>
      <c r="G128" s="2">
        <v>46205</v>
      </c>
      <c r="H128" s="4">
        <v>0.44</v>
      </c>
      <c r="J128" s="1" t="s">
        <v>41</v>
      </c>
      <c r="M128" s="1" t="s">
        <v>66</v>
      </c>
      <c r="N128" s="3">
        <v>46188</v>
      </c>
      <c r="P128" s="1" t="s">
        <v>180</v>
      </c>
      <c r="Q128" s="1" t="s">
        <v>55</v>
      </c>
      <c r="R128" s="1" t="s">
        <v>290</v>
      </c>
      <c r="S128" s="3">
        <v>46167</v>
      </c>
      <c r="T128" s="3">
        <v>46175</v>
      </c>
      <c r="AB128" s="1">
        <v>0.44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209</v>
      </c>
      <c r="B129" s="1" t="s">
        <v>349</v>
      </c>
      <c r="C129" s="1" t="s">
        <v>350</v>
      </c>
      <c r="D129" s="1" t="s">
        <v>101</v>
      </c>
      <c r="E129" s="1" t="s">
        <v>168</v>
      </c>
      <c r="F129" s="2">
        <v>46196</v>
      </c>
      <c r="G129" s="2">
        <v>46199</v>
      </c>
      <c r="H129" s="4">
        <v>0.75</v>
      </c>
      <c r="J129" s="1" t="s">
        <v>41</v>
      </c>
      <c r="K129" s="1">
        <v>160</v>
      </c>
      <c r="L129" s="1">
        <v>210</v>
      </c>
      <c r="M129" s="1" t="s">
        <v>66</v>
      </c>
      <c r="N129" s="3">
        <v>46182</v>
      </c>
      <c r="P129" s="1" t="s">
        <v>180</v>
      </c>
      <c r="Q129" s="1" t="s">
        <v>44</v>
      </c>
      <c r="R129" s="1" t="s">
        <v>290</v>
      </c>
      <c r="S129" s="3">
        <v>46167</v>
      </c>
      <c r="T129" s="3">
        <v>46169</v>
      </c>
      <c r="AB129" s="1">
        <v>0.75</v>
      </c>
      <c r="AC129" s="1">
        <v>1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210</v>
      </c>
      <c r="B130" s="1" t="s">
        <v>351</v>
      </c>
      <c r="C130" s="1" t="s">
        <v>350</v>
      </c>
      <c r="D130" s="1" t="s">
        <v>105</v>
      </c>
      <c r="E130" s="1" t="s">
        <v>52</v>
      </c>
      <c r="F130" s="2">
        <v>46199</v>
      </c>
      <c r="G130" s="2">
        <v>46202</v>
      </c>
      <c r="H130" s="4">
        <v>0.5</v>
      </c>
      <c r="J130" s="1" t="s">
        <v>41</v>
      </c>
      <c r="K130" s="1">
        <v>209</v>
      </c>
      <c r="L130" s="1">
        <v>211</v>
      </c>
      <c r="M130" s="1" t="s">
        <v>183</v>
      </c>
      <c r="N130" s="3">
        <v>46183</v>
      </c>
      <c r="P130" s="1" t="s">
        <v>180</v>
      </c>
      <c r="Q130" s="1" t="s">
        <v>55</v>
      </c>
      <c r="R130" s="1" t="s">
        <v>290</v>
      </c>
      <c r="S130" s="3">
        <v>46170</v>
      </c>
      <c r="T130" s="3">
        <v>46170</v>
      </c>
      <c r="AB130" s="1">
        <v>0.5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x14ac:dyDescent="0.25">
      <c r="A131" s="1">
        <v>211</v>
      </c>
      <c r="B131" s="1" t="s">
        <v>352</v>
      </c>
      <c r="C131" s="1" t="s">
        <v>350</v>
      </c>
      <c r="D131" s="1" t="s">
        <v>109</v>
      </c>
      <c r="E131" s="1" t="s">
        <v>116</v>
      </c>
      <c r="F131" s="2">
        <v>46202</v>
      </c>
      <c r="G131" s="2">
        <v>46204</v>
      </c>
      <c r="H131" s="4">
        <v>0</v>
      </c>
      <c r="J131" s="1" t="s">
        <v>41</v>
      </c>
      <c r="K131" s="1">
        <v>210</v>
      </c>
      <c r="L131" s="1">
        <v>212</v>
      </c>
      <c r="M131" s="1" t="s">
        <v>153</v>
      </c>
      <c r="N131" s="3">
        <v>46185</v>
      </c>
      <c r="P131" s="1" t="s">
        <v>67</v>
      </c>
      <c r="Q131" s="1" t="s">
        <v>55</v>
      </c>
      <c r="R131" s="1" t="s">
        <v>290</v>
      </c>
      <c r="S131" s="3">
        <v>46171</v>
      </c>
      <c r="T131" s="3">
        <v>46174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</row>
    <row r="132" spans="1:39" x14ac:dyDescent="0.25">
      <c r="A132" s="1">
        <v>212</v>
      </c>
      <c r="B132" s="1" t="s">
        <v>353</v>
      </c>
      <c r="C132" s="1" t="s">
        <v>350</v>
      </c>
      <c r="D132" s="1" t="s">
        <v>115</v>
      </c>
      <c r="E132" s="1" t="s">
        <v>52</v>
      </c>
      <c r="F132" s="2">
        <v>46204</v>
      </c>
      <c r="G132" s="2">
        <v>46205</v>
      </c>
      <c r="H132" s="4">
        <v>0</v>
      </c>
      <c r="J132" s="1" t="s">
        <v>41</v>
      </c>
      <c r="K132" s="1">
        <v>211</v>
      </c>
      <c r="M132" s="1" t="s">
        <v>225</v>
      </c>
      <c r="N132" s="3">
        <v>46188</v>
      </c>
      <c r="P132" s="1" t="s">
        <v>67</v>
      </c>
      <c r="Q132" s="1" t="s">
        <v>55</v>
      </c>
      <c r="R132" s="1" t="s">
        <v>290</v>
      </c>
      <c r="S132" s="3">
        <v>46175</v>
      </c>
      <c r="T132" s="3">
        <v>46175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</row>
    <row r="133" spans="1:39" x14ac:dyDescent="0.25">
      <c r="A133" s="1">
        <v>228</v>
      </c>
      <c r="B133" s="1" t="s">
        <v>354</v>
      </c>
      <c r="C133" s="1" t="s">
        <v>292</v>
      </c>
      <c r="D133" s="1" t="s">
        <v>355</v>
      </c>
      <c r="E133" s="1" t="s">
        <v>175</v>
      </c>
      <c r="F133" s="2">
        <v>46202</v>
      </c>
      <c r="G133" s="2">
        <v>46210</v>
      </c>
      <c r="H133" s="4">
        <v>0.43</v>
      </c>
      <c r="J133" s="1" t="s">
        <v>41</v>
      </c>
      <c r="M133" s="1" t="s">
        <v>66</v>
      </c>
      <c r="N133" s="3">
        <v>46188</v>
      </c>
      <c r="P133" s="1" t="s">
        <v>180</v>
      </c>
      <c r="Q133" s="1" t="s">
        <v>55</v>
      </c>
      <c r="R133" s="1" t="s">
        <v>290</v>
      </c>
      <c r="S133" s="3">
        <v>46167</v>
      </c>
      <c r="T133" s="3">
        <v>46175</v>
      </c>
      <c r="AB133" s="1">
        <v>0.43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x14ac:dyDescent="0.25">
      <c r="A134" s="1">
        <v>229</v>
      </c>
      <c r="B134" s="1" t="s">
        <v>356</v>
      </c>
      <c r="C134" s="1" t="s">
        <v>357</v>
      </c>
      <c r="D134" s="1" t="s">
        <v>101</v>
      </c>
      <c r="E134" s="1" t="s">
        <v>102</v>
      </c>
      <c r="F134" s="2">
        <v>46202</v>
      </c>
      <c r="G134" s="2">
        <v>46204</v>
      </c>
      <c r="H134" s="4">
        <v>1</v>
      </c>
      <c r="I134" s="2">
        <v>46204</v>
      </c>
      <c r="J134" s="1" t="s">
        <v>53</v>
      </c>
      <c r="K134" s="1" t="s">
        <v>358</v>
      </c>
      <c r="L134" s="1">
        <v>230</v>
      </c>
      <c r="M134" s="1" t="s">
        <v>66</v>
      </c>
      <c r="N134" s="3">
        <v>46182</v>
      </c>
      <c r="P134" s="1" t="s">
        <v>180</v>
      </c>
      <c r="Q134" s="1" t="s">
        <v>55</v>
      </c>
      <c r="R134" s="1" t="s">
        <v>290</v>
      </c>
      <c r="S134" s="3">
        <v>46167</v>
      </c>
      <c r="T134" s="3">
        <v>46169</v>
      </c>
      <c r="AB134" s="1">
        <v>1</v>
      </c>
      <c r="AC134" s="1">
        <v>1</v>
      </c>
      <c r="AD134" s="1">
        <v>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</row>
    <row r="135" spans="1:39" x14ac:dyDescent="0.25">
      <c r="A135" s="1">
        <v>230</v>
      </c>
      <c r="B135" s="1" t="s">
        <v>359</v>
      </c>
      <c r="C135" s="1" t="s">
        <v>357</v>
      </c>
      <c r="D135" s="1" t="s">
        <v>105</v>
      </c>
      <c r="E135" s="1" t="s">
        <v>52</v>
      </c>
      <c r="F135" s="2">
        <v>46205</v>
      </c>
      <c r="G135" s="2">
        <v>46205</v>
      </c>
      <c r="H135" s="4">
        <v>0</v>
      </c>
      <c r="J135" s="1" t="s">
        <v>41</v>
      </c>
      <c r="K135" s="1">
        <v>229</v>
      </c>
      <c r="L135" s="1">
        <v>231</v>
      </c>
      <c r="M135" s="1" t="s">
        <v>183</v>
      </c>
      <c r="N135" s="3">
        <v>46183</v>
      </c>
      <c r="P135" s="1" t="s">
        <v>67</v>
      </c>
      <c r="Q135" s="1" t="s">
        <v>55</v>
      </c>
      <c r="R135" s="1" t="s">
        <v>290</v>
      </c>
      <c r="S135" s="3">
        <v>46170</v>
      </c>
      <c r="T135" s="3">
        <v>46170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</row>
    <row r="136" spans="1:39" x14ac:dyDescent="0.25">
      <c r="A136" s="1">
        <v>231</v>
      </c>
      <c r="B136" s="1" t="s">
        <v>360</v>
      </c>
      <c r="C136" s="1" t="s">
        <v>357</v>
      </c>
      <c r="D136" s="1" t="s">
        <v>109</v>
      </c>
      <c r="E136" s="1" t="s">
        <v>116</v>
      </c>
      <c r="F136" s="2">
        <v>46206</v>
      </c>
      <c r="G136" s="2">
        <v>46209</v>
      </c>
      <c r="H136" s="4">
        <v>0</v>
      </c>
      <c r="J136" s="1" t="s">
        <v>41</v>
      </c>
      <c r="K136" s="1">
        <v>230</v>
      </c>
      <c r="L136" s="1">
        <v>232</v>
      </c>
      <c r="M136" s="1" t="s">
        <v>153</v>
      </c>
      <c r="N136" s="3">
        <v>46185</v>
      </c>
      <c r="P136" s="1" t="s">
        <v>67</v>
      </c>
      <c r="Q136" s="1" t="s">
        <v>55</v>
      </c>
      <c r="R136" s="1" t="s">
        <v>290</v>
      </c>
      <c r="S136" s="3">
        <v>46171</v>
      </c>
      <c r="T136" s="3">
        <v>46174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</v>
      </c>
      <c r="AK136" s="1">
        <v>0</v>
      </c>
      <c r="AL136" s="1">
        <v>0</v>
      </c>
      <c r="AM136" s="1">
        <v>0</v>
      </c>
    </row>
    <row r="137" spans="1:39" x14ac:dyDescent="0.25">
      <c r="A137" s="1">
        <v>232</v>
      </c>
      <c r="B137" s="1" t="s">
        <v>361</v>
      </c>
      <c r="C137" s="1" t="s">
        <v>357</v>
      </c>
      <c r="D137" s="1" t="s">
        <v>115</v>
      </c>
      <c r="E137" s="1" t="s">
        <v>52</v>
      </c>
      <c r="F137" s="2">
        <v>46210</v>
      </c>
      <c r="G137" s="2">
        <v>46210</v>
      </c>
      <c r="H137" s="4">
        <v>0</v>
      </c>
      <c r="J137" s="1" t="s">
        <v>232</v>
      </c>
      <c r="K137" s="1">
        <v>231</v>
      </c>
      <c r="M137" s="1" t="s">
        <v>225</v>
      </c>
      <c r="N137" s="3">
        <v>46188</v>
      </c>
      <c r="P137" s="1" t="s">
        <v>67</v>
      </c>
      <c r="Q137" s="1" t="s">
        <v>55</v>
      </c>
      <c r="R137" s="1" t="s">
        <v>290</v>
      </c>
      <c r="S137" s="3">
        <v>46175</v>
      </c>
      <c r="T137" s="3">
        <v>46175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x14ac:dyDescent="0.25">
      <c r="A138" s="1">
        <v>238</v>
      </c>
      <c r="B138" s="1" t="s">
        <v>362</v>
      </c>
      <c r="C138" s="1" t="s">
        <v>50</v>
      </c>
      <c r="D138" s="1" t="s">
        <v>363</v>
      </c>
      <c r="E138" s="1" t="s">
        <v>364</v>
      </c>
      <c r="F138" s="2">
        <v>46191</v>
      </c>
      <c r="G138" s="2">
        <v>46218</v>
      </c>
      <c r="H138" s="4">
        <v>0.44</v>
      </c>
      <c r="J138" s="1" t="s">
        <v>41</v>
      </c>
      <c r="M138" s="1" t="s">
        <v>153</v>
      </c>
      <c r="N138" s="3">
        <v>46210</v>
      </c>
      <c r="P138" s="1" t="s">
        <v>73</v>
      </c>
      <c r="Q138" s="1" t="s">
        <v>55</v>
      </c>
      <c r="R138" s="1" t="s">
        <v>365</v>
      </c>
      <c r="S138" s="3">
        <v>46147</v>
      </c>
      <c r="T138" s="3">
        <v>46202</v>
      </c>
      <c r="AB138" s="1">
        <v>0.44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</row>
    <row r="139" spans="1:39" x14ac:dyDescent="0.25">
      <c r="A139" s="1">
        <v>244</v>
      </c>
      <c r="B139" s="1" t="s">
        <v>366</v>
      </c>
      <c r="C139" s="1" t="s">
        <v>367</v>
      </c>
      <c r="D139" s="1" t="s">
        <v>368</v>
      </c>
      <c r="E139" s="1" t="s">
        <v>369</v>
      </c>
      <c r="F139" s="2">
        <v>46192</v>
      </c>
      <c r="G139" s="2">
        <v>46199</v>
      </c>
      <c r="H139" s="4">
        <v>0</v>
      </c>
      <c r="J139" s="1" t="s">
        <v>41</v>
      </c>
      <c r="M139" s="1" t="s">
        <v>153</v>
      </c>
      <c r="N139" s="3">
        <v>46196</v>
      </c>
      <c r="P139" s="1" t="s">
        <v>180</v>
      </c>
      <c r="Q139" s="1" t="s">
        <v>55</v>
      </c>
      <c r="R139" s="1" t="s">
        <v>365</v>
      </c>
      <c r="S139" s="3">
        <v>46176</v>
      </c>
      <c r="T139" s="3">
        <v>46188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245</v>
      </c>
      <c r="B140" s="1" t="s">
        <v>370</v>
      </c>
      <c r="C140" s="1" t="s">
        <v>371</v>
      </c>
      <c r="D140" s="1" t="s">
        <v>101</v>
      </c>
      <c r="E140" s="1" t="s">
        <v>102</v>
      </c>
      <c r="F140" s="2">
        <v>46192</v>
      </c>
      <c r="G140" s="2">
        <v>46196</v>
      </c>
      <c r="H140" s="4">
        <v>0</v>
      </c>
      <c r="J140" s="1" t="s">
        <v>41</v>
      </c>
      <c r="K140" s="1" t="s">
        <v>372</v>
      </c>
      <c r="L140" s="1" t="s">
        <v>373</v>
      </c>
      <c r="M140" s="1" t="s">
        <v>153</v>
      </c>
      <c r="N140" s="3">
        <v>46190</v>
      </c>
      <c r="P140" s="1" t="s">
        <v>180</v>
      </c>
      <c r="Q140" s="1" t="s">
        <v>55</v>
      </c>
      <c r="R140" s="1" t="s">
        <v>365</v>
      </c>
      <c r="S140" s="3">
        <v>46176</v>
      </c>
      <c r="T140" s="3">
        <v>46182</v>
      </c>
      <c r="AB140" s="1">
        <v>0</v>
      </c>
      <c r="AC140" s="1">
        <v>1</v>
      </c>
      <c r="AD140" s="1">
        <v>0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</row>
    <row r="141" spans="1:39" x14ac:dyDescent="0.25">
      <c r="A141" s="1">
        <v>246</v>
      </c>
      <c r="B141" s="1" t="s">
        <v>374</v>
      </c>
      <c r="C141" s="1" t="s">
        <v>371</v>
      </c>
      <c r="D141" s="1" t="s">
        <v>105</v>
      </c>
      <c r="E141" s="1" t="s">
        <v>52</v>
      </c>
      <c r="F141" s="2">
        <v>46197</v>
      </c>
      <c r="G141" s="2">
        <v>46197</v>
      </c>
      <c r="H141" s="4">
        <v>0</v>
      </c>
      <c r="J141" s="1" t="s">
        <v>41</v>
      </c>
      <c r="K141" s="1">
        <v>245</v>
      </c>
      <c r="L141" s="1" t="s">
        <v>375</v>
      </c>
      <c r="M141" s="1" t="s">
        <v>187</v>
      </c>
      <c r="N141" s="3">
        <v>46191</v>
      </c>
      <c r="P141" s="1" t="s">
        <v>67</v>
      </c>
      <c r="Q141" s="1" t="s">
        <v>55</v>
      </c>
      <c r="R141" s="1" t="s">
        <v>365</v>
      </c>
      <c r="S141" s="3">
        <v>46183</v>
      </c>
      <c r="T141" s="3">
        <v>46183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247</v>
      </c>
      <c r="B142" s="1" t="s">
        <v>376</v>
      </c>
      <c r="C142" s="1" t="s">
        <v>371</v>
      </c>
      <c r="D142" s="1" t="s">
        <v>109</v>
      </c>
      <c r="E142" s="1" t="s">
        <v>52</v>
      </c>
      <c r="F142" s="2">
        <v>46198</v>
      </c>
      <c r="G142" s="2">
        <v>46198</v>
      </c>
      <c r="H142" s="4">
        <v>0</v>
      </c>
      <c r="J142" s="1" t="s">
        <v>41</v>
      </c>
      <c r="K142" s="1">
        <v>246</v>
      </c>
      <c r="L142" s="1">
        <v>248</v>
      </c>
      <c r="M142" s="1" t="s">
        <v>304</v>
      </c>
      <c r="N142" s="3">
        <v>46195</v>
      </c>
      <c r="P142" s="1" t="s">
        <v>67</v>
      </c>
      <c r="Q142" s="1" t="s">
        <v>55</v>
      </c>
      <c r="R142" s="1" t="s">
        <v>365</v>
      </c>
      <c r="S142" s="3">
        <v>46184</v>
      </c>
      <c r="T142" s="3">
        <v>46185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x14ac:dyDescent="0.25">
      <c r="A143" s="1">
        <v>248</v>
      </c>
      <c r="B143" s="1" t="s">
        <v>377</v>
      </c>
      <c r="C143" s="1" t="s">
        <v>371</v>
      </c>
      <c r="D143" s="1" t="s">
        <v>115</v>
      </c>
      <c r="E143" s="1" t="s">
        <v>52</v>
      </c>
      <c r="F143" s="2">
        <v>46199</v>
      </c>
      <c r="G143" s="2">
        <v>46199</v>
      </c>
      <c r="H143" s="4">
        <v>0</v>
      </c>
      <c r="J143" s="1" t="s">
        <v>41</v>
      </c>
      <c r="K143" s="1">
        <v>247</v>
      </c>
      <c r="M143" s="1" t="s">
        <v>251</v>
      </c>
      <c r="N143" s="3">
        <v>46196</v>
      </c>
      <c r="P143" s="1" t="s">
        <v>67</v>
      </c>
      <c r="Q143" s="1" t="s">
        <v>55</v>
      </c>
      <c r="R143" s="1" t="s">
        <v>365</v>
      </c>
      <c r="S143" s="3">
        <v>46188</v>
      </c>
      <c r="T143" s="3">
        <v>46188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x14ac:dyDescent="0.25">
      <c r="A144" s="1">
        <v>249</v>
      </c>
      <c r="B144" s="1" t="s">
        <v>378</v>
      </c>
      <c r="C144" s="1" t="s">
        <v>367</v>
      </c>
      <c r="D144" s="1" t="s">
        <v>379</v>
      </c>
      <c r="E144" s="1" t="s">
        <v>369</v>
      </c>
      <c r="F144" s="2">
        <v>46209</v>
      </c>
      <c r="G144" s="2">
        <v>46218</v>
      </c>
      <c r="H144" s="4">
        <v>0.5</v>
      </c>
      <c r="J144" s="1" t="s">
        <v>232</v>
      </c>
      <c r="M144" s="1" t="s">
        <v>311</v>
      </c>
      <c r="N144" s="3">
        <v>46210</v>
      </c>
      <c r="P144" s="1" t="s">
        <v>67</v>
      </c>
      <c r="Q144" s="1" t="s">
        <v>55</v>
      </c>
      <c r="R144" s="1" t="s">
        <v>365</v>
      </c>
      <c r="S144" s="3">
        <v>46192</v>
      </c>
      <c r="T144" s="3">
        <v>46202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250</v>
      </c>
      <c r="B145" s="1" t="s">
        <v>380</v>
      </c>
      <c r="C145" s="1" t="s">
        <v>381</v>
      </c>
      <c r="D145" s="1" t="s">
        <v>101</v>
      </c>
      <c r="E145" s="1" t="s">
        <v>102</v>
      </c>
      <c r="F145" s="2">
        <v>46209</v>
      </c>
      <c r="G145" s="2">
        <v>46211</v>
      </c>
      <c r="H145" s="4">
        <v>1</v>
      </c>
      <c r="I145" s="2">
        <v>46211</v>
      </c>
      <c r="J145" s="1" t="s">
        <v>53</v>
      </c>
      <c r="K145" s="1">
        <v>255</v>
      </c>
      <c r="L145" s="1">
        <v>251</v>
      </c>
      <c r="M145" s="1" t="s">
        <v>311</v>
      </c>
      <c r="N145" s="3">
        <v>46204</v>
      </c>
      <c r="P145" s="1" t="s">
        <v>67</v>
      </c>
      <c r="Q145" s="1" t="s">
        <v>55</v>
      </c>
      <c r="R145" s="1" t="s">
        <v>365</v>
      </c>
      <c r="S145" s="3">
        <v>46192</v>
      </c>
      <c r="T145" s="3">
        <v>46196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</row>
    <row r="146" spans="1:39" x14ac:dyDescent="0.25">
      <c r="A146" s="1">
        <v>251</v>
      </c>
      <c r="B146" s="1" t="s">
        <v>382</v>
      </c>
      <c r="C146" s="1" t="s">
        <v>381</v>
      </c>
      <c r="D146" s="1" t="s">
        <v>105</v>
      </c>
      <c r="E146" s="1" t="s">
        <v>52</v>
      </c>
      <c r="F146" s="2">
        <v>46216</v>
      </c>
      <c r="G146" s="2">
        <v>46216</v>
      </c>
      <c r="H146" s="4">
        <v>0</v>
      </c>
      <c r="J146" s="1" t="s">
        <v>83</v>
      </c>
      <c r="K146" s="1">
        <v>250</v>
      </c>
      <c r="L146" s="1">
        <v>252</v>
      </c>
      <c r="M146" s="1" t="s">
        <v>383</v>
      </c>
      <c r="N146" s="3">
        <v>46205</v>
      </c>
      <c r="P146" s="1" t="s">
        <v>194</v>
      </c>
      <c r="Q146" s="1" t="s">
        <v>55</v>
      </c>
      <c r="R146" s="1" t="s">
        <v>365</v>
      </c>
      <c r="S146" s="3">
        <v>46197</v>
      </c>
      <c r="T146" s="3">
        <v>46197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252</v>
      </c>
      <c r="B147" s="1" t="s">
        <v>384</v>
      </c>
      <c r="C147" s="1" t="s">
        <v>381</v>
      </c>
      <c r="D147" s="1" t="s">
        <v>109</v>
      </c>
      <c r="E147" s="1" t="s">
        <v>52</v>
      </c>
      <c r="F147" s="2">
        <v>46217</v>
      </c>
      <c r="G147" s="2">
        <v>46217</v>
      </c>
      <c r="H147" s="4">
        <v>0</v>
      </c>
      <c r="J147" s="1" t="s">
        <v>83</v>
      </c>
      <c r="K147" s="1">
        <v>251</v>
      </c>
      <c r="L147" s="1">
        <v>253</v>
      </c>
      <c r="M147" s="1" t="s">
        <v>385</v>
      </c>
      <c r="N147" s="3">
        <v>46209</v>
      </c>
      <c r="P147" s="1" t="s">
        <v>194</v>
      </c>
      <c r="Q147" s="1" t="s">
        <v>55</v>
      </c>
      <c r="R147" s="1" t="s">
        <v>365</v>
      </c>
      <c r="S147" s="3">
        <v>46198</v>
      </c>
      <c r="T147" s="3">
        <v>46199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</row>
    <row r="148" spans="1:39" x14ac:dyDescent="0.25">
      <c r="A148" s="1">
        <v>253</v>
      </c>
      <c r="B148" s="1" t="s">
        <v>386</v>
      </c>
      <c r="C148" s="1" t="s">
        <v>381</v>
      </c>
      <c r="D148" s="1" t="s">
        <v>115</v>
      </c>
      <c r="E148" s="1" t="s">
        <v>52</v>
      </c>
      <c r="F148" s="2">
        <v>46218</v>
      </c>
      <c r="G148" s="2">
        <v>46218</v>
      </c>
      <c r="H148" s="4">
        <v>0</v>
      </c>
      <c r="J148" s="1" t="s">
        <v>83</v>
      </c>
      <c r="K148" s="1">
        <v>252</v>
      </c>
      <c r="M148" s="1" t="s">
        <v>387</v>
      </c>
      <c r="N148" s="3">
        <v>46210</v>
      </c>
      <c r="P148" s="1" t="s">
        <v>194</v>
      </c>
      <c r="Q148" s="1" t="s">
        <v>55</v>
      </c>
      <c r="R148" s="1" t="s">
        <v>365</v>
      </c>
      <c r="S148" s="3">
        <v>46202</v>
      </c>
      <c r="T148" s="3">
        <v>46202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</row>
    <row r="149" spans="1:39" x14ac:dyDescent="0.25">
      <c r="A149" s="1">
        <v>259</v>
      </c>
      <c r="B149" s="1" t="s">
        <v>388</v>
      </c>
      <c r="C149" s="1" t="s">
        <v>367</v>
      </c>
      <c r="D149" s="1" t="s">
        <v>389</v>
      </c>
      <c r="E149" s="1" t="s">
        <v>390</v>
      </c>
      <c r="F149" s="2">
        <v>46191</v>
      </c>
      <c r="G149" s="2">
        <v>46197</v>
      </c>
      <c r="H149" s="4">
        <v>0.4</v>
      </c>
      <c r="J149" s="1" t="s">
        <v>41</v>
      </c>
      <c r="M149" s="1" t="s">
        <v>153</v>
      </c>
      <c r="N149" s="3">
        <v>46192</v>
      </c>
      <c r="P149" s="1" t="s">
        <v>73</v>
      </c>
      <c r="Q149" s="1" t="s">
        <v>55</v>
      </c>
      <c r="R149" s="1" t="s">
        <v>365</v>
      </c>
      <c r="S149" s="3">
        <v>46171</v>
      </c>
      <c r="T149" s="3">
        <v>46181</v>
      </c>
      <c r="AB149" s="1">
        <v>0.4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260</v>
      </c>
      <c r="B150" s="1" t="s">
        <v>391</v>
      </c>
      <c r="C150" s="1" t="s">
        <v>392</v>
      </c>
      <c r="D150" s="1" t="s">
        <v>101</v>
      </c>
      <c r="E150" s="1" t="s">
        <v>116</v>
      </c>
      <c r="F150" s="2">
        <v>46191</v>
      </c>
      <c r="G150" s="2">
        <v>46192</v>
      </c>
      <c r="H150" s="4">
        <v>1</v>
      </c>
      <c r="I150" s="2">
        <v>46192</v>
      </c>
      <c r="J150" s="1" t="s">
        <v>53</v>
      </c>
      <c r="K150" s="1" t="s">
        <v>393</v>
      </c>
      <c r="L150" s="1" t="s">
        <v>394</v>
      </c>
      <c r="M150" s="1" t="s">
        <v>153</v>
      </c>
      <c r="N150" s="3">
        <v>46188</v>
      </c>
      <c r="P150" s="1" t="s">
        <v>73</v>
      </c>
      <c r="Q150" s="1" t="s">
        <v>55</v>
      </c>
      <c r="R150" s="1" t="s">
        <v>365</v>
      </c>
      <c r="S150" s="3">
        <v>46171</v>
      </c>
      <c r="T150" s="3">
        <v>46175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</row>
    <row r="151" spans="1:39" x14ac:dyDescent="0.25">
      <c r="A151" s="1">
        <v>261</v>
      </c>
      <c r="B151" s="1" t="s">
        <v>395</v>
      </c>
      <c r="C151" s="1" t="s">
        <v>392</v>
      </c>
      <c r="D151" s="1" t="s">
        <v>105</v>
      </c>
      <c r="E151" s="1" t="s">
        <v>52</v>
      </c>
      <c r="F151" s="2">
        <v>46195</v>
      </c>
      <c r="G151" s="2">
        <v>46195</v>
      </c>
      <c r="H151" s="4">
        <v>0</v>
      </c>
      <c r="J151" s="1" t="s">
        <v>41</v>
      </c>
      <c r="K151" s="1">
        <v>260</v>
      </c>
      <c r="L151" s="1">
        <v>262</v>
      </c>
      <c r="M151" s="1" t="s">
        <v>227</v>
      </c>
      <c r="N151" s="3">
        <v>46189</v>
      </c>
      <c r="P151" s="1" t="s">
        <v>180</v>
      </c>
      <c r="Q151" s="1" t="s">
        <v>55</v>
      </c>
      <c r="R151" s="1" t="s">
        <v>365</v>
      </c>
      <c r="S151" s="3">
        <v>46176</v>
      </c>
      <c r="T151" s="3">
        <v>46176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262</v>
      </c>
      <c r="B152" s="1" t="s">
        <v>396</v>
      </c>
      <c r="C152" s="1" t="s">
        <v>392</v>
      </c>
      <c r="D152" s="1" t="s">
        <v>109</v>
      </c>
      <c r="E152" s="1" t="s">
        <v>52</v>
      </c>
      <c r="F152" s="2">
        <v>46196</v>
      </c>
      <c r="G152" s="2">
        <v>46196</v>
      </c>
      <c r="H152" s="4">
        <v>0</v>
      </c>
      <c r="J152" s="1" t="s">
        <v>41</v>
      </c>
      <c r="K152" s="1">
        <v>261</v>
      </c>
      <c r="L152" s="1">
        <v>263</v>
      </c>
      <c r="M152" s="1" t="s">
        <v>248</v>
      </c>
      <c r="N152" s="3">
        <v>46191</v>
      </c>
      <c r="P152" s="1" t="s">
        <v>180</v>
      </c>
      <c r="Q152" s="1" t="s">
        <v>55</v>
      </c>
      <c r="R152" s="1" t="s">
        <v>365</v>
      </c>
      <c r="S152" s="3">
        <v>46177</v>
      </c>
      <c r="T152" s="3">
        <v>46178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s="1">
        <v>0</v>
      </c>
      <c r="AM152" s="1">
        <v>0</v>
      </c>
    </row>
    <row r="153" spans="1:39" x14ac:dyDescent="0.25">
      <c r="A153" s="1">
        <v>263</v>
      </c>
      <c r="B153" s="1" t="s">
        <v>397</v>
      </c>
      <c r="C153" s="1" t="s">
        <v>392</v>
      </c>
      <c r="D153" s="1" t="s">
        <v>115</v>
      </c>
      <c r="E153" s="1" t="s">
        <v>52</v>
      </c>
      <c r="F153" s="2">
        <v>46197</v>
      </c>
      <c r="G153" s="2">
        <v>46197</v>
      </c>
      <c r="H153" s="4">
        <v>0</v>
      </c>
      <c r="J153" s="1" t="s">
        <v>41</v>
      </c>
      <c r="K153" s="1">
        <v>262</v>
      </c>
      <c r="M153" s="1" t="s">
        <v>304</v>
      </c>
      <c r="N153" s="3">
        <v>46192</v>
      </c>
      <c r="P153" s="1" t="s">
        <v>180</v>
      </c>
      <c r="Q153" s="1" t="s">
        <v>55</v>
      </c>
      <c r="R153" s="1" t="s">
        <v>365</v>
      </c>
      <c r="S153" s="3">
        <v>46181</v>
      </c>
      <c r="T153" s="3">
        <v>46181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</v>
      </c>
      <c r="AM153" s="1">
        <v>0</v>
      </c>
    </row>
    <row r="154" spans="1:39" x14ac:dyDescent="0.25">
      <c r="A154" s="1">
        <v>264</v>
      </c>
      <c r="B154" s="1" t="s">
        <v>398</v>
      </c>
      <c r="C154" s="1" t="s">
        <v>367</v>
      </c>
      <c r="D154" s="1" t="s">
        <v>399</v>
      </c>
      <c r="E154" s="1" t="s">
        <v>369</v>
      </c>
      <c r="F154" s="2">
        <v>46203</v>
      </c>
      <c r="G154" s="2">
        <v>46210</v>
      </c>
      <c r="H154" s="4">
        <v>0.5</v>
      </c>
      <c r="J154" s="1" t="s">
        <v>41</v>
      </c>
      <c r="M154" s="1" t="s">
        <v>251</v>
      </c>
      <c r="N154" s="3">
        <v>46206</v>
      </c>
      <c r="P154" s="1" t="s">
        <v>67</v>
      </c>
      <c r="Q154" s="1" t="s">
        <v>55</v>
      </c>
      <c r="R154" s="1" t="s">
        <v>365</v>
      </c>
      <c r="S154" s="3">
        <v>46188</v>
      </c>
      <c r="T154" s="3">
        <v>46198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265</v>
      </c>
      <c r="B155" s="1" t="s">
        <v>400</v>
      </c>
      <c r="C155" s="1" t="s">
        <v>401</v>
      </c>
      <c r="D155" s="1" t="s">
        <v>101</v>
      </c>
      <c r="E155" s="1" t="s">
        <v>102</v>
      </c>
      <c r="F155" s="2">
        <v>46203</v>
      </c>
      <c r="G155" s="2">
        <v>46205</v>
      </c>
      <c r="H155" s="4">
        <v>1</v>
      </c>
      <c r="I155" s="2">
        <v>46205</v>
      </c>
      <c r="J155" s="1" t="s">
        <v>53</v>
      </c>
      <c r="K155" s="1">
        <v>245</v>
      </c>
      <c r="L155" s="1">
        <v>266</v>
      </c>
      <c r="M155" s="1" t="s">
        <v>251</v>
      </c>
      <c r="N155" s="3">
        <v>46202</v>
      </c>
      <c r="P155" s="1" t="s">
        <v>67</v>
      </c>
      <c r="Q155" s="1" t="s">
        <v>55</v>
      </c>
      <c r="R155" s="1" t="s">
        <v>365</v>
      </c>
      <c r="S155" s="3">
        <v>46188</v>
      </c>
      <c r="T155" s="3">
        <v>46192</v>
      </c>
      <c r="AB155" s="1">
        <v>1</v>
      </c>
      <c r="AC155" s="1">
        <v>1</v>
      </c>
      <c r="AD155" s="1">
        <v>1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1</v>
      </c>
    </row>
    <row r="156" spans="1:39" x14ac:dyDescent="0.25">
      <c r="A156" s="1">
        <v>266</v>
      </c>
      <c r="B156" s="1" t="s">
        <v>402</v>
      </c>
      <c r="C156" s="1" t="s">
        <v>401</v>
      </c>
      <c r="D156" s="1" t="s">
        <v>105</v>
      </c>
      <c r="E156" s="1" t="s">
        <v>52</v>
      </c>
      <c r="F156" s="2">
        <v>46206</v>
      </c>
      <c r="G156" s="2">
        <v>46206</v>
      </c>
      <c r="H156" s="4">
        <v>0</v>
      </c>
      <c r="J156" s="1" t="s">
        <v>41</v>
      </c>
      <c r="K156" s="1">
        <v>265</v>
      </c>
      <c r="L156" s="1">
        <v>267</v>
      </c>
      <c r="M156" s="1" t="s">
        <v>196</v>
      </c>
      <c r="N156" s="3">
        <v>46203</v>
      </c>
      <c r="P156" s="1" t="s">
        <v>67</v>
      </c>
      <c r="Q156" s="1" t="s">
        <v>55</v>
      </c>
      <c r="R156" s="1" t="s">
        <v>365</v>
      </c>
      <c r="S156" s="3">
        <v>46195</v>
      </c>
      <c r="T156" s="3">
        <v>46195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</row>
    <row r="157" spans="1:39" x14ac:dyDescent="0.25">
      <c r="A157" s="1">
        <v>267</v>
      </c>
      <c r="B157" s="1" t="s">
        <v>403</v>
      </c>
      <c r="C157" s="1" t="s">
        <v>401</v>
      </c>
      <c r="D157" s="1" t="s">
        <v>109</v>
      </c>
      <c r="E157" s="1" t="s">
        <v>52</v>
      </c>
      <c r="F157" s="2">
        <v>46209</v>
      </c>
      <c r="G157" s="2">
        <v>46209</v>
      </c>
      <c r="H157" s="4">
        <v>0</v>
      </c>
      <c r="J157" s="1" t="s">
        <v>41</v>
      </c>
      <c r="K157" s="1">
        <v>266</v>
      </c>
      <c r="L157" s="1">
        <v>268</v>
      </c>
      <c r="M157" s="1" t="s">
        <v>404</v>
      </c>
      <c r="N157" s="3">
        <v>46205</v>
      </c>
      <c r="P157" s="1" t="s">
        <v>194</v>
      </c>
      <c r="Q157" s="1" t="s">
        <v>55</v>
      </c>
      <c r="R157" s="1" t="s">
        <v>365</v>
      </c>
      <c r="S157" s="3">
        <v>46196</v>
      </c>
      <c r="T157" s="3">
        <v>46197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>
        <v>0</v>
      </c>
      <c r="AL157" s="1">
        <v>0</v>
      </c>
      <c r="AM157" s="1">
        <v>0</v>
      </c>
    </row>
    <row r="158" spans="1:39" x14ac:dyDescent="0.25">
      <c r="A158" s="1">
        <v>268</v>
      </c>
      <c r="B158" s="1" t="s">
        <v>405</v>
      </c>
      <c r="C158" s="1" t="s">
        <v>401</v>
      </c>
      <c r="D158" s="1" t="s">
        <v>115</v>
      </c>
      <c r="E158" s="1" t="s">
        <v>52</v>
      </c>
      <c r="F158" s="2">
        <v>46210</v>
      </c>
      <c r="G158" s="2">
        <v>46210</v>
      </c>
      <c r="H158" s="4">
        <v>0</v>
      </c>
      <c r="J158" s="1" t="s">
        <v>232</v>
      </c>
      <c r="K158" s="1">
        <v>267</v>
      </c>
      <c r="M158" s="1" t="s">
        <v>385</v>
      </c>
      <c r="N158" s="3">
        <v>46206</v>
      </c>
      <c r="P158" s="1" t="s">
        <v>194</v>
      </c>
      <c r="Q158" s="1" t="s">
        <v>55</v>
      </c>
      <c r="R158" s="1" t="s">
        <v>365</v>
      </c>
      <c r="S158" s="3">
        <v>46198</v>
      </c>
      <c r="T158" s="3">
        <v>46198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x14ac:dyDescent="0.25">
      <c r="A159" s="1">
        <v>269</v>
      </c>
      <c r="B159" s="1" t="s">
        <v>406</v>
      </c>
      <c r="C159" s="1" t="s">
        <v>367</v>
      </c>
      <c r="D159" s="1" t="s">
        <v>407</v>
      </c>
      <c r="E159" s="1" t="s">
        <v>369</v>
      </c>
      <c r="F159" s="2">
        <v>46209</v>
      </c>
      <c r="G159" s="2">
        <v>46218</v>
      </c>
      <c r="H159" s="4">
        <v>0.5</v>
      </c>
      <c r="J159" s="1" t="s">
        <v>232</v>
      </c>
      <c r="M159" s="1" t="s">
        <v>251</v>
      </c>
      <c r="N159" s="3">
        <v>46206</v>
      </c>
      <c r="P159" s="1" t="s">
        <v>67</v>
      </c>
      <c r="Q159" s="1" t="s">
        <v>55</v>
      </c>
      <c r="R159" s="1" t="s">
        <v>365</v>
      </c>
      <c r="S159" s="3">
        <v>46188</v>
      </c>
      <c r="T159" s="3">
        <v>46198</v>
      </c>
      <c r="AB159" s="1">
        <v>0.5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</row>
    <row r="160" spans="1:39" x14ac:dyDescent="0.25">
      <c r="A160" s="1">
        <v>270</v>
      </c>
      <c r="B160" s="1" t="s">
        <v>408</v>
      </c>
      <c r="C160" s="1" t="s">
        <v>409</v>
      </c>
      <c r="D160" s="1" t="s">
        <v>101</v>
      </c>
      <c r="E160" s="1" t="s">
        <v>102</v>
      </c>
      <c r="F160" s="2">
        <v>46209</v>
      </c>
      <c r="G160" s="2">
        <v>46211</v>
      </c>
      <c r="H160" s="4">
        <v>1</v>
      </c>
      <c r="I160" s="2">
        <v>46211</v>
      </c>
      <c r="J160" s="1" t="s">
        <v>53</v>
      </c>
      <c r="K160" s="1">
        <v>245</v>
      </c>
      <c r="L160" s="1">
        <v>271</v>
      </c>
      <c r="M160" s="1" t="s">
        <v>251</v>
      </c>
      <c r="N160" s="3">
        <v>46202</v>
      </c>
      <c r="P160" s="1" t="s">
        <v>67</v>
      </c>
      <c r="Q160" s="1" t="s">
        <v>55</v>
      </c>
      <c r="R160" s="1" t="s">
        <v>365</v>
      </c>
      <c r="S160" s="3">
        <v>46188</v>
      </c>
      <c r="T160" s="3">
        <v>46192</v>
      </c>
      <c r="AB160" s="1">
        <v>1</v>
      </c>
      <c r="AC160" s="1">
        <v>1</v>
      </c>
      <c r="AD160" s="1">
        <v>1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1</v>
      </c>
    </row>
    <row r="161" spans="1:39" x14ac:dyDescent="0.25">
      <c r="A161" s="1">
        <v>271</v>
      </c>
      <c r="B161" s="1" t="s">
        <v>410</v>
      </c>
      <c r="C161" s="1" t="s">
        <v>409</v>
      </c>
      <c r="D161" s="1" t="s">
        <v>105</v>
      </c>
      <c r="E161" s="1" t="s">
        <v>52</v>
      </c>
      <c r="F161" s="2">
        <v>46216</v>
      </c>
      <c r="G161" s="2">
        <v>46216</v>
      </c>
      <c r="H161" s="4">
        <v>0</v>
      </c>
      <c r="J161" s="1" t="s">
        <v>83</v>
      </c>
      <c r="K161" s="1">
        <v>270</v>
      </c>
      <c r="L161" s="1">
        <v>272</v>
      </c>
      <c r="M161" s="1" t="s">
        <v>196</v>
      </c>
      <c r="N161" s="3">
        <v>46203</v>
      </c>
      <c r="P161" s="1" t="s">
        <v>67</v>
      </c>
      <c r="Q161" s="1" t="s">
        <v>55</v>
      </c>
      <c r="R161" s="1" t="s">
        <v>365</v>
      </c>
      <c r="S161" s="3">
        <v>46195</v>
      </c>
      <c r="T161" s="3">
        <v>46195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x14ac:dyDescent="0.25">
      <c r="A162" s="1">
        <v>272</v>
      </c>
      <c r="B162" s="1" t="s">
        <v>411</v>
      </c>
      <c r="C162" s="1" t="s">
        <v>409</v>
      </c>
      <c r="D162" s="1" t="s">
        <v>109</v>
      </c>
      <c r="E162" s="1" t="s">
        <v>52</v>
      </c>
      <c r="F162" s="2">
        <v>46217</v>
      </c>
      <c r="G162" s="2">
        <v>46217</v>
      </c>
      <c r="H162" s="4">
        <v>0</v>
      </c>
      <c r="J162" s="1" t="s">
        <v>83</v>
      </c>
      <c r="K162" s="1">
        <v>271</v>
      </c>
      <c r="L162" s="1">
        <v>273</v>
      </c>
      <c r="M162" s="1" t="s">
        <v>404</v>
      </c>
      <c r="N162" s="3">
        <v>46205</v>
      </c>
      <c r="P162" s="1" t="s">
        <v>194</v>
      </c>
      <c r="Q162" s="1" t="s">
        <v>55</v>
      </c>
      <c r="R162" s="1" t="s">
        <v>365</v>
      </c>
      <c r="S162" s="3">
        <v>46196</v>
      </c>
      <c r="T162" s="3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x14ac:dyDescent="0.25">
      <c r="A163" s="1">
        <v>273</v>
      </c>
      <c r="B163" s="1" t="s">
        <v>412</v>
      </c>
      <c r="C163" s="1" t="s">
        <v>409</v>
      </c>
      <c r="D163" s="1" t="s">
        <v>115</v>
      </c>
      <c r="E163" s="1" t="s">
        <v>52</v>
      </c>
      <c r="F163" s="2">
        <v>46218</v>
      </c>
      <c r="G163" s="2">
        <v>46218</v>
      </c>
      <c r="H163" s="4">
        <v>0</v>
      </c>
      <c r="J163" s="1" t="s">
        <v>83</v>
      </c>
      <c r="K163" s="1">
        <v>272</v>
      </c>
      <c r="M163" s="1" t="s">
        <v>385</v>
      </c>
      <c r="N163" s="3">
        <v>46206</v>
      </c>
      <c r="P163" s="1" t="s">
        <v>194</v>
      </c>
      <c r="Q163" s="1" t="s">
        <v>55</v>
      </c>
      <c r="R163" s="1" t="s">
        <v>365</v>
      </c>
      <c r="S163" s="3">
        <v>46198</v>
      </c>
      <c r="T163" s="3">
        <v>46198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x14ac:dyDescent="0.25">
      <c r="A164" s="1">
        <v>274</v>
      </c>
      <c r="B164" s="1" t="s">
        <v>413</v>
      </c>
      <c r="C164" s="1" t="s">
        <v>367</v>
      </c>
      <c r="D164" s="1" t="s">
        <v>414</v>
      </c>
      <c r="E164" s="1" t="s">
        <v>369</v>
      </c>
      <c r="F164" s="2">
        <v>46209</v>
      </c>
      <c r="G164" s="2">
        <v>46218</v>
      </c>
      <c r="H164" s="4">
        <v>0.5</v>
      </c>
      <c r="J164" s="1" t="s">
        <v>232</v>
      </c>
      <c r="M164" s="1" t="s">
        <v>251</v>
      </c>
      <c r="N164" s="3">
        <v>46206</v>
      </c>
      <c r="P164" s="1" t="s">
        <v>67</v>
      </c>
      <c r="Q164" s="1" t="s">
        <v>55</v>
      </c>
      <c r="R164" s="1" t="s">
        <v>365</v>
      </c>
      <c r="S164" s="3">
        <v>46188</v>
      </c>
      <c r="T164" s="3">
        <v>46198</v>
      </c>
      <c r="AB164" s="1">
        <v>0.5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275</v>
      </c>
      <c r="B165" s="1" t="s">
        <v>415</v>
      </c>
      <c r="C165" s="1" t="s">
        <v>416</v>
      </c>
      <c r="D165" s="1" t="s">
        <v>101</v>
      </c>
      <c r="E165" s="1" t="s">
        <v>102</v>
      </c>
      <c r="F165" s="2">
        <v>46209</v>
      </c>
      <c r="G165" s="2">
        <v>46211</v>
      </c>
      <c r="H165" s="4">
        <v>1</v>
      </c>
      <c r="I165" s="2">
        <v>46211</v>
      </c>
      <c r="J165" s="1" t="s">
        <v>53</v>
      </c>
      <c r="K165" s="1">
        <v>245</v>
      </c>
      <c r="L165" s="1">
        <v>276</v>
      </c>
      <c r="M165" s="1" t="s">
        <v>251</v>
      </c>
      <c r="N165" s="3">
        <v>46202</v>
      </c>
      <c r="P165" s="1" t="s">
        <v>67</v>
      </c>
      <c r="Q165" s="1" t="s">
        <v>55</v>
      </c>
      <c r="R165" s="1" t="s">
        <v>365</v>
      </c>
      <c r="S165" s="3">
        <v>46188</v>
      </c>
      <c r="T165" s="3">
        <v>46192</v>
      </c>
      <c r="AB165" s="1">
        <v>1</v>
      </c>
      <c r="AC165" s="1">
        <v>1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1</v>
      </c>
    </row>
    <row r="166" spans="1:39" x14ac:dyDescent="0.25">
      <c r="A166" s="1">
        <v>276</v>
      </c>
      <c r="B166" s="1" t="s">
        <v>417</v>
      </c>
      <c r="C166" s="1" t="s">
        <v>416</v>
      </c>
      <c r="D166" s="1" t="s">
        <v>105</v>
      </c>
      <c r="E166" s="1" t="s">
        <v>52</v>
      </c>
      <c r="F166" s="2">
        <v>46216</v>
      </c>
      <c r="G166" s="2">
        <v>46216</v>
      </c>
      <c r="H166" s="4">
        <v>0</v>
      </c>
      <c r="J166" s="1" t="s">
        <v>83</v>
      </c>
      <c r="K166" s="1">
        <v>275</v>
      </c>
      <c r="L166" s="1">
        <v>277</v>
      </c>
      <c r="M166" s="1" t="s">
        <v>196</v>
      </c>
      <c r="N166" s="3">
        <v>46203</v>
      </c>
      <c r="P166" s="1" t="s">
        <v>67</v>
      </c>
      <c r="Q166" s="1" t="s">
        <v>55</v>
      </c>
      <c r="R166" s="1" t="s">
        <v>365</v>
      </c>
      <c r="S166" s="3">
        <v>46195</v>
      </c>
      <c r="T166" s="3">
        <v>46195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x14ac:dyDescent="0.25">
      <c r="A167" s="1">
        <v>277</v>
      </c>
      <c r="B167" s="1" t="s">
        <v>418</v>
      </c>
      <c r="C167" s="1" t="s">
        <v>416</v>
      </c>
      <c r="D167" s="1" t="s">
        <v>109</v>
      </c>
      <c r="E167" s="1" t="s">
        <v>52</v>
      </c>
      <c r="F167" s="2">
        <v>46217</v>
      </c>
      <c r="G167" s="2">
        <v>46217</v>
      </c>
      <c r="H167" s="4">
        <v>0</v>
      </c>
      <c r="J167" s="1" t="s">
        <v>83</v>
      </c>
      <c r="K167" s="1">
        <v>276</v>
      </c>
      <c r="L167" s="1">
        <v>278</v>
      </c>
      <c r="M167" s="1" t="s">
        <v>404</v>
      </c>
      <c r="N167" s="3">
        <v>46205</v>
      </c>
      <c r="P167" s="1" t="s">
        <v>194</v>
      </c>
      <c r="Q167" s="1" t="s">
        <v>55</v>
      </c>
      <c r="R167" s="1" t="s">
        <v>365</v>
      </c>
      <c r="S167" s="3">
        <v>46196</v>
      </c>
      <c r="T167" s="3">
        <v>46197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x14ac:dyDescent="0.25">
      <c r="A168" s="1">
        <v>278</v>
      </c>
      <c r="B168" s="1" t="s">
        <v>419</v>
      </c>
      <c r="C168" s="1" t="s">
        <v>416</v>
      </c>
      <c r="D168" s="1" t="s">
        <v>115</v>
      </c>
      <c r="E168" s="1" t="s">
        <v>52</v>
      </c>
      <c r="F168" s="2">
        <v>46218</v>
      </c>
      <c r="G168" s="2">
        <v>46218</v>
      </c>
      <c r="H168" s="4">
        <v>0</v>
      </c>
      <c r="J168" s="1" t="s">
        <v>83</v>
      </c>
      <c r="K168" s="1">
        <v>277</v>
      </c>
      <c r="M168" s="1" t="s">
        <v>385</v>
      </c>
      <c r="N168" s="3">
        <v>46206</v>
      </c>
      <c r="P168" s="1" t="s">
        <v>194</v>
      </c>
      <c r="Q168" s="1" t="s">
        <v>55</v>
      </c>
      <c r="R168" s="1" t="s">
        <v>365</v>
      </c>
      <c r="S168" s="3">
        <v>46198</v>
      </c>
      <c r="T168" s="3">
        <v>46198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</row>
    <row r="169" spans="1:39" x14ac:dyDescent="0.25">
      <c r="A169" s="1">
        <v>279</v>
      </c>
      <c r="B169" s="1" t="s">
        <v>420</v>
      </c>
      <c r="C169" s="1" t="s">
        <v>367</v>
      </c>
      <c r="D169" s="1" t="s">
        <v>421</v>
      </c>
      <c r="E169" s="1" t="s">
        <v>369</v>
      </c>
      <c r="F169" s="2">
        <v>46209</v>
      </c>
      <c r="G169" s="2">
        <v>46218</v>
      </c>
      <c r="H169" s="4">
        <v>0.5</v>
      </c>
      <c r="J169" s="1" t="s">
        <v>232</v>
      </c>
      <c r="M169" s="1" t="s">
        <v>251</v>
      </c>
      <c r="N169" s="3">
        <v>46206</v>
      </c>
      <c r="P169" s="1" t="s">
        <v>67</v>
      </c>
      <c r="Q169" s="1" t="s">
        <v>55</v>
      </c>
      <c r="R169" s="1" t="s">
        <v>365</v>
      </c>
      <c r="S169" s="3">
        <v>46188</v>
      </c>
      <c r="T169" s="3">
        <v>46198</v>
      </c>
      <c r="AB169" s="1">
        <v>0.5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x14ac:dyDescent="0.25">
      <c r="A170" s="1">
        <v>280</v>
      </c>
      <c r="B170" s="1" t="s">
        <v>422</v>
      </c>
      <c r="C170" s="1" t="s">
        <v>423</v>
      </c>
      <c r="D170" s="1" t="s">
        <v>101</v>
      </c>
      <c r="E170" s="1" t="s">
        <v>102</v>
      </c>
      <c r="F170" s="2">
        <v>46209</v>
      </c>
      <c r="G170" s="2">
        <v>46211</v>
      </c>
      <c r="H170" s="4">
        <v>1</v>
      </c>
      <c r="I170" s="2">
        <v>46211</v>
      </c>
      <c r="J170" s="1" t="s">
        <v>53</v>
      </c>
      <c r="K170" s="1">
        <v>245</v>
      </c>
      <c r="L170" s="1">
        <v>281</v>
      </c>
      <c r="M170" s="1" t="s">
        <v>251</v>
      </c>
      <c r="N170" s="3">
        <v>46202</v>
      </c>
      <c r="P170" s="1" t="s">
        <v>67</v>
      </c>
      <c r="Q170" s="1" t="s">
        <v>55</v>
      </c>
      <c r="R170" s="1" t="s">
        <v>365</v>
      </c>
      <c r="S170" s="3">
        <v>46188</v>
      </c>
      <c r="T170" s="3">
        <v>46192</v>
      </c>
      <c r="AB170" s="1">
        <v>1</v>
      </c>
      <c r="AC170" s="1">
        <v>1</v>
      </c>
      <c r="AD170" s="1">
        <v>1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1</v>
      </c>
    </row>
    <row r="171" spans="1:39" x14ac:dyDescent="0.25">
      <c r="A171" s="1">
        <v>281</v>
      </c>
      <c r="B171" s="1" t="s">
        <v>424</v>
      </c>
      <c r="C171" s="1" t="s">
        <v>423</v>
      </c>
      <c r="D171" s="1" t="s">
        <v>105</v>
      </c>
      <c r="E171" s="1" t="s">
        <v>52</v>
      </c>
      <c r="F171" s="2">
        <v>46216</v>
      </c>
      <c r="G171" s="2">
        <v>46216</v>
      </c>
      <c r="H171" s="4">
        <v>0</v>
      </c>
      <c r="J171" s="1" t="s">
        <v>83</v>
      </c>
      <c r="K171" s="1">
        <v>280</v>
      </c>
      <c r="L171" s="1">
        <v>282</v>
      </c>
      <c r="M171" s="1" t="s">
        <v>196</v>
      </c>
      <c r="N171" s="3">
        <v>46203</v>
      </c>
      <c r="P171" s="1" t="s">
        <v>67</v>
      </c>
      <c r="Q171" s="1" t="s">
        <v>55</v>
      </c>
      <c r="R171" s="1" t="s">
        <v>365</v>
      </c>
      <c r="S171" s="3">
        <v>46195</v>
      </c>
      <c r="T171" s="3">
        <v>46195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</row>
    <row r="172" spans="1:39" x14ac:dyDescent="0.25">
      <c r="A172" s="1">
        <v>282</v>
      </c>
      <c r="B172" s="1" t="s">
        <v>425</v>
      </c>
      <c r="C172" s="1" t="s">
        <v>423</v>
      </c>
      <c r="D172" s="1" t="s">
        <v>109</v>
      </c>
      <c r="E172" s="1" t="s">
        <v>52</v>
      </c>
      <c r="F172" s="2">
        <v>46217</v>
      </c>
      <c r="G172" s="2">
        <v>46217</v>
      </c>
      <c r="H172" s="4">
        <v>0</v>
      </c>
      <c r="J172" s="1" t="s">
        <v>83</v>
      </c>
      <c r="K172" s="1">
        <v>281</v>
      </c>
      <c r="L172" s="1">
        <v>283</v>
      </c>
      <c r="M172" s="1" t="s">
        <v>404</v>
      </c>
      <c r="N172" s="3">
        <v>46205</v>
      </c>
      <c r="P172" s="1" t="s">
        <v>194</v>
      </c>
      <c r="Q172" s="1" t="s">
        <v>55</v>
      </c>
      <c r="R172" s="1" t="s">
        <v>365</v>
      </c>
      <c r="S172" s="3">
        <v>46196</v>
      </c>
      <c r="T172" s="3">
        <v>46197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x14ac:dyDescent="0.25">
      <c r="A173" s="1">
        <v>283</v>
      </c>
      <c r="B173" s="1" t="s">
        <v>426</v>
      </c>
      <c r="C173" s="1" t="s">
        <v>423</v>
      </c>
      <c r="D173" s="1" t="s">
        <v>115</v>
      </c>
      <c r="E173" s="1" t="s">
        <v>52</v>
      </c>
      <c r="F173" s="2">
        <v>46218</v>
      </c>
      <c r="G173" s="2">
        <v>46218</v>
      </c>
      <c r="H173" s="4">
        <v>0</v>
      </c>
      <c r="J173" s="1" t="s">
        <v>83</v>
      </c>
      <c r="K173" s="1">
        <v>282</v>
      </c>
      <c r="M173" s="1" t="s">
        <v>385</v>
      </c>
      <c r="N173" s="3">
        <v>46206</v>
      </c>
      <c r="P173" s="1" t="s">
        <v>194</v>
      </c>
      <c r="Q173" s="1" t="s">
        <v>55</v>
      </c>
      <c r="R173" s="1" t="s">
        <v>365</v>
      </c>
      <c r="S173" s="3">
        <v>46198</v>
      </c>
      <c r="T173" s="3">
        <v>46198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25">
      <c r="A174" s="1">
        <v>289</v>
      </c>
      <c r="B174" s="1" t="s">
        <v>427</v>
      </c>
      <c r="C174" s="1" t="s">
        <v>367</v>
      </c>
      <c r="D174" s="1" t="s">
        <v>428</v>
      </c>
      <c r="E174" s="1" t="s">
        <v>175</v>
      </c>
      <c r="F174" s="2">
        <v>46206</v>
      </c>
      <c r="G174" s="2">
        <v>46218</v>
      </c>
      <c r="H174" s="4">
        <v>0.56999999999999995</v>
      </c>
      <c r="J174" s="1" t="s">
        <v>232</v>
      </c>
      <c r="M174" s="1" t="s">
        <v>251</v>
      </c>
      <c r="N174" s="3">
        <v>46206</v>
      </c>
      <c r="P174" s="1" t="s">
        <v>67</v>
      </c>
      <c r="Q174" s="1" t="s">
        <v>55</v>
      </c>
      <c r="R174" s="1" t="s">
        <v>365</v>
      </c>
      <c r="S174" s="3">
        <v>46188</v>
      </c>
      <c r="T174" s="3">
        <v>46198</v>
      </c>
      <c r="AB174" s="1">
        <v>0.56999999999999995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x14ac:dyDescent="0.25">
      <c r="A175" s="1">
        <v>290</v>
      </c>
      <c r="B175" s="1" t="s">
        <v>429</v>
      </c>
      <c r="C175" s="1" t="s">
        <v>430</v>
      </c>
      <c r="D175" s="1" t="s">
        <v>101</v>
      </c>
      <c r="E175" s="1" t="s">
        <v>168</v>
      </c>
      <c r="F175" s="2">
        <v>46206</v>
      </c>
      <c r="G175" s="2">
        <v>46211</v>
      </c>
      <c r="H175" s="4">
        <v>1</v>
      </c>
      <c r="I175" s="2">
        <v>46211</v>
      </c>
      <c r="J175" s="1" t="s">
        <v>53</v>
      </c>
      <c r="K175" s="1" t="s">
        <v>431</v>
      </c>
      <c r="L175" s="1">
        <v>291</v>
      </c>
      <c r="M175" s="1" t="s">
        <v>251</v>
      </c>
      <c r="N175" s="3">
        <v>46202</v>
      </c>
      <c r="P175" s="1" t="s">
        <v>67</v>
      </c>
      <c r="Q175" s="1" t="s">
        <v>55</v>
      </c>
      <c r="R175" s="1" t="s">
        <v>365</v>
      </c>
      <c r="S175" s="3">
        <v>46188</v>
      </c>
      <c r="T175" s="3">
        <v>46192</v>
      </c>
      <c r="AB175" s="1">
        <v>1</v>
      </c>
      <c r="AC175" s="1">
        <v>1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1</v>
      </c>
    </row>
    <row r="176" spans="1:39" x14ac:dyDescent="0.25">
      <c r="A176" s="1">
        <v>291</v>
      </c>
      <c r="B176" s="1" t="s">
        <v>432</v>
      </c>
      <c r="C176" s="1" t="s">
        <v>430</v>
      </c>
      <c r="D176" s="1" t="s">
        <v>105</v>
      </c>
      <c r="E176" s="1" t="s">
        <v>52</v>
      </c>
      <c r="F176" s="2">
        <v>46216</v>
      </c>
      <c r="G176" s="2">
        <v>46216</v>
      </c>
      <c r="H176" s="4">
        <v>0</v>
      </c>
      <c r="J176" s="1" t="s">
        <v>83</v>
      </c>
      <c r="K176" s="1">
        <v>290</v>
      </c>
      <c r="L176" s="1">
        <v>292</v>
      </c>
      <c r="M176" s="1" t="s">
        <v>196</v>
      </c>
      <c r="N176" s="3">
        <v>46203</v>
      </c>
      <c r="P176" s="1" t="s">
        <v>67</v>
      </c>
      <c r="Q176" s="1" t="s">
        <v>55</v>
      </c>
      <c r="R176" s="1" t="s">
        <v>365</v>
      </c>
      <c r="S176" s="3">
        <v>46195</v>
      </c>
      <c r="T176" s="3">
        <v>46195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</row>
    <row r="177" spans="1:39" x14ac:dyDescent="0.25">
      <c r="A177" s="1">
        <v>292</v>
      </c>
      <c r="B177" s="1" t="s">
        <v>433</v>
      </c>
      <c r="C177" s="1" t="s">
        <v>430</v>
      </c>
      <c r="D177" s="1" t="s">
        <v>109</v>
      </c>
      <c r="E177" s="1" t="s">
        <v>52</v>
      </c>
      <c r="F177" s="2">
        <v>46217</v>
      </c>
      <c r="G177" s="2">
        <v>46217</v>
      </c>
      <c r="H177" s="4">
        <v>0</v>
      </c>
      <c r="J177" s="1" t="s">
        <v>83</v>
      </c>
      <c r="K177" s="1">
        <v>291</v>
      </c>
      <c r="L177" s="1">
        <v>293</v>
      </c>
      <c r="M177" s="1" t="s">
        <v>404</v>
      </c>
      <c r="N177" s="3">
        <v>46205</v>
      </c>
      <c r="P177" s="1" t="s">
        <v>194</v>
      </c>
      <c r="Q177" s="1" t="s">
        <v>55</v>
      </c>
      <c r="R177" s="1" t="s">
        <v>365</v>
      </c>
      <c r="S177" s="3">
        <v>46196</v>
      </c>
      <c r="T177" s="3">
        <v>46197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x14ac:dyDescent="0.25">
      <c r="A178" s="1">
        <v>293</v>
      </c>
      <c r="B178" s="1" t="s">
        <v>434</v>
      </c>
      <c r="C178" s="1" t="s">
        <v>430</v>
      </c>
      <c r="D178" s="1" t="s">
        <v>115</v>
      </c>
      <c r="E178" s="1" t="s">
        <v>52</v>
      </c>
      <c r="F178" s="2">
        <v>46218</v>
      </c>
      <c r="G178" s="2">
        <v>46218</v>
      </c>
      <c r="H178" s="4">
        <v>0</v>
      </c>
      <c r="J178" s="1" t="s">
        <v>83</v>
      </c>
      <c r="K178" s="1">
        <v>292</v>
      </c>
      <c r="M178" s="1" t="s">
        <v>385</v>
      </c>
      <c r="N178" s="3">
        <v>46206</v>
      </c>
      <c r="P178" s="1" t="s">
        <v>194</v>
      </c>
      <c r="Q178" s="1" t="s">
        <v>55</v>
      </c>
      <c r="R178" s="1" t="s">
        <v>365</v>
      </c>
      <c r="S178" s="3">
        <v>46198</v>
      </c>
      <c r="T178" s="3">
        <v>46198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x14ac:dyDescent="0.25">
      <c r="A179" s="1">
        <v>294</v>
      </c>
      <c r="B179" s="1" t="s">
        <v>435</v>
      </c>
      <c r="C179" s="1" t="s">
        <v>50</v>
      </c>
      <c r="D179" s="1" t="s">
        <v>436</v>
      </c>
      <c r="E179" s="1" t="s">
        <v>437</v>
      </c>
      <c r="F179" s="2">
        <v>46170</v>
      </c>
      <c r="G179" s="2">
        <v>46218</v>
      </c>
      <c r="H179" s="4">
        <v>0.57999999999999996</v>
      </c>
      <c r="J179" s="1" t="s">
        <v>41</v>
      </c>
      <c r="M179" s="1" t="s">
        <v>135</v>
      </c>
      <c r="N179" s="3">
        <v>46210</v>
      </c>
      <c r="P179" s="1" t="s">
        <v>136</v>
      </c>
      <c r="Q179" s="1" t="s">
        <v>55</v>
      </c>
      <c r="R179" s="1" t="s">
        <v>438</v>
      </c>
      <c r="S179" s="3">
        <v>46147</v>
      </c>
      <c r="T179" s="3">
        <v>46210</v>
      </c>
      <c r="AB179" s="1">
        <v>0.57999999999999996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300</v>
      </c>
      <c r="B180" s="1" t="s">
        <v>439</v>
      </c>
      <c r="C180" s="1" t="s">
        <v>440</v>
      </c>
      <c r="D180" s="1" t="s">
        <v>441</v>
      </c>
      <c r="E180" s="1" t="s">
        <v>369</v>
      </c>
      <c r="F180" s="2">
        <v>46209</v>
      </c>
      <c r="G180" s="2">
        <v>46218</v>
      </c>
      <c r="H180" s="4">
        <v>0</v>
      </c>
      <c r="J180" s="1" t="s">
        <v>41</v>
      </c>
      <c r="M180" s="1" t="s">
        <v>245</v>
      </c>
      <c r="N180" s="3">
        <v>46197</v>
      </c>
      <c r="P180" s="1" t="s">
        <v>180</v>
      </c>
      <c r="Q180" s="1" t="s">
        <v>55</v>
      </c>
      <c r="R180" s="1" t="s">
        <v>438</v>
      </c>
      <c r="S180" s="3">
        <v>46185</v>
      </c>
      <c r="T180" s="3">
        <v>46197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x14ac:dyDescent="0.25">
      <c r="A181" s="1">
        <v>301</v>
      </c>
      <c r="B181" s="1" t="s">
        <v>442</v>
      </c>
      <c r="C181" s="1" t="s">
        <v>443</v>
      </c>
      <c r="D181" s="1" t="s">
        <v>101</v>
      </c>
      <c r="E181" s="1" t="s">
        <v>102</v>
      </c>
      <c r="F181" s="2">
        <v>46209</v>
      </c>
      <c r="G181" s="2">
        <v>46211</v>
      </c>
      <c r="H181" s="4">
        <v>0</v>
      </c>
      <c r="J181" s="1" t="s">
        <v>41</v>
      </c>
      <c r="K181" s="1" t="s">
        <v>444</v>
      </c>
      <c r="L181" s="1">
        <v>302</v>
      </c>
      <c r="M181" s="1" t="s">
        <v>245</v>
      </c>
      <c r="N181" s="3">
        <v>46191</v>
      </c>
      <c r="P181" s="1" t="s">
        <v>180</v>
      </c>
      <c r="Q181" s="1" t="s">
        <v>55</v>
      </c>
      <c r="R181" s="1" t="s">
        <v>438</v>
      </c>
      <c r="S181" s="3">
        <v>46185</v>
      </c>
      <c r="T181" s="3">
        <v>46191</v>
      </c>
      <c r="AB181" s="1">
        <v>0</v>
      </c>
      <c r="AC181" s="1">
        <v>1</v>
      </c>
      <c r="AD181" s="1">
        <v>0</v>
      </c>
      <c r="AE181" s="1">
        <v>1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x14ac:dyDescent="0.25">
      <c r="A182" s="1">
        <v>302</v>
      </c>
      <c r="B182" s="1" t="s">
        <v>445</v>
      </c>
      <c r="C182" s="1" t="s">
        <v>443</v>
      </c>
      <c r="D182" s="1" t="s">
        <v>105</v>
      </c>
      <c r="E182" s="1" t="s">
        <v>52</v>
      </c>
      <c r="F182" s="2">
        <v>46216</v>
      </c>
      <c r="G182" s="2">
        <v>46216</v>
      </c>
      <c r="H182" s="4">
        <v>0</v>
      </c>
      <c r="J182" s="1" t="s">
        <v>83</v>
      </c>
      <c r="K182" s="1">
        <v>301</v>
      </c>
      <c r="L182" s="1">
        <v>303</v>
      </c>
      <c r="M182" s="1" t="s">
        <v>304</v>
      </c>
      <c r="N182" s="3">
        <v>46192</v>
      </c>
      <c r="P182" s="1" t="s">
        <v>67</v>
      </c>
      <c r="Q182" s="1" t="s">
        <v>55</v>
      </c>
      <c r="R182" s="1" t="s">
        <v>438</v>
      </c>
      <c r="S182" s="3">
        <v>46192</v>
      </c>
      <c r="T182" s="3">
        <v>46192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303</v>
      </c>
      <c r="B183" s="1" t="s">
        <v>446</v>
      </c>
      <c r="C183" s="1" t="s">
        <v>443</v>
      </c>
      <c r="D183" s="1" t="s">
        <v>109</v>
      </c>
      <c r="E183" s="1" t="s">
        <v>52</v>
      </c>
      <c r="F183" s="2">
        <v>46217</v>
      </c>
      <c r="G183" s="2">
        <v>46217</v>
      </c>
      <c r="H183" s="4">
        <v>0</v>
      </c>
      <c r="J183" s="1" t="s">
        <v>83</v>
      </c>
      <c r="K183" s="1">
        <v>302</v>
      </c>
      <c r="L183" s="1">
        <v>304</v>
      </c>
      <c r="M183" s="1" t="s">
        <v>284</v>
      </c>
      <c r="N183" s="3">
        <v>46196</v>
      </c>
      <c r="P183" s="1" t="s">
        <v>67</v>
      </c>
      <c r="Q183" s="1" t="s">
        <v>55</v>
      </c>
      <c r="R183" s="1" t="s">
        <v>438</v>
      </c>
      <c r="S183" s="3">
        <v>46195</v>
      </c>
      <c r="T183" s="3">
        <v>46196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x14ac:dyDescent="0.25">
      <c r="A184" s="1">
        <v>304</v>
      </c>
      <c r="B184" s="1" t="s">
        <v>447</v>
      </c>
      <c r="C184" s="1" t="s">
        <v>443</v>
      </c>
      <c r="D184" s="1" t="s">
        <v>115</v>
      </c>
      <c r="E184" s="1" t="s">
        <v>52</v>
      </c>
      <c r="F184" s="2">
        <v>46218</v>
      </c>
      <c r="G184" s="2">
        <v>46218</v>
      </c>
      <c r="H184" s="4">
        <v>0</v>
      </c>
      <c r="J184" s="1" t="s">
        <v>83</v>
      </c>
      <c r="K184" s="1">
        <v>303</v>
      </c>
      <c r="M184" s="1" t="s">
        <v>308</v>
      </c>
      <c r="N184" s="3">
        <v>46197</v>
      </c>
      <c r="P184" s="1" t="s">
        <v>194</v>
      </c>
      <c r="Q184" s="1" t="s">
        <v>55</v>
      </c>
      <c r="R184" s="1" t="s">
        <v>438</v>
      </c>
      <c r="S184" s="3">
        <v>46197</v>
      </c>
      <c r="T184" s="3">
        <v>46197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305</v>
      </c>
      <c r="B185" s="1" t="s">
        <v>448</v>
      </c>
      <c r="C185" s="1" t="s">
        <v>440</v>
      </c>
      <c r="D185" s="1" t="s">
        <v>449</v>
      </c>
      <c r="E185" s="1" t="s">
        <v>450</v>
      </c>
      <c r="F185" s="2">
        <v>46175</v>
      </c>
      <c r="G185" s="2">
        <v>46210</v>
      </c>
      <c r="H185" s="4">
        <v>0.79</v>
      </c>
      <c r="J185" s="1" t="s">
        <v>41</v>
      </c>
      <c r="M185" s="1" t="s">
        <v>172</v>
      </c>
      <c r="N185" s="3">
        <v>46183</v>
      </c>
      <c r="P185" s="1" t="s">
        <v>119</v>
      </c>
      <c r="Q185" s="1" t="s">
        <v>55</v>
      </c>
      <c r="R185" s="1" t="s">
        <v>438</v>
      </c>
      <c r="S185" s="3">
        <v>46163</v>
      </c>
      <c r="T185" s="3">
        <v>46171</v>
      </c>
      <c r="AB185" s="1">
        <v>0.79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306</v>
      </c>
      <c r="B186" s="1" t="s">
        <v>451</v>
      </c>
      <c r="C186" s="1" t="s">
        <v>452</v>
      </c>
      <c r="D186" s="1" t="s">
        <v>101</v>
      </c>
      <c r="E186" s="1" t="s">
        <v>102</v>
      </c>
      <c r="F186" s="2">
        <v>46175</v>
      </c>
      <c r="G186" s="2">
        <v>46181</v>
      </c>
      <c r="H186" s="4">
        <v>1</v>
      </c>
      <c r="I186" s="2">
        <v>46181</v>
      </c>
      <c r="J186" s="1" t="s">
        <v>53</v>
      </c>
      <c r="K186" s="1" t="s">
        <v>453</v>
      </c>
      <c r="L186" s="1" t="s">
        <v>454</v>
      </c>
      <c r="M186" s="1" t="s">
        <v>172</v>
      </c>
      <c r="N186" s="3">
        <v>46177</v>
      </c>
      <c r="P186" s="1" t="s">
        <v>119</v>
      </c>
      <c r="Q186" s="1" t="s">
        <v>55</v>
      </c>
      <c r="R186" s="1" t="s">
        <v>438</v>
      </c>
      <c r="S186" s="3">
        <v>46163</v>
      </c>
      <c r="T186" s="3">
        <v>46167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</row>
    <row r="187" spans="1:39" x14ac:dyDescent="0.25">
      <c r="A187" s="1">
        <v>307</v>
      </c>
      <c r="B187" s="1" t="s">
        <v>455</v>
      </c>
      <c r="C187" s="1" t="s">
        <v>452</v>
      </c>
      <c r="D187" s="1" t="s">
        <v>105</v>
      </c>
      <c r="E187" s="1" t="s">
        <v>116</v>
      </c>
      <c r="F187" s="2">
        <v>46182</v>
      </c>
      <c r="G187" s="2">
        <v>46183</v>
      </c>
      <c r="H187" s="4">
        <v>1</v>
      </c>
      <c r="I187" s="2">
        <v>46183</v>
      </c>
      <c r="J187" s="1" t="s">
        <v>53</v>
      </c>
      <c r="K187" s="1">
        <v>306</v>
      </c>
      <c r="L187" s="1">
        <v>308</v>
      </c>
      <c r="M187" s="1" t="s">
        <v>66</v>
      </c>
      <c r="N187" s="3">
        <v>46178</v>
      </c>
      <c r="P187" s="1" t="s">
        <v>76</v>
      </c>
      <c r="Q187" s="1" t="s">
        <v>55</v>
      </c>
      <c r="R187" s="1" t="s">
        <v>438</v>
      </c>
      <c r="S187" s="3">
        <v>46168</v>
      </c>
      <c r="T187" s="3">
        <v>46168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1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308</v>
      </c>
      <c r="B188" s="1" t="s">
        <v>456</v>
      </c>
      <c r="C188" s="1" t="s">
        <v>452</v>
      </c>
      <c r="D188" s="1" t="s">
        <v>109</v>
      </c>
      <c r="E188" s="1" t="s">
        <v>52</v>
      </c>
      <c r="F188" s="2">
        <v>46209</v>
      </c>
      <c r="G188" s="2">
        <v>46210</v>
      </c>
      <c r="H188" s="4">
        <v>0.5</v>
      </c>
      <c r="J188" s="1" t="s">
        <v>232</v>
      </c>
      <c r="K188" s="1">
        <v>307</v>
      </c>
      <c r="L188" s="1" t="s">
        <v>457</v>
      </c>
      <c r="M188" s="1" t="s">
        <v>149</v>
      </c>
      <c r="N188" s="3">
        <v>46182</v>
      </c>
      <c r="P188" s="1" t="s">
        <v>76</v>
      </c>
      <c r="Q188" s="1" t="s">
        <v>55</v>
      </c>
      <c r="R188" s="1" t="s">
        <v>438</v>
      </c>
      <c r="S188" s="3">
        <v>46169</v>
      </c>
      <c r="T188" s="3">
        <v>46170</v>
      </c>
      <c r="AB188" s="1">
        <v>0.5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309</v>
      </c>
      <c r="B189" s="1" t="s">
        <v>458</v>
      </c>
      <c r="C189" s="1" t="s">
        <v>452</v>
      </c>
      <c r="D189" s="1" t="s">
        <v>115</v>
      </c>
      <c r="E189" s="1" t="s">
        <v>52</v>
      </c>
      <c r="F189" s="2">
        <v>46209</v>
      </c>
      <c r="G189" s="2">
        <v>46210</v>
      </c>
      <c r="H189" s="4">
        <v>0</v>
      </c>
      <c r="J189" s="1" t="s">
        <v>41</v>
      </c>
      <c r="K189" s="1" t="s">
        <v>459</v>
      </c>
      <c r="M189" s="1" t="s">
        <v>183</v>
      </c>
      <c r="N189" s="3">
        <v>46183</v>
      </c>
      <c r="P189" s="1" t="s">
        <v>76</v>
      </c>
      <c r="Q189" s="1" t="s">
        <v>55</v>
      </c>
      <c r="R189" s="1" t="s">
        <v>438</v>
      </c>
      <c r="S189" s="3">
        <v>46171</v>
      </c>
      <c r="T189" s="3">
        <v>46171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</row>
    <row r="190" spans="1:39" x14ac:dyDescent="0.25">
      <c r="A190" s="1">
        <v>315</v>
      </c>
      <c r="B190" s="1" t="s">
        <v>460</v>
      </c>
      <c r="C190" s="1" t="s">
        <v>440</v>
      </c>
      <c r="D190" s="1" t="s">
        <v>461</v>
      </c>
      <c r="E190" s="1" t="s">
        <v>390</v>
      </c>
      <c r="F190" s="2">
        <v>46170</v>
      </c>
      <c r="G190" s="2">
        <v>46176</v>
      </c>
      <c r="H190" s="4">
        <v>0.75</v>
      </c>
      <c r="J190" s="1" t="s">
        <v>41</v>
      </c>
      <c r="M190" s="1" t="s">
        <v>135</v>
      </c>
      <c r="N190" s="3">
        <v>46178</v>
      </c>
      <c r="P190" s="1" t="s">
        <v>136</v>
      </c>
      <c r="Q190" s="1" t="s">
        <v>55</v>
      </c>
      <c r="R190" s="1" t="s">
        <v>438</v>
      </c>
      <c r="S190" s="3">
        <v>46160</v>
      </c>
      <c r="T190" s="3">
        <v>46168</v>
      </c>
      <c r="AB190" s="1">
        <v>0.75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316</v>
      </c>
      <c r="B191" s="1" t="s">
        <v>462</v>
      </c>
      <c r="C191" s="1" t="s">
        <v>463</v>
      </c>
      <c r="D191" s="1" t="s">
        <v>101</v>
      </c>
      <c r="E191" s="1" t="s">
        <v>102</v>
      </c>
      <c r="F191" s="2">
        <v>46170</v>
      </c>
      <c r="G191" s="2">
        <v>46174</v>
      </c>
      <c r="H191" s="4">
        <v>1</v>
      </c>
      <c r="I191" s="2">
        <v>46174</v>
      </c>
      <c r="J191" s="1" t="s">
        <v>53</v>
      </c>
      <c r="K191" s="1">
        <v>78</v>
      </c>
      <c r="L191" s="1" t="s">
        <v>464</v>
      </c>
      <c r="M191" s="1" t="s">
        <v>135</v>
      </c>
      <c r="N191" s="3">
        <v>46174</v>
      </c>
      <c r="P191" s="1" t="s">
        <v>136</v>
      </c>
      <c r="Q191" s="1" t="s">
        <v>55</v>
      </c>
      <c r="R191" s="1" t="s">
        <v>438</v>
      </c>
      <c r="S191" s="3">
        <v>46160</v>
      </c>
      <c r="T191" s="3">
        <v>46162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</row>
    <row r="192" spans="1:39" x14ac:dyDescent="0.25">
      <c r="A192" s="1">
        <v>317</v>
      </c>
      <c r="B192" s="1" t="s">
        <v>465</v>
      </c>
      <c r="C192" s="1" t="s">
        <v>463</v>
      </c>
      <c r="D192" s="1" t="s">
        <v>105</v>
      </c>
      <c r="E192" s="1" t="s">
        <v>52</v>
      </c>
      <c r="F192" s="2">
        <v>46175</v>
      </c>
      <c r="G192" s="2">
        <v>46175</v>
      </c>
      <c r="H192" s="4">
        <v>1</v>
      </c>
      <c r="I192" s="2">
        <v>46175</v>
      </c>
      <c r="J192" s="1" t="s">
        <v>53</v>
      </c>
      <c r="K192" s="1">
        <v>316</v>
      </c>
      <c r="L192" s="1">
        <v>318</v>
      </c>
      <c r="M192" s="1" t="s">
        <v>172</v>
      </c>
      <c r="N192" s="3">
        <v>46175</v>
      </c>
      <c r="P192" s="1" t="s">
        <v>119</v>
      </c>
      <c r="Q192" s="1" t="s">
        <v>55</v>
      </c>
      <c r="R192" s="1" t="s">
        <v>438</v>
      </c>
      <c r="S192" s="3">
        <v>46163</v>
      </c>
      <c r="T192" s="3">
        <v>46163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1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x14ac:dyDescent="0.25">
      <c r="A193" s="1">
        <v>318</v>
      </c>
      <c r="B193" s="1" t="s">
        <v>466</v>
      </c>
      <c r="C193" s="1" t="s">
        <v>463</v>
      </c>
      <c r="D193" s="1" t="s">
        <v>109</v>
      </c>
      <c r="E193" s="1" t="s">
        <v>52</v>
      </c>
      <c r="F193" s="2">
        <v>46176</v>
      </c>
      <c r="G193" s="2">
        <v>46176</v>
      </c>
      <c r="H193" s="4">
        <v>0.5</v>
      </c>
      <c r="J193" s="1" t="s">
        <v>41</v>
      </c>
      <c r="K193" s="1">
        <v>317</v>
      </c>
      <c r="L193" s="1" t="s">
        <v>467</v>
      </c>
      <c r="M193" s="1" t="s">
        <v>220</v>
      </c>
      <c r="N193" s="3">
        <v>46177</v>
      </c>
      <c r="P193" s="1" t="s">
        <v>119</v>
      </c>
      <c r="Q193" s="1" t="s">
        <v>55</v>
      </c>
      <c r="R193" s="1" t="s">
        <v>438</v>
      </c>
      <c r="S193" s="3">
        <v>46164</v>
      </c>
      <c r="T193" s="3">
        <v>46167</v>
      </c>
      <c r="AB193" s="1">
        <v>0.5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 x14ac:dyDescent="0.25">
      <c r="A194" s="1">
        <v>319</v>
      </c>
      <c r="B194" s="1" t="s">
        <v>468</v>
      </c>
      <c r="C194" s="1" t="s">
        <v>463</v>
      </c>
      <c r="D194" s="1" t="s">
        <v>115</v>
      </c>
      <c r="E194" s="1" t="s">
        <v>52</v>
      </c>
      <c r="F194" s="2">
        <v>46176</v>
      </c>
      <c r="G194" s="2">
        <v>46176</v>
      </c>
      <c r="H194" s="4">
        <v>0</v>
      </c>
      <c r="J194" s="1" t="s">
        <v>41</v>
      </c>
      <c r="K194" s="1" t="s">
        <v>469</v>
      </c>
      <c r="M194" s="1" t="s">
        <v>66</v>
      </c>
      <c r="N194" s="3">
        <v>46178</v>
      </c>
      <c r="P194" s="1" t="s">
        <v>119</v>
      </c>
      <c r="Q194" s="1" t="s">
        <v>55</v>
      </c>
      <c r="R194" s="1" t="s">
        <v>438</v>
      </c>
      <c r="S194" s="3">
        <v>46168</v>
      </c>
      <c r="T194" s="3">
        <v>46168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</row>
    <row r="195" spans="1:39" x14ac:dyDescent="0.25">
      <c r="A195" s="1">
        <v>320</v>
      </c>
      <c r="B195" s="1" t="s">
        <v>470</v>
      </c>
      <c r="C195" s="1" t="s">
        <v>440</v>
      </c>
      <c r="D195" s="1" t="s">
        <v>471</v>
      </c>
      <c r="E195" s="1" t="s">
        <v>139</v>
      </c>
      <c r="F195" s="2">
        <v>46210</v>
      </c>
      <c r="G195" s="2">
        <v>46217</v>
      </c>
      <c r="H195" s="4">
        <v>0.4</v>
      </c>
      <c r="J195" s="1" t="s">
        <v>232</v>
      </c>
      <c r="M195" s="1" t="s">
        <v>193</v>
      </c>
      <c r="N195" s="3">
        <v>46205</v>
      </c>
      <c r="P195" s="1" t="s">
        <v>194</v>
      </c>
      <c r="Q195" s="1" t="s">
        <v>55</v>
      </c>
      <c r="R195" s="1" t="s">
        <v>438</v>
      </c>
      <c r="S195" s="3">
        <v>46199</v>
      </c>
      <c r="T195" s="3">
        <v>46205</v>
      </c>
      <c r="AB195" s="1">
        <v>0.4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x14ac:dyDescent="0.25">
      <c r="A196" s="1">
        <v>321</v>
      </c>
      <c r="B196" s="1" t="s">
        <v>472</v>
      </c>
      <c r="C196" s="1" t="s">
        <v>473</v>
      </c>
      <c r="D196" s="1" t="s">
        <v>101</v>
      </c>
      <c r="E196" s="1" t="s">
        <v>116</v>
      </c>
      <c r="F196" s="2">
        <v>46210</v>
      </c>
      <c r="G196" s="2">
        <v>46211</v>
      </c>
      <c r="H196" s="4">
        <v>1</v>
      </c>
      <c r="I196" s="2">
        <v>46211</v>
      </c>
      <c r="J196" s="1" t="s">
        <v>53</v>
      </c>
      <c r="K196" s="1">
        <v>347</v>
      </c>
      <c r="L196" s="1" t="s">
        <v>474</v>
      </c>
      <c r="M196" s="1" t="s">
        <v>193</v>
      </c>
      <c r="N196" s="3">
        <v>46199</v>
      </c>
      <c r="P196" s="1" t="s">
        <v>194</v>
      </c>
      <c r="Q196" s="1" t="s">
        <v>55</v>
      </c>
      <c r="R196" s="1" t="s">
        <v>438</v>
      </c>
      <c r="S196" s="3">
        <v>46199</v>
      </c>
      <c r="T196" s="3">
        <v>46199</v>
      </c>
      <c r="AB196" s="1">
        <v>1</v>
      </c>
      <c r="AC196" s="1">
        <v>1</v>
      </c>
      <c r="AD196" s="1">
        <v>1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1</v>
      </c>
    </row>
    <row r="197" spans="1:39" x14ac:dyDescent="0.25">
      <c r="A197" s="1">
        <v>322</v>
      </c>
      <c r="B197" s="1" t="s">
        <v>475</v>
      </c>
      <c r="C197" s="1" t="s">
        <v>473</v>
      </c>
      <c r="D197" s="1" t="s">
        <v>105</v>
      </c>
      <c r="E197" s="1" t="s">
        <v>52</v>
      </c>
      <c r="F197" s="2">
        <v>46216</v>
      </c>
      <c r="G197" s="2">
        <v>46216</v>
      </c>
      <c r="H197" s="4">
        <v>0</v>
      </c>
      <c r="J197" s="1" t="s">
        <v>83</v>
      </c>
      <c r="K197" s="1">
        <v>321</v>
      </c>
      <c r="L197" s="1">
        <v>323</v>
      </c>
      <c r="M197" s="1" t="s">
        <v>311</v>
      </c>
      <c r="N197" s="3">
        <v>46202</v>
      </c>
      <c r="P197" s="1" t="s">
        <v>194</v>
      </c>
      <c r="Q197" s="1" t="s">
        <v>55</v>
      </c>
      <c r="R197" s="1" t="s">
        <v>438</v>
      </c>
      <c r="S197" s="3">
        <v>46202</v>
      </c>
      <c r="T197" s="3">
        <v>46202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323</v>
      </c>
      <c r="B198" s="1" t="s">
        <v>476</v>
      </c>
      <c r="C198" s="1" t="s">
        <v>473</v>
      </c>
      <c r="D198" s="1" t="s">
        <v>109</v>
      </c>
      <c r="E198" s="1" t="s">
        <v>52</v>
      </c>
      <c r="F198" s="2">
        <v>46217</v>
      </c>
      <c r="G198" s="2">
        <v>46217</v>
      </c>
      <c r="H198" s="4">
        <v>0</v>
      </c>
      <c r="J198" s="1" t="s">
        <v>83</v>
      </c>
      <c r="K198" s="1">
        <v>322</v>
      </c>
      <c r="L198" s="1" t="s">
        <v>477</v>
      </c>
      <c r="M198" s="1" t="s">
        <v>196</v>
      </c>
      <c r="N198" s="3">
        <v>46204</v>
      </c>
      <c r="P198" s="1" t="s">
        <v>478</v>
      </c>
      <c r="Q198" s="1" t="s">
        <v>55</v>
      </c>
      <c r="R198" s="1" t="s">
        <v>438</v>
      </c>
      <c r="S198" s="3">
        <v>46203</v>
      </c>
      <c r="T198" s="3">
        <v>46204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x14ac:dyDescent="0.25">
      <c r="A199" s="1">
        <v>324</v>
      </c>
      <c r="B199" s="1" t="s">
        <v>479</v>
      </c>
      <c r="C199" s="1" t="s">
        <v>473</v>
      </c>
      <c r="D199" s="1" t="s">
        <v>115</v>
      </c>
      <c r="E199" s="1" t="s">
        <v>52</v>
      </c>
      <c r="F199" s="2">
        <v>46217</v>
      </c>
      <c r="G199" s="2">
        <v>46217</v>
      </c>
      <c r="H199" s="4">
        <v>0</v>
      </c>
      <c r="J199" s="1" t="s">
        <v>83</v>
      </c>
      <c r="K199" s="1" t="s">
        <v>480</v>
      </c>
      <c r="M199" s="1" t="s">
        <v>383</v>
      </c>
      <c r="N199" s="3">
        <v>46205</v>
      </c>
      <c r="P199" s="1" t="s">
        <v>478</v>
      </c>
      <c r="Q199" s="1" t="s">
        <v>55</v>
      </c>
      <c r="R199" s="1" t="s">
        <v>438</v>
      </c>
      <c r="S199" s="3">
        <v>46205</v>
      </c>
      <c r="T199" s="3">
        <v>46205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325</v>
      </c>
      <c r="B200" s="1" t="s">
        <v>481</v>
      </c>
      <c r="C200" s="1" t="s">
        <v>440</v>
      </c>
      <c r="D200" s="1" t="s">
        <v>482</v>
      </c>
      <c r="E200" s="1" t="s">
        <v>390</v>
      </c>
      <c r="F200" s="2">
        <v>46209</v>
      </c>
      <c r="G200" s="2">
        <v>46217</v>
      </c>
      <c r="H200" s="4">
        <v>0.5</v>
      </c>
      <c r="J200" s="1" t="s">
        <v>232</v>
      </c>
      <c r="M200" s="1" t="s">
        <v>311</v>
      </c>
      <c r="N200" s="3">
        <v>46210</v>
      </c>
      <c r="P200" s="1" t="s">
        <v>194</v>
      </c>
      <c r="Q200" s="1" t="s">
        <v>55</v>
      </c>
      <c r="R200" s="1" t="s">
        <v>438</v>
      </c>
      <c r="S200" s="3">
        <v>46202</v>
      </c>
      <c r="T200" s="3">
        <v>46210</v>
      </c>
      <c r="AB200" s="1">
        <v>0.5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326</v>
      </c>
      <c r="B201" s="1" t="s">
        <v>483</v>
      </c>
      <c r="C201" s="1" t="s">
        <v>484</v>
      </c>
      <c r="D201" s="1" t="s">
        <v>101</v>
      </c>
      <c r="E201" s="1" t="s">
        <v>102</v>
      </c>
      <c r="F201" s="2">
        <v>46209</v>
      </c>
      <c r="G201" s="2">
        <v>46211</v>
      </c>
      <c r="H201" s="4">
        <v>1</v>
      </c>
      <c r="I201" s="2">
        <v>46211</v>
      </c>
      <c r="J201" s="1" t="s">
        <v>53</v>
      </c>
      <c r="K201" s="1" t="s">
        <v>485</v>
      </c>
      <c r="L201" s="1">
        <v>327</v>
      </c>
      <c r="M201" s="1" t="s">
        <v>311</v>
      </c>
      <c r="N201" s="3">
        <v>46204</v>
      </c>
      <c r="P201" s="1" t="s">
        <v>194</v>
      </c>
      <c r="Q201" s="1" t="s">
        <v>55</v>
      </c>
      <c r="R201" s="1" t="s">
        <v>438</v>
      </c>
      <c r="S201" s="3">
        <v>46202</v>
      </c>
      <c r="T201" s="3">
        <v>46204</v>
      </c>
      <c r="AB201" s="1">
        <v>1</v>
      </c>
      <c r="AC201" s="1">
        <v>1</v>
      </c>
      <c r="AD201" s="1">
        <v>1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1</v>
      </c>
    </row>
    <row r="202" spans="1:39" x14ac:dyDescent="0.25">
      <c r="A202" s="1">
        <v>327</v>
      </c>
      <c r="B202" s="1" t="s">
        <v>486</v>
      </c>
      <c r="C202" s="1" t="s">
        <v>484</v>
      </c>
      <c r="D202" s="1" t="s">
        <v>105</v>
      </c>
      <c r="E202" s="1" t="s">
        <v>52</v>
      </c>
      <c r="F202" s="2">
        <v>46216</v>
      </c>
      <c r="G202" s="2">
        <v>46216</v>
      </c>
      <c r="H202" s="4">
        <v>0</v>
      </c>
      <c r="J202" s="1" t="s">
        <v>83</v>
      </c>
      <c r="K202" s="1">
        <v>326</v>
      </c>
      <c r="L202" s="1">
        <v>328</v>
      </c>
      <c r="M202" s="1" t="s">
        <v>383</v>
      </c>
      <c r="N202" s="3">
        <v>46205</v>
      </c>
      <c r="P202" s="1" t="s">
        <v>478</v>
      </c>
      <c r="Q202" s="1" t="s">
        <v>55</v>
      </c>
      <c r="R202" s="1" t="s">
        <v>438</v>
      </c>
      <c r="S202" s="3">
        <v>46205</v>
      </c>
      <c r="T202" s="3">
        <v>46205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x14ac:dyDescent="0.25">
      <c r="A203" s="1">
        <v>328</v>
      </c>
      <c r="B203" s="1" t="s">
        <v>487</v>
      </c>
      <c r="C203" s="1" t="s">
        <v>484</v>
      </c>
      <c r="D203" s="1" t="s">
        <v>109</v>
      </c>
      <c r="E203" s="1" t="s">
        <v>52</v>
      </c>
      <c r="F203" s="2">
        <v>46217</v>
      </c>
      <c r="G203" s="2">
        <v>46217</v>
      </c>
      <c r="H203" s="4">
        <v>0</v>
      </c>
      <c r="J203" s="1" t="s">
        <v>83</v>
      </c>
      <c r="K203" s="1">
        <v>327</v>
      </c>
      <c r="L203" s="1" t="s">
        <v>488</v>
      </c>
      <c r="M203" s="1" t="s">
        <v>385</v>
      </c>
      <c r="N203" s="3">
        <v>46209</v>
      </c>
      <c r="P203" s="1" t="s">
        <v>478</v>
      </c>
      <c r="Q203" s="1" t="s">
        <v>55</v>
      </c>
      <c r="R203" s="1" t="s">
        <v>438</v>
      </c>
      <c r="S203" s="3">
        <v>46206</v>
      </c>
      <c r="T203" s="3">
        <v>46209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329</v>
      </c>
      <c r="B204" s="1" t="s">
        <v>489</v>
      </c>
      <c r="C204" s="1" t="s">
        <v>484</v>
      </c>
      <c r="D204" s="1" t="s">
        <v>115</v>
      </c>
      <c r="E204" s="1" t="s">
        <v>52</v>
      </c>
      <c r="F204" s="2">
        <v>46217</v>
      </c>
      <c r="G204" s="2">
        <v>46217</v>
      </c>
      <c r="H204" s="4">
        <v>0</v>
      </c>
      <c r="J204" s="1" t="s">
        <v>83</v>
      </c>
      <c r="K204" s="1" t="s">
        <v>490</v>
      </c>
      <c r="M204" s="1" t="s">
        <v>387</v>
      </c>
      <c r="N204" s="3">
        <v>46210</v>
      </c>
      <c r="P204" s="1" t="s">
        <v>478</v>
      </c>
      <c r="Q204" s="1" t="s">
        <v>55</v>
      </c>
      <c r="R204" s="1" t="s">
        <v>438</v>
      </c>
      <c r="S204" s="3">
        <v>46210</v>
      </c>
      <c r="T204" s="3">
        <v>46210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</row>
    <row r="205" spans="1:39" x14ac:dyDescent="0.25">
      <c r="A205" s="1">
        <v>335</v>
      </c>
      <c r="B205" s="1" t="s">
        <v>491</v>
      </c>
      <c r="C205" s="1" t="s">
        <v>440</v>
      </c>
      <c r="D205" s="1" t="s">
        <v>492</v>
      </c>
      <c r="E205" s="1" t="s">
        <v>390</v>
      </c>
      <c r="F205" s="2">
        <v>46204</v>
      </c>
      <c r="G205" s="2">
        <v>46210</v>
      </c>
      <c r="H205" s="4">
        <v>0.5</v>
      </c>
      <c r="J205" s="1" t="s">
        <v>41</v>
      </c>
      <c r="M205" s="1" t="s">
        <v>248</v>
      </c>
      <c r="N205" s="3">
        <v>46199</v>
      </c>
      <c r="P205" s="1" t="s">
        <v>180</v>
      </c>
      <c r="Q205" s="1" t="s">
        <v>55</v>
      </c>
      <c r="R205" s="1" t="s">
        <v>438</v>
      </c>
      <c r="S205" s="3">
        <v>46178</v>
      </c>
      <c r="T205" s="3">
        <v>46190</v>
      </c>
      <c r="AB205" s="1">
        <v>0.5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x14ac:dyDescent="0.25">
      <c r="A206" s="1">
        <v>336</v>
      </c>
      <c r="B206" s="1" t="s">
        <v>493</v>
      </c>
      <c r="C206" s="1" t="s">
        <v>494</v>
      </c>
      <c r="D206" s="1" t="s">
        <v>101</v>
      </c>
      <c r="E206" s="1" t="s">
        <v>102</v>
      </c>
      <c r="F206" s="2">
        <v>46204</v>
      </c>
      <c r="G206" s="2">
        <v>46206</v>
      </c>
      <c r="H206" s="4">
        <v>1</v>
      </c>
      <c r="I206" s="2">
        <v>46206</v>
      </c>
      <c r="J206" s="1" t="s">
        <v>53</v>
      </c>
      <c r="L206" s="1" t="s">
        <v>495</v>
      </c>
      <c r="M206" s="1" t="s">
        <v>248</v>
      </c>
      <c r="N206" s="3">
        <v>46195</v>
      </c>
      <c r="P206" s="1" t="s">
        <v>180</v>
      </c>
      <c r="Q206" s="1" t="s">
        <v>55</v>
      </c>
      <c r="R206" s="1" t="s">
        <v>438</v>
      </c>
      <c r="S206" s="3">
        <v>46178</v>
      </c>
      <c r="T206" s="3">
        <v>46184</v>
      </c>
      <c r="AB206" s="1">
        <v>1</v>
      </c>
      <c r="AC206" s="1">
        <v>1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</v>
      </c>
    </row>
    <row r="207" spans="1:39" x14ac:dyDescent="0.25">
      <c r="A207" s="1">
        <v>337</v>
      </c>
      <c r="B207" s="1" t="s">
        <v>496</v>
      </c>
      <c r="C207" s="1" t="s">
        <v>494</v>
      </c>
      <c r="D207" s="1" t="s">
        <v>105</v>
      </c>
      <c r="E207" s="1" t="s">
        <v>52</v>
      </c>
      <c r="F207" s="2">
        <v>46209</v>
      </c>
      <c r="G207" s="2">
        <v>46209</v>
      </c>
      <c r="H207" s="4">
        <v>0</v>
      </c>
      <c r="J207" s="1" t="s">
        <v>41</v>
      </c>
      <c r="K207" s="1">
        <v>336</v>
      </c>
      <c r="L207" s="1">
        <v>338</v>
      </c>
      <c r="M207" s="1" t="s">
        <v>251</v>
      </c>
      <c r="N207" s="3">
        <v>46196</v>
      </c>
      <c r="P207" s="1" t="s">
        <v>180</v>
      </c>
      <c r="Q207" s="1" t="s">
        <v>55</v>
      </c>
      <c r="R207" s="1" t="s">
        <v>438</v>
      </c>
      <c r="S207" s="3">
        <v>46185</v>
      </c>
      <c r="T207" s="3">
        <v>46185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</row>
    <row r="208" spans="1:39" x14ac:dyDescent="0.25">
      <c r="A208" s="1">
        <v>338</v>
      </c>
      <c r="B208" s="1" t="s">
        <v>497</v>
      </c>
      <c r="C208" s="1" t="s">
        <v>494</v>
      </c>
      <c r="D208" s="1" t="s">
        <v>109</v>
      </c>
      <c r="E208" s="1" t="s">
        <v>52</v>
      </c>
      <c r="F208" s="2">
        <v>46210</v>
      </c>
      <c r="G208" s="2">
        <v>46210</v>
      </c>
      <c r="H208" s="4">
        <v>0</v>
      </c>
      <c r="J208" s="1" t="s">
        <v>232</v>
      </c>
      <c r="K208" s="1">
        <v>337</v>
      </c>
      <c r="L208" s="1" t="s">
        <v>498</v>
      </c>
      <c r="M208" s="1" t="s">
        <v>308</v>
      </c>
      <c r="N208" s="3">
        <v>46198</v>
      </c>
      <c r="P208" s="1" t="s">
        <v>180</v>
      </c>
      <c r="Q208" s="1" t="s">
        <v>55</v>
      </c>
      <c r="R208" s="1" t="s">
        <v>438</v>
      </c>
      <c r="S208" s="3">
        <v>46188</v>
      </c>
      <c r="T208" s="3">
        <v>46189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x14ac:dyDescent="0.25">
      <c r="A209" s="1">
        <v>339</v>
      </c>
      <c r="B209" s="1" t="s">
        <v>499</v>
      </c>
      <c r="C209" s="1" t="s">
        <v>494</v>
      </c>
      <c r="D209" s="1" t="s">
        <v>115</v>
      </c>
      <c r="E209" s="1" t="s">
        <v>52</v>
      </c>
      <c r="F209" s="2">
        <v>46210</v>
      </c>
      <c r="G209" s="2">
        <v>46210</v>
      </c>
      <c r="H209" s="4">
        <v>0</v>
      </c>
      <c r="J209" s="1" t="s">
        <v>232</v>
      </c>
      <c r="K209" s="1" t="s">
        <v>500</v>
      </c>
      <c r="M209" s="1" t="s">
        <v>193</v>
      </c>
      <c r="N209" s="3">
        <v>46199</v>
      </c>
      <c r="P209" s="1" t="s">
        <v>180</v>
      </c>
      <c r="Q209" s="1" t="s">
        <v>55</v>
      </c>
      <c r="R209" s="1" t="s">
        <v>438</v>
      </c>
      <c r="S209" s="3">
        <v>46190</v>
      </c>
      <c r="T209" s="3">
        <v>46190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x14ac:dyDescent="0.25">
      <c r="A210" s="1">
        <v>340</v>
      </c>
      <c r="B210" s="1" t="s">
        <v>501</v>
      </c>
      <c r="C210" s="1" t="s">
        <v>440</v>
      </c>
      <c r="D210" s="1" t="s">
        <v>502</v>
      </c>
      <c r="E210" s="1" t="s">
        <v>390</v>
      </c>
      <c r="F210" s="2">
        <v>46204</v>
      </c>
      <c r="G210" s="2">
        <v>46210</v>
      </c>
      <c r="H210" s="4">
        <v>0.5</v>
      </c>
      <c r="J210" s="1" t="s">
        <v>41</v>
      </c>
      <c r="M210" s="1" t="s">
        <v>248</v>
      </c>
      <c r="N210" s="3">
        <v>46202</v>
      </c>
      <c r="P210" s="1" t="s">
        <v>180</v>
      </c>
      <c r="Q210" s="1" t="s">
        <v>55</v>
      </c>
      <c r="R210" s="1" t="s">
        <v>438</v>
      </c>
      <c r="S210" s="3">
        <v>46178</v>
      </c>
      <c r="T210" s="3">
        <v>46190</v>
      </c>
      <c r="AB210" s="1">
        <v>0.5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x14ac:dyDescent="0.25">
      <c r="A211" s="1">
        <v>341</v>
      </c>
      <c r="B211" s="1" t="s">
        <v>503</v>
      </c>
      <c r="C211" s="1" t="s">
        <v>504</v>
      </c>
      <c r="D211" s="1" t="s">
        <v>101</v>
      </c>
      <c r="E211" s="1" t="s">
        <v>102</v>
      </c>
      <c r="F211" s="2">
        <v>46204</v>
      </c>
      <c r="G211" s="2">
        <v>46206</v>
      </c>
      <c r="H211" s="4">
        <v>1</v>
      </c>
      <c r="I211" s="2">
        <v>46206</v>
      </c>
      <c r="J211" s="1" t="s">
        <v>53</v>
      </c>
      <c r="L211" s="1" t="s">
        <v>505</v>
      </c>
      <c r="M211" s="1" t="s">
        <v>248</v>
      </c>
      <c r="N211" s="3">
        <v>46196</v>
      </c>
      <c r="P211" s="1" t="s">
        <v>180</v>
      </c>
      <c r="Q211" s="1" t="s">
        <v>55</v>
      </c>
      <c r="R211" s="1" t="s">
        <v>438</v>
      </c>
      <c r="S211" s="3">
        <v>46178</v>
      </c>
      <c r="T211" s="3">
        <v>46184</v>
      </c>
      <c r="AB211" s="1">
        <v>1</v>
      </c>
      <c r="AC211" s="1">
        <v>1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1</v>
      </c>
    </row>
    <row r="212" spans="1:39" x14ac:dyDescent="0.25">
      <c r="A212" s="1">
        <v>342</v>
      </c>
      <c r="B212" s="1" t="s">
        <v>506</v>
      </c>
      <c r="C212" s="1" t="s">
        <v>504</v>
      </c>
      <c r="D212" s="1" t="s">
        <v>105</v>
      </c>
      <c r="E212" s="1" t="s">
        <v>52</v>
      </c>
      <c r="F212" s="2">
        <v>46209</v>
      </c>
      <c r="G212" s="2">
        <v>46209</v>
      </c>
      <c r="H212" s="4">
        <v>0</v>
      </c>
      <c r="J212" s="1" t="s">
        <v>41</v>
      </c>
      <c r="K212" s="1">
        <v>341</v>
      </c>
      <c r="L212" s="1">
        <v>343</v>
      </c>
      <c r="M212" s="1" t="s">
        <v>308</v>
      </c>
      <c r="N212" s="3">
        <v>46197</v>
      </c>
      <c r="P212" s="1" t="s">
        <v>180</v>
      </c>
      <c r="Q212" s="1" t="s">
        <v>55</v>
      </c>
      <c r="R212" s="1" t="s">
        <v>438</v>
      </c>
      <c r="S212" s="3">
        <v>46185</v>
      </c>
      <c r="T212" s="3">
        <v>46185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x14ac:dyDescent="0.25">
      <c r="A213" s="1">
        <v>343</v>
      </c>
      <c r="B213" s="1" t="s">
        <v>507</v>
      </c>
      <c r="C213" s="1" t="s">
        <v>504</v>
      </c>
      <c r="D213" s="1" t="s">
        <v>109</v>
      </c>
      <c r="E213" s="1" t="s">
        <v>52</v>
      </c>
      <c r="F213" s="2">
        <v>46210</v>
      </c>
      <c r="G213" s="2">
        <v>46210</v>
      </c>
      <c r="H213" s="4">
        <v>0</v>
      </c>
      <c r="J213" s="1" t="s">
        <v>232</v>
      </c>
      <c r="K213" s="1">
        <v>342</v>
      </c>
      <c r="L213" s="1" t="s">
        <v>508</v>
      </c>
      <c r="M213" s="1" t="s">
        <v>191</v>
      </c>
      <c r="N213" s="3">
        <v>46199</v>
      </c>
      <c r="P213" s="1" t="s">
        <v>180</v>
      </c>
      <c r="Q213" s="1" t="s">
        <v>55</v>
      </c>
      <c r="R213" s="1" t="s">
        <v>438</v>
      </c>
      <c r="S213" s="3">
        <v>46188</v>
      </c>
      <c r="T213" s="3">
        <v>46189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344</v>
      </c>
      <c r="B214" s="1" t="s">
        <v>509</v>
      </c>
      <c r="C214" s="1" t="s">
        <v>504</v>
      </c>
      <c r="D214" s="1" t="s">
        <v>115</v>
      </c>
      <c r="E214" s="1" t="s">
        <v>52</v>
      </c>
      <c r="F214" s="2">
        <v>46210</v>
      </c>
      <c r="G214" s="2">
        <v>46210</v>
      </c>
      <c r="H214" s="4">
        <v>0</v>
      </c>
      <c r="J214" s="1" t="s">
        <v>232</v>
      </c>
      <c r="K214" s="1" t="s">
        <v>510</v>
      </c>
      <c r="M214" s="1" t="s">
        <v>311</v>
      </c>
      <c r="N214" s="3">
        <v>46202</v>
      </c>
      <c r="P214" s="1" t="s">
        <v>180</v>
      </c>
      <c r="Q214" s="1" t="s">
        <v>55</v>
      </c>
      <c r="R214" s="1" t="s">
        <v>438</v>
      </c>
      <c r="S214" s="3">
        <v>46190</v>
      </c>
      <c r="T214" s="3">
        <v>46190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345</v>
      </c>
      <c r="B215" s="1" t="s">
        <v>511</v>
      </c>
      <c r="C215" s="1" t="s">
        <v>440</v>
      </c>
      <c r="D215" s="1" t="s">
        <v>512</v>
      </c>
      <c r="E215" s="1" t="s">
        <v>186</v>
      </c>
      <c r="F215" s="2">
        <v>46202</v>
      </c>
      <c r="G215" s="2">
        <v>46217</v>
      </c>
      <c r="H215" s="4">
        <v>0.73</v>
      </c>
      <c r="J215" s="1" t="s">
        <v>232</v>
      </c>
      <c r="M215" s="1" t="s">
        <v>304</v>
      </c>
      <c r="N215" s="3">
        <v>46203</v>
      </c>
      <c r="P215" s="1" t="s">
        <v>67</v>
      </c>
      <c r="Q215" s="1" t="s">
        <v>55</v>
      </c>
      <c r="R215" s="1" t="s">
        <v>438</v>
      </c>
      <c r="S215" s="3">
        <v>46192</v>
      </c>
      <c r="T215" s="3">
        <v>46203</v>
      </c>
      <c r="AB215" s="1">
        <v>0.73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 x14ac:dyDescent="0.25">
      <c r="A216" s="1">
        <v>346</v>
      </c>
      <c r="B216" s="1" t="s">
        <v>513</v>
      </c>
      <c r="C216" s="1" t="s">
        <v>514</v>
      </c>
      <c r="D216" s="1" t="s">
        <v>101</v>
      </c>
      <c r="E216" s="1" t="s">
        <v>515</v>
      </c>
      <c r="F216" s="2">
        <v>46202</v>
      </c>
      <c r="G216" s="2">
        <v>46211</v>
      </c>
      <c r="H216" s="4">
        <v>1</v>
      </c>
      <c r="I216" s="2">
        <v>46211</v>
      </c>
      <c r="J216" s="1" t="s">
        <v>53</v>
      </c>
      <c r="L216" s="1">
        <v>347</v>
      </c>
      <c r="M216" s="1" t="s">
        <v>304</v>
      </c>
      <c r="N216" s="3">
        <v>46197</v>
      </c>
      <c r="P216" s="1" t="s">
        <v>67</v>
      </c>
      <c r="Q216" s="1" t="s">
        <v>55</v>
      </c>
      <c r="R216" s="1" t="s">
        <v>438</v>
      </c>
      <c r="S216" s="3">
        <v>46192</v>
      </c>
      <c r="T216" s="3">
        <v>46197</v>
      </c>
      <c r="AB216" s="1">
        <v>1</v>
      </c>
      <c r="AC216" s="1">
        <v>1</v>
      </c>
      <c r="AD216" s="1">
        <v>1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1</v>
      </c>
    </row>
    <row r="217" spans="1:39" x14ac:dyDescent="0.25">
      <c r="A217" s="1">
        <v>347</v>
      </c>
      <c r="B217" s="1" t="s">
        <v>516</v>
      </c>
      <c r="C217" s="1" t="s">
        <v>514</v>
      </c>
      <c r="D217" s="1" t="s">
        <v>105</v>
      </c>
      <c r="E217" s="1" t="s">
        <v>52</v>
      </c>
      <c r="F217" s="2">
        <v>46216</v>
      </c>
      <c r="G217" s="2">
        <v>46216</v>
      </c>
      <c r="H217" s="4">
        <v>0</v>
      </c>
      <c r="J217" s="1" t="s">
        <v>83</v>
      </c>
      <c r="K217" s="1">
        <v>346</v>
      </c>
      <c r="L217" s="1" t="s">
        <v>517</v>
      </c>
      <c r="M217" s="1" t="s">
        <v>191</v>
      </c>
      <c r="N217" s="3">
        <v>46198</v>
      </c>
      <c r="P217" s="1" t="s">
        <v>194</v>
      </c>
      <c r="Q217" s="1" t="s">
        <v>55</v>
      </c>
      <c r="R217" s="1" t="s">
        <v>438</v>
      </c>
      <c r="S217" s="3">
        <v>46198</v>
      </c>
      <c r="T217" s="3">
        <v>46198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x14ac:dyDescent="0.25">
      <c r="A218" s="1">
        <v>348</v>
      </c>
      <c r="B218" s="1" t="s">
        <v>518</v>
      </c>
      <c r="C218" s="1" t="s">
        <v>514</v>
      </c>
      <c r="D218" s="1" t="s">
        <v>109</v>
      </c>
      <c r="E218" s="1" t="s">
        <v>52</v>
      </c>
      <c r="F218" s="2">
        <v>46217</v>
      </c>
      <c r="G218" s="2">
        <v>46217</v>
      </c>
      <c r="H218" s="4">
        <v>0</v>
      </c>
      <c r="J218" s="1" t="s">
        <v>83</v>
      </c>
      <c r="K218" s="1">
        <v>347</v>
      </c>
      <c r="L218" s="1" t="s">
        <v>519</v>
      </c>
      <c r="M218" s="1" t="s">
        <v>193</v>
      </c>
      <c r="N218" s="3">
        <v>46202</v>
      </c>
      <c r="P218" s="1" t="s">
        <v>194</v>
      </c>
      <c r="Q218" s="1" t="s">
        <v>55</v>
      </c>
      <c r="R218" s="1" t="s">
        <v>438</v>
      </c>
      <c r="S218" s="3">
        <v>46199</v>
      </c>
      <c r="T218" s="3">
        <v>46202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x14ac:dyDescent="0.25">
      <c r="A219" s="1">
        <v>349</v>
      </c>
      <c r="B219" s="1" t="s">
        <v>520</v>
      </c>
      <c r="C219" s="1" t="s">
        <v>514</v>
      </c>
      <c r="D219" s="1" t="s">
        <v>115</v>
      </c>
      <c r="E219" s="1" t="s">
        <v>52</v>
      </c>
      <c r="F219" s="2">
        <v>46217</v>
      </c>
      <c r="G219" s="2">
        <v>46217</v>
      </c>
      <c r="H219" s="4">
        <v>0</v>
      </c>
      <c r="J219" s="1" t="s">
        <v>83</v>
      </c>
      <c r="K219" s="1" t="s">
        <v>521</v>
      </c>
      <c r="M219" s="1" t="s">
        <v>196</v>
      </c>
      <c r="N219" s="3">
        <v>46203</v>
      </c>
      <c r="P219" s="1" t="s">
        <v>194</v>
      </c>
      <c r="Q219" s="1" t="s">
        <v>55</v>
      </c>
      <c r="R219" s="1" t="s">
        <v>438</v>
      </c>
      <c r="S219" s="3">
        <v>46203</v>
      </c>
      <c r="T219" s="3">
        <v>46203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 x14ac:dyDescent="0.25">
      <c r="A220" s="1">
        <v>350</v>
      </c>
      <c r="B220" s="1" t="s">
        <v>522</v>
      </c>
      <c r="C220" s="1" t="s">
        <v>440</v>
      </c>
      <c r="D220" s="1" t="s">
        <v>523</v>
      </c>
      <c r="E220" s="1" t="s">
        <v>186</v>
      </c>
      <c r="F220" s="2">
        <v>46202</v>
      </c>
      <c r="G220" s="2">
        <v>46217</v>
      </c>
      <c r="H220" s="4">
        <v>0.73</v>
      </c>
      <c r="J220" s="1" t="s">
        <v>232</v>
      </c>
      <c r="M220" s="1" t="s">
        <v>304</v>
      </c>
      <c r="N220" s="3">
        <v>46203</v>
      </c>
      <c r="P220" s="1" t="s">
        <v>73</v>
      </c>
      <c r="Q220" s="1" t="s">
        <v>55</v>
      </c>
      <c r="R220" s="1" t="s">
        <v>438</v>
      </c>
      <c r="S220" s="3">
        <v>46192</v>
      </c>
      <c r="T220" s="3">
        <v>46203</v>
      </c>
      <c r="AB220" s="1">
        <v>0.73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x14ac:dyDescent="0.25">
      <c r="A221" s="1">
        <v>351</v>
      </c>
      <c r="B221" s="1" t="s">
        <v>524</v>
      </c>
      <c r="C221" s="1" t="s">
        <v>525</v>
      </c>
      <c r="D221" s="1" t="s">
        <v>101</v>
      </c>
      <c r="E221" s="1" t="s">
        <v>515</v>
      </c>
      <c r="F221" s="2">
        <v>46202</v>
      </c>
      <c r="G221" s="2">
        <v>46211</v>
      </c>
      <c r="H221" s="4">
        <v>1</v>
      </c>
      <c r="I221" s="2">
        <v>46211</v>
      </c>
      <c r="J221" s="1" t="s">
        <v>53</v>
      </c>
      <c r="K221" s="1" t="s">
        <v>526</v>
      </c>
      <c r="L221" s="1">
        <v>352</v>
      </c>
      <c r="M221" s="1" t="s">
        <v>304</v>
      </c>
      <c r="N221" s="3">
        <v>46197</v>
      </c>
      <c r="P221" s="1" t="s">
        <v>73</v>
      </c>
      <c r="Q221" s="1" t="s">
        <v>55</v>
      </c>
      <c r="R221" s="1" t="s">
        <v>438</v>
      </c>
      <c r="S221" s="3">
        <v>46192</v>
      </c>
      <c r="T221" s="3">
        <v>46197</v>
      </c>
      <c r="AB221" s="1">
        <v>1</v>
      </c>
      <c r="AC221" s="1">
        <v>1</v>
      </c>
      <c r="AD221" s="1">
        <v>1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1</v>
      </c>
    </row>
    <row r="222" spans="1:39" x14ac:dyDescent="0.25">
      <c r="A222" s="1">
        <v>352</v>
      </c>
      <c r="B222" s="1" t="s">
        <v>527</v>
      </c>
      <c r="C222" s="1" t="s">
        <v>525</v>
      </c>
      <c r="D222" s="1" t="s">
        <v>105</v>
      </c>
      <c r="E222" s="1" t="s">
        <v>52</v>
      </c>
      <c r="F222" s="2">
        <v>46216</v>
      </c>
      <c r="G222" s="2">
        <v>46216</v>
      </c>
      <c r="H222" s="4">
        <v>0</v>
      </c>
      <c r="J222" s="1" t="s">
        <v>83</v>
      </c>
      <c r="K222" s="1">
        <v>351</v>
      </c>
      <c r="L222" s="1">
        <v>353</v>
      </c>
      <c r="M222" s="1" t="s">
        <v>191</v>
      </c>
      <c r="N222" s="3">
        <v>46198</v>
      </c>
      <c r="P222" s="1" t="s">
        <v>180</v>
      </c>
      <c r="Q222" s="1" t="s">
        <v>55</v>
      </c>
      <c r="R222" s="1" t="s">
        <v>438</v>
      </c>
      <c r="S222" s="3">
        <v>46198</v>
      </c>
      <c r="T222" s="3">
        <v>46198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x14ac:dyDescent="0.25">
      <c r="A223" s="1">
        <v>353</v>
      </c>
      <c r="B223" s="1" t="s">
        <v>528</v>
      </c>
      <c r="C223" s="1" t="s">
        <v>525</v>
      </c>
      <c r="D223" s="1" t="s">
        <v>109</v>
      </c>
      <c r="E223" s="1" t="s">
        <v>52</v>
      </c>
      <c r="F223" s="2">
        <v>46217</v>
      </c>
      <c r="G223" s="2">
        <v>46217</v>
      </c>
      <c r="H223" s="4">
        <v>0</v>
      </c>
      <c r="J223" s="1" t="s">
        <v>83</v>
      </c>
      <c r="K223" s="1">
        <v>352</v>
      </c>
      <c r="L223" s="1" t="s">
        <v>529</v>
      </c>
      <c r="M223" s="1" t="s">
        <v>193</v>
      </c>
      <c r="N223" s="3">
        <v>46202</v>
      </c>
      <c r="P223" s="1" t="s">
        <v>180</v>
      </c>
      <c r="Q223" s="1" t="s">
        <v>55</v>
      </c>
      <c r="R223" s="1" t="s">
        <v>438</v>
      </c>
      <c r="S223" s="3">
        <v>46199</v>
      </c>
      <c r="T223" s="3">
        <v>46202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354</v>
      </c>
      <c r="B224" s="1" t="s">
        <v>530</v>
      </c>
      <c r="C224" s="1" t="s">
        <v>525</v>
      </c>
      <c r="D224" s="1" t="s">
        <v>115</v>
      </c>
      <c r="E224" s="1" t="s">
        <v>52</v>
      </c>
      <c r="F224" s="2">
        <v>46217</v>
      </c>
      <c r="G224" s="2">
        <v>46217</v>
      </c>
      <c r="H224" s="4">
        <v>0</v>
      </c>
      <c r="J224" s="1" t="s">
        <v>83</v>
      </c>
      <c r="K224" s="1" t="s">
        <v>531</v>
      </c>
      <c r="M224" s="1" t="s">
        <v>196</v>
      </c>
      <c r="N224" s="3">
        <v>46203</v>
      </c>
      <c r="P224" s="1" t="s">
        <v>180</v>
      </c>
      <c r="Q224" s="1" t="s">
        <v>55</v>
      </c>
      <c r="R224" s="1" t="s">
        <v>438</v>
      </c>
      <c r="S224" s="3">
        <v>46203</v>
      </c>
      <c r="T224" s="3">
        <v>46203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x14ac:dyDescent="0.25">
      <c r="A225" s="1">
        <v>355</v>
      </c>
      <c r="B225" s="1" t="s">
        <v>532</v>
      </c>
      <c r="C225" s="1" t="s">
        <v>440</v>
      </c>
      <c r="D225" s="1" t="s">
        <v>533</v>
      </c>
      <c r="E225" s="1" t="s">
        <v>369</v>
      </c>
      <c r="F225" s="2">
        <v>46202</v>
      </c>
      <c r="G225" s="2">
        <v>46209</v>
      </c>
      <c r="H225" s="4">
        <v>0.56999999999999995</v>
      </c>
      <c r="J225" s="1" t="s">
        <v>41</v>
      </c>
      <c r="M225" s="1" t="s">
        <v>304</v>
      </c>
      <c r="N225" s="3">
        <v>46203</v>
      </c>
      <c r="P225" s="1" t="s">
        <v>73</v>
      </c>
      <c r="Q225" s="1" t="s">
        <v>55</v>
      </c>
      <c r="R225" s="1" t="s">
        <v>438</v>
      </c>
      <c r="S225" s="3">
        <v>46192</v>
      </c>
      <c r="T225" s="3">
        <v>46203</v>
      </c>
      <c r="AB225" s="1">
        <v>0.56999999999999995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356</v>
      </c>
      <c r="B226" s="1" t="s">
        <v>534</v>
      </c>
      <c r="C226" s="1" t="s">
        <v>535</v>
      </c>
      <c r="D226" s="1" t="s">
        <v>101</v>
      </c>
      <c r="E226" s="1" t="s">
        <v>168</v>
      </c>
      <c r="F226" s="2">
        <v>46202</v>
      </c>
      <c r="G226" s="2">
        <v>46205</v>
      </c>
      <c r="H226" s="4">
        <v>1</v>
      </c>
      <c r="I226" s="2">
        <v>46205</v>
      </c>
      <c r="J226" s="1" t="s">
        <v>53</v>
      </c>
      <c r="K226" s="1" t="s">
        <v>526</v>
      </c>
      <c r="L226" s="1">
        <v>357</v>
      </c>
      <c r="M226" s="1" t="s">
        <v>304</v>
      </c>
      <c r="N226" s="3">
        <v>46197</v>
      </c>
      <c r="P226" s="1" t="s">
        <v>73</v>
      </c>
      <c r="Q226" s="1" t="s">
        <v>55</v>
      </c>
      <c r="R226" s="1" t="s">
        <v>438</v>
      </c>
      <c r="S226" s="3">
        <v>46192</v>
      </c>
      <c r="T226" s="3">
        <v>46197</v>
      </c>
      <c r="AB226" s="1">
        <v>1</v>
      </c>
      <c r="AC226" s="1">
        <v>1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1</v>
      </c>
    </row>
    <row r="227" spans="1:39" x14ac:dyDescent="0.25">
      <c r="A227" s="1">
        <v>357</v>
      </c>
      <c r="B227" s="1" t="s">
        <v>536</v>
      </c>
      <c r="C227" s="1" t="s">
        <v>535</v>
      </c>
      <c r="D227" s="1" t="s">
        <v>105</v>
      </c>
      <c r="E227" s="1" t="s">
        <v>52</v>
      </c>
      <c r="F227" s="2">
        <v>46206</v>
      </c>
      <c r="G227" s="2">
        <v>46206</v>
      </c>
      <c r="H227" s="4">
        <v>0</v>
      </c>
      <c r="J227" s="1" t="s">
        <v>41</v>
      </c>
      <c r="K227" s="1">
        <v>356</v>
      </c>
      <c r="L227" s="1">
        <v>358</v>
      </c>
      <c r="M227" s="1" t="s">
        <v>191</v>
      </c>
      <c r="N227" s="3">
        <v>46198</v>
      </c>
      <c r="P227" s="1" t="s">
        <v>180</v>
      </c>
      <c r="Q227" s="1" t="s">
        <v>55</v>
      </c>
      <c r="R227" s="1" t="s">
        <v>438</v>
      </c>
      <c r="S227" s="3">
        <v>46198</v>
      </c>
      <c r="T227" s="3">
        <v>46198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x14ac:dyDescent="0.25">
      <c r="A228" s="1">
        <v>358</v>
      </c>
      <c r="B228" s="1" t="s">
        <v>537</v>
      </c>
      <c r="C228" s="1" t="s">
        <v>535</v>
      </c>
      <c r="D228" s="1" t="s">
        <v>109</v>
      </c>
      <c r="E228" s="1" t="s">
        <v>52</v>
      </c>
      <c r="F228" s="2">
        <v>46209</v>
      </c>
      <c r="G228" s="2">
        <v>46209</v>
      </c>
      <c r="H228" s="4">
        <v>0</v>
      </c>
      <c r="J228" s="1" t="s">
        <v>41</v>
      </c>
      <c r="K228" s="1">
        <v>357</v>
      </c>
      <c r="L228" s="1" t="s">
        <v>538</v>
      </c>
      <c r="M228" s="1" t="s">
        <v>193</v>
      </c>
      <c r="N228" s="3">
        <v>46202</v>
      </c>
      <c r="P228" s="1" t="s">
        <v>180</v>
      </c>
      <c r="Q228" s="1" t="s">
        <v>55</v>
      </c>
      <c r="R228" s="1" t="s">
        <v>438</v>
      </c>
      <c r="S228" s="3">
        <v>46199</v>
      </c>
      <c r="T228" s="3">
        <v>46202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1</v>
      </c>
      <c r="AK228" s="1">
        <v>0</v>
      </c>
      <c r="AL228" s="1">
        <v>0</v>
      </c>
      <c r="AM228" s="1">
        <v>0</v>
      </c>
    </row>
    <row r="229" spans="1:39" x14ac:dyDescent="0.25">
      <c r="A229" s="1">
        <v>359</v>
      </c>
      <c r="B229" s="1" t="s">
        <v>539</v>
      </c>
      <c r="C229" s="1" t="s">
        <v>535</v>
      </c>
      <c r="D229" s="1" t="s">
        <v>115</v>
      </c>
      <c r="E229" s="1" t="s">
        <v>52</v>
      </c>
      <c r="F229" s="2">
        <v>46209</v>
      </c>
      <c r="G229" s="2">
        <v>46209</v>
      </c>
      <c r="H229" s="4">
        <v>0</v>
      </c>
      <c r="J229" s="1" t="s">
        <v>41</v>
      </c>
      <c r="K229" s="1" t="s">
        <v>540</v>
      </c>
      <c r="M229" s="1" t="s">
        <v>196</v>
      </c>
      <c r="N229" s="3">
        <v>46203</v>
      </c>
      <c r="P229" s="1" t="s">
        <v>180</v>
      </c>
      <c r="Q229" s="1" t="s">
        <v>55</v>
      </c>
      <c r="R229" s="1" t="s">
        <v>438</v>
      </c>
      <c r="S229" s="3">
        <v>46203</v>
      </c>
      <c r="T229" s="3">
        <v>46203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1</v>
      </c>
      <c r="AM229" s="1">
        <v>0</v>
      </c>
    </row>
    <row r="230" spans="1:39" x14ac:dyDescent="0.25">
      <c r="A230" s="1">
        <v>360</v>
      </c>
      <c r="B230" s="1" t="s">
        <v>541</v>
      </c>
      <c r="C230" s="1" t="s">
        <v>440</v>
      </c>
      <c r="D230" s="1" t="s">
        <v>542</v>
      </c>
      <c r="E230" s="1" t="s">
        <v>369</v>
      </c>
      <c r="F230" s="2">
        <v>46202</v>
      </c>
      <c r="G230" s="2">
        <v>46209</v>
      </c>
      <c r="H230" s="4">
        <v>0.56999999999999995</v>
      </c>
      <c r="J230" s="1" t="s">
        <v>41</v>
      </c>
      <c r="M230" s="1" t="s">
        <v>304</v>
      </c>
      <c r="N230" s="3">
        <v>46203</v>
      </c>
      <c r="P230" s="1" t="s">
        <v>73</v>
      </c>
      <c r="Q230" s="1" t="s">
        <v>55</v>
      </c>
      <c r="R230" s="1" t="s">
        <v>438</v>
      </c>
      <c r="S230" s="3">
        <v>46192</v>
      </c>
      <c r="T230" s="3">
        <v>46203</v>
      </c>
      <c r="U230" s="1" t="s">
        <v>77</v>
      </c>
      <c r="AB230" s="1">
        <v>0.56999999999999995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361</v>
      </c>
      <c r="B231" s="1" t="s">
        <v>543</v>
      </c>
      <c r="C231" s="1" t="s">
        <v>544</v>
      </c>
      <c r="D231" s="1" t="s">
        <v>101</v>
      </c>
      <c r="E231" s="1" t="s">
        <v>168</v>
      </c>
      <c r="F231" s="2">
        <v>46202</v>
      </c>
      <c r="G231" s="2">
        <v>46205</v>
      </c>
      <c r="H231" s="4">
        <v>1</v>
      </c>
      <c r="I231" s="2">
        <v>46205</v>
      </c>
      <c r="J231" s="1" t="s">
        <v>53</v>
      </c>
      <c r="K231" s="1" t="s">
        <v>526</v>
      </c>
      <c r="L231" s="1">
        <v>362</v>
      </c>
      <c r="M231" s="1" t="s">
        <v>304</v>
      </c>
      <c r="N231" s="3">
        <v>46197</v>
      </c>
      <c r="P231" s="1" t="s">
        <v>73</v>
      </c>
      <c r="Q231" s="1" t="s">
        <v>55</v>
      </c>
      <c r="R231" s="1" t="s">
        <v>438</v>
      </c>
      <c r="S231" s="3">
        <v>46192</v>
      </c>
      <c r="T231" s="3">
        <v>46197</v>
      </c>
      <c r="AB231" s="1">
        <v>1</v>
      </c>
      <c r="AC231" s="1">
        <v>1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</row>
    <row r="232" spans="1:39" x14ac:dyDescent="0.25">
      <c r="A232" s="1">
        <v>362</v>
      </c>
      <c r="B232" s="1" t="s">
        <v>545</v>
      </c>
      <c r="C232" s="1" t="s">
        <v>544</v>
      </c>
      <c r="D232" s="1" t="s">
        <v>105</v>
      </c>
      <c r="E232" s="1" t="s">
        <v>52</v>
      </c>
      <c r="F232" s="2">
        <v>46206</v>
      </c>
      <c r="G232" s="2">
        <v>46206</v>
      </c>
      <c r="H232" s="4">
        <v>0</v>
      </c>
      <c r="J232" s="1" t="s">
        <v>41</v>
      </c>
      <c r="K232" s="1">
        <v>361</v>
      </c>
      <c r="L232" s="1">
        <v>363</v>
      </c>
      <c r="M232" s="1" t="s">
        <v>191</v>
      </c>
      <c r="N232" s="3">
        <v>46198</v>
      </c>
      <c r="P232" s="1" t="s">
        <v>180</v>
      </c>
      <c r="Q232" s="1" t="s">
        <v>55</v>
      </c>
      <c r="R232" s="1" t="s">
        <v>438</v>
      </c>
      <c r="S232" s="3">
        <v>46198</v>
      </c>
      <c r="T232" s="3">
        <v>46198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363</v>
      </c>
      <c r="B233" s="1" t="s">
        <v>546</v>
      </c>
      <c r="C233" s="1" t="s">
        <v>544</v>
      </c>
      <c r="D233" s="1" t="s">
        <v>109</v>
      </c>
      <c r="E233" s="1" t="s">
        <v>52</v>
      </c>
      <c r="F233" s="2">
        <v>46209</v>
      </c>
      <c r="G233" s="2">
        <v>46209</v>
      </c>
      <c r="H233" s="4">
        <v>0</v>
      </c>
      <c r="J233" s="1" t="s">
        <v>41</v>
      </c>
      <c r="K233" s="1">
        <v>362</v>
      </c>
      <c r="L233" s="1" t="s">
        <v>547</v>
      </c>
      <c r="M233" s="1" t="s">
        <v>193</v>
      </c>
      <c r="N233" s="3">
        <v>46202</v>
      </c>
      <c r="P233" s="1" t="s">
        <v>180</v>
      </c>
      <c r="Q233" s="1" t="s">
        <v>55</v>
      </c>
      <c r="R233" s="1" t="s">
        <v>438</v>
      </c>
      <c r="S233" s="3">
        <v>46199</v>
      </c>
      <c r="T233" s="3">
        <v>46202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1</v>
      </c>
      <c r="AK233" s="1">
        <v>0</v>
      </c>
      <c r="AL233" s="1">
        <v>0</v>
      </c>
      <c r="AM233" s="1">
        <v>0</v>
      </c>
    </row>
    <row r="234" spans="1:39" x14ac:dyDescent="0.25">
      <c r="A234" s="1">
        <v>364</v>
      </c>
      <c r="B234" s="1" t="s">
        <v>548</v>
      </c>
      <c r="C234" s="1" t="s">
        <v>544</v>
      </c>
      <c r="D234" s="1" t="s">
        <v>115</v>
      </c>
      <c r="E234" s="1" t="s">
        <v>52</v>
      </c>
      <c r="F234" s="2">
        <v>46209</v>
      </c>
      <c r="G234" s="2">
        <v>46209</v>
      </c>
      <c r="H234" s="4">
        <v>0</v>
      </c>
      <c r="J234" s="1" t="s">
        <v>41</v>
      </c>
      <c r="K234" s="1" t="s">
        <v>549</v>
      </c>
      <c r="M234" s="1" t="s">
        <v>196</v>
      </c>
      <c r="N234" s="3">
        <v>46203</v>
      </c>
      <c r="P234" s="1" t="s">
        <v>180</v>
      </c>
      <c r="Q234" s="1" t="s">
        <v>55</v>
      </c>
      <c r="R234" s="1" t="s">
        <v>438</v>
      </c>
      <c r="S234" s="3">
        <v>46203</v>
      </c>
      <c r="T234" s="3">
        <v>46203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1</v>
      </c>
      <c r="AM234" s="1">
        <v>0</v>
      </c>
    </row>
    <row r="235" spans="1:39" x14ac:dyDescent="0.25">
      <c r="A235" s="1">
        <v>365</v>
      </c>
      <c r="B235" s="1" t="s">
        <v>550</v>
      </c>
      <c r="C235" s="1" t="s">
        <v>440</v>
      </c>
      <c r="D235" s="1" t="s">
        <v>551</v>
      </c>
      <c r="E235" s="1" t="s">
        <v>369</v>
      </c>
      <c r="F235" s="2">
        <v>46196</v>
      </c>
      <c r="G235" s="2">
        <v>46203</v>
      </c>
      <c r="H235" s="4">
        <v>0.57999999999999996</v>
      </c>
      <c r="J235" s="1" t="s">
        <v>41</v>
      </c>
      <c r="M235" s="1" t="s">
        <v>66</v>
      </c>
      <c r="N235" s="3">
        <v>46188</v>
      </c>
      <c r="P235" s="1" t="s">
        <v>73</v>
      </c>
      <c r="Q235" s="1" t="s">
        <v>55</v>
      </c>
      <c r="R235" s="1" t="s">
        <v>438</v>
      </c>
      <c r="S235" s="3">
        <v>46168</v>
      </c>
      <c r="T235" s="3">
        <v>46176</v>
      </c>
      <c r="AB235" s="1">
        <v>0.57999999999999996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366</v>
      </c>
      <c r="B236" s="1" t="s">
        <v>552</v>
      </c>
      <c r="C236" s="1" t="s">
        <v>553</v>
      </c>
      <c r="D236" s="1" t="s">
        <v>101</v>
      </c>
      <c r="E236" s="1" t="s">
        <v>102</v>
      </c>
      <c r="F236" s="2">
        <v>46196</v>
      </c>
      <c r="G236" s="2">
        <v>46198</v>
      </c>
      <c r="H236" s="4">
        <v>1</v>
      </c>
      <c r="I236" s="2">
        <v>46198</v>
      </c>
      <c r="J236" s="1" t="s">
        <v>53</v>
      </c>
      <c r="K236" s="1">
        <v>306</v>
      </c>
      <c r="L236" s="1" t="s">
        <v>554</v>
      </c>
      <c r="M236" s="1" t="s">
        <v>66</v>
      </c>
      <c r="N236" s="3">
        <v>46182</v>
      </c>
      <c r="P236" s="1" t="s">
        <v>73</v>
      </c>
      <c r="Q236" s="1" t="s">
        <v>55</v>
      </c>
      <c r="R236" s="1" t="s">
        <v>438</v>
      </c>
      <c r="S236" s="3">
        <v>46168</v>
      </c>
      <c r="T236" s="3">
        <v>46170</v>
      </c>
      <c r="AB236" s="1">
        <v>1</v>
      </c>
      <c r="AC236" s="1">
        <v>1</v>
      </c>
      <c r="AD236" s="1">
        <v>1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1</v>
      </c>
    </row>
    <row r="237" spans="1:39" x14ac:dyDescent="0.25">
      <c r="A237" s="1">
        <v>367</v>
      </c>
      <c r="B237" s="1" t="s">
        <v>555</v>
      </c>
      <c r="C237" s="1" t="s">
        <v>553</v>
      </c>
      <c r="D237" s="1" t="s">
        <v>105</v>
      </c>
      <c r="E237" s="1" t="s">
        <v>52</v>
      </c>
      <c r="F237" s="2">
        <v>46199</v>
      </c>
      <c r="G237" s="2">
        <v>46199</v>
      </c>
      <c r="H237" s="4">
        <v>0.5</v>
      </c>
      <c r="J237" s="1" t="s">
        <v>41</v>
      </c>
      <c r="K237" s="1">
        <v>366</v>
      </c>
      <c r="L237" s="1">
        <v>368</v>
      </c>
      <c r="M237" s="1" t="s">
        <v>183</v>
      </c>
      <c r="N237" s="3">
        <v>46183</v>
      </c>
      <c r="P237" s="1" t="s">
        <v>180</v>
      </c>
      <c r="Q237" s="1" t="s">
        <v>55</v>
      </c>
      <c r="R237" s="1" t="s">
        <v>438</v>
      </c>
      <c r="S237" s="3">
        <v>46171</v>
      </c>
      <c r="T237" s="3">
        <v>46171</v>
      </c>
      <c r="AB237" s="1">
        <v>0.5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1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368</v>
      </c>
      <c r="B238" s="1" t="s">
        <v>556</v>
      </c>
      <c r="C238" s="1" t="s">
        <v>553</v>
      </c>
      <c r="D238" s="1" t="s">
        <v>109</v>
      </c>
      <c r="E238" s="1" t="s">
        <v>52</v>
      </c>
      <c r="F238" s="2">
        <v>46202</v>
      </c>
      <c r="G238" s="2">
        <v>46202</v>
      </c>
      <c r="H238" s="4">
        <v>0</v>
      </c>
      <c r="J238" s="1" t="s">
        <v>41</v>
      </c>
      <c r="K238" s="1">
        <v>367</v>
      </c>
      <c r="L238" s="1">
        <v>369</v>
      </c>
      <c r="M238" s="1" t="s">
        <v>153</v>
      </c>
      <c r="N238" s="3">
        <v>46185</v>
      </c>
      <c r="P238" s="1" t="s">
        <v>180</v>
      </c>
      <c r="Q238" s="1" t="s">
        <v>55</v>
      </c>
      <c r="R238" s="1" t="s">
        <v>438</v>
      </c>
      <c r="S238" s="3">
        <v>46174</v>
      </c>
      <c r="T238" s="3">
        <v>46175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0</v>
      </c>
      <c r="AM238" s="1">
        <v>0</v>
      </c>
    </row>
    <row r="239" spans="1:39" x14ac:dyDescent="0.25">
      <c r="A239" s="1">
        <v>369</v>
      </c>
      <c r="B239" s="1" t="s">
        <v>557</v>
      </c>
      <c r="C239" s="1" t="s">
        <v>553</v>
      </c>
      <c r="D239" s="1" t="s">
        <v>115</v>
      </c>
      <c r="E239" s="1" t="s">
        <v>52</v>
      </c>
      <c r="F239" s="2">
        <v>46203</v>
      </c>
      <c r="G239" s="2">
        <v>46203</v>
      </c>
      <c r="H239" s="4">
        <v>0</v>
      </c>
      <c r="J239" s="1" t="s">
        <v>41</v>
      </c>
      <c r="K239" s="1">
        <v>368</v>
      </c>
      <c r="M239" s="1" t="s">
        <v>225</v>
      </c>
      <c r="N239" s="3">
        <v>46188</v>
      </c>
      <c r="P239" s="1" t="s">
        <v>180</v>
      </c>
      <c r="Q239" s="1" t="s">
        <v>55</v>
      </c>
      <c r="R239" s="1" t="s">
        <v>438</v>
      </c>
      <c r="S239" s="3">
        <v>46176</v>
      </c>
      <c r="T239" s="3">
        <v>46176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1">
        <v>0</v>
      </c>
    </row>
    <row r="240" spans="1:39" x14ac:dyDescent="0.25">
      <c r="A240" s="1">
        <v>385</v>
      </c>
      <c r="B240" s="1" t="s">
        <v>558</v>
      </c>
      <c r="C240" s="1" t="s">
        <v>440</v>
      </c>
      <c r="D240" s="1" t="s">
        <v>559</v>
      </c>
      <c r="E240" s="1" t="s">
        <v>369</v>
      </c>
      <c r="F240" s="2">
        <v>46195</v>
      </c>
      <c r="G240" s="2">
        <v>46202</v>
      </c>
      <c r="H240" s="4">
        <v>0.64</v>
      </c>
      <c r="J240" s="1" t="s">
        <v>41</v>
      </c>
      <c r="M240" s="1" t="s">
        <v>183</v>
      </c>
      <c r="N240" s="3">
        <v>46195</v>
      </c>
      <c r="P240" s="1" t="s">
        <v>180</v>
      </c>
      <c r="Q240" s="1" t="s">
        <v>55</v>
      </c>
      <c r="R240" s="1" t="s">
        <v>438</v>
      </c>
      <c r="S240" s="3">
        <v>46171</v>
      </c>
      <c r="T240" s="3">
        <v>46183</v>
      </c>
      <c r="AB240" s="1">
        <v>0.64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386</v>
      </c>
      <c r="B241" s="1" t="s">
        <v>560</v>
      </c>
      <c r="C241" s="1" t="s">
        <v>561</v>
      </c>
      <c r="D241" s="1" t="s">
        <v>101</v>
      </c>
      <c r="E241" s="1" t="s">
        <v>168</v>
      </c>
      <c r="F241" s="2">
        <v>46195</v>
      </c>
      <c r="G241" s="2">
        <v>46198</v>
      </c>
      <c r="H241" s="4">
        <v>1</v>
      </c>
      <c r="I241" s="2">
        <v>46198</v>
      </c>
      <c r="J241" s="1" t="s">
        <v>53</v>
      </c>
      <c r="K241" s="1" t="s">
        <v>526</v>
      </c>
      <c r="L241" s="1">
        <v>387</v>
      </c>
      <c r="M241" s="1" t="s">
        <v>183</v>
      </c>
      <c r="N241" s="3">
        <v>46189</v>
      </c>
      <c r="P241" s="1" t="s">
        <v>180</v>
      </c>
      <c r="Q241" s="1" t="s">
        <v>55</v>
      </c>
      <c r="R241" s="1" t="s">
        <v>438</v>
      </c>
      <c r="S241" s="3">
        <v>46171</v>
      </c>
      <c r="T241" s="3">
        <v>46177</v>
      </c>
      <c r="AB241" s="1">
        <v>1</v>
      </c>
      <c r="AC241" s="1">
        <v>1</v>
      </c>
      <c r="AD241" s="1">
        <v>1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1</v>
      </c>
    </row>
    <row r="242" spans="1:39" x14ac:dyDescent="0.25">
      <c r="A242" s="1">
        <v>387</v>
      </c>
      <c r="B242" s="1" t="s">
        <v>562</v>
      </c>
      <c r="C242" s="1" t="s">
        <v>561</v>
      </c>
      <c r="D242" s="1" t="s">
        <v>105</v>
      </c>
      <c r="E242" s="1" t="s">
        <v>52</v>
      </c>
      <c r="F242" s="2">
        <v>46199</v>
      </c>
      <c r="G242" s="2">
        <v>46199</v>
      </c>
      <c r="H242" s="4">
        <v>0.5</v>
      </c>
      <c r="J242" s="1" t="s">
        <v>41</v>
      </c>
      <c r="K242" s="1">
        <v>386</v>
      </c>
      <c r="L242" s="1">
        <v>388</v>
      </c>
      <c r="M242" s="1" t="s">
        <v>248</v>
      </c>
      <c r="N242" s="3">
        <v>46190</v>
      </c>
      <c r="P242" s="1" t="s">
        <v>180</v>
      </c>
      <c r="Q242" s="1" t="s">
        <v>55</v>
      </c>
      <c r="R242" s="1" t="s">
        <v>438</v>
      </c>
      <c r="S242" s="3">
        <v>46178</v>
      </c>
      <c r="T242" s="3">
        <v>46178</v>
      </c>
      <c r="AB242" s="1">
        <v>0.5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1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388</v>
      </c>
      <c r="B243" s="1" t="s">
        <v>563</v>
      </c>
      <c r="C243" s="1" t="s">
        <v>561</v>
      </c>
      <c r="D243" s="1" t="s">
        <v>109</v>
      </c>
      <c r="E243" s="1" t="s">
        <v>52</v>
      </c>
      <c r="F243" s="2">
        <v>46202</v>
      </c>
      <c r="G243" s="2">
        <v>46202</v>
      </c>
      <c r="H243" s="4">
        <v>0</v>
      </c>
      <c r="J243" s="1" t="s">
        <v>41</v>
      </c>
      <c r="K243" s="1">
        <v>387</v>
      </c>
      <c r="L243" s="1" t="s">
        <v>564</v>
      </c>
      <c r="M243" s="1" t="s">
        <v>187</v>
      </c>
      <c r="N243" s="3">
        <v>46192</v>
      </c>
      <c r="P243" s="1" t="s">
        <v>67</v>
      </c>
      <c r="Q243" s="1" t="s">
        <v>55</v>
      </c>
      <c r="R243" s="1" t="s">
        <v>438</v>
      </c>
      <c r="S243" s="3">
        <v>46181</v>
      </c>
      <c r="T243" s="3">
        <v>46182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1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389</v>
      </c>
      <c r="B244" s="1" t="s">
        <v>565</v>
      </c>
      <c r="C244" s="1" t="s">
        <v>561</v>
      </c>
      <c r="D244" s="1" t="s">
        <v>115</v>
      </c>
      <c r="E244" s="1" t="s">
        <v>52</v>
      </c>
      <c r="F244" s="2">
        <v>46202</v>
      </c>
      <c r="G244" s="2">
        <v>46202</v>
      </c>
      <c r="H244" s="4">
        <v>0</v>
      </c>
      <c r="J244" s="1" t="s">
        <v>41</v>
      </c>
      <c r="K244" s="1" t="s">
        <v>566</v>
      </c>
      <c r="M244" s="1" t="s">
        <v>284</v>
      </c>
      <c r="N244" s="3">
        <v>46195</v>
      </c>
      <c r="P244" s="1" t="s">
        <v>67</v>
      </c>
      <c r="Q244" s="1" t="s">
        <v>55</v>
      </c>
      <c r="R244" s="1" t="s">
        <v>438</v>
      </c>
      <c r="S244" s="3">
        <v>46183</v>
      </c>
      <c r="T244" s="3">
        <v>46183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1</v>
      </c>
      <c r="AM244" s="1">
        <v>0</v>
      </c>
    </row>
    <row r="245" spans="1:39" x14ac:dyDescent="0.25">
      <c r="A245" s="1">
        <v>410</v>
      </c>
      <c r="B245" s="1" t="s">
        <v>567</v>
      </c>
      <c r="C245" s="1" t="s">
        <v>50</v>
      </c>
      <c r="D245" s="1" t="s">
        <v>568</v>
      </c>
      <c r="E245" s="1" t="s">
        <v>437</v>
      </c>
      <c r="F245" s="2">
        <v>46171</v>
      </c>
      <c r="G245" s="2">
        <v>46219</v>
      </c>
      <c r="H245" s="4">
        <v>0.72</v>
      </c>
      <c r="J245" s="1" t="s">
        <v>41</v>
      </c>
      <c r="M245" s="1" t="s">
        <v>172</v>
      </c>
      <c r="N245" s="3">
        <v>46211</v>
      </c>
      <c r="P245" s="1" t="s">
        <v>136</v>
      </c>
      <c r="Q245" s="1" t="s">
        <v>44</v>
      </c>
      <c r="R245" s="1" t="s">
        <v>569</v>
      </c>
      <c r="S245" s="3">
        <v>46147</v>
      </c>
      <c r="T245" s="3">
        <v>46210</v>
      </c>
      <c r="AB245" s="1">
        <v>0.72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416</v>
      </c>
      <c r="B246" s="1" t="s">
        <v>570</v>
      </c>
      <c r="C246" s="1" t="s">
        <v>571</v>
      </c>
      <c r="D246" s="1" t="s">
        <v>572</v>
      </c>
      <c r="E246" s="1" t="s">
        <v>573</v>
      </c>
      <c r="F246" s="2">
        <v>46189</v>
      </c>
      <c r="G246" s="2">
        <v>46205</v>
      </c>
      <c r="H246" s="4">
        <v>0.88</v>
      </c>
      <c r="J246" s="1" t="s">
        <v>41</v>
      </c>
      <c r="M246" s="1" t="s">
        <v>66</v>
      </c>
      <c r="N246" s="3">
        <v>46188</v>
      </c>
      <c r="P246" s="1" t="s">
        <v>73</v>
      </c>
      <c r="Q246" s="1" t="s">
        <v>55</v>
      </c>
      <c r="R246" s="1" t="s">
        <v>569</v>
      </c>
      <c r="S246" s="3">
        <v>46162</v>
      </c>
      <c r="T246" s="3">
        <v>46170</v>
      </c>
      <c r="AB246" s="1">
        <v>0.88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417</v>
      </c>
      <c r="B247" s="1" t="s">
        <v>574</v>
      </c>
      <c r="C247" s="1" t="s">
        <v>575</v>
      </c>
      <c r="D247" s="1" t="s">
        <v>101</v>
      </c>
      <c r="E247" s="1" t="s">
        <v>168</v>
      </c>
      <c r="F247" s="2">
        <v>46189</v>
      </c>
      <c r="G247" s="2">
        <v>46192</v>
      </c>
      <c r="H247" s="4">
        <v>1</v>
      </c>
      <c r="I247" s="2">
        <v>46192</v>
      </c>
      <c r="J247" s="1" t="s">
        <v>53</v>
      </c>
      <c r="K247" s="1">
        <v>452</v>
      </c>
      <c r="L247" s="1" t="s">
        <v>576</v>
      </c>
      <c r="M247" s="1" t="s">
        <v>66</v>
      </c>
      <c r="N247" s="3">
        <v>46182</v>
      </c>
      <c r="P247" s="1" t="s">
        <v>73</v>
      </c>
      <c r="Q247" s="1" t="s">
        <v>55</v>
      </c>
      <c r="R247" s="1" t="s">
        <v>569</v>
      </c>
      <c r="S247" s="3">
        <v>46162</v>
      </c>
      <c r="T247" s="3">
        <v>46164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</row>
    <row r="248" spans="1:39" x14ac:dyDescent="0.25">
      <c r="A248" s="1">
        <v>418</v>
      </c>
      <c r="B248" s="1" t="s">
        <v>577</v>
      </c>
      <c r="C248" s="1" t="s">
        <v>575</v>
      </c>
      <c r="D248" s="1" t="s">
        <v>105</v>
      </c>
      <c r="E248" s="1" t="s">
        <v>223</v>
      </c>
      <c r="F248" s="2">
        <v>46197</v>
      </c>
      <c r="G248" s="2">
        <v>46204</v>
      </c>
      <c r="H248" s="4">
        <v>1</v>
      </c>
      <c r="I248" s="2">
        <v>46204</v>
      </c>
      <c r="J248" s="1" t="s">
        <v>53</v>
      </c>
      <c r="K248" s="1">
        <v>417</v>
      </c>
      <c r="L248" s="1" t="s">
        <v>578</v>
      </c>
      <c r="M248" s="1" t="s">
        <v>183</v>
      </c>
      <c r="N248" s="3">
        <v>46183</v>
      </c>
      <c r="P248" s="1" t="s">
        <v>180</v>
      </c>
      <c r="Q248" s="1" t="s">
        <v>55</v>
      </c>
      <c r="R248" s="1" t="s">
        <v>569</v>
      </c>
      <c r="S248" s="3">
        <v>46167</v>
      </c>
      <c r="T248" s="3">
        <v>46167</v>
      </c>
      <c r="AB248" s="1">
        <v>1</v>
      </c>
      <c r="AC248" s="1">
        <v>0</v>
      </c>
      <c r="AD248" s="1">
        <v>0</v>
      </c>
      <c r="AE248" s="1">
        <v>0</v>
      </c>
      <c r="AF248" s="1">
        <v>0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419</v>
      </c>
      <c r="B249" s="1" t="s">
        <v>579</v>
      </c>
      <c r="C249" s="1" t="s">
        <v>575</v>
      </c>
      <c r="D249" s="1" t="s">
        <v>109</v>
      </c>
      <c r="E249" s="1" t="s">
        <v>52</v>
      </c>
      <c r="F249" s="2">
        <v>46204</v>
      </c>
      <c r="G249" s="2">
        <v>46204</v>
      </c>
      <c r="H249" s="4">
        <v>0.5</v>
      </c>
      <c r="J249" s="1" t="s">
        <v>41</v>
      </c>
      <c r="K249" s="1" t="s">
        <v>580</v>
      </c>
      <c r="L249" s="1">
        <v>420</v>
      </c>
      <c r="M249" s="1" t="s">
        <v>153</v>
      </c>
      <c r="N249" s="3">
        <v>46185</v>
      </c>
      <c r="P249" s="1" t="s">
        <v>180</v>
      </c>
      <c r="Q249" s="1" t="s">
        <v>55</v>
      </c>
      <c r="R249" s="1" t="s">
        <v>569</v>
      </c>
      <c r="S249" s="3">
        <v>46168</v>
      </c>
      <c r="T249" s="3">
        <v>46169</v>
      </c>
      <c r="AB249" s="1">
        <v>0.5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0</v>
      </c>
      <c r="AM249" s="1">
        <v>0</v>
      </c>
    </row>
    <row r="250" spans="1:39" x14ac:dyDescent="0.25">
      <c r="A250" s="1">
        <v>420</v>
      </c>
      <c r="B250" s="1" t="s">
        <v>581</v>
      </c>
      <c r="C250" s="1" t="s">
        <v>575</v>
      </c>
      <c r="D250" s="1" t="s">
        <v>115</v>
      </c>
      <c r="E250" s="1" t="s">
        <v>52</v>
      </c>
      <c r="F250" s="2">
        <v>46205</v>
      </c>
      <c r="G250" s="2">
        <v>46205</v>
      </c>
      <c r="H250" s="4">
        <v>0</v>
      </c>
      <c r="J250" s="1" t="s">
        <v>41</v>
      </c>
      <c r="K250" s="1">
        <v>419</v>
      </c>
      <c r="M250" s="1" t="s">
        <v>225</v>
      </c>
      <c r="N250" s="3">
        <v>46188</v>
      </c>
      <c r="P250" s="1" t="s">
        <v>180</v>
      </c>
      <c r="Q250" s="1" t="s">
        <v>55</v>
      </c>
      <c r="R250" s="1" t="s">
        <v>569</v>
      </c>
      <c r="S250" s="3">
        <v>46170</v>
      </c>
      <c r="T250" s="3">
        <v>46170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0</v>
      </c>
    </row>
    <row r="251" spans="1:39" x14ac:dyDescent="0.25">
      <c r="A251" s="1">
        <v>421</v>
      </c>
      <c r="B251" s="1" t="s">
        <v>582</v>
      </c>
      <c r="C251" s="1" t="s">
        <v>571</v>
      </c>
      <c r="D251" s="1" t="s">
        <v>583</v>
      </c>
      <c r="E251" s="1" t="s">
        <v>162</v>
      </c>
      <c r="F251" s="2">
        <v>46188</v>
      </c>
      <c r="G251" s="2">
        <v>46197</v>
      </c>
      <c r="H251" s="4">
        <v>0.5</v>
      </c>
      <c r="J251" s="1" t="s">
        <v>41</v>
      </c>
      <c r="M251" s="1" t="s">
        <v>193</v>
      </c>
      <c r="N251" s="3">
        <v>46206</v>
      </c>
      <c r="P251" s="1" t="s">
        <v>73</v>
      </c>
      <c r="Q251" s="1" t="s">
        <v>55</v>
      </c>
      <c r="R251" s="1" t="s">
        <v>569</v>
      </c>
      <c r="S251" s="3">
        <v>46192</v>
      </c>
      <c r="T251" s="3">
        <v>46202</v>
      </c>
      <c r="AB251" s="1">
        <v>0.5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x14ac:dyDescent="0.25">
      <c r="A252" s="1">
        <v>422</v>
      </c>
      <c r="B252" s="1" t="s">
        <v>584</v>
      </c>
      <c r="C252" s="1" t="s">
        <v>585</v>
      </c>
      <c r="D252" s="1" t="s">
        <v>101</v>
      </c>
      <c r="E252" s="1" t="s">
        <v>168</v>
      </c>
      <c r="F252" s="2">
        <v>46188</v>
      </c>
      <c r="G252" s="2">
        <v>46191</v>
      </c>
      <c r="H252" s="4">
        <v>1</v>
      </c>
      <c r="I252" s="2">
        <v>46191</v>
      </c>
      <c r="J252" s="1" t="s">
        <v>53</v>
      </c>
      <c r="L252" s="1">
        <v>423</v>
      </c>
      <c r="M252" s="1" t="s">
        <v>193</v>
      </c>
      <c r="N252" s="3">
        <v>46202</v>
      </c>
      <c r="P252" s="1" t="s">
        <v>73</v>
      </c>
      <c r="Q252" s="1" t="s">
        <v>55</v>
      </c>
      <c r="R252" s="1" t="s">
        <v>569</v>
      </c>
      <c r="S252" s="3">
        <v>46192</v>
      </c>
      <c r="T252" s="3">
        <v>46196</v>
      </c>
      <c r="AB252" s="1">
        <v>1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</row>
    <row r="253" spans="1:39" x14ac:dyDescent="0.25">
      <c r="A253" s="1">
        <v>423</v>
      </c>
      <c r="B253" s="1" t="s">
        <v>586</v>
      </c>
      <c r="C253" s="1" t="s">
        <v>585</v>
      </c>
      <c r="D253" s="1" t="s">
        <v>105</v>
      </c>
      <c r="E253" s="1" t="s">
        <v>52</v>
      </c>
      <c r="F253" s="2">
        <v>46192</v>
      </c>
      <c r="G253" s="2">
        <v>46192</v>
      </c>
      <c r="H253" s="4">
        <v>0</v>
      </c>
      <c r="J253" s="1" t="s">
        <v>41</v>
      </c>
      <c r="K253" s="1">
        <v>422</v>
      </c>
      <c r="L253" s="1">
        <v>424</v>
      </c>
      <c r="M253" s="1" t="s">
        <v>196</v>
      </c>
      <c r="N253" s="3">
        <v>46203</v>
      </c>
      <c r="P253" s="1" t="s">
        <v>73</v>
      </c>
      <c r="Q253" s="1" t="s">
        <v>55</v>
      </c>
      <c r="R253" s="1" t="s">
        <v>569</v>
      </c>
      <c r="S253" s="3">
        <v>46197</v>
      </c>
      <c r="T253" s="3">
        <v>46197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x14ac:dyDescent="0.25">
      <c r="A254" s="1">
        <v>424</v>
      </c>
      <c r="B254" s="1" t="s">
        <v>587</v>
      </c>
      <c r="C254" s="1" t="s">
        <v>585</v>
      </c>
      <c r="D254" s="1" t="s">
        <v>109</v>
      </c>
      <c r="E254" s="1" t="s">
        <v>116</v>
      </c>
      <c r="F254" s="2">
        <v>46195</v>
      </c>
      <c r="G254" s="2">
        <v>46196</v>
      </c>
      <c r="H254" s="4">
        <v>0</v>
      </c>
      <c r="J254" s="1" t="s">
        <v>41</v>
      </c>
      <c r="K254" s="1">
        <v>423</v>
      </c>
      <c r="L254" s="1">
        <v>425</v>
      </c>
      <c r="M254" s="1" t="s">
        <v>404</v>
      </c>
      <c r="N254" s="3">
        <v>46205</v>
      </c>
      <c r="P254" s="1" t="s">
        <v>180</v>
      </c>
      <c r="Q254" s="1" t="s">
        <v>55</v>
      </c>
      <c r="R254" s="1" t="s">
        <v>569</v>
      </c>
      <c r="S254" s="3">
        <v>46198</v>
      </c>
      <c r="T254" s="3">
        <v>46199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 x14ac:dyDescent="0.25">
      <c r="A255" s="1">
        <v>425</v>
      </c>
      <c r="B255" s="1" t="s">
        <v>588</v>
      </c>
      <c r="C255" s="1" t="s">
        <v>585</v>
      </c>
      <c r="D255" s="1" t="s">
        <v>115</v>
      </c>
      <c r="E255" s="1" t="s">
        <v>52</v>
      </c>
      <c r="F255" s="2">
        <v>46197</v>
      </c>
      <c r="G255" s="2">
        <v>46197</v>
      </c>
      <c r="H255" s="4">
        <v>0</v>
      </c>
      <c r="J255" s="1" t="s">
        <v>41</v>
      </c>
      <c r="K255" s="1">
        <v>424</v>
      </c>
      <c r="M255" s="1" t="s">
        <v>385</v>
      </c>
      <c r="N255" s="3">
        <v>46206</v>
      </c>
      <c r="P255" s="1" t="s">
        <v>180</v>
      </c>
      <c r="Q255" s="1" t="s">
        <v>55</v>
      </c>
      <c r="R255" s="1" t="s">
        <v>569</v>
      </c>
      <c r="S255" s="3">
        <v>46202</v>
      </c>
      <c r="T255" s="3">
        <v>46202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 x14ac:dyDescent="0.25">
      <c r="A256" s="1">
        <v>426</v>
      </c>
      <c r="B256" s="1" t="s">
        <v>589</v>
      </c>
      <c r="C256" s="1" t="s">
        <v>571</v>
      </c>
      <c r="D256" s="1" t="s">
        <v>590</v>
      </c>
      <c r="E256" s="1" t="s">
        <v>162</v>
      </c>
      <c r="F256" s="2">
        <v>46199</v>
      </c>
      <c r="G256" s="2">
        <v>46210</v>
      </c>
      <c r="H256" s="4">
        <v>0.5</v>
      </c>
      <c r="J256" s="1" t="s">
        <v>41</v>
      </c>
      <c r="M256" s="1" t="s">
        <v>284</v>
      </c>
      <c r="N256" s="3">
        <v>46202</v>
      </c>
      <c r="P256" s="1" t="s">
        <v>76</v>
      </c>
      <c r="Q256" s="1" t="s">
        <v>55</v>
      </c>
      <c r="R256" s="1" t="s">
        <v>569</v>
      </c>
      <c r="S256" s="3">
        <v>46184</v>
      </c>
      <c r="T256" s="3">
        <v>46192</v>
      </c>
      <c r="U256" s="1" t="s">
        <v>77</v>
      </c>
      <c r="AB256" s="1">
        <v>0.5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x14ac:dyDescent="0.25">
      <c r="A257" s="1">
        <v>427</v>
      </c>
      <c r="B257" s="1" t="s">
        <v>591</v>
      </c>
      <c r="C257" s="1" t="s">
        <v>592</v>
      </c>
      <c r="D257" s="1" t="s">
        <v>101</v>
      </c>
      <c r="E257" s="1" t="s">
        <v>168</v>
      </c>
      <c r="F257" s="2">
        <v>46199</v>
      </c>
      <c r="G257" s="2">
        <v>46204</v>
      </c>
      <c r="H257" s="4">
        <v>1</v>
      </c>
      <c r="I257" s="2">
        <v>46204</v>
      </c>
      <c r="J257" s="1" t="s">
        <v>53</v>
      </c>
      <c r="K257" s="1" t="s">
        <v>593</v>
      </c>
      <c r="L257" s="1" t="s">
        <v>594</v>
      </c>
      <c r="M257" s="1" t="s">
        <v>193</v>
      </c>
      <c r="N257" s="3">
        <v>46204</v>
      </c>
      <c r="P257" s="1" t="s">
        <v>76</v>
      </c>
      <c r="Q257" s="1" t="s">
        <v>55</v>
      </c>
      <c r="R257" s="1" t="s">
        <v>569</v>
      </c>
      <c r="S257" s="3">
        <v>46199</v>
      </c>
      <c r="T257" s="3">
        <v>46204</v>
      </c>
      <c r="AB257" s="1">
        <v>1</v>
      </c>
      <c r="AC257" s="1">
        <v>1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</row>
    <row r="258" spans="1:39" x14ac:dyDescent="0.25">
      <c r="A258" s="1">
        <v>428</v>
      </c>
      <c r="B258" s="1" t="s">
        <v>595</v>
      </c>
      <c r="C258" s="1" t="s">
        <v>592</v>
      </c>
      <c r="D258" s="1" t="s">
        <v>105</v>
      </c>
      <c r="E258" s="1" t="s">
        <v>52</v>
      </c>
      <c r="F258" s="2">
        <v>46205</v>
      </c>
      <c r="G258" s="2">
        <v>46205</v>
      </c>
      <c r="H258" s="4">
        <v>0</v>
      </c>
      <c r="J258" s="1" t="s">
        <v>41</v>
      </c>
      <c r="K258" s="1">
        <v>427</v>
      </c>
      <c r="L258" s="1">
        <v>429</v>
      </c>
      <c r="M258" s="1" t="s">
        <v>383</v>
      </c>
      <c r="N258" s="3">
        <v>46205</v>
      </c>
      <c r="P258" s="1" t="s">
        <v>73</v>
      </c>
      <c r="Q258" s="1" t="s">
        <v>55</v>
      </c>
      <c r="R258" s="1" t="s">
        <v>569</v>
      </c>
      <c r="S258" s="3">
        <v>46205</v>
      </c>
      <c r="T258" s="3">
        <v>46205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</row>
    <row r="259" spans="1:39" x14ac:dyDescent="0.25">
      <c r="A259" s="1">
        <v>429</v>
      </c>
      <c r="B259" s="1" t="s">
        <v>596</v>
      </c>
      <c r="C259" s="1" t="s">
        <v>592</v>
      </c>
      <c r="D259" s="1" t="s">
        <v>109</v>
      </c>
      <c r="E259" s="1" t="s">
        <v>116</v>
      </c>
      <c r="F259" s="2">
        <v>46206</v>
      </c>
      <c r="G259" s="2">
        <v>46209</v>
      </c>
      <c r="H259" s="4">
        <v>0</v>
      </c>
      <c r="J259" s="1" t="s">
        <v>41</v>
      </c>
      <c r="K259" s="1">
        <v>428</v>
      </c>
      <c r="L259" s="1">
        <v>430</v>
      </c>
      <c r="M259" s="1" t="s">
        <v>385</v>
      </c>
      <c r="N259" s="3">
        <v>46209</v>
      </c>
      <c r="P259" s="1" t="s">
        <v>73</v>
      </c>
      <c r="Q259" s="1" t="s">
        <v>55</v>
      </c>
      <c r="R259" s="1" t="s">
        <v>569</v>
      </c>
      <c r="S259" s="3">
        <v>46206</v>
      </c>
      <c r="T259" s="3">
        <v>46209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0</v>
      </c>
      <c r="AM259" s="1">
        <v>0</v>
      </c>
    </row>
    <row r="260" spans="1:39" x14ac:dyDescent="0.25">
      <c r="A260" s="1">
        <v>430</v>
      </c>
      <c r="B260" s="1" t="s">
        <v>597</v>
      </c>
      <c r="C260" s="1" t="s">
        <v>592</v>
      </c>
      <c r="D260" s="1" t="s">
        <v>115</v>
      </c>
      <c r="E260" s="1" t="s">
        <v>52</v>
      </c>
      <c r="F260" s="2">
        <v>46210</v>
      </c>
      <c r="G260" s="2">
        <v>46210</v>
      </c>
      <c r="H260" s="4">
        <v>0</v>
      </c>
      <c r="J260" s="1" t="s">
        <v>232</v>
      </c>
      <c r="K260" s="1">
        <v>429</v>
      </c>
      <c r="M260" s="1" t="s">
        <v>387</v>
      </c>
      <c r="N260" s="3">
        <v>46210</v>
      </c>
      <c r="P260" s="1" t="s">
        <v>73</v>
      </c>
      <c r="Q260" s="1" t="s">
        <v>55</v>
      </c>
      <c r="R260" s="1" t="s">
        <v>569</v>
      </c>
      <c r="S260" s="3">
        <v>46210</v>
      </c>
      <c r="T260" s="3">
        <v>46210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</row>
    <row r="261" spans="1:39" x14ac:dyDescent="0.25">
      <c r="A261" s="1">
        <v>441</v>
      </c>
      <c r="B261" s="1" t="s">
        <v>598</v>
      </c>
      <c r="C261" s="1" t="s">
        <v>571</v>
      </c>
      <c r="D261" s="1" t="s">
        <v>599</v>
      </c>
      <c r="E261" s="1" t="s">
        <v>294</v>
      </c>
      <c r="F261" s="2">
        <v>46199</v>
      </c>
      <c r="G261" s="2">
        <v>46217</v>
      </c>
      <c r="H261" s="4">
        <v>0.73</v>
      </c>
      <c r="J261" s="1" t="s">
        <v>232</v>
      </c>
      <c r="M261" s="1" t="s">
        <v>251</v>
      </c>
      <c r="N261" s="3">
        <v>46202</v>
      </c>
      <c r="P261" s="1" t="s">
        <v>180</v>
      </c>
      <c r="Q261" s="1" t="s">
        <v>55</v>
      </c>
      <c r="R261" s="1" t="s">
        <v>569</v>
      </c>
      <c r="S261" s="3">
        <v>46204</v>
      </c>
      <c r="T261" s="3">
        <v>46210</v>
      </c>
      <c r="AB261" s="1">
        <v>0.73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</row>
    <row r="262" spans="1:39" x14ac:dyDescent="0.25">
      <c r="A262" s="1">
        <v>442</v>
      </c>
      <c r="B262" s="1" t="s">
        <v>600</v>
      </c>
      <c r="C262" s="1" t="s">
        <v>601</v>
      </c>
      <c r="D262" s="1" t="s">
        <v>101</v>
      </c>
      <c r="E262" s="1" t="s">
        <v>515</v>
      </c>
      <c r="F262" s="2">
        <v>46199</v>
      </c>
      <c r="G262" s="2">
        <v>46210</v>
      </c>
      <c r="H262" s="4">
        <v>1</v>
      </c>
      <c r="I262" s="2">
        <v>46210</v>
      </c>
      <c r="J262" s="1" t="s">
        <v>53</v>
      </c>
      <c r="K262" s="1" t="s">
        <v>602</v>
      </c>
      <c r="L262" s="1">
        <v>443</v>
      </c>
      <c r="M262" s="1" t="s">
        <v>251</v>
      </c>
      <c r="N262" s="3">
        <v>46196</v>
      </c>
      <c r="P262" s="1" t="s">
        <v>180</v>
      </c>
      <c r="Q262" s="1" t="s">
        <v>55</v>
      </c>
      <c r="R262" s="1" t="s">
        <v>569</v>
      </c>
      <c r="S262" s="3">
        <v>46204</v>
      </c>
      <c r="T262" s="3">
        <v>46204</v>
      </c>
      <c r="AB262" s="1">
        <v>1</v>
      </c>
      <c r="AC262" s="1">
        <v>1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1</v>
      </c>
    </row>
    <row r="263" spans="1:39" x14ac:dyDescent="0.25">
      <c r="A263" s="1">
        <v>443</v>
      </c>
      <c r="B263" s="1" t="s">
        <v>603</v>
      </c>
      <c r="C263" s="1" t="s">
        <v>601</v>
      </c>
      <c r="D263" s="1" t="s">
        <v>105</v>
      </c>
      <c r="E263" s="1" t="s">
        <v>52</v>
      </c>
      <c r="F263" s="2">
        <v>46211</v>
      </c>
      <c r="G263" s="2">
        <v>46211</v>
      </c>
      <c r="H263" s="4">
        <v>0</v>
      </c>
      <c r="J263" s="1" t="s">
        <v>83</v>
      </c>
      <c r="K263" s="1">
        <v>442</v>
      </c>
      <c r="L263" s="1">
        <v>444</v>
      </c>
      <c r="M263" s="1" t="s">
        <v>308</v>
      </c>
      <c r="N263" s="3">
        <v>46197</v>
      </c>
      <c r="P263" s="1" t="s">
        <v>67</v>
      </c>
      <c r="Q263" s="1" t="s">
        <v>55</v>
      </c>
      <c r="R263" s="1" t="s">
        <v>569</v>
      </c>
      <c r="S263" s="3">
        <v>46205</v>
      </c>
      <c r="T263" s="3">
        <v>46205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</row>
    <row r="264" spans="1:39" x14ac:dyDescent="0.25">
      <c r="A264" s="1">
        <v>444</v>
      </c>
      <c r="B264" s="1" t="s">
        <v>604</v>
      </c>
      <c r="C264" s="1" t="s">
        <v>601</v>
      </c>
      <c r="D264" s="1" t="s">
        <v>109</v>
      </c>
      <c r="E264" s="1" t="s">
        <v>52</v>
      </c>
      <c r="F264" s="2">
        <v>46216</v>
      </c>
      <c r="G264" s="2">
        <v>46216</v>
      </c>
      <c r="H264" s="4">
        <v>0</v>
      </c>
      <c r="J264" s="1" t="s">
        <v>83</v>
      </c>
      <c r="K264" s="1">
        <v>443</v>
      </c>
      <c r="L264" s="1">
        <v>445</v>
      </c>
      <c r="M264" s="1" t="s">
        <v>191</v>
      </c>
      <c r="N264" s="3">
        <v>46199</v>
      </c>
      <c r="P264" s="1" t="s">
        <v>194</v>
      </c>
      <c r="Q264" s="1" t="s">
        <v>55</v>
      </c>
      <c r="R264" s="1" t="s">
        <v>569</v>
      </c>
      <c r="S264" s="3">
        <v>46206</v>
      </c>
      <c r="T264" s="3">
        <v>46209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x14ac:dyDescent="0.25">
      <c r="A265" s="1">
        <v>445</v>
      </c>
      <c r="B265" s="1" t="s">
        <v>605</v>
      </c>
      <c r="C265" s="1" t="s">
        <v>601</v>
      </c>
      <c r="D265" s="1" t="s">
        <v>115</v>
      </c>
      <c r="E265" s="1" t="s">
        <v>52</v>
      </c>
      <c r="F265" s="2">
        <v>46217</v>
      </c>
      <c r="G265" s="2">
        <v>46217</v>
      </c>
      <c r="H265" s="4">
        <v>0</v>
      </c>
      <c r="J265" s="1" t="s">
        <v>83</v>
      </c>
      <c r="K265" s="1">
        <v>444</v>
      </c>
      <c r="M265" s="1" t="s">
        <v>311</v>
      </c>
      <c r="N265" s="3">
        <v>46202</v>
      </c>
      <c r="P265" s="1" t="s">
        <v>194</v>
      </c>
      <c r="Q265" s="1" t="s">
        <v>55</v>
      </c>
      <c r="R265" s="1" t="s">
        <v>569</v>
      </c>
      <c r="S265" s="3">
        <v>46210</v>
      </c>
      <c r="T265" s="3">
        <v>46210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</row>
    <row r="266" spans="1:39" x14ac:dyDescent="0.25">
      <c r="A266" s="1">
        <v>446</v>
      </c>
      <c r="B266" s="1" t="s">
        <v>606</v>
      </c>
      <c r="C266" s="1" t="s">
        <v>571</v>
      </c>
      <c r="D266" s="1" t="s">
        <v>607</v>
      </c>
      <c r="E266" s="1" t="s">
        <v>608</v>
      </c>
      <c r="F266" s="2">
        <v>46189</v>
      </c>
      <c r="G266" s="2">
        <v>46204</v>
      </c>
      <c r="H266" s="4">
        <v>0.46</v>
      </c>
      <c r="J266" s="1" t="s">
        <v>41</v>
      </c>
      <c r="M266" s="1" t="s">
        <v>172</v>
      </c>
      <c r="N266" s="3">
        <v>46185</v>
      </c>
      <c r="P266" s="1" t="s">
        <v>73</v>
      </c>
      <c r="Q266" s="1" t="s">
        <v>55</v>
      </c>
      <c r="R266" s="1" t="s">
        <v>569</v>
      </c>
      <c r="S266" s="3">
        <v>46157</v>
      </c>
      <c r="T266" s="3">
        <v>46169</v>
      </c>
      <c r="AB266" s="1">
        <v>0.46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</row>
    <row r="267" spans="1:39" x14ac:dyDescent="0.25">
      <c r="A267" s="1">
        <v>447</v>
      </c>
      <c r="B267" s="1" t="s">
        <v>609</v>
      </c>
      <c r="C267" s="1" t="s">
        <v>610</v>
      </c>
      <c r="D267" s="1" t="s">
        <v>101</v>
      </c>
      <c r="E267" s="1" t="s">
        <v>223</v>
      </c>
      <c r="F267" s="2">
        <v>46189</v>
      </c>
      <c r="G267" s="2">
        <v>46196</v>
      </c>
      <c r="H267" s="4">
        <v>1</v>
      </c>
      <c r="I267" s="2">
        <v>46196</v>
      </c>
      <c r="J267" s="1" t="s">
        <v>53</v>
      </c>
      <c r="K267" s="1" t="s">
        <v>611</v>
      </c>
      <c r="L267" s="1">
        <v>448</v>
      </c>
      <c r="M267" s="1" t="s">
        <v>172</v>
      </c>
      <c r="N267" s="3">
        <v>46181</v>
      </c>
      <c r="P267" s="1" t="s">
        <v>73</v>
      </c>
      <c r="Q267" s="1" t="s">
        <v>55</v>
      </c>
      <c r="R267" s="1" t="s">
        <v>569</v>
      </c>
      <c r="S267" s="3">
        <v>46157</v>
      </c>
      <c r="T267" s="3">
        <v>46163</v>
      </c>
      <c r="AB267" s="1">
        <v>1</v>
      </c>
      <c r="AC267" s="1">
        <v>1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</row>
    <row r="268" spans="1:39" x14ac:dyDescent="0.25">
      <c r="A268" s="1">
        <v>448</v>
      </c>
      <c r="B268" s="1" t="s">
        <v>612</v>
      </c>
      <c r="C268" s="1" t="s">
        <v>610</v>
      </c>
      <c r="D268" s="1" t="s">
        <v>105</v>
      </c>
      <c r="E268" s="1" t="s">
        <v>168</v>
      </c>
      <c r="F268" s="2">
        <v>46197</v>
      </c>
      <c r="G268" s="2">
        <v>46202</v>
      </c>
      <c r="H268" s="4">
        <v>0</v>
      </c>
      <c r="J268" s="1" t="s">
        <v>41</v>
      </c>
      <c r="K268" s="1">
        <v>447</v>
      </c>
      <c r="L268" s="1">
        <v>449</v>
      </c>
      <c r="M268" s="1" t="s">
        <v>151</v>
      </c>
      <c r="N268" s="3">
        <v>46182</v>
      </c>
      <c r="P268" s="1" t="s">
        <v>180</v>
      </c>
      <c r="Q268" s="1" t="s">
        <v>55</v>
      </c>
      <c r="R268" s="1" t="s">
        <v>569</v>
      </c>
      <c r="S268" s="3">
        <v>46164</v>
      </c>
      <c r="T268" s="3">
        <v>46164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</row>
    <row r="269" spans="1:39" x14ac:dyDescent="0.25">
      <c r="A269" s="1">
        <v>449</v>
      </c>
      <c r="B269" s="1" t="s">
        <v>613</v>
      </c>
      <c r="C269" s="1" t="s">
        <v>610</v>
      </c>
      <c r="D269" s="1" t="s">
        <v>109</v>
      </c>
      <c r="E269" s="1" t="s">
        <v>116</v>
      </c>
      <c r="F269" s="2">
        <v>46203</v>
      </c>
      <c r="G269" s="2">
        <v>46204</v>
      </c>
      <c r="H269" s="4">
        <v>0</v>
      </c>
      <c r="J269" s="1" t="s">
        <v>41</v>
      </c>
      <c r="K269" s="1">
        <v>448</v>
      </c>
      <c r="L269" s="1" t="s">
        <v>614</v>
      </c>
      <c r="M269" s="1" t="s">
        <v>183</v>
      </c>
      <c r="N269" s="3">
        <v>46184</v>
      </c>
      <c r="P269" s="1" t="s">
        <v>180</v>
      </c>
      <c r="Q269" s="1" t="s">
        <v>55</v>
      </c>
      <c r="R269" s="1" t="s">
        <v>569</v>
      </c>
      <c r="S269" s="3">
        <v>46167</v>
      </c>
      <c r="T269" s="3">
        <v>46168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1</v>
      </c>
      <c r="AK269" s="1">
        <v>0</v>
      </c>
      <c r="AL269" s="1">
        <v>0</v>
      </c>
      <c r="AM269" s="1">
        <v>0</v>
      </c>
    </row>
    <row r="270" spans="1:39" x14ac:dyDescent="0.25">
      <c r="A270" s="1">
        <v>450</v>
      </c>
      <c r="B270" s="1" t="s">
        <v>615</v>
      </c>
      <c r="C270" s="1" t="s">
        <v>610</v>
      </c>
      <c r="D270" s="1" t="s">
        <v>115</v>
      </c>
      <c r="E270" s="1" t="s">
        <v>52</v>
      </c>
      <c r="F270" s="2">
        <v>46204</v>
      </c>
      <c r="G270" s="2">
        <v>46204</v>
      </c>
      <c r="H270" s="4">
        <v>0</v>
      </c>
      <c r="J270" s="1" t="s">
        <v>41</v>
      </c>
      <c r="K270" s="1" t="s">
        <v>616</v>
      </c>
      <c r="M270" s="1" t="s">
        <v>245</v>
      </c>
      <c r="N270" s="3">
        <v>46185</v>
      </c>
      <c r="P270" s="1" t="s">
        <v>180</v>
      </c>
      <c r="Q270" s="1" t="s">
        <v>55</v>
      </c>
      <c r="R270" s="1" t="s">
        <v>569</v>
      </c>
      <c r="S270" s="3">
        <v>46169</v>
      </c>
      <c r="T270" s="3">
        <v>46169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1</v>
      </c>
      <c r="AM270" s="1">
        <v>0</v>
      </c>
    </row>
    <row r="271" spans="1:39" x14ac:dyDescent="0.25">
      <c r="A271" s="1">
        <v>451</v>
      </c>
      <c r="B271" s="1" t="s">
        <v>617</v>
      </c>
      <c r="C271" s="1" t="s">
        <v>571</v>
      </c>
      <c r="D271" s="1" t="s">
        <v>618</v>
      </c>
      <c r="E271" s="1" t="s">
        <v>186</v>
      </c>
      <c r="F271" s="2">
        <v>46171</v>
      </c>
      <c r="G271" s="2">
        <v>46188</v>
      </c>
      <c r="H271" s="4">
        <v>0.6</v>
      </c>
      <c r="J271" s="1" t="s">
        <v>41</v>
      </c>
      <c r="M271" s="1" t="s">
        <v>172</v>
      </c>
      <c r="N271" s="3">
        <v>46183</v>
      </c>
      <c r="P271" s="1" t="s">
        <v>136</v>
      </c>
      <c r="Q271" s="1" t="s">
        <v>55</v>
      </c>
      <c r="R271" s="1" t="s">
        <v>569</v>
      </c>
      <c r="S271" s="3">
        <v>46157</v>
      </c>
      <c r="T271" s="3">
        <v>46167</v>
      </c>
      <c r="AB271" s="1">
        <v>0.6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x14ac:dyDescent="0.25">
      <c r="A272" s="1">
        <v>452</v>
      </c>
      <c r="B272" s="1" t="s">
        <v>619</v>
      </c>
      <c r="C272" s="1" t="s">
        <v>620</v>
      </c>
      <c r="D272" s="1" t="s">
        <v>101</v>
      </c>
      <c r="E272" s="1" t="s">
        <v>223</v>
      </c>
      <c r="F272" s="2">
        <v>46171</v>
      </c>
      <c r="G272" s="2">
        <v>46182</v>
      </c>
      <c r="H272" s="4">
        <v>1</v>
      </c>
      <c r="I272" s="2">
        <v>46182</v>
      </c>
      <c r="J272" s="1" t="s">
        <v>53</v>
      </c>
      <c r="K272" s="1" t="s">
        <v>611</v>
      </c>
      <c r="L272" s="1" t="s">
        <v>621</v>
      </c>
      <c r="M272" s="1" t="s">
        <v>172</v>
      </c>
      <c r="N272" s="3">
        <v>46177</v>
      </c>
      <c r="P272" s="1" t="s">
        <v>136</v>
      </c>
      <c r="Q272" s="1" t="s">
        <v>55</v>
      </c>
      <c r="R272" s="1" t="s">
        <v>569</v>
      </c>
      <c r="S272" s="3">
        <v>46157</v>
      </c>
      <c r="T272" s="3">
        <v>46161</v>
      </c>
      <c r="AB272" s="1">
        <v>1</v>
      </c>
      <c r="AC272" s="1">
        <v>1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</row>
    <row r="273" spans="1:39" x14ac:dyDescent="0.25">
      <c r="A273" s="1">
        <v>453</v>
      </c>
      <c r="B273" s="1" t="s">
        <v>622</v>
      </c>
      <c r="C273" s="1" t="s">
        <v>620</v>
      </c>
      <c r="D273" s="1" t="s">
        <v>105</v>
      </c>
      <c r="E273" s="1" t="s">
        <v>52</v>
      </c>
      <c r="F273" s="2">
        <v>46183</v>
      </c>
      <c r="G273" s="2">
        <v>46183</v>
      </c>
      <c r="H273" s="4">
        <v>0</v>
      </c>
      <c r="J273" s="1" t="s">
        <v>41</v>
      </c>
      <c r="K273" s="1">
        <v>452</v>
      </c>
      <c r="L273" s="1">
        <v>454</v>
      </c>
      <c r="M273" s="1" t="s">
        <v>66</v>
      </c>
      <c r="N273" s="3">
        <v>46178</v>
      </c>
      <c r="P273" s="1" t="s">
        <v>76</v>
      </c>
      <c r="Q273" s="1" t="s">
        <v>55</v>
      </c>
      <c r="R273" s="1" t="s">
        <v>569</v>
      </c>
      <c r="S273" s="3">
        <v>46162</v>
      </c>
      <c r="T273" s="3">
        <v>46162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</row>
    <row r="274" spans="1:39" x14ac:dyDescent="0.25">
      <c r="A274" s="1">
        <v>454</v>
      </c>
      <c r="B274" s="1" t="s">
        <v>623</v>
      </c>
      <c r="C274" s="1" t="s">
        <v>620</v>
      </c>
      <c r="D274" s="1" t="s">
        <v>109</v>
      </c>
      <c r="E274" s="1" t="s">
        <v>116</v>
      </c>
      <c r="F274" s="2">
        <v>46184</v>
      </c>
      <c r="G274" s="2">
        <v>46185</v>
      </c>
      <c r="H274" s="4">
        <v>0</v>
      </c>
      <c r="J274" s="1" t="s">
        <v>41</v>
      </c>
      <c r="K274" s="1">
        <v>453</v>
      </c>
      <c r="L274" s="1">
        <v>455</v>
      </c>
      <c r="M274" s="1" t="s">
        <v>149</v>
      </c>
      <c r="N274" s="3">
        <v>46182</v>
      </c>
      <c r="P274" s="1" t="s">
        <v>76</v>
      </c>
      <c r="Q274" s="1" t="s">
        <v>55</v>
      </c>
      <c r="R274" s="1" t="s">
        <v>569</v>
      </c>
      <c r="S274" s="3">
        <v>46163</v>
      </c>
      <c r="T274" s="3">
        <v>46164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1</v>
      </c>
      <c r="AK274" s="1">
        <v>0</v>
      </c>
      <c r="AL274" s="1">
        <v>0</v>
      </c>
      <c r="AM274" s="1">
        <v>0</v>
      </c>
    </row>
    <row r="275" spans="1:39" x14ac:dyDescent="0.25">
      <c r="A275" s="1">
        <v>455</v>
      </c>
      <c r="B275" s="1" t="s">
        <v>624</v>
      </c>
      <c r="C275" s="1" t="s">
        <v>620</v>
      </c>
      <c r="D275" s="1" t="s">
        <v>115</v>
      </c>
      <c r="E275" s="1" t="s">
        <v>52</v>
      </c>
      <c r="F275" s="2">
        <v>46188</v>
      </c>
      <c r="G275" s="2">
        <v>46188</v>
      </c>
      <c r="H275" s="4">
        <v>0</v>
      </c>
      <c r="J275" s="1" t="s">
        <v>41</v>
      </c>
      <c r="K275" s="1">
        <v>454</v>
      </c>
      <c r="M275" s="1" t="s">
        <v>183</v>
      </c>
      <c r="N275" s="3">
        <v>46183</v>
      </c>
      <c r="P275" s="1" t="s">
        <v>73</v>
      </c>
      <c r="Q275" s="1" t="s">
        <v>55</v>
      </c>
      <c r="R275" s="1" t="s">
        <v>569</v>
      </c>
      <c r="S275" s="3">
        <v>46167</v>
      </c>
      <c r="T275" s="3">
        <v>46167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</v>
      </c>
      <c r="AM275" s="1">
        <v>0</v>
      </c>
    </row>
    <row r="276" spans="1:39" x14ac:dyDescent="0.25">
      <c r="A276" s="1">
        <v>456</v>
      </c>
      <c r="B276" s="1" t="s">
        <v>625</v>
      </c>
      <c r="C276" s="1" t="s">
        <v>571</v>
      </c>
      <c r="D276" s="1" t="s">
        <v>626</v>
      </c>
      <c r="E276" s="1" t="s">
        <v>186</v>
      </c>
      <c r="F276" s="2">
        <v>46176</v>
      </c>
      <c r="G276" s="2">
        <v>46191</v>
      </c>
      <c r="H276" s="4">
        <v>0.6</v>
      </c>
      <c r="J276" s="1" t="s">
        <v>41</v>
      </c>
      <c r="M276" s="1" t="s">
        <v>172</v>
      </c>
      <c r="N276" s="3">
        <v>46185</v>
      </c>
      <c r="P276" s="1" t="s">
        <v>119</v>
      </c>
      <c r="Q276" s="1" t="s">
        <v>55</v>
      </c>
      <c r="R276" s="1" t="s">
        <v>569</v>
      </c>
      <c r="S276" s="3">
        <v>46157</v>
      </c>
      <c r="T276" s="3">
        <v>46169</v>
      </c>
      <c r="AB276" s="1">
        <v>0.6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x14ac:dyDescent="0.25">
      <c r="A277" s="1">
        <v>457</v>
      </c>
      <c r="B277" s="1" t="s">
        <v>627</v>
      </c>
      <c r="C277" s="1" t="s">
        <v>628</v>
      </c>
      <c r="D277" s="1" t="s">
        <v>101</v>
      </c>
      <c r="E277" s="1" t="s">
        <v>223</v>
      </c>
      <c r="F277" s="2">
        <v>46176</v>
      </c>
      <c r="G277" s="2">
        <v>46185</v>
      </c>
      <c r="H277" s="4">
        <v>1</v>
      </c>
      <c r="I277" s="2">
        <v>46185</v>
      </c>
      <c r="J277" s="1" t="s">
        <v>53</v>
      </c>
      <c r="K277" s="1" t="s">
        <v>611</v>
      </c>
      <c r="L277" s="1">
        <v>458</v>
      </c>
      <c r="M277" s="1" t="s">
        <v>172</v>
      </c>
      <c r="N277" s="3">
        <v>46181</v>
      </c>
      <c r="P277" s="1" t="s">
        <v>119</v>
      </c>
      <c r="Q277" s="1" t="s">
        <v>55</v>
      </c>
      <c r="R277" s="1" t="s">
        <v>569</v>
      </c>
      <c r="S277" s="3">
        <v>46157</v>
      </c>
      <c r="T277" s="3">
        <v>46163</v>
      </c>
      <c r="AB277" s="1">
        <v>1</v>
      </c>
      <c r="AC277" s="1">
        <v>1</v>
      </c>
      <c r="AD277" s="1">
        <v>1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1</v>
      </c>
    </row>
    <row r="278" spans="1:39" x14ac:dyDescent="0.25">
      <c r="A278" s="1">
        <v>458</v>
      </c>
      <c r="B278" s="1" t="s">
        <v>629</v>
      </c>
      <c r="C278" s="1" t="s">
        <v>628</v>
      </c>
      <c r="D278" s="1" t="s">
        <v>105</v>
      </c>
      <c r="E278" s="1" t="s">
        <v>52</v>
      </c>
      <c r="F278" s="2">
        <v>46188</v>
      </c>
      <c r="G278" s="2">
        <v>46188</v>
      </c>
      <c r="H278" s="4">
        <v>0</v>
      </c>
      <c r="J278" s="1" t="s">
        <v>41</v>
      </c>
      <c r="K278" s="1">
        <v>457</v>
      </c>
      <c r="L278" s="1">
        <v>459</v>
      </c>
      <c r="M278" s="1" t="s">
        <v>151</v>
      </c>
      <c r="N278" s="3">
        <v>46182</v>
      </c>
      <c r="P278" s="1" t="s">
        <v>73</v>
      </c>
      <c r="Q278" s="1" t="s">
        <v>55</v>
      </c>
      <c r="R278" s="1" t="s">
        <v>569</v>
      </c>
      <c r="S278" s="3">
        <v>46164</v>
      </c>
      <c r="T278" s="3">
        <v>46164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</row>
    <row r="279" spans="1:39" x14ac:dyDescent="0.25">
      <c r="A279" s="1">
        <v>459</v>
      </c>
      <c r="B279" s="1" t="s">
        <v>630</v>
      </c>
      <c r="C279" s="1" t="s">
        <v>628</v>
      </c>
      <c r="D279" s="1" t="s">
        <v>109</v>
      </c>
      <c r="E279" s="1" t="s">
        <v>116</v>
      </c>
      <c r="F279" s="2">
        <v>46189</v>
      </c>
      <c r="G279" s="2">
        <v>46190</v>
      </c>
      <c r="H279" s="4">
        <v>0</v>
      </c>
      <c r="J279" s="1" t="s">
        <v>41</v>
      </c>
      <c r="K279" s="1">
        <v>458</v>
      </c>
      <c r="L279" s="1">
        <v>460</v>
      </c>
      <c r="M279" s="1" t="s">
        <v>183</v>
      </c>
      <c r="N279" s="3">
        <v>46184</v>
      </c>
      <c r="P279" s="1" t="s">
        <v>73</v>
      </c>
      <c r="Q279" s="1" t="s">
        <v>55</v>
      </c>
      <c r="R279" s="1" t="s">
        <v>569</v>
      </c>
      <c r="S279" s="3">
        <v>46167</v>
      </c>
      <c r="T279" s="3">
        <v>46168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1</v>
      </c>
      <c r="AK279" s="1">
        <v>0</v>
      </c>
      <c r="AL279" s="1">
        <v>0</v>
      </c>
      <c r="AM279" s="1">
        <v>0</v>
      </c>
    </row>
    <row r="280" spans="1:39" x14ac:dyDescent="0.25">
      <c r="A280" s="1">
        <v>460</v>
      </c>
      <c r="B280" s="1" t="s">
        <v>631</v>
      </c>
      <c r="C280" s="1" t="s">
        <v>628</v>
      </c>
      <c r="D280" s="1" t="s">
        <v>115</v>
      </c>
      <c r="E280" s="1" t="s">
        <v>52</v>
      </c>
      <c r="F280" s="2">
        <v>46191</v>
      </c>
      <c r="G280" s="2">
        <v>46191</v>
      </c>
      <c r="H280" s="4">
        <v>0</v>
      </c>
      <c r="J280" s="1" t="s">
        <v>41</v>
      </c>
      <c r="K280" s="1">
        <v>459</v>
      </c>
      <c r="M280" s="1" t="s">
        <v>245</v>
      </c>
      <c r="N280" s="3">
        <v>46185</v>
      </c>
      <c r="P280" s="1" t="s">
        <v>73</v>
      </c>
      <c r="Q280" s="1" t="s">
        <v>55</v>
      </c>
      <c r="R280" s="1" t="s">
        <v>569</v>
      </c>
      <c r="S280" s="3">
        <v>46169</v>
      </c>
      <c r="T280" s="3">
        <v>46169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1</v>
      </c>
      <c r="AM280" s="1">
        <v>0</v>
      </c>
    </row>
    <row r="281" spans="1:39" x14ac:dyDescent="0.25">
      <c r="A281" s="1">
        <v>461</v>
      </c>
      <c r="B281" s="1" t="s">
        <v>632</v>
      </c>
      <c r="C281" s="1" t="s">
        <v>571</v>
      </c>
      <c r="D281" s="1" t="s">
        <v>633</v>
      </c>
      <c r="E281" s="1" t="s">
        <v>294</v>
      </c>
      <c r="F281" s="2">
        <v>46196</v>
      </c>
      <c r="G281" s="2">
        <v>46210</v>
      </c>
      <c r="H281" s="4">
        <v>0.36</v>
      </c>
      <c r="J281" s="1" t="s">
        <v>41</v>
      </c>
      <c r="M281" s="1" t="s">
        <v>183</v>
      </c>
      <c r="N281" s="3">
        <v>46202</v>
      </c>
      <c r="P281" s="1" t="s">
        <v>180</v>
      </c>
      <c r="Q281" s="1" t="s">
        <v>55</v>
      </c>
      <c r="R281" s="1" t="s">
        <v>569</v>
      </c>
      <c r="S281" s="3">
        <v>46167</v>
      </c>
      <c r="T281" s="3">
        <v>46184</v>
      </c>
      <c r="AB281" s="1">
        <v>0.36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</row>
    <row r="282" spans="1:39" x14ac:dyDescent="0.25">
      <c r="A282" s="1">
        <v>462</v>
      </c>
      <c r="B282" s="1" t="s">
        <v>634</v>
      </c>
      <c r="C282" s="1" t="s">
        <v>635</v>
      </c>
      <c r="D282" s="1" t="s">
        <v>101</v>
      </c>
      <c r="E282" s="1" t="s">
        <v>168</v>
      </c>
      <c r="F282" s="2">
        <v>46196</v>
      </c>
      <c r="G282" s="2">
        <v>46199</v>
      </c>
      <c r="H282" s="4">
        <v>1</v>
      </c>
      <c r="I282" s="2">
        <v>46199</v>
      </c>
      <c r="J282" s="1" t="s">
        <v>53</v>
      </c>
      <c r="K282" s="1">
        <v>417</v>
      </c>
      <c r="L282" s="1">
        <v>463</v>
      </c>
      <c r="M282" s="1" t="s">
        <v>183</v>
      </c>
      <c r="N282" s="3">
        <v>46196</v>
      </c>
      <c r="P282" s="1" t="s">
        <v>180</v>
      </c>
      <c r="Q282" s="1" t="s">
        <v>55</v>
      </c>
      <c r="R282" s="1" t="s">
        <v>569</v>
      </c>
      <c r="S282" s="3">
        <v>46167</v>
      </c>
      <c r="T282" s="3">
        <v>46178</v>
      </c>
      <c r="AB282" s="1">
        <v>1</v>
      </c>
      <c r="AC282" s="1">
        <v>1</v>
      </c>
      <c r="AD282" s="1">
        <v>1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1</v>
      </c>
    </row>
    <row r="283" spans="1:39" x14ac:dyDescent="0.25">
      <c r="A283" s="1">
        <v>463</v>
      </c>
      <c r="B283" s="1" t="s">
        <v>636</v>
      </c>
      <c r="C283" s="1" t="s">
        <v>635</v>
      </c>
      <c r="D283" s="1" t="s">
        <v>105</v>
      </c>
      <c r="E283" s="1" t="s">
        <v>168</v>
      </c>
      <c r="F283" s="2">
        <v>46202</v>
      </c>
      <c r="G283" s="2">
        <v>46205</v>
      </c>
      <c r="H283" s="4">
        <v>0</v>
      </c>
      <c r="J283" s="1" t="s">
        <v>41</v>
      </c>
      <c r="K283" s="1">
        <v>462</v>
      </c>
      <c r="L283" s="1">
        <v>464</v>
      </c>
      <c r="M283" s="1" t="s">
        <v>308</v>
      </c>
      <c r="N283" s="3">
        <v>46197</v>
      </c>
      <c r="P283" s="1" t="s">
        <v>180</v>
      </c>
      <c r="Q283" s="1" t="s">
        <v>55</v>
      </c>
      <c r="R283" s="1" t="s">
        <v>569</v>
      </c>
      <c r="S283" s="3">
        <v>46181</v>
      </c>
      <c r="T283" s="3">
        <v>46181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</row>
    <row r="284" spans="1:39" x14ac:dyDescent="0.25">
      <c r="A284" s="1">
        <v>464</v>
      </c>
      <c r="B284" s="1" t="s">
        <v>637</v>
      </c>
      <c r="C284" s="1" t="s">
        <v>635</v>
      </c>
      <c r="D284" s="1" t="s">
        <v>109</v>
      </c>
      <c r="E284" s="1" t="s">
        <v>116</v>
      </c>
      <c r="F284" s="2">
        <v>46206</v>
      </c>
      <c r="G284" s="2">
        <v>46209</v>
      </c>
      <c r="H284" s="4">
        <v>0</v>
      </c>
      <c r="J284" s="1" t="s">
        <v>41</v>
      </c>
      <c r="K284" s="1">
        <v>463</v>
      </c>
      <c r="L284" s="1">
        <v>465</v>
      </c>
      <c r="M284" s="1" t="s">
        <v>191</v>
      </c>
      <c r="N284" s="3">
        <v>46199</v>
      </c>
      <c r="P284" s="1" t="s">
        <v>67</v>
      </c>
      <c r="Q284" s="1" t="s">
        <v>55</v>
      </c>
      <c r="R284" s="1" t="s">
        <v>569</v>
      </c>
      <c r="S284" s="3">
        <v>46182</v>
      </c>
      <c r="T284" s="3">
        <v>46183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0</v>
      </c>
      <c r="AL284" s="1">
        <v>0</v>
      </c>
      <c r="AM284" s="1">
        <v>0</v>
      </c>
    </row>
    <row r="285" spans="1:39" x14ac:dyDescent="0.25">
      <c r="A285" s="1">
        <v>465</v>
      </c>
      <c r="B285" s="1" t="s">
        <v>638</v>
      </c>
      <c r="C285" s="1" t="s">
        <v>635</v>
      </c>
      <c r="D285" s="1" t="s">
        <v>115</v>
      </c>
      <c r="E285" s="1" t="s">
        <v>52</v>
      </c>
      <c r="F285" s="2">
        <v>46210</v>
      </c>
      <c r="G285" s="2">
        <v>46210</v>
      </c>
      <c r="H285" s="4">
        <v>0</v>
      </c>
      <c r="J285" s="1" t="s">
        <v>232</v>
      </c>
      <c r="K285" s="1">
        <v>464</v>
      </c>
      <c r="M285" s="1" t="s">
        <v>311</v>
      </c>
      <c r="N285" s="3">
        <v>46202</v>
      </c>
      <c r="P285" s="1" t="s">
        <v>67</v>
      </c>
      <c r="Q285" s="1" t="s">
        <v>55</v>
      </c>
      <c r="R285" s="1" t="s">
        <v>569</v>
      </c>
      <c r="S285" s="3">
        <v>46184</v>
      </c>
      <c r="T285" s="3">
        <v>46184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</row>
    <row r="286" spans="1:39" x14ac:dyDescent="0.25">
      <c r="A286" s="1">
        <v>466</v>
      </c>
      <c r="B286" s="1" t="s">
        <v>639</v>
      </c>
      <c r="C286" s="1" t="s">
        <v>571</v>
      </c>
      <c r="D286" s="1" t="s">
        <v>640</v>
      </c>
      <c r="E286" s="1" t="s">
        <v>162</v>
      </c>
      <c r="F286" s="2">
        <v>46196</v>
      </c>
      <c r="G286" s="2">
        <v>46205</v>
      </c>
      <c r="H286" s="4">
        <v>0.5</v>
      </c>
      <c r="J286" s="1" t="s">
        <v>41</v>
      </c>
      <c r="M286" s="1" t="s">
        <v>183</v>
      </c>
      <c r="N286" s="3">
        <v>46202</v>
      </c>
      <c r="P286" s="1" t="s">
        <v>180</v>
      </c>
      <c r="Q286" s="1" t="s">
        <v>55</v>
      </c>
      <c r="R286" s="1" t="s">
        <v>569</v>
      </c>
      <c r="S286" s="3">
        <v>46167</v>
      </c>
      <c r="T286" s="3">
        <v>46184</v>
      </c>
      <c r="AB286" s="1">
        <v>0.5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</row>
    <row r="287" spans="1:39" x14ac:dyDescent="0.25">
      <c r="A287" s="1">
        <v>467</v>
      </c>
      <c r="B287" s="1" t="s">
        <v>641</v>
      </c>
      <c r="C287" s="1" t="s">
        <v>642</v>
      </c>
      <c r="D287" s="1" t="s">
        <v>101</v>
      </c>
      <c r="E287" s="1" t="s">
        <v>168</v>
      </c>
      <c r="F287" s="2">
        <v>46196</v>
      </c>
      <c r="G287" s="2">
        <v>46199</v>
      </c>
      <c r="H287" s="4">
        <v>1</v>
      </c>
      <c r="I287" s="2">
        <v>46199</v>
      </c>
      <c r="J287" s="1" t="s">
        <v>53</v>
      </c>
      <c r="K287" s="1">
        <v>417</v>
      </c>
      <c r="L287" s="1">
        <v>468</v>
      </c>
      <c r="M287" s="1" t="s">
        <v>183</v>
      </c>
      <c r="N287" s="3">
        <v>46196</v>
      </c>
      <c r="P287" s="1" t="s">
        <v>180</v>
      </c>
      <c r="Q287" s="1" t="s">
        <v>55</v>
      </c>
      <c r="R287" s="1" t="s">
        <v>569</v>
      </c>
      <c r="S287" s="3">
        <v>46167</v>
      </c>
      <c r="T287" s="3">
        <v>46178</v>
      </c>
      <c r="AB287" s="1">
        <v>1</v>
      </c>
      <c r="AC287" s="1">
        <v>1</v>
      </c>
      <c r="AD287" s="1">
        <v>1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1</v>
      </c>
    </row>
    <row r="288" spans="1:39" x14ac:dyDescent="0.25">
      <c r="A288" s="1">
        <v>468</v>
      </c>
      <c r="B288" s="1" t="s">
        <v>643</v>
      </c>
      <c r="C288" s="1" t="s">
        <v>642</v>
      </c>
      <c r="D288" s="1" t="s">
        <v>105</v>
      </c>
      <c r="E288" s="1" t="s">
        <v>52</v>
      </c>
      <c r="F288" s="2">
        <v>46202</v>
      </c>
      <c r="G288" s="2">
        <v>46202</v>
      </c>
      <c r="H288" s="4">
        <v>0</v>
      </c>
      <c r="J288" s="1" t="s">
        <v>41</v>
      </c>
      <c r="K288" s="1">
        <v>467</v>
      </c>
      <c r="L288" s="1">
        <v>469</v>
      </c>
      <c r="M288" s="1" t="s">
        <v>308</v>
      </c>
      <c r="N288" s="3">
        <v>46197</v>
      </c>
      <c r="P288" s="1" t="s">
        <v>180</v>
      </c>
      <c r="Q288" s="1" t="s">
        <v>55</v>
      </c>
      <c r="R288" s="1" t="s">
        <v>569</v>
      </c>
      <c r="S288" s="3">
        <v>46181</v>
      </c>
      <c r="T288" s="3">
        <v>46181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</row>
    <row r="289" spans="1:39" x14ac:dyDescent="0.25">
      <c r="A289" s="1">
        <v>469</v>
      </c>
      <c r="B289" s="1" t="s">
        <v>644</v>
      </c>
      <c r="C289" s="1" t="s">
        <v>642</v>
      </c>
      <c r="D289" s="1" t="s">
        <v>109</v>
      </c>
      <c r="E289" s="1" t="s">
        <v>116</v>
      </c>
      <c r="F289" s="2">
        <v>46203</v>
      </c>
      <c r="G289" s="2">
        <v>46204</v>
      </c>
      <c r="H289" s="4">
        <v>0</v>
      </c>
      <c r="J289" s="1" t="s">
        <v>41</v>
      </c>
      <c r="K289" s="1">
        <v>468</v>
      </c>
      <c r="L289" s="1">
        <v>470</v>
      </c>
      <c r="M289" s="1" t="s">
        <v>191</v>
      </c>
      <c r="N289" s="3">
        <v>46199</v>
      </c>
      <c r="P289" s="1" t="s">
        <v>180</v>
      </c>
      <c r="Q289" s="1" t="s">
        <v>55</v>
      </c>
      <c r="R289" s="1" t="s">
        <v>569</v>
      </c>
      <c r="S289" s="3">
        <v>46182</v>
      </c>
      <c r="T289" s="3">
        <v>46183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1</v>
      </c>
      <c r="AK289" s="1">
        <v>0</v>
      </c>
      <c r="AL289" s="1">
        <v>0</v>
      </c>
      <c r="AM289" s="1">
        <v>0</v>
      </c>
    </row>
    <row r="290" spans="1:39" x14ac:dyDescent="0.25">
      <c r="A290" s="1">
        <v>470</v>
      </c>
      <c r="B290" s="1" t="s">
        <v>645</v>
      </c>
      <c r="C290" s="1" t="s">
        <v>642</v>
      </c>
      <c r="D290" s="1" t="s">
        <v>115</v>
      </c>
      <c r="E290" s="1" t="s">
        <v>52</v>
      </c>
      <c r="F290" s="2">
        <v>46205</v>
      </c>
      <c r="G290" s="2">
        <v>46205</v>
      </c>
      <c r="H290" s="4">
        <v>0</v>
      </c>
      <c r="J290" s="1" t="s">
        <v>41</v>
      </c>
      <c r="K290" s="1">
        <v>469</v>
      </c>
      <c r="M290" s="1" t="s">
        <v>311</v>
      </c>
      <c r="N290" s="3">
        <v>46202</v>
      </c>
      <c r="P290" s="1" t="s">
        <v>67</v>
      </c>
      <c r="Q290" s="1" t="s">
        <v>55</v>
      </c>
      <c r="R290" s="1" t="s">
        <v>569</v>
      </c>
      <c r="S290" s="3">
        <v>46184</v>
      </c>
      <c r="T290" s="3">
        <v>46184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1</v>
      </c>
      <c r="AM290" s="1">
        <v>0</v>
      </c>
    </row>
    <row r="291" spans="1:39" x14ac:dyDescent="0.25">
      <c r="A291" s="1">
        <v>471</v>
      </c>
      <c r="B291" s="1" t="s">
        <v>646</v>
      </c>
      <c r="C291" s="1" t="s">
        <v>571</v>
      </c>
      <c r="D291" s="1" t="s">
        <v>647</v>
      </c>
      <c r="E291" s="1" t="s">
        <v>162</v>
      </c>
      <c r="F291" s="2">
        <v>46196</v>
      </c>
      <c r="G291" s="2">
        <v>46205</v>
      </c>
      <c r="H291" s="4">
        <v>0.5</v>
      </c>
      <c r="J291" s="1" t="s">
        <v>41</v>
      </c>
      <c r="M291" s="1" t="s">
        <v>183</v>
      </c>
      <c r="N291" s="3">
        <v>46202</v>
      </c>
      <c r="P291" s="1" t="s">
        <v>180</v>
      </c>
      <c r="Q291" s="1" t="s">
        <v>55</v>
      </c>
      <c r="R291" s="1" t="s">
        <v>569</v>
      </c>
      <c r="S291" s="3">
        <v>46167</v>
      </c>
      <c r="T291" s="3">
        <v>46184</v>
      </c>
      <c r="AB291" s="1">
        <v>0.5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</row>
    <row r="292" spans="1:39" x14ac:dyDescent="0.25">
      <c r="A292" s="1">
        <v>472</v>
      </c>
      <c r="B292" s="1" t="s">
        <v>648</v>
      </c>
      <c r="C292" s="1" t="s">
        <v>649</v>
      </c>
      <c r="D292" s="1" t="s">
        <v>101</v>
      </c>
      <c r="E292" s="1" t="s">
        <v>168</v>
      </c>
      <c r="F292" s="2">
        <v>46196</v>
      </c>
      <c r="G292" s="2">
        <v>46199</v>
      </c>
      <c r="H292" s="4">
        <v>1</v>
      </c>
      <c r="I292" s="2">
        <v>46199</v>
      </c>
      <c r="J292" s="1" t="s">
        <v>53</v>
      </c>
      <c r="K292" s="1">
        <v>417</v>
      </c>
      <c r="L292" s="1">
        <v>473</v>
      </c>
      <c r="M292" s="1" t="s">
        <v>183</v>
      </c>
      <c r="N292" s="3">
        <v>46196</v>
      </c>
      <c r="P292" s="1" t="s">
        <v>180</v>
      </c>
      <c r="Q292" s="1" t="s">
        <v>55</v>
      </c>
      <c r="R292" s="1" t="s">
        <v>569</v>
      </c>
      <c r="S292" s="3">
        <v>46167</v>
      </c>
      <c r="T292" s="3">
        <v>46178</v>
      </c>
      <c r="AB292" s="1">
        <v>1</v>
      </c>
      <c r="AC292" s="1">
        <v>1</v>
      </c>
      <c r="AD292" s="1">
        <v>1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1</v>
      </c>
    </row>
    <row r="293" spans="1:39" x14ac:dyDescent="0.25">
      <c r="A293" s="1">
        <v>473</v>
      </c>
      <c r="B293" s="1" t="s">
        <v>650</v>
      </c>
      <c r="C293" s="1" t="s">
        <v>649</v>
      </c>
      <c r="D293" s="1" t="s">
        <v>105</v>
      </c>
      <c r="E293" s="1" t="s">
        <v>52</v>
      </c>
      <c r="F293" s="2">
        <v>46202</v>
      </c>
      <c r="G293" s="2">
        <v>46202</v>
      </c>
      <c r="H293" s="4">
        <v>0</v>
      </c>
      <c r="J293" s="1" t="s">
        <v>41</v>
      </c>
      <c r="K293" s="1">
        <v>472</v>
      </c>
      <c r="L293" s="1">
        <v>474</v>
      </c>
      <c r="M293" s="1" t="s">
        <v>308</v>
      </c>
      <c r="N293" s="3">
        <v>46197</v>
      </c>
      <c r="P293" s="1" t="s">
        <v>180</v>
      </c>
      <c r="Q293" s="1" t="s">
        <v>55</v>
      </c>
      <c r="R293" s="1" t="s">
        <v>569</v>
      </c>
      <c r="S293" s="3">
        <v>46181</v>
      </c>
      <c r="T293" s="3">
        <v>46181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1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</row>
    <row r="294" spans="1:39" x14ac:dyDescent="0.25">
      <c r="A294" s="1">
        <v>474</v>
      </c>
      <c r="B294" s="1" t="s">
        <v>651</v>
      </c>
      <c r="C294" s="1" t="s">
        <v>649</v>
      </c>
      <c r="D294" s="1" t="s">
        <v>109</v>
      </c>
      <c r="E294" s="1" t="s">
        <v>116</v>
      </c>
      <c r="F294" s="2">
        <v>46203</v>
      </c>
      <c r="G294" s="2">
        <v>46204</v>
      </c>
      <c r="H294" s="4">
        <v>0</v>
      </c>
      <c r="J294" s="1" t="s">
        <v>41</v>
      </c>
      <c r="K294" s="1">
        <v>473</v>
      </c>
      <c r="L294" s="1">
        <v>475</v>
      </c>
      <c r="M294" s="1" t="s">
        <v>191</v>
      </c>
      <c r="N294" s="3">
        <v>46199</v>
      </c>
      <c r="P294" s="1" t="s">
        <v>180</v>
      </c>
      <c r="Q294" s="1" t="s">
        <v>55</v>
      </c>
      <c r="R294" s="1" t="s">
        <v>569</v>
      </c>
      <c r="S294" s="3">
        <v>46182</v>
      </c>
      <c r="T294" s="3">
        <v>46183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1</v>
      </c>
      <c r="AK294" s="1">
        <v>0</v>
      </c>
      <c r="AL294" s="1">
        <v>0</v>
      </c>
      <c r="AM294" s="1">
        <v>0</v>
      </c>
    </row>
    <row r="295" spans="1:39" x14ac:dyDescent="0.25">
      <c r="A295" s="1">
        <v>475</v>
      </c>
      <c r="B295" s="1" t="s">
        <v>652</v>
      </c>
      <c r="C295" s="1" t="s">
        <v>649</v>
      </c>
      <c r="D295" s="1" t="s">
        <v>115</v>
      </c>
      <c r="E295" s="1" t="s">
        <v>52</v>
      </c>
      <c r="F295" s="2">
        <v>46205</v>
      </c>
      <c r="G295" s="2">
        <v>46205</v>
      </c>
      <c r="H295" s="4">
        <v>0</v>
      </c>
      <c r="J295" s="1" t="s">
        <v>41</v>
      </c>
      <c r="K295" s="1">
        <v>474</v>
      </c>
      <c r="M295" s="1" t="s">
        <v>311</v>
      </c>
      <c r="N295" s="3">
        <v>46202</v>
      </c>
      <c r="P295" s="1" t="s">
        <v>67</v>
      </c>
      <c r="Q295" s="1" t="s">
        <v>55</v>
      </c>
      <c r="R295" s="1" t="s">
        <v>569</v>
      </c>
      <c r="S295" s="3">
        <v>46184</v>
      </c>
      <c r="T295" s="3">
        <v>46184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1</v>
      </c>
      <c r="AM295" s="1">
        <v>0</v>
      </c>
    </row>
    <row r="296" spans="1:39" x14ac:dyDescent="0.25">
      <c r="A296" s="1">
        <v>481</v>
      </c>
      <c r="B296" s="1" t="s">
        <v>653</v>
      </c>
      <c r="C296" s="1" t="s">
        <v>571</v>
      </c>
      <c r="D296" s="1" t="s">
        <v>654</v>
      </c>
      <c r="E296" s="1" t="s">
        <v>162</v>
      </c>
      <c r="F296" s="2">
        <v>46204</v>
      </c>
      <c r="G296" s="2">
        <v>46217</v>
      </c>
      <c r="H296" s="4">
        <v>0.5</v>
      </c>
      <c r="J296" s="1" t="s">
        <v>232</v>
      </c>
      <c r="M296" s="1" t="s">
        <v>308</v>
      </c>
      <c r="N296" s="3">
        <v>46205</v>
      </c>
      <c r="P296" s="1" t="s">
        <v>73</v>
      </c>
      <c r="Q296" s="1" t="s">
        <v>55</v>
      </c>
      <c r="R296" s="1" t="s">
        <v>569</v>
      </c>
      <c r="S296" s="3">
        <v>46181</v>
      </c>
      <c r="T296" s="3">
        <v>46189</v>
      </c>
      <c r="AB296" s="1">
        <v>0.5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</row>
    <row r="297" spans="1:39" x14ac:dyDescent="0.25">
      <c r="A297" s="1">
        <v>482</v>
      </c>
      <c r="B297" s="1" t="s">
        <v>655</v>
      </c>
      <c r="C297" s="1" t="s">
        <v>656</v>
      </c>
      <c r="D297" s="1" t="s">
        <v>101</v>
      </c>
      <c r="E297" s="1" t="s">
        <v>168</v>
      </c>
      <c r="F297" s="2">
        <v>46204</v>
      </c>
      <c r="G297" s="2">
        <v>46209</v>
      </c>
      <c r="H297" s="4">
        <v>1</v>
      </c>
      <c r="I297" s="2">
        <v>46209</v>
      </c>
      <c r="J297" s="1" t="s">
        <v>53</v>
      </c>
      <c r="L297" s="1" t="s">
        <v>657</v>
      </c>
      <c r="M297" s="1" t="s">
        <v>308</v>
      </c>
      <c r="N297" s="3">
        <v>46199</v>
      </c>
      <c r="P297" s="1" t="s">
        <v>73</v>
      </c>
      <c r="Q297" s="1" t="s">
        <v>55</v>
      </c>
      <c r="R297" s="1" t="s">
        <v>569</v>
      </c>
      <c r="S297" s="3">
        <v>46181</v>
      </c>
      <c r="T297" s="3">
        <v>46183</v>
      </c>
      <c r="AB297" s="1">
        <v>1</v>
      </c>
      <c r="AC297" s="1">
        <v>1</v>
      </c>
      <c r="AD297" s="1">
        <v>1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1</v>
      </c>
    </row>
    <row r="298" spans="1:39" x14ac:dyDescent="0.25">
      <c r="A298" s="1">
        <v>483</v>
      </c>
      <c r="B298" s="1" t="s">
        <v>658</v>
      </c>
      <c r="C298" s="1" t="s">
        <v>656</v>
      </c>
      <c r="D298" s="1" t="s">
        <v>105</v>
      </c>
      <c r="E298" s="1" t="s">
        <v>52</v>
      </c>
      <c r="F298" s="2">
        <v>46210</v>
      </c>
      <c r="G298" s="2">
        <v>46210</v>
      </c>
      <c r="H298" s="4">
        <v>0</v>
      </c>
      <c r="J298" s="1" t="s">
        <v>232</v>
      </c>
      <c r="K298" s="1">
        <v>482</v>
      </c>
      <c r="L298" s="1">
        <v>484</v>
      </c>
      <c r="M298" s="1" t="s">
        <v>311</v>
      </c>
      <c r="N298" s="3">
        <v>46202</v>
      </c>
      <c r="P298" s="1" t="s">
        <v>180</v>
      </c>
      <c r="Q298" s="1" t="s">
        <v>55</v>
      </c>
      <c r="R298" s="1" t="s">
        <v>569</v>
      </c>
      <c r="S298" s="3">
        <v>46184</v>
      </c>
      <c r="T298" s="3">
        <v>46184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</row>
    <row r="299" spans="1:39" x14ac:dyDescent="0.25">
      <c r="A299" s="1">
        <v>484</v>
      </c>
      <c r="B299" s="1" t="s">
        <v>659</v>
      </c>
      <c r="C299" s="1" t="s">
        <v>656</v>
      </c>
      <c r="D299" s="1" t="s">
        <v>109</v>
      </c>
      <c r="E299" s="1" t="s">
        <v>116</v>
      </c>
      <c r="F299" s="2">
        <v>46211</v>
      </c>
      <c r="G299" s="2">
        <v>46216</v>
      </c>
      <c r="H299" s="4">
        <v>0</v>
      </c>
      <c r="J299" s="1" t="s">
        <v>83</v>
      </c>
      <c r="K299" s="1">
        <v>483</v>
      </c>
      <c r="L299" s="1">
        <v>485</v>
      </c>
      <c r="M299" s="1" t="s">
        <v>196</v>
      </c>
      <c r="N299" s="3">
        <v>46204</v>
      </c>
      <c r="P299" s="1" t="s">
        <v>180</v>
      </c>
      <c r="Q299" s="1" t="s">
        <v>55</v>
      </c>
      <c r="R299" s="1" t="s">
        <v>569</v>
      </c>
      <c r="S299" s="3">
        <v>46185</v>
      </c>
      <c r="T299" s="3">
        <v>46188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 x14ac:dyDescent="0.25">
      <c r="A300" s="1">
        <v>485</v>
      </c>
      <c r="B300" s="1" t="s">
        <v>660</v>
      </c>
      <c r="C300" s="1" t="s">
        <v>656</v>
      </c>
      <c r="D300" s="1" t="s">
        <v>115</v>
      </c>
      <c r="E300" s="1" t="s">
        <v>52</v>
      </c>
      <c r="F300" s="2">
        <v>46217</v>
      </c>
      <c r="G300" s="2">
        <v>46217</v>
      </c>
      <c r="H300" s="4">
        <v>0</v>
      </c>
      <c r="J300" s="1" t="s">
        <v>83</v>
      </c>
      <c r="K300" s="1">
        <v>484</v>
      </c>
      <c r="M300" s="1" t="s">
        <v>383</v>
      </c>
      <c r="N300" s="3">
        <v>46205</v>
      </c>
      <c r="P300" s="1" t="s">
        <v>180</v>
      </c>
      <c r="Q300" s="1" t="s">
        <v>55</v>
      </c>
      <c r="R300" s="1" t="s">
        <v>569</v>
      </c>
      <c r="S300" s="3">
        <v>46189</v>
      </c>
      <c r="T300" s="3">
        <v>46189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</row>
    <row r="301" spans="1:39" x14ac:dyDescent="0.25">
      <c r="A301" s="1">
        <v>496</v>
      </c>
      <c r="B301" s="1" t="s">
        <v>661</v>
      </c>
      <c r="C301" s="1" t="s">
        <v>571</v>
      </c>
      <c r="D301" s="1" t="s">
        <v>662</v>
      </c>
      <c r="E301" s="1" t="s">
        <v>254</v>
      </c>
      <c r="F301" s="2">
        <v>46203</v>
      </c>
      <c r="G301" s="2">
        <v>46217</v>
      </c>
      <c r="H301" s="4">
        <v>0.67</v>
      </c>
      <c r="J301" s="1" t="s">
        <v>232</v>
      </c>
      <c r="M301" s="1" t="s">
        <v>193</v>
      </c>
      <c r="N301" s="3">
        <v>46206</v>
      </c>
      <c r="P301" s="1" t="s">
        <v>180</v>
      </c>
      <c r="Q301" s="1" t="s">
        <v>55</v>
      </c>
      <c r="R301" s="1" t="s">
        <v>569</v>
      </c>
      <c r="S301" s="3">
        <v>46202</v>
      </c>
      <c r="T301" s="3">
        <v>46209</v>
      </c>
      <c r="AB301" s="1">
        <v>0.67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</row>
    <row r="302" spans="1:39" x14ac:dyDescent="0.25">
      <c r="A302" s="1">
        <v>497</v>
      </c>
      <c r="B302" s="1" t="s">
        <v>663</v>
      </c>
      <c r="C302" s="1" t="s">
        <v>664</v>
      </c>
      <c r="D302" s="1" t="s">
        <v>101</v>
      </c>
      <c r="E302" s="1" t="s">
        <v>223</v>
      </c>
      <c r="F302" s="2">
        <v>46203</v>
      </c>
      <c r="G302" s="2">
        <v>46210</v>
      </c>
      <c r="H302" s="4">
        <v>1</v>
      </c>
      <c r="I302" s="2">
        <v>46210</v>
      </c>
      <c r="J302" s="1" t="s">
        <v>53</v>
      </c>
      <c r="K302" s="1" t="s">
        <v>665</v>
      </c>
      <c r="L302" s="1" t="s">
        <v>666</v>
      </c>
      <c r="M302" s="1" t="s">
        <v>193</v>
      </c>
      <c r="N302" s="3">
        <v>46202</v>
      </c>
      <c r="P302" s="1" t="s">
        <v>180</v>
      </c>
      <c r="Q302" s="1" t="s">
        <v>55</v>
      </c>
      <c r="R302" s="1" t="s">
        <v>569</v>
      </c>
      <c r="S302" s="3">
        <v>46202</v>
      </c>
      <c r="T302" s="3">
        <v>46203</v>
      </c>
      <c r="AB302" s="1">
        <v>1</v>
      </c>
      <c r="AC302" s="1">
        <v>1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1</v>
      </c>
    </row>
    <row r="303" spans="1:39" x14ac:dyDescent="0.25">
      <c r="A303" s="1">
        <v>498</v>
      </c>
      <c r="B303" s="1" t="s">
        <v>667</v>
      </c>
      <c r="C303" s="1" t="s">
        <v>664</v>
      </c>
      <c r="D303" s="1" t="s">
        <v>105</v>
      </c>
      <c r="E303" s="1" t="s">
        <v>52</v>
      </c>
      <c r="F303" s="2">
        <v>46211</v>
      </c>
      <c r="G303" s="2">
        <v>46211</v>
      </c>
      <c r="H303" s="4">
        <v>0</v>
      </c>
      <c r="J303" s="1" t="s">
        <v>83</v>
      </c>
      <c r="K303" s="1">
        <v>497</v>
      </c>
      <c r="L303" s="1">
        <v>499</v>
      </c>
      <c r="M303" s="1" t="s">
        <v>196</v>
      </c>
      <c r="N303" s="3">
        <v>46203</v>
      </c>
      <c r="P303" s="1" t="s">
        <v>67</v>
      </c>
      <c r="Q303" s="1" t="s">
        <v>55</v>
      </c>
      <c r="R303" s="1" t="s">
        <v>569</v>
      </c>
      <c r="S303" s="3">
        <v>46204</v>
      </c>
      <c r="T303" s="3">
        <v>46204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</row>
    <row r="304" spans="1:39" x14ac:dyDescent="0.25">
      <c r="A304" s="1">
        <v>499</v>
      </c>
      <c r="B304" s="1" t="s">
        <v>668</v>
      </c>
      <c r="C304" s="1" t="s">
        <v>664</v>
      </c>
      <c r="D304" s="1" t="s">
        <v>109</v>
      </c>
      <c r="E304" s="1" t="s">
        <v>52</v>
      </c>
      <c r="F304" s="2">
        <v>46216</v>
      </c>
      <c r="G304" s="2">
        <v>46216</v>
      </c>
      <c r="H304" s="4">
        <v>0</v>
      </c>
      <c r="J304" s="1" t="s">
        <v>83</v>
      </c>
      <c r="K304" s="1">
        <v>498</v>
      </c>
      <c r="L304" s="1">
        <v>500</v>
      </c>
      <c r="M304" s="1" t="s">
        <v>404</v>
      </c>
      <c r="N304" s="3">
        <v>46205</v>
      </c>
      <c r="P304" s="1" t="s">
        <v>67</v>
      </c>
      <c r="Q304" s="1" t="s">
        <v>55</v>
      </c>
      <c r="R304" s="1" t="s">
        <v>569</v>
      </c>
      <c r="S304" s="3">
        <v>46205</v>
      </c>
      <c r="T304" s="3">
        <v>46206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 x14ac:dyDescent="0.25">
      <c r="A305" s="1">
        <v>500</v>
      </c>
      <c r="B305" s="1" t="s">
        <v>669</v>
      </c>
      <c r="C305" s="1" t="s">
        <v>664</v>
      </c>
      <c r="D305" s="1" t="s">
        <v>115</v>
      </c>
      <c r="E305" s="1" t="s">
        <v>52</v>
      </c>
      <c r="F305" s="2">
        <v>46217</v>
      </c>
      <c r="G305" s="2">
        <v>46217</v>
      </c>
      <c r="H305" s="4">
        <v>0</v>
      </c>
      <c r="J305" s="1" t="s">
        <v>83</v>
      </c>
      <c r="K305" s="1">
        <v>499</v>
      </c>
      <c r="M305" s="1" t="s">
        <v>385</v>
      </c>
      <c r="N305" s="3">
        <v>46206</v>
      </c>
      <c r="P305" s="1" t="s">
        <v>194</v>
      </c>
      <c r="Q305" s="1" t="s">
        <v>55</v>
      </c>
      <c r="R305" s="1" t="s">
        <v>569</v>
      </c>
      <c r="S305" s="3">
        <v>46209</v>
      </c>
      <c r="T305" s="3">
        <v>46209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</row>
    <row r="306" spans="1:39" x14ac:dyDescent="0.25">
      <c r="A306" s="1">
        <v>501</v>
      </c>
      <c r="B306" s="1" t="s">
        <v>670</v>
      </c>
      <c r="C306" s="1" t="s">
        <v>571</v>
      </c>
      <c r="D306" s="1" t="s">
        <v>671</v>
      </c>
      <c r="E306" s="1" t="s">
        <v>175</v>
      </c>
      <c r="F306" s="2">
        <v>46203</v>
      </c>
      <c r="G306" s="2">
        <v>46211</v>
      </c>
      <c r="H306" s="4">
        <v>0</v>
      </c>
      <c r="J306" s="1" t="s">
        <v>41</v>
      </c>
      <c r="M306" s="1" t="s">
        <v>308</v>
      </c>
      <c r="N306" s="3">
        <v>46204</v>
      </c>
      <c r="P306" s="1" t="s">
        <v>73</v>
      </c>
      <c r="Q306" s="1" t="s">
        <v>55</v>
      </c>
      <c r="R306" s="1" t="s">
        <v>569</v>
      </c>
      <c r="S306" s="3">
        <v>46189</v>
      </c>
      <c r="T306" s="3">
        <v>46197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 x14ac:dyDescent="0.25">
      <c r="A307" s="1">
        <v>502</v>
      </c>
      <c r="B307" s="1" t="s">
        <v>672</v>
      </c>
      <c r="C307" s="1" t="s">
        <v>673</v>
      </c>
      <c r="D307" s="1" t="s">
        <v>101</v>
      </c>
      <c r="E307" s="1" t="s">
        <v>168</v>
      </c>
      <c r="F307" s="2">
        <v>46203</v>
      </c>
      <c r="G307" s="2">
        <v>46206</v>
      </c>
      <c r="H307" s="4">
        <v>0</v>
      </c>
      <c r="J307" s="1" t="s">
        <v>41</v>
      </c>
      <c r="K307" s="1" t="s">
        <v>665</v>
      </c>
      <c r="L307" s="1">
        <v>503</v>
      </c>
      <c r="M307" s="1" t="s">
        <v>308</v>
      </c>
      <c r="N307" s="3">
        <v>46198</v>
      </c>
      <c r="P307" s="1" t="s">
        <v>73</v>
      </c>
      <c r="Q307" s="1" t="s">
        <v>55</v>
      </c>
      <c r="R307" s="1" t="s">
        <v>569</v>
      </c>
      <c r="S307" s="3">
        <v>46189</v>
      </c>
      <c r="T307" s="3">
        <v>46191</v>
      </c>
      <c r="AB307" s="1">
        <v>0</v>
      </c>
      <c r="AC307" s="1">
        <v>1</v>
      </c>
      <c r="AD307" s="1">
        <v>0</v>
      </c>
      <c r="AE307" s="1">
        <v>1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 x14ac:dyDescent="0.25">
      <c r="A308" s="1">
        <v>503</v>
      </c>
      <c r="B308" s="1" t="s">
        <v>674</v>
      </c>
      <c r="C308" s="1" t="s">
        <v>673</v>
      </c>
      <c r="D308" s="1" t="s">
        <v>105</v>
      </c>
      <c r="E308" s="1" t="s">
        <v>52</v>
      </c>
      <c r="F308" s="2">
        <v>46209</v>
      </c>
      <c r="G308" s="2">
        <v>46209</v>
      </c>
      <c r="H308" s="4">
        <v>0</v>
      </c>
      <c r="J308" s="1" t="s">
        <v>41</v>
      </c>
      <c r="K308" s="1">
        <v>502</v>
      </c>
      <c r="L308" s="1">
        <v>504</v>
      </c>
      <c r="M308" s="1" t="s">
        <v>193</v>
      </c>
      <c r="N308" s="3">
        <v>46199</v>
      </c>
      <c r="P308" s="1" t="s">
        <v>180</v>
      </c>
      <c r="Q308" s="1" t="s">
        <v>55</v>
      </c>
      <c r="R308" s="1" t="s">
        <v>569</v>
      </c>
      <c r="S308" s="3">
        <v>46192</v>
      </c>
      <c r="T308" s="3">
        <v>46192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</row>
    <row r="309" spans="1:39" x14ac:dyDescent="0.25">
      <c r="A309" s="1">
        <v>504</v>
      </c>
      <c r="B309" s="1" t="s">
        <v>675</v>
      </c>
      <c r="C309" s="1" t="s">
        <v>673</v>
      </c>
      <c r="D309" s="1" t="s">
        <v>109</v>
      </c>
      <c r="E309" s="1" t="s">
        <v>52</v>
      </c>
      <c r="F309" s="2">
        <v>46210</v>
      </c>
      <c r="G309" s="2">
        <v>46210</v>
      </c>
      <c r="H309" s="4">
        <v>0</v>
      </c>
      <c r="J309" s="1" t="s">
        <v>232</v>
      </c>
      <c r="K309" s="1">
        <v>503</v>
      </c>
      <c r="L309" s="1">
        <v>505</v>
      </c>
      <c r="M309" s="1" t="s">
        <v>311</v>
      </c>
      <c r="N309" s="3">
        <v>46203</v>
      </c>
      <c r="P309" s="1" t="s">
        <v>180</v>
      </c>
      <c r="Q309" s="1" t="s">
        <v>55</v>
      </c>
      <c r="R309" s="1" t="s">
        <v>569</v>
      </c>
      <c r="S309" s="3">
        <v>46195</v>
      </c>
      <c r="T309" s="3">
        <v>46196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 x14ac:dyDescent="0.25">
      <c r="A310" s="1">
        <v>505</v>
      </c>
      <c r="B310" s="1" t="s">
        <v>676</v>
      </c>
      <c r="C310" s="1" t="s">
        <v>673</v>
      </c>
      <c r="D310" s="1" t="s">
        <v>115</v>
      </c>
      <c r="E310" s="1" t="s">
        <v>52</v>
      </c>
      <c r="F310" s="2">
        <v>46211</v>
      </c>
      <c r="G310" s="2">
        <v>46211</v>
      </c>
      <c r="H310" s="4">
        <v>0</v>
      </c>
      <c r="J310" s="1" t="s">
        <v>83</v>
      </c>
      <c r="K310" s="1">
        <v>504</v>
      </c>
      <c r="M310" s="1" t="s">
        <v>404</v>
      </c>
      <c r="N310" s="3">
        <v>46204</v>
      </c>
      <c r="P310" s="1" t="s">
        <v>180</v>
      </c>
      <c r="Q310" s="1" t="s">
        <v>55</v>
      </c>
      <c r="R310" s="1" t="s">
        <v>569</v>
      </c>
      <c r="S310" s="3">
        <v>46197</v>
      </c>
      <c r="T310" s="3">
        <v>46197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</row>
    <row r="311" spans="1:39" x14ac:dyDescent="0.25">
      <c r="A311" s="1">
        <v>506</v>
      </c>
      <c r="B311" s="1" t="s">
        <v>677</v>
      </c>
      <c r="C311" s="1" t="s">
        <v>571</v>
      </c>
      <c r="D311" s="1" t="s">
        <v>678</v>
      </c>
      <c r="E311" s="1" t="s">
        <v>679</v>
      </c>
      <c r="F311" s="2">
        <v>46191</v>
      </c>
      <c r="G311" s="2">
        <v>46211</v>
      </c>
      <c r="H311" s="4">
        <v>0.8</v>
      </c>
      <c r="J311" s="1" t="s">
        <v>41</v>
      </c>
      <c r="M311" s="1" t="s">
        <v>308</v>
      </c>
      <c r="N311" s="3">
        <v>46211</v>
      </c>
      <c r="P311" s="1" t="s">
        <v>73</v>
      </c>
      <c r="Q311" s="1" t="s">
        <v>55</v>
      </c>
      <c r="R311" s="1" t="s">
        <v>569</v>
      </c>
      <c r="S311" s="3">
        <v>46189</v>
      </c>
      <c r="T311" s="3">
        <v>46206</v>
      </c>
      <c r="AB311" s="1">
        <v>0.8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</row>
    <row r="312" spans="1:39" x14ac:dyDescent="0.25">
      <c r="A312" s="1">
        <v>507</v>
      </c>
      <c r="B312" s="1" t="s">
        <v>680</v>
      </c>
      <c r="C312" s="1" t="s">
        <v>681</v>
      </c>
      <c r="D312" s="1" t="s">
        <v>101</v>
      </c>
      <c r="E312" s="1" t="s">
        <v>682</v>
      </c>
      <c r="F312" s="2">
        <v>46191</v>
      </c>
      <c r="G312" s="2">
        <v>46203</v>
      </c>
      <c r="H312" s="4">
        <v>1</v>
      </c>
      <c r="I312" s="2">
        <v>46203</v>
      </c>
      <c r="J312" s="1" t="s">
        <v>53</v>
      </c>
      <c r="L312" s="1" t="s">
        <v>683</v>
      </c>
      <c r="M312" s="1" t="s">
        <v>308</v>
      </c>
      <c r="N312" s="3">
        <v>46205</v>
      </c>
      <c r="P312" s="1" t="s">
        <v>73</v>
      </c>
      <c r="Q312" s="1" t="s">
        <v>55</v>
      </c>
      <c r="R312" s="1" t="s">
        <v>569</v>
      </c>
      <c r="S312" s="3">
        <v>46189</v>
      </c>
      <c r="T312" s="3">
        <v>46202</v>
      </c>
      <c r="AB312" s="1">
        <v>1</v>
      </c>
      <c r="AC312" s="1">
        <v>1</v>
      </c>
      <c r="AD312" s="1">
        <v>1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1</v>
      </c>
    </row>
    <row r="313" spans="1:39" x14ac:dyDescent="0.25">
      <c r="A313" s="1">
        <v>508</v>
      </c>
      <c r="B313" s="1" t="s">
        <v>684</v>
      </c>
      <c r="C313" s="1" t="s">
        <v>681</v>
      </c>
      <c r="D313" s="1" t="s">
        <v>105</v>
      </c>
      <c r="E313" s="1" t="s">
        <v>102</v>
      </c>
      <c r="F313" s="2">
        <v>46204</v>
      </c>
      <c r="G313" s="2">
        <v>46206</v>
      </c>
      <c r="H313" s="4">
        <v>1</v>
      </c>
      <c r="I313" s="2">
        <v>46206</v>
      </c>
      <c r="J313" s="1" t="s">
        <v>53</v>
      </c>
      <c r="K313" s="1">
        <v>507</v>
      </c>
      <c r="L313" s="1">
        <v>509</v>
      </c>
      <c r="M313" s="1" t="s">
        <v>385</v>
      </c>
      <c r="N313" s="3">
        <v>46206</v>
      </c>
      <c r="P313" s="1" t="s">
        <v>180</v>
      </c>
      <c r="Q313" s="1" t="s">
        <v>55</v>
      </c>
      <c r="R313" s="1" t="s">
        <v>569</v>
      </c>
      <c r="S313" s="3">
        <v>46203</v>
      </c>
      <c r="T313" s="3">
        <v>46203</v>
      </c>
      <c r="AB313" s="1">
        <v>1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</row>
    <row r="314" spans="1:39" x14ac:dyDescent="0.25">
      <c r="A314" s="1">
        <v>509</v>
      </c>
      <c r="B314" s="1" t="s">
        <v>685</v>
      </c>
      <c r="C314" s="1" t="s">
        <v>681</v>
      </c>
      <c r="D314" s="1" t="s">
        <v>109</v>
      </c>
      <c r="E314" s="1" t="s">
        <v>116</v>
      </c>
      <c r="F314" s="2">
        <v>46209</v>
      </c>
      <c r="G314" s="2">
        <v>46210</v>
      </c>
      <c r="H314" s="4">
        <v>0</v>
      </c>
      <c r="J314" s="1" t="s">
        <v>41</v>
      </c>
      <c r="K314" s="1">
        <v>508</v>
      </c>
      <c r="L314" s="1">
        <v>510</v>
      </c>
      <c r="M314" s="1" t="s">
        <v>686</v>
      </c>
      <c r="N314" s="3">
        <v>46210</v>
      </c>
      <c r="P314" s="1" t="s">
        <v>67</v>
      </c>
      <c r="Q314" s="1" t="s">
        <v>55</v>
      </c>
      <c r="R314" s="1" t="s">
        <v>569</v>
      </c>
      <c r="S314" s="3">
        <v>46204</v>
      </c>
      <c r="T314" s="3">
        <v>46205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0</v>
      </c>
      <c r="AL314" s="1">
        <v>0</v>
      </c>
      <c r="AM314" s="1">
        <v>0</v>
      </c>
    </row>
    <row r="315" spans="1:39" x14ac:dyDescent="0.25">
      <c r="A315" s="1">
        <v>510</v>
      </c>
      <c r="B315" s="1" t="s">
        <v>687</v>
      </c>
      <c r="C315" s="1" t="s">
        <v>681</v>
      </c>
      <c r="D315" s="1" t="s">
        <v>115</v>
      </c>
      <c r="E315" s="1" t="s">
        <v>52</v>
      </c>
      <c r="F315" s="2">
        <v>46211</v>
      </c>
      <c r="G315" s="2">
        <v>46211</v>
      </c>
      <c r="H315" s="4">
        <v>0</v>
      </c>
      <c r="J315" s="1" t="s">
        <v>83</v>
      </c>
      <c r="K315" s="1">
        <v>509</v>
      </c>
      <c r="M315" s="1" t="s">
        <v>688</v>
      </c>
      <c r="N315" s="3">
        <v>46211</v>
      </c>
      <c r="P315" s="1" t="s">
        <v>67</v>
      </c>
      <c r="Q315" s="1" t="s">
        <v>55</v>
      </c>
      <c r="R315" s="1" t="s">
        <v>569</v>
      </c>
      <c r="S315" s="3">
        <v>46206</v>
      </c>
      <c r="T315" s="3">
        <v>46206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 x14ac:dyDescent="0.25">
      <c r="A316" s="1">
        <v>511</v>
      </c>
      <c r="B316" s="1" t="s">
        <v>689</v>
      </c>
      <c r="C316" s="1" t="s">
        <v>571</v>
      </c>
      <c r="D316" s="1" t="s">
        <v>690</v>
      </c>
      <c r="E316" s="1" t="s">
        <v>679</v>
      </c>
      <c r="F316" s="2">
        <v>46191</v>
      </c>
      <c r="G316" s="2">
        <v>46211</v>
      </c>
      <c r="H316" s="4">
        <v>0.8</v>
      </c>
      <c r="J316" s="1" t="s">
        <v>41</v>
      </c>
      <c r="M316" s="1" t="s">
        <v>308</v>
      </c>
      <c r="N316" s="3">
        <v>46211</v>
      </c>
      <c r="P316" s="1" t="s">
        <v>73</v>
      </c>
      <c r="Q316" s="1" t="s">
        <v>55</v>
      </c>
      <c r="R316" s="1" t="s">
        <v>569</v>
      </c>
      <c r="S316" s="3">
        <v>46189</v>
      </c>
      <c r="T316" s="3">
        <v>46206</v>
      </c>
      <c r="AB316" s="1">
        <v>0.8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 x14ac:dyDescent="0.25">
      <c r="A317" s="1">
        <v>512</v>
      </c>
      <c r="B317" s="1" t="s">
        <v>691</v>
      </c>
      <c r="C317" s="1" t="s">
        <v>692</v>
      </c>
      <c r="D317" s="1" t="s">
        <v>101</v>
      </c>
      <c r="E317" s="1" t="s">
        <v>682</v>
      </c>
      <c r="F317" s="2">
        <v>46191</v>
      </c>
      <c r="G317" s="2">
        <v>46203</v>
      </c>
      <c r="H317" s="4">
        <v>1</v>
      </c>
      <c r="I317" s="2">
        <v>46203</v>
      </c>
      <c r="J317" s="1" t="s">
        <v>53</v>
      </c>
      <c r="K317" s="1" t="s">
        <v>693</v>
      </c>
      <c r="L317" s="1">
        <v>513</v>
      </c>
      <c r="M317" s="1" t="s">
        <v>308</v>
      </c>
      <c r="N317" s="3">
        <v>46205</v>
      </c>
      <c r="P317" s="1" t="s">
        <v>73</v>
      </c>
      <c r="Q317" s="1" t="s">
        <v>55</v>
      </c>
      <c r="R317" s="1" t="s">
        <v>569</v>
      </c>
      <c r="S317" s="3">
        <v>46189</v>
      </c>
      <c r="T317" s="3">
        <v>46202</v>
      </c>
      <c r="AB317" s="1">
        <v>1</v>
      </c>
      <c r="AC317" s="1">
        <v>1</v>
      </c>
      <c r="AD317" s="1">
        <v>1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1</v>
      </c>
    </row>
    <row r="318" spans="1:39" x14ac:dyDescent="0.25">
      <c r="A318" s="1">
        <v>513</v>
      </c>
      <c r="B318" s="1" t="s">
        <v>694</v>
      </c>
      <c r="C318" s="1" t="s">
        <v>692</v>
      </c>
      <c r="D318" s="1" t="s">
        <v>105</v>
      </c>
      <c r="E318" s="1" t="s">
        <v>102</v>
      </c>
      <c r="F318" s="2">
        <v>46204</v>
      </c>
      <c r="G318" s="2">
        <v>46206</v>
      </c>
      <c r="H318" s="4">
        <v>1</v>
      </c>
      <c r="I318" s="2">
        <v>46206</v>
      </c>
      <c r="J318" s="1" t="s">
        <v>53</v>
      </c>
      <c r="K318" s="1">
        <v>512</v>
      </c>
      <c r="L318" s="1">
        <v>514</v>
      </c>
      <c r="M318" s="1" t="s">
        <v>385</v>
      </c>
      <c r="N318" s="3">
        <v>46206</v>
      </c>
      <c r="P318" s="1" t="s">
        <v>180</v>
      </c>
      <c r="Q318" s="1" t="s">
        <v>55</v>
      </c>
      <c r="R318" s="1" t="s">
        <v>569</v>
      </c>
      <c r="S318" s="3">
        <v>46203</v>
      </c>
      <c r="T318" s="3">
        <v>46203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</row>
    <row r="319" spans="1:39" x14ac:dyDescent="0.25">
      <c r="A319" s="1">
        <v>514</v>
      </c>
      <c r="B319" s="1" t="s">
        <v>695</v>
      </c>
      <c r="C319" s="1" t="s">
        <v>692</v>
      </c>
      <c r="D319" s="1" t="s">
        <v>109</v>
      </c>
      <c r="E319" s="1" t="s">
        <v>116</v>
      </c>
      <c r="F319" s="2">
        <v>46209</v>
      </c>
      <c r="G319" s="2">
        <v>46210</v>
      </c>
      <c r="H319" s="4">
        <v>0</v>
      </c>
      <c r="J319" s="1" t="s">
        <v>41</v>
      </c>
      <c r="K319" s="1">
        <v>513</v>
      </c>
      <c r="L319" s="1">
        <v>515</v>
      </c>
      <c r="M319" s="1" t="s">
        <v>686</v>
      </c>
      <c r="N319" s="3">
        <v>46210</v>
      </c>
      <c r="P319" s="1" t="s">
        <v>67</v>
      </c>
      <c r="Q319" s="1" t="s">
        <v>55</v>
      </c>
      <c r="R319" s="1" t="s">
        <v>569</v>
      </c>
      <c r="S319" s="3">
        <v>46204</v>
      </c>
      <c r="T319" s="3">
        <v>46205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0</v>
      </c>
      <c r="AL319" s="1">
        <v>0</v>
      </c>
      <c r="AM319" s="1">
        <v>0</v>
      </c>
    </row>
    <row r="320" spans="1:39" x14ac:dyDescent="0.25">
      <c r="A320" s="1">
        <v>515</v>
      </c>
      <c r="B320" s="1" t="s">
        <v>696</v>
      </c>
      <c r="C320" s="1" t="s">
        <v>692</v>
      </c>
      <c r="D320" s="1" t="s">
        <v>115</v>
      </c>
      <c r="E320" s="1" t="s">
        <v>52</v>
      </c>
      <c r="F320" s="2">
        <v>46211</v>
      </c>
      <c r="G320" s="2">
        <v>46211</v>
      </c>
      <c r="H320" s="4">
        <v>0</v>
      </c>
      <c r="J320" s="1" t="s">
        <v>83</v>
      </c>
      <c r="K320" s="1">
        <v>514</v>
      </c>
      <c r="M320" s="1" t="s">
        <v>688</v>
      </c>
      <c r="N320" s="3">
        <v>46211</v>
      </c>
      <c r="P320" s="1" t="s">
        <v>67</v>
      </c>
      <c r="Q320" s="1" t="s">
        <v>55</v>
      </c>
      <c r="R320" s="1" t="s">
        <v>569</v>
      </c>
      <c r="S320" s="3">
        <v>46206</v>
      </c>
      <c r="T320" s="3">
        <v>46206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</row>
    <row r="321" spans="1:39" x14ac:dyDescent="0.25">
      <c r="A321" s="1">
        <v>516</v>
      </c>
      <c r="B321" s="1" t="s">
        <v>697</v>
      </c>
      <c r="C321" s="1" t="s">
        <v>571</v>
      </c>
      <c r="D321" s="1" t="s">
        <v>698</v>
      </c>
      <c r="E321" s="1" t="s">
        <v>679</v>
      </c>
      <c r="F321" s="2">
        <v>46191</v>
      </c>
      <c r="G321" s="2">
        <v>46211</v>
      </c>
      <c r="H321" s="4">
        <v>0.8</v>
      </c>
      <c r="J321" s="1" t="s">
        <v>41</v>
      </c>
      <c r="M321" s="1" t="s">
        <v>308</v>
      </c>
      <c r="N321" s="3">
        <v>46211</v>
      </c>
      <c r="P321" s="1" t="s">
        <v>73</v>
      </c>
      <c r="Q321" s="1" t="s">
        <v>55</v>
      </c>
      <c r="R321" s="1" t="s">
        <v>569</v>
      </c>
      <c r="S321" s="3">
        <v>46189</v>
      </c>
      <c r="T321" s="3">
        <v>46206</v>
      </c>
      <c r="AB321" s="1">
        <v>0.8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</row>
    <row r="322" spans="1:39" x14ac:dyDescent="0.25">
      <c r="A322" s="1">
        <v>517</v>
      </c>
      <c r="B322" s="1" t="s">
        <v>699</v>
      </c>
      <c r="C322" s="1" t="s">
        <v>700</v>
      </c>
      <c r="D322" s="1" t="s">
        <v>101</v>
      </c>
      <c r="E322" s="1" t="s">
        <v>682</v>
      </c>
      <c r="F322" s="2">
        <v>46191</v>
      </c>
      <c r="G322" s="2">
        <v>46203</v>
      </c>
      <c r="H322" s="4">
        <v>1</v>
      </c>
      <c r="I322" s="2">
        <v>46203</v>
      </c>
      <c r="J322" s="1" t="s">
        <v>53</v>
      </c>
      <c r="K322" s="1" t="s">
        <v>693</v>
      </c>
      <c r="L322" s="1">
        <v>518</v>
      </c>
      <c r="M322" s="1" t="s">
        <v>308</v>
      </c>
      <c r="N322" s="3">
        <v>46205</v>
      </c>
      <c r="P322" s="1" t="s">
        <v>73</v>
      </c>
      <c r="Q322" s="1" t="s">
        <v>55</v>
      </c>
      <c r="R322" s="1" t="s">
        <v>569</v>
      </c>
      <c r="S322" s="3">
        <v>46189</v>
      </c>
      <c r="T322" s="3">
        <v>46202</v>
      </c>
      <c r="AB322" s="1">
        <v>1</v>
      </c>
      <c r="AC322" s="1">
        <v>1</v>
      </c>
      <c r="AD322" s="1">
        <v>1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1</v>
      </c>
    </row>
    <row r="323" spans="1:39" x14ac:dyDescent="0.25">
      <c r="A323" s="1">
        <v>518</v>
      </c>
      <c r="B323" s="1" t="s">
        <v>701</v>
      </c>
      <c r="C323" s="1" t="s">
        <v>700</v>
      </c>
      <c r="D323" s="1" t="s">
        <v>105</v>
      </c>
      <c r="E323" s="1" t="s">
        <v>102</v>
      </c>
      <c r="F323" s="2">
        <v>46204</v>
      </c>
      <c r="G323" s="2">
        <v>46206</v>
      </c>
      <c r="H323" s="4">
        <v>1</v>
      </c>
      <c r="I323" s="2">
        <v>46206</v>
      </c>
      <c r="J323" s="1" t="s">
        <v>53</v>
      </c>
      <c r="K323" s="1">
        <v>517</v>
      </c>
      <c r="L323" s="1">
        <v>519</v>
      </c>
      <c r="M323" s="1" t="s">
        <v>385</v>
      </c>
      <c r="N323" s="3">
        <v>46206</v>
      </c>
      <c r="P323" s="1" t="s">
        <v>180</v>
      </c>
      <c r="Q323" s="1" t="s">
        <v>55</v>
      </c>
      <c r="R323" s="1" t="s">
        <v>569</v>
      </c>
      <c r="S323" s="3">
        <v>46203</v>
      </c>
      <c r="T323" s="3">
        <v>46203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</row>
    <row r="324" spans="1:39" x14ac:dyDescent="0.25">
      <c r="A324" s="1">
        <v>519</v>
      </c>
      <c r="B324" s="1" t="s">
        <v>702</v>
      </c>
      <c r="C324" s="1" t="s">
        <v>700</v>
      </c>
      <c r="D324" s="1" t="s">
        <v>109</v>
      </c>
      <c r="E324" s="1" t="s">
        <v>116</v>
      </c>
      <c r="F324" s="2">
        <v>46209</v>
      </c>
      <c r="G324" s="2">
        <v>46210</v>
      </c>
      <c r="H324" s="4">
        <v>0</v>
      </c>
      <c r="J324" s="1" t="s">
        <v>41</v>
      </c>
      <c r="K324" s="1">
        <v>518</v>
      </c>
      <c r="L324" s="1">
        <v>520</v>
      </c>
      <c r="M324" s="1" t="s">
        <v>686</v>
      </c>
      <c r="N324" s="3">
        <v>46210</v>
      </c>
      <c r="P324" s="1" t="s">
        <v>180</v>
      </c>
      <c r="Q324" s="1" t="s">
        <v>55</v>
      </c>
      <c r="R324" s="1" t="s">
        <v>569</v>
      </c>
      <c r="S324" s="3">
        <v>46204</v>
      </c>
      <c r="T324" s="3">
        <v>46205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1</v>
      </c>
      <c r="AK324" s="1">
        <v>0</v>
      </c>
      <c r="AL324" s="1">
        <v>0</v>
      </c>
      <c r="AM324" s="1">
        <v>0</v>
      </c>
    </row>
    <row r="325" spans="1:39" x14ac:dyDescent="0.25">
      <c r="A325" s="1">
        <v>520</v>
      </c>
      <c r="B325" s="1" t="s">
        <v>703</v>
      </c>
      <c r="C325" s="1" t="s">
        <v>700</v>
      </c>
      <c r="D325" s="1" t="s">
        <v>115</v>
      </c>
      <c r="E325" s="1" t="s">
        <v>52</v>
      </c>
      <c r="F325" s="2">
        <v>46211</v>
      </c>
      <c r="G325" s="2">
        <v>46211</v>
      </c>
      <c r="H325" s="4">
        <v>0</v>
      </c>
      <c r="J325" s="1" t="s">
        <v>83</v>
      </c>
      <c r="K325" s="1">
        <v>519</v>
      </c>
      <c r="M325" s="1" t="s">
        <v>688</v>
      </c>
      <c r="N325" s="3">
        <v>46211</v>
      </c>
      <c r="P325" s="1" t="s">
        <v>67</v>
      </c>
      <c r="Q325" s="1" t="s">
        <v>55</v>
      </c>
      <c r="R325" s="1" t="s">
        <v>569</v>
      </c>
      <c r="S325" s="3">
        <v>46206</v>
      </c>
      <c r="T325" s="3">
        <v>46206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</row>
    <row r="326" spans="1:39" x14ac:dyDescent="0.25">
      <c r="A326" s="1">
        <v>521</v>
      </c>
      <c r="B326" s="1" t="s">
        <v>704</v>
      </c>
      <c r="C326" s="1" t="s">
        <v>571</v>
      </c>
      <c r="D326" s="1" t="s">
        <v>705</v>
      </c>
      <c r="E326" s="1" t="s">
        <v>679</v>
      </c>
      <c r="F326" s="2">
        <v>46191</v>
      </c>
      <c r="G326" s="2">
        <v>46211</v>
      </c>
      <c r="H326" s="4">
        <v>0.8</v>
      </c>
      <c r="J326" s="1" t="s">
        <v>41</v>
      </c>
      <c r="M326" s="1" t="s">
        <v>308</v>
      </c>
      <c r="N326" s="3">
        <v>46211</v>
      </c>
      <c r="P326" s="1" t="s">
        <v>73</v>
      </c>
      <c r="Q326" s="1" t="s">
        <v>55</v>
      </c>
      <c r="R326" s="1" t="s">
        <v>569</v>
      </c>
      <c r="S326" s="3">
        <v>46189</v>
      </c>
      <c r="T326" s="3">
        <v>46206</v>
      </c>
      <c r="AB326" s="1">
        <v>0.8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</row>
    <row r="327" spans="1:39" x14ac:dyDescent="0.25">
      <c r="A327" s="1">
        <v>522</v>
      </c>
      <c r="B327" s="1" t="s">
        <v>706</v>
      </c>
      <c r="C327" s="1" t="s">
        <v>707</v>
      </c>
      <c r="D327" s="1" t="s">
        <v>101</v>
      </c>
      <c r="E327" s="1" t="s">
        <v>682</v>
      </c>
      <c r="F327" s="2">
        <v>46191</v>
      </c>
      <c r="G327" s="2">
        <v>46203</v>
      </c>
      <c r="H327" s="4">
        <v>1</v>
      </c>
      <c r="I327" s="2">
        <v>46203</v>
      </c>
      <c r="J327" s="1" t="s">
        <v>53</v>
      </c>
      <c r="K327" s="1" t="s">
        <v>693</v>
      </c>
      <c r="L327" s="1">
        <v>523</v>
      </c>
      <c r="M327" s="1" t="s">
        <v>308</v>
      </c>
      <c r="N327" s="3">
        <v>46205</v>
      </c>
      <c r="P327" s="1" t="s">
        <v>73</v>
      </c>
      <c r="Q327" s="1" t="s">
        <v>55</v>
      </c>
      <c r="R327" s="1" t="s">
        <v>569</v>
      </c>
      <c r="S327" s="3">
        <v>46189</v>
      </c>
      <c r="T327" s="3">
        <v>46202</v>
      </c>
      <c r="AB327" s="1">
        <v>1</v>
      </c>
      <c r="AC327" s="1">
        <v>1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1</v>
      </c>
    </row>
    <row r="328" spans="1:39" x14ac:dyDescent="0.25">
      <c r="A328" s="1">
        <v>523</v>
      </c>
      <c r="B328" s="1" t="s">
        <v>708</v>
      </c>
      <c r="C328" s="1" t="s">
        <v>707</v>
      </c>
      <c r="D328" s="1" t="s">
        <v>105</v>
      </c>
      <c r="E328" s="1" t="s">
        <v>102</v>
      </c>
      <c r="F328" s="2">
        <v>46204</v>
      </c>
      <c r="G328" s="2">
        <v>46206</v>
      </c>
      <c r="H328" s="4">
        <v>1</v>
      </c>
      <c r="I328" s="2">
        <v>46206</v>
      </c>
      <c r="J328" s="1" t="s">
        <v>53</v>
      </c>
      <c r="K328" s="1">
        <v>522</v>
      </c>
      <c r="L328" s="1">
        <v>524</v>
      </c>
      <c r="M328" s="1" t="s">
        <v>385</v>
      </c>
      <c r="N328" s="3">
        <v>46206</v>
      </c>
      <c r="P328" s="1" t="s">
        <v>180</v>
      </c>
      <c r="Q328" s="1" t="s">
        <v>55</v>
      </c>
      <c r="R328" s="1" t="s">
        <v>569</v>
      </c>
      <c r="S328" s="3">
        <v>46203</v>
      </c>
      <c r="T328" s="3">
        <v>46203</v>
      </c>
      <c r="AB328" s="1">
        <v>1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</row>
    <row r="329" spans="1:39" x14ac:dyDescent="0.25">
      <c r="A329" s="1">
        <v>524</v>
      </c>
      <c r="B329" s="1" t="s">
        <v>709</v>
      </c>
      <c r="C329" s="1" t="s">
        <v>707</v>
      </c>
      <c r="D329" s="1" t="s">
        <v>109</v>
      </c>
      <c r="E329" s="1" t="s">
        <v>116</v>
      </c>
      <c r="F329" s="2">
        <v>46209</v>
      </c>
      <c r="G329" s="2">
        <v>46210</v>
      </c>
      <c r="H329" s="4">
        <v>0</v>
      </c>
      <c r="J329" s="1" t="s">
        <v>41</v>
      </c>
      <c r="K329" s="1">
        <v>523</v>
      </c>
      <c r="L329" s="1">
        <v>525</v>
      </c>
      <c r="M329" s="1" t="s">
        <v>686</v>
      </c>
      <c r="N329" s="3">
        <v>46210</v>
      </c>
      <c r="P329" s="1" t="s">
        <v>67</v>
      </c>
      <c r="Q329" s="1" t="s">
        <v>55</v>
      </c>
      <c r="R329" s="1" t="s">
        <v>569</v>
      </c>
      <c r="S329" s="3">
        <v>46204</v>
      </c>
      <c r="T329" s="3">
        <v>46205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</v>
      </c>
      <c r="AK329" s="1">
        <v>0</v>
      </c>
      <c r="AL329" s="1">
        <v>0</v>
      </c>
      <c r="AM329" s="1">
        <v>0</v>
      </c>
    </row>
    <row r="330" spans="1:39" x14ac:dyDescent="0.25">
      <c r="A330" s="1">
        <v>525</v>
      </c>
      <c r="B330" s="1" t="s">
        <v>710</v>
      </c>
      <c r="C330" s="1" t="s">
        <v>707</v>
      </c>
      <c r="D330" s="1" t="s">
        <v>115</v>
      </c>
      <c r="E330" s="1" t="s">
        <v>52</v>
      </c>
      <c r="F330" s="2">
        <v>46211</v>
      </c>
      <c r="G330" s="2">
        <v>46211</v>
      </c>
      <c r="H330" s="4">
        <v>0</v>
      </c>
      <c r="J330" s="1" t="s">
        <v>83</v>
      </c>
      <c r="K330" s="1">
        <v>524</v>
      </c>
      <c r="M330" s="1" t="s">
        <v>688</v>
      </c>
      <c r="N330" s="3">
        <v>46211</v>
      </c>
      <c r="P330" s="1" t="s">
        <v>67</v>
      </c>
      <c r="Q330" s="1" t="s">
        <v>55</v>
      </c>
      <c r="R330" s="1" t="s">
        <v>569</v>
      </c>
      <c r="S330" s="3">
        <v>46206</v>
      </c>
      <c r="T330" s="3">
        <v>46206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</row>
    <row r="331" spans="1:39" x14ac:dyDescent="0.25">
      <c r="A331" s="1">
        <v>526</v>
      </c>
      <c r="B331" s="1" t="s">
        <v>711</v>
      </c>
      <c r="C331" s="1" t="s">
        <v>571</v>
      </c>
      <c r="D331" s="1" t="s">
        <v>712</v>
      </c>
      <c r="E331" s="1" t="s">
        <v>679</v>
      </c>
      <c r="F331" s="2">
        <v>46191</v>
      </c>
      <c r="G331" s="2">
        <v>46211</v>
      </c>
      <c r="H331" s="4">
        <v>0.8</v>
      </c>
      <c r="J331" s="1" t="s">
        <v>41</v>
      </c>
      <c r="M331" s="1" t="s">
        <v>308</v>
      </c>
      <c r="N331" s="3">
        <v>46211</v>
      </c>
      <c r="P331" s="1" t="s">
        <v>73</v>
      </c>
      <c r="Q331" s="1" t="s">
        <v>55</v>
      </c>
      <c r="R331" s="1" t="s">
        <v>569</v>
      </c>
      <c r="S331" s="3">
        <v>46189</v>
      </c>
      <c r="T331" s="3">
        <v>46206</v>
      </c>
      <c r="AB331" s="1">
        <v>0.8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</row>
    <row r="332" spans="1:39" x14ac:dyDescent="0.25">
      <c r="A332" s="1">
        <v>527</v>
      </c>
      <c r="B332" s="1" t="s">
        <v>713</v>
      </c>
      <c r="C332" s="1" t="s">
        <v>714</v>
      </c>
      <c r="D332" s="1" t="s">
        <v>101</v>
      </c>
      <c r="E332" s="1" t="s">
        <v>682</v>
      </c>
      <c r="F332" s="2">
        <v>46191</v>
      </c>
      <c r="G332" s="2">
        <v>46203</v>
      </c>
      <c r="H332" s="4">
        <v>1</v>
      </c>
      <c r="I332" s="2">
        <v>46203</v>
      </c>
      <c r="J332" s="1" t="s">
        <v>53</v>
      </c>
      <c r="K332" s="1" t="s">
        <v>693</v>
      </c>
      <c r="L332" s="1">
        <v>528</v>
      </c>
      <c r="M332" s="1" t="s">
        <v>308</v>
      </c>
      <c r="N332" s="3">
        <v>46205</v>
      </c>
      <c r="P332" s="1" t="s">
        <v>73</v>
      </c>
      <c r="Q332" s="1" t="s">
        <v>55</v>
      </c>
      <c r="R332" s="1" t="s">
        <v>569</v>
      </c>
      <c r="S332" s="3">
        <v>46189</v>
      </c>
      <c r="T332" s="3">
        <v>46202</v>
      </c>
      <c r="AB332" s="1">
        <v>1</v>
      </c>
      <c r="AC332" s="1">
        <v>1</v>
      </c>
      <c r="AD332" s="1">
        <v>1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1</v>
      </c>
    </row>
    <row r="333" spans="1:39" x14ac:dyDescent="0.25">
      <c r="A333" s="1">
        <v>528</v>
      </c>
      <c r="B333" s="1" t="s">
        <v>715</v>
      </c>
      <c r="C333" s="1" t="s">
        <v>714</v>
      </c>
      <c r="D333" s="1" t="s">
        <v>105</v>
      </c>
      <c r="E333" s="1" t="s">
        <v>102</v>
      </c>
      <c r="F333" s="2">
        <v>46204</v>
      </c>
      <c r="G333" s="2">
        <v>46206</v>
      </c>
      <c r="H333" s="4">
        <v>1</v>
      </c>
      <c r="I333" s="2">
        <v>46206</v>
      </c>
      <c r="J333" s="1" t="s">
        <v>53</v>
      </c>
      <c r="K333" s="1">
        <v>527</v>
      </c>
      <c r="L333" s="1">
        <v>529</v>
      </c>
      <c r="M333" s="1" t="s">
        <v>385</v>
      </c>
      <c r="N333" s="3">
        <v>46206</v>
      </c>
      <c r="P333" s="1" t="s">
        <v>180</v>
      </c>
      <c r="Q333" s="1" t="s">
        <v>55</v>
      </c>
      <c r="R333" s="1" t="s">
        <v>569</v>
      </c>
      <c r="S333" s="3">
        <v>46203</v>
      </c>
      <c r="T333" s="3">
        <v>46203</v>
      </c>
      <c r="AB333" s="1">
        <v>1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</row>
    <row r="334" spans="1:39" x14ac:dyDescent="0.25">
      <c r="A334" s="1">
        <v>529</v>
      </c>
      <c r="B334" s="1" t="s">
        <v>716</v>
      </c>
      <c r="C334" s="1" t="s">
        <v>714</v>
      </c>
      <c r="D334" s="1" t="s">
        <v>109</v>
      </c>
      <c r="E334" s="1" t="s">
        <v>116</v>
      </c>
      <c r="F334" s="2">
        <v>46209</v>
      </c>
      <c r="G334" s="2">
        <v>46210</v>
      </c>
      <c r="H334" s="4">
        <v>0</v>
      </c>
      <c r="J334" s="1" t="s">
        <v>41</v>
      </c>
      <c r="K334" s="1">
        <v>528</v>
      </c>
      <c r="L334" s="1">
        <v>530</v>
      </c>
      <c r="M334" s="1" t="s">
        <v>686</v>
      </c>
      <c r="N334" s="3">
        <v>46210</v>
      </c>
      <c r="P334" s="1" t="s">
        <v>67</v>
      </c>
      <c r="Q334" s="1" t="s">
        <v>55</v>
      </c>
      <c r="R334" s="1" t="s">
        <v>569</v>
      </c>
      <c r="S334" s="3">
        <v>46204</v>
      </c>
      <c r="T334" s="3">
        <v>46205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1</v>
      </c>
      <c r="AK334" s="1">
        <v>0</v>
      </c>
      <c r="AL334" s="1">
        <v>0</v>
      </c>
      <c r="AM334" s="1">
        <v>0</v>
      </c>
    </row>
    <row r="335" spans="1:39" x14ac:dyDescent="0.25">
      <c r="A335" s="1">
        <v>530</v>
      </c>
      <c r="B335" s="1" t="s">
        <v>717</v>
      </c>
      <c r="C335" s="1" t="s">
        <v>714</v>
      </c>
      <c r="D335" s="1" t="s">
        <v>115</v>
      </c>
      <c r="E335" s="1" t="s">
        <v>52</v>
      </c>
      <c r="F335" s="2">
        <v>46211</v>
      </c>
      <c r="G335" s="2">
        <v>46211</v>
      </c>
      <c r="H335" s="4">
        <v>0</v>
      </c>
      <c r="J335" s="1" t="s">
        <v>83</v>
      </c>
      <c r="K335" s="1">
        <v>529</v>
      </c>
      <c r="M335" s="1" t="s">
        <v>688</v>
      </c>
      <c r="N335" s="3">
        <v>46211</v>
      </c>
      <c r="P335" s="1" t="s">
        <v>67</v>
      </c>
      <c r="Q335" s="1" t="s">
        <v>55</v>
      </c>
      <c r="R335" s="1" t="s">
        <v>569</v>
      </c>
      <c r="S335" s="3">
        <v>46206</v>
      </c>
      <c r="T335" s="3">
        <v>46206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</row>
    <row r="336" spans="1:39" x14ac:dyDescent="0.25">
      <c r="A336" s="1">
        <v>531</v>
      </c>
      <c r="B336" s="1" t="s">
        <v>718</v>
      </c>
      <c r="C336" s="1" t="s">
        <v>571</v>
      </c>
      <c r="D336" s="1" t="s">
        <v>719</v>
      </c>
      <c r="E336" s="1" t="s">
        <v>679</v>
      </c>
      <c r="F336" s="2">
        <v>46191</v>
      </c>
      <c r="G336" s="2">
        <v>46211</v>
      </c>
      <c r="H336" s="4">
        <v>0.8</v>
      </c>
      <c r="J336" s="1" t="s">
        <v>41</v>
      </c>
      <c r="M336" s="1" t="s">
        <v>308</v>
      </c>
      <c r="N336" s="3">
        <v>46211</v>
      </c>
      <c r="P336" s="1" t="s">
        <v>73</v>
      </c>
      <c r="Q336" s="1" t="s">
        <v>55</v>
      </c>
      <c r="R336" s="1" t="s">
        <v>569</v>
      </c>
      <c r="S336" s="3">
        <v>46189</v>
      </c>
      <c r="T336" s="3">
        <v>46206</v>
      </c>
      <c r="AB336" s="1">
        <v>0.8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</row>
    <row r="337" spans="1:39" x14ac:dyDescent="0.25">
      <c r="A337" s="1">
        <v>532</v>
      </c>
      <c r="B337" s="1" t="s">
        <v>720</v>
      </c>
      <c r="C337" s="1" t="s">
        <v>721</v>
      </c>
      <c r="D337" s="1" t="s">
        <v>101</v>
      </c>
      <c r="E337" s="1" t="s">
        <v>682</v>
      </c>
      <c r="F337" s="2">
        <v>46191</v>
      </c>
      <c r="G337" s="2">
        <v>46203</v>
      </c>
      <c r="H337" s="4">
        <v>1</v>
      </c>
      <c r="I337" s="2">
        <v>46203</v>
      </c>
      <c r="J337" s="1" t="s">
        <v>53</v>
      </c>
      <c r="K337" s="1" t="s">
        <v>693</v>
      </c>
      <c r="L337" s="1">
        <v>533</v>
      </c>
      <c r="M337" s="1" t="s">
        <v>308</v>
      </c>
      <c r="N337" s="3">
        <v>46205</v>
      </c>
      <c r="P337" s="1" t="s">
        <v>73</v>
      </c>
      <c r="Q337" s="1" t="s">
        <v>55</v>
      </c>
      <c r="R337" s="1" t="s">
        <v>569</v>
      </c>
      <c r="S337" s="3">
        <v>46189</v>
      </c>
      <c r="T337" s="3">
        <v>46202</v>
      </c>
      <c r="AB337" s="1">
        <v>1</v>
      </c>
      <c r="AC337" s="1">
        <v>1</v>
      </c>
      <c r="AD337" s="1">
        <v>1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1</v>
      </c>
    </row>
    <row r="338" spans="1:39" x14ac:dyDescent="0.25">
      <c r="A338" s="1">
        <v>533</v>
      </c>
      <c r="B338" s="1" t="s">
        <v>722</v>
      </c>
      <c r="C338" s="1" t="s">
        <v>721</v>
      </c>
      <c r="D338" s="1" t="s">
        <v>105</v>
      </c>
      <c r="E338" s="1" t="s">
        <v>102</v>
      </c>
      <c r="F338" s="2">
        <v>46204</v>
      </c>
      <c r="G338" s="2">
        <v>46206</v>
      </c>
      <c r="H338" s="4">
        <v>1</v>
      </c>
      <c r="I338" s="2">
        <v>46206</v>
      </c>
      <c r="J338" s="1" t="s">
        <v>53</v>
      </c>
      <c r="K338" s="1">
        <v>532</v>
      </c>
      <c r="L338" s="1">
        <v>534</v>
      </c>
      <c r="M338" s="1" t="s">
        <v>385</v>
      </c>
      <c r="N338" s="3">
        <v>46206</v>
      </c>
      <c r="P338" s="1" t="s">
        <v>180</v>
      </c>
      <c r="Q338" s="1" t="s">
        <v>55</v>
      </c>
      <c r="R338" s="1" t="s">
        <v>569</v>
      </c>
      <c r="S338" s="3">
        <v>46203</v>
      </c>
      <c r="T338" s="3">
        <v>46203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</row>
    <row r="339" spans="1:39" x14ac:dyDescent="0.25">
      <c r="A339" s="1">
        <v>534</v>
      </c>
      <c r="B339" s="1" t="s">
        <v>723</v>
      </c>
      <c r="C339" s="1" t="s">
        <v>721</v>
      </c>
      <c r="D339" s="1" t="s">
        <v>109</v>
      </c>
      <c r="E339" s="1" t="s">
        <v>116</v>
      </c>
      <c r="F339" s="2">
        <v>46209</v>
      </c>
      <c r="G339" s="2">
        <v>46210</v>
      </c>
      <c r="H339" s="4">
        <v>0</v>
      </c>
      <c r="J339" s="1" t="s">
        <v>41</v>
      </c>
      <c r="K339" s="1">
        <v>533</v>
      </c>
      <c r="L339" s="1">
        <v>535</v>
      </c>
      <c r="M339" s="1" t="s">
        <v>686</v>
      </c>
      <c r="N339" s="3">
        <v>46210</v>
      </c>
      <c r="P339" s="1" t="s">
        <v>67</v>
      </c>
      <c r="Q339" s="1" t="s">
        <v>55</v>
      </c>
      <c r="R339" s="1" t="s">
        <v>569</v>
      </c>
      <c r="S339" s="3">
        <v>46204</v>
      </c>
      <c r="T339" s="3">
        <v>46205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>
        <v>0</v>
      </c>
      <c r="AL339" s="1">
        <v>0</v>
      </c>
      <c r="AM339" s="1">
        <v>0</v>
      </c>
    </row>
    <row r="340" spans="1:39" x14ac:dyDescent="0.25">
      <c r="A340" s="1">
        <v>535</v>
      </c>
      <c r="B340" s="1" t="s">
        <v>724</v>
      </c>
      <c r="C340" s="1" t="s">
        <v>721</v>
      </c>
      <c r="D340" s="1" t="s">
        <v>115</v>
      </c>
      <c r="E340" s="1" t="s">
        <v>52</v>
      </c>
      <c r="F340" s="2">
        <v>46211</v>
      </c>
      <c r="G340" s="2">
        <v>46211</v>
      </c>
      <c r="H340" s="4">
        <v>0</v>
      </c>
      <c r="J340" s="1" t="s">
        <v>83</v>
      </c>
      <c r="K340" s="1">
        <v>534</v>
      </c>
      <c r="M340" s="1" t="s">
        <v>688</v>
      </c>
      <c r="N340" s="3">
        <v>46211</v>
      </c>
      <c r="P340" s="1" t="s">
        <v>67</v>
      </c>
      <c r="Q340" s="1" t="s">
        <v>55</v>
      </c>
      <c r="R340" s="1" t="s">
        <v>569</v>
      </c>
      <c r="S340" s="3">
        <v>46206</v>
      </c>
      <c r="T340" s="3">
        <v>46206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</row>
    <row r="341" spans="1:39" x14ac:dyDescent="0.25">
      <c r="A341" s="1">
        <v>536</v>
      </c>
      <c r="B341" s="1" t="s">
        <v>725</v>
      </c>
      <c r="C341" s="1" t="s">
        <v>571</v>
      </c>
      <c r="D341" s="1" t="s">
        <v>726</v>
      </c>
      <c r="E341" s="1" t="s">
        <v>679</v>
      </c>
      <c r="F341" s="2">
        <v>46191</v>
      </c>
      <c r="G341" s="2">
        <v>46211</v>
      </c>
      <c r="H341" s="4">
        <v>0.8</v>
      </c>
      <c r="J341" s="1" t="s">
        <v>41</v>
      </c>
      <c r="M341" s="1" t="s">
        <v>308</v>
      </c>
      <c r="N341" s="3">
        <v>46211</v>
      </c>
      <c r="P341" s="1" t="s">
        <v>73</v>
      </c>
      <c r="Q341" s="1" t="s">
        <v>55</v>
      </c>
      <c r="R341" s="1" t="s">
        <v>569</v>
      </c>
      <c r="S341" s="3">
        <v>46189</v>
      </c>
      <c r="T341" s="3">
        <v>46206</v>
      </c>
      <c r="AB341" s="1">
        <v>0.8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</row>
    <row r="342" spans="1:39" x14ac:dyDescent="0.25">
      <c r="A342" s="1">
        <v>537</v>
      </c>
      <c r="B342" s="1" t="s">
        <v>727</v>
      </c>
      <c r="C342" s="1" t="s">
        <v>728</v>
      </c>
      <c r="D342" s="1" t="s">
        <v>101</v>
      </c>
      <c r="E342" s="1" t="s">
        <v>682</v>
      </c>
      <c r="F342" s="2">
        <v>46191</v>
      </c>
      <c r="G342" s="2">
        <v>46203</v>
      </c>
      <c r="H342" s="4">
        <v>1</v>
      </c>
      <c r="I342" s="2">
        <v>46203</v>
      </c>
      <c r="J342" s="1" t="s">
        <v>53</v>
      </c>
      <c r="K342" s="1" t="s">
        <v>693</v>
      </c>
      <c r="L342" s="1">
        <v>538</v>
      </c>
      <c r="M342" s="1" t="s">
        <v>308</v>
      </c>
      <c r="N342" s="3">
        <v>46205</v>
      </c>
      <c r="P342" s="1" t="s">
        <v>73</v>
      </c>
      <c r="Q342" s="1" t="s">
        <v>55</v>
      </c>
      <c r="R342" s="1" t="s">
        <v>569</v>
      </c>
      <c r="S342" s="3">
        <v>46189</v>
      </c>
      <c r="T342" s="3">
        <v>46202</v>
      </c>
      <c r="AB342" s="1">
        <v>1</v>
      </c>
      <c r="AC342" s="1">
        <v>1</v>
      </c>
      <c r="AD342" s="1">
        <v>1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1</v>
      </c>
    </row>
    <row r="343" spans="1:39" x14ac:dyDescent="0.25">
      <c r="A343" s="1">
        <v>538</v>
      </c>
      <c r="B343" s="1" t="s">
        <v>729</v>
      </c>
      <c r="C343" s="1" t="s">
        <v>728</v>
      </c>
      <c r="D343" s="1" t="s">
        <v>105</v>
      </c>
      <c r="E343" s="1" t="s">
        <v>102</v>
      </c>
      <c r="F343" s="2">
        <v>46204</v>
      </c>
      <c r="G343" s="2">
        <v>46206</v>
      </c>
      <c r="H343" s="4">
        <v>1</v>
      </c>
      <c r="I343" s="2">
        <v>46206</v>
      </c>
      <c r="J343" s="1" t="s">
        <v>53</v>
      </c>
      <c r="K343" s="1">
        <v>537</v>
      </c>
      <c r="L343" s="1">
        <v>539</v>
      </c>
      <c r="M343" s="1" t="s">
        <v>385</v>
      </c>
      <c r="N343" s="3">
        <v>46206</v>
      </c>
      <c r="P343" s="1" t="s">
        <v>180</v>
      </c>
      <c r="Q343" s="1" t="s">
        <v>55</v>
      </c>
      <c r="R343" s="1" t="s">
        <v>569</v>
      </c>
      <c r="S343" s="3">
        <v>46203</v>
      </c>
      <c r="T343" s="3">
        <v>46203</v>
      </c>
      <c r="AB343" s="1">
        <v>1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</row>
    <row r="344" spans="1:39" x14ac:dyDescent="0.25">
      <c r="A344" s="1">
        <v>539</v>
      </c>
      <c r="B344" s="1" t="s">
        <v>730</v>
      </c>
      <c r="C344" s="1" t="s">
        <v>728</v>
      </c>
      <c r="D344" s="1" t="s">
        <v>109</v>
      </c>
      <c r="E344" s="1" t="s">
        <v>116</v>
      </c>
      <c r="F344" s="2">
        <v>46209</v>
      </c>
      <c r="G344" s="2">
        <v>46210</v>
      </c>
      <c r="H344" s="4">
        <v>0</v>
      </c>
      <c r="J344" s="1" t="s">
        <v>41</v>
      </c>
      <c r="K344" s="1">
        <v>538</v>
      </c>
      <c r="L344" s="1">
        <v>540</v>
      </c>
      <c r="M344" s="1" t="s">
        <v>686</v>
      </c>
      <c r="N344" s="3">
        <v>46210</v>
      </c>
      <c r="P344" s="1" t="s">
        <v>67</v>
      </c>
      <c r="Q344" s="1" t="s">
        <v>55</v>
      </c>
      <c r="R344" s="1" t="s">
        <v>569</v>
      </c>
      <c r="S344" s="3">
        <v>46204</v>
      </c>
      <c r="T344" s="3">
        <v>46205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1</v>
      </c>
      <c r="AK344" s="1">
        <v>0</v>
      </c>
      <c r="AL344" s="1">
        <v>0</v>
      </c>
      <c r="AM344" s="1">
        <v>0</v>
      </c>
    </row>
    <row r="345" spans="1:39" x14ac:dyDescent="0.25">
      <c r="A345" s="1">
        <v>540</v>
      </c>
      <c r="B345" s="1" t="s">
        <v>731</v>
      </c>
      <c r="C345" s="1" t="s">
        <v>728</v>
      </c>
      <c r="D345" s="1" t="s">
        <v>115</v>
      </c>
      <c r="E345" s="1" t="s">
        <v>52</v>
      </c>
      <c r="F345" s="2">
        <v>46211</v>
      </c>
      <c r="G345" s="2">
        <v>46211</v>
      </c>
      <c r="H345" s="4">
        <v>0</v>
      </c>
      <c r="J345" s="1" t="s">
        <v>83</v>
      </c>
      <c r="K345" s="1">
        <v>539</v>
      </c>
      <c r="M345" s="1" t="s">
        <v>688</v>
      </c>
      <c r="N345" s="3">
        <v>46211</v>
      </c>
      <c r="P345" s="1" t="s">
        <v>67</v>
      </c>
      <c r="Q345" s="1" t="s">
        <v>55</v>
      </c>
      <c r="R345" s="1" t="s">
        <v>569</v>
      </c>
      <c r="S345" s="3">
        <v>46206</v>
      </c>
      <c r="T345" s="3">
        <v>46206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</row>
    <row r="346" spans="1:39" x14ac:dyDescent="0.25">
      <c r="A346" s="1">
        <v>541</v>
      </c>
      <c r="B346" s="1" t="s">
        <v>732</v>
      </c>
      <c r="C346" s="1" t="s">
        <v>571</v>
      </c>
      <c r="D346" s="1" t="s">
        <v>733</v>
      </c>
      <c r="E346" s="1" t="s">
        <v>679</v>
      </c>
      <c r="F346" s="2">
        <v>46191</v>
      </c>
      <c r="G346" s="2">
        <v>46211</v>
      </c>
      <c r="H346" s="4">
        <v>0.8</v>
      </c>
      <c r="J346" s="1" t="s">
        <v>41</v>
      </c>
      <c r="M346" s="1" t="s">
        <v>308</v>
      </c>
      <c r="N346" s="3">
        <v>46211</v>
      </c>
      <c r="P346" s="1" t="s">
        <v>73</v>
      </c>
      <c r="Q346" s="1" t="s">
        <v>55</v>
      </c>
      <c r="R346" s="1" t="s">
        <v>569</v>
      </c>
      <c r="S346" s="3">
        <v>46189</v>
      </c>
      <c r="T346" s="3">
        <v>46206</v>
      </c>
      <c r="AB346" s="1">
        <v>0.8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</row>
    <row r="347" spans="1:39" x14ac:dyDescent="0.25">
      <c r="A347" s="1">
        <v>542</v>
      </c>
      <c r="B347" s="1" t="s">
        <v>734</v>
      </c>
      <c r="C347" s="1" t="s">
        <v>735</v>
      </c>
      <c r="D347" s="1" t="s">
        <v>101</v>
      </c>
      <c r="E347" s="1" t="s">
        <v>682</v>
      </c>
      <c r="F347" s="2">
        <v>46191</v>
      </c>
      <c r="G347" s="2">
        <v>46203</v>
      </c>
      <c r="H347" s="4">
        <v>1</v>
      </c>
      <c r="I347" s="2">
        <v>46203</v>
      </c>
      <c r="J347" s="1" t="s">
        <v>53</v>
      </c>
      <c r="K347" s="1" t="s">
        <v>693</v>
      </c>
      <c r="L347" s="1">
        <v>543</v>
      </c>
      <c r="M347" s="1" t="s">
        <v>308</v>
      </c>
      <c r="N347" s="3">
        <v>46205</v>
      </c>
      <c r="P347" s="1" t="s">
        <v>73</v>
      </c>
      <c r="Q347" s="1" t="s">
        <v>55</v>
      </c>
      <c r="R347" s="1" t="s">
        <v>569</v>
      </c>
      <c r="S347" s="3">
        <v>46189</v>
      </c>
      <c r="T347" s="3">
        <v>46202</v>
      </c>
      <c r="AB347" s="1">
        <v>1</v>
      </c>
      <c r="AC347" s="1">
        <v>1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1</v>
      </c>
    </row>
    <row r="348" spans="1:39" x14ac:dyDescent="0.25">
      <c r="A348" s="1">
        <v>543</v>
      </c>
      <c r="B348" s="1" t="s">
        <v>736</v>
      </c>
      <c r="C348" s="1" t="s">
        <v>735</v>
      </c>
      <c r="D348" s="1" t="s">
        <v>105</v>
      </c>
      <c r="E348" s="1" t="s">
        <v>102</v>
      </c>
      <c r="F348" s="2">
        <v>46204</v>
      </c>
      <c r="G348" s="2">
        <v>46206</v>
      </c>
      <c r="H348" s="4">
        <v>1</v>
      </c>
      <c r="I348" s="2">
        <v>46206</v>
      </c>
      <c r="J348" s="1" t="s">
        <v>53</v>
      </c>
      <c r="K348" s="1">
        <v>542</v>
      </c>
      <c r="L348" s="1">
        <v>544</v>
      </c>
      <c r="M348" s="1" t="s">
        <v>385</v>
      </c>
      <c r="N348" s="3">
        <v>46206</v>
      </c>
      <c r="P348" s="1" t="s">
        <v>180</v>
      </c>
      <c r="Q348" s="1" t="s">
        <v>55</v>
      </c>
      <c r="R348" s="1" t="s">
        <v>569</v>
      </c>
      <c r="S348" s="3">
        <v>46203</v>
      </c>
      <c r="T348" s="3">
        <v>46203</v>
      </c>
      <c r="AB348" s="1">
        <v>1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</row>
    <row r="349" spans="1:39" x14ac:dyDescent="0.25">
      <c r="A349" s="1">
        <v>544</v>
      </c>
      <c r="B349" s="1" t="s">
        <v>737</v>
      </c>
      <c r="C349" s="1" t="s">
        <v>735</v>
      </c>
      <c r="D349" s="1" t="s">
        <v>109</v>
      </c>
      <c r="E349" s="1" t="s">
        <v>116</v>
      </c>
      <c r="F349" s="2">
        <v>46209</v>
      </c>
      <c r="G349" s="2">
        <v>46210</v>
      </c>
      <c r="H349" s="4">
        <v>0</v>
      </c>
      <c r="J349" s="1" t="s">
        <v>41</v>
      </c>
      <c r="K349" s="1">
        <v>543</v>
      </c>
      <c r="L349" s="1">
        <v>545</v>
      </c>
      <c r="M349" s="1" t="s">
        <v>686</v>
      </c>
      <c r="N349" s="3">
        <v>46210</v>
      </c>
      <c r="P349" s="1" t="s">
        <v>67</v>
      </c>
      <c r="Q349" s="1" t="s">
        <v>55</v>
      </c>
      <c r="R349" s="1" t="s">
        <v>569</v>
      </c>
      <c r="S349" s="3">
        <v>46204</v>
      </c>
      <c r="T349" s="3">
        <v>46205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1</v>
      </c>
      <c r="AK349" s="1">
        <v>0</v>
      </c>
      <c r="AL349" s="1">
        <v>0</v>
      </c>
      <c r="AM349" s="1">
        <v>0</v>
      </c>
    </row>
    <row r="350" spans="1:39" x14ac:dyDescent="0.25">
      <c r="A350" s="1">
        <v>545</v>
      </c>
      <c r="B350" s="1" t="s">
        <v>738</v>
      </c>
      <c r="C350" s="1" t="s">
        <v>735</v>
      </c>
      <c r="D350" s="1" t="s">
        <v>115</v>
      </c>
      <c r="E350" s="1" t="s">
        <v>52</v>
      </c>
      <c r="F350" s="2">
        <v>46211</v>
      </c>
      <c r="G350" s="2">
        <v>46211</v>
      </c>
      <c r="H350" s="4">
        <v>0</v>
      </c>
      <c r="J350" s="1" t="s">
        <v>83</v>
      </c>
      <c r="K350" s="1">
        <v>544</v>
      </c>
      <c r="M350" s="1" t="s">
        <v>688</v>
      </c>
      <c r="N350" s="3">
        <v>46211</v>
      </c>
      <c r="P350" s="1" t="s">
        <v>67</v>
      </c>
      <c r="Q350" s="1" t="s">
        <v>55</v>
      </c>
      <c r="R350" s="1" t="s">
        <v>569</v>
      </c>
      <c r="S350" s="3">
        <v>46206</v>
      </c>
      <c r="T350" s="3">
        <v>46206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</row>
    <row r="351" spans="1:39" x14ac:dyDescent="0.25">
      <c r="A351" s="1">
        <v>546</v>
      </c>
      <c r="B351" s="1" t="s">
        <v>739</v>
      </c>
      <c r="C351" s="1" t="s">
        <v>571</v>
      </c>
      <c r="D351" s="1" t="s">
        <v>740</v>
      </c>
      <c r="E351" s="1" t="s">
        <v>679</v>
      </c>
      <c r="F351" s="2">
        <v>46191</v>
      </c>
      <c r="G351" s="2">
        <v>46211</v>
      </c>
      <c r="H351" s="4">
        <v>0.8</v>
      </c>
      <c r="J351" s="1" t="s">
        <v>41</v>
      </c>
      <c r="M351" s="1" t="s">
        <v>308</v>
      </c>
      <c r="N351" s="3">
        <v>46211</v>
      </c>
      <c r="P351" s="1" t="s">
        <v>73</v>
      </c>
      <c r="Q351" s="1" t="s">
        <v>55</v>
      </c>
      <c r="R351" s="1" t="s">
        <v>569</v>
      </c>
      <c r="S351" s="3">
        <v>46189</v>
      </c>
      <c r="T351" s="3">
        <v>46206</v>
      </c>
      <c r="AB351" s="1">
        <v>0.8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</row>
    <row r="352" spans="1:39" x14ac:dyDescent="0.25">
      <c r="A352" s="1">
        <v>547</v>
      </c>
      <c r="B352" s="1" t="s">
        <v>741</v>
      </c>
      <c r="C352" s="1" t="s">
        <v>742</v>
      </c>
      <c r="D352" s="1" t="s">
        <v>101</v>
      </c>
      <c r="E352" s="1" t="s">
        <v>682</v>
      </c>
      <c r="F352" s="2">
        <v>46191</v>
      </c>
      <c r="G352" s="2">
        <v>46203</v>
      </c>
      <c r="H352" s="4">
        <v>1</v>
      </c>
      <c r="I352" s="2">
        <v>46203</v>
      </c>
      <c r="J352" s="1" t="s">
        <v>53</v>
      </c>
      <c r="K352" s="1" t="s">
        <v>693</v>
      </c>
      <c r="L352" s="1">
        <v>548</v>
      </c>
      <c r="M352" s="1" t="s">
        <v>308</v>
      </c>
      <c r="N352" s="3">
        <v>46205</v>
      </c>
      <c r="P352" s="1" t="s">
        <v>73</v>
      </c>
      <c r="Q352" s="1" t="s">
        <v>55</v>
      </c>
      <c r="R352" s="1" t="s">
        <v>569</v>
      </c>
      <c r="S352" s="3">
        <v>46189</v>
      </c>
      <c r="T352" s="3">
        <v>46202</v>
      </c>
      <c r="AB352" s="1">
        <v>1</v>
      </c>
      <c r="AC352" s="1">
        <v>1</v>
      </c>
      <c r="AD352" s="1">
        <v>1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1</v>
      </c>
    </row>
    <row r="353" spans="1:39" x14ac:dyDescent="0.25">
      <c r="A353" s="1">
        <v>548</v>
      </c>
      <c r="B353" s="1" t="s">
        <v>743</v>
      </c>
      <c r="C353" s="1" t="s">
        <v>742</v>
      </c>
      <c r="D353" s="1" t="s">
        <v>105</v>
      </c>
      <c r="E353" s="1" t="s">
        <v>102</v>
      </c>
      <c r="F353" s="2">
        <v>46204</v>
      </c>
      <c r="G353" s="2">
        <v>46206</v>
      </c>
      <c r="H353" s="4">
        <v>1</v>
      </c>
      <c r="I353" s="2">
        <v>46206</v>
      </c>
      <c r="J353" s="1" t="s">
        <v>53</v>
      </c>
      <c r="K353" s="1">
        <v>547</v>
      </c>
      <c r="L353" s="1">
        <v>549</v>
      </c>
      <c r="M353" s="1" t="s">
        <v>385</v>
      </c>
      <c r="N353" s="3">
        <v>46206</v>
      </c>
      <c r="P353" s="1" t="s">
        <v>180</v>
      </c>
      <c r="Q353" s="1" t="s">
        <v>55</v>
      </c>
      <c r="R353" s="1" t="s">
        <v>569</v>
      </c>
      <c r="S353" s="3">
        <v>46203</v>
      </c>
      <c r="T353" s="3">
        <v>46203</v>
      </c>
      <c r="AB353" s="1">
        <v>1</v>
      </c>
      <c r="AC353" s="1">
        <v>0</v>
      </c>
      <c r="AD353" s="1">
        <v>0</v>
      </c>
      <c r="AE353" s="1">
        <v>0</v>
      </c>
      <c r="AF353" s="1">
        <v>0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</row>
    <row r="354" spans="1:39" x14ac:dyDescent="0.25">
      <c r="A354" s="1">
        <v>549</v>
      </c>
      <c r="B354" s="1" t="s">
        <v>744</v>
      </c>
      <c r="C354" s="1" t="s">
        <v>742</v>
      </c>
      <c r="D354" s="1" t="s">
        <v>109</v>
      </c>
      <c r="E354" s="1" t="s">
        <v>116</v>
      </c>
      <c r="F354" s="2">
        <v>46209</v>
      </c>
      <c r="G354" s="2">
        <v>46210</v>
      </c>
      <c r="H354" s="4">
        <v>0</v>
      </c>
      <c r="J354" s="1" t="s">
        <v>41</v>
      </c>
      <c r="K354" s="1">
        <v>548</v>
      </c>
      <c r="L354" s="1">
        <v>550</v>
      </c>
      <c r="M354" s="1" t="s">
        <v>686</v>
      </c>
      <c r="N354" s="3">
        <v>46210</v>
      </c>
      <c r="P354" s="1" t="s">
        <v>67</v>
      </c>
      <c r="Q354" s="1" t="s">
        <v>55</v>
      </c>
      <c r="R354" s="1" t="s">
        <v>569</v>
      </c>
      <c r="S354" s="3">
        <v>46204</v>
      </c>
      <c r="T354" s="3">
        <v>46205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1</v>
      </c>
      <c r="AK354" s="1">
        <v>0</v>
      </c>
      <c r="AL354" s="1">
        <v>0</v>
      </c>
      <c r="AM354" s="1">
        <v>0</v>
      </c>
    </row>
    <row r="355" spans="1:39" x14ac:dyDescent="0.25">
      <c r="A355" s="1">
        <v>550</v>
      </c>
      <c r="B355" s="1" t="s">
        <v>745</v>
      </c>
      <c r="C355" s="1" t="s">
        <v>742</v>
      </c>
      <c r="D355" s="1" t="s">
        <v>115</v>
      </c>
      <c r="E355" s="1" t="s">
        <v>52</v>
      </c>
      <c r="F355" s="2">
        <v>46211</v>
      </c>
      <c r="G355" s="2">
        <v>46211</v>
      </c>
      <c r="H355" s="4">
        <v>0</v>
      </c>
      <c r="J355" s="1" t="s">
        <v>83</v>
      </c>
      <c r="K355" s="1">
        <v>549</v>
      </c>
      <c r="M355" s="1" t="s">
        <v>688</v>
      </c>
      <c r="N355" s="3">
        <v>46211</v>
      </c>
      <c r="P355" s="1" t="s">
        <v>67</v>
      </c>
      <c r="Q355" s="1" t="s">
        <v>55</v>
      </c>
      <c r="R355" s="1" t="s">
        <v>569</v>
      </c>
      <c r="S355" s="3">
        <v>46206</v>
      </c>
      <c r="T355" s="3">
        <v>46206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</row>
    <row r="356" spans="1:39" x14ac:dyDescent="0.25">
      <c r="A356" s="1">
        <v>551</v>
      </c>
      <c r="B356" s="1" t="s">
        <v>746</v>
      </c>
      <c r="C356" s="1" t="s">
        <v>571</v>
      </c>
      <c r="D356" s="1" t="s">
        <v>747</v>
      </c>
      <c r="E356" s="1" t="s">
        <v>679</v>
      </c>
      <c r="F356" s="2">
        <v>46191</v>
      </c>
      <c r="G356" s="2">
        <v>46211</v>
      </c>
      <c r="H356" s="4">
        <v>0.8</v>
      </c>
      <c r="J356" s="1" t="s">
        <v>41</v>
      </c>
      <c r="M356" s="1" t="s">
        <v>308</v>
      </c>
      <c r="N356" s="3">
        <v>46211</v>
      </c>
      <c r="P356" s="1" t="s">
        <v>73</v>
      </c>
      <c r="Q356" s="1" t="s">
        <v>55</v>
      </c>
      <c r="R356" s="1" t="s">
        <v>569</v>
      </c>
      <c r="S356" s="3">
        <v>46189</v>
      </c>
      <c r="T356" s="3">
        <v>46206</v>
      </c>
      <c r="AB356" s="1">
        <v>0.8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</row>
    <row r="357" spans="1:39" x14ac:dyDescent="0.25">
      <c r="A357" s="1">
        <v>552</v>
      </c>
      <c r="B357" s="1" t="s">
        <v>748</v>
      </c>
      <c r="C357" s="1" t="s">
        <v>749</v>
      </c>
      <c r="D357" s="1" t="s">
        <v>101</v>
      </c>
      <c r="E357" s="1" t="s">
        <v>682</v>
      </c>
      <c r="F357" s="2">
        <v>46191</v>
      </c>
      <c r="G357" s="2">
        <v>46203</v>
      </c>
      <c r="H357" s="4">
        <v>1</v>
      </c>
      <c r="I357" s="2">
        <v>46203</v>
      </c>
      <c r="J357" s="1" t="s">
        <v>53</v>
      </c>
      <c r="K357" s="1" t="s">
        <v>693</v>
      </c>
      <c r="L357" s="1">
        <v>553</v>
      </c>
      <c r="M357" s="1" t="s">
        <v>308</v>
      </c>
      <c r="N357" s="3">
        <v>46205</v>
      </c>
      <c r="P357" s="1" t="s">
        <v>73</v>
      </c>
      <c r="Q357" s="1" t="s">
        <v>55</v>
      </c>
      <c r="R357" s="1" t="s">
        <v>569</v>
      </c>
      <c r="S357" s="3">
        <v>46189</v>
      </c>
      <c r="T357" s="3">
        <v>46202</v>
      </c>
      <c r="AB357" s="1">
        <v>1</v>
      </c>
      <c r="AC357" s="1">
        <v>1</v>
      </c>
      <c r="AD357" s="1">
        <v>1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1</v>
      </c>
    </row>
    <row r="358" spans="1:39" x14ac:dyDescent="0.25">
      <c r="A358" s="1">
        <v>553</v>
      </c>
      <c r="B358" s="1" t="s">
        <v>750</v>
      </c>
      <c r="C358" s="1" t="s">
        <v>749</v>
      </c>
      <c r="D358" s="1" t="s">
        <v>105</v>
      </c>
      <c r="E358" s="1" t="s">
        <v>102</v>
      </c>
      <c r="F358" s="2">
        <v>46204</v>
      </c>
      <c r="G358" s="2">
        <v>46206</v>
      </c>
      <c r="H358" s="4">
        <v>1</v>
      </c>
      <c r="I358" s="2">
        <v>46206</v>
      </c>
      <c r="J358" s="1" t="s">
        <v>53</v>
      </c>
      <c r="K358" s="1">
        <v>552</v>
      </c>
      <c r="L358" s="1">
        <v>554</v>
      </c>
      <c r="M358" s="1" t="s">
        <v>385</v>
      </c>
      <c r="N358" s="3">
        <v>46206</v>
      </c>
      <c r="P358" s="1" t="s">
        <v>180</v>
      </c>
      <c r="Q358" s="1" t="s">
        <v>55</v>
      </c>
      <c r="R358" s="1" t="s">
        <v>569</v>
      </c>
      <c r="S358" s="3">
        <v>46203</v>
      </c>
      <c r="T358" s="3">
        <v>46203</v>
      </c>
      <c r="AB358" s="1">
        <v>1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</row>
    <row r="359" spans="1:39" x14ac:dyDescent="0.25">
      <c r="A359" s="1">
        <v>554</v>
      </c>
      <c r="B359" s="1" t="s">
        <v>751</v>
      </c>
      <c r="C359" s="1" t="s">
        <v>749</v>
      </c>
      <c r="D359" s="1" t="s">
        <v>109</v>
      </c>
      <c r="E359" s="1" t="s">
        <v>116</v>
      </c>
      <c r="F359" s="2">
        <v>46209</v>
      </c>
      <c r="G359" s="2">
        <v>46210</v>
      </c>
      <c r="H359" s="4">
        <v>0</v>
      </c>
      <c r="J359" s="1" t="s">
        <v>41</v>
      </c>
      <c r="K359" s="1">
        <v>553</v>
      </c>
      <c r="L359" s="1">
        <v>555</v>
      </c>
      <c r="M359" s="1" t="s">
        <v>686</v>
      </c>
      <c r="N359" s="3">
        <v>46210</v>
      </c>
      <c r="P359" s="1" t="s">
        <v>67</v>
      </c>
      <c r="Q359" s="1" t="s">
        <v>55</v>
      </c>
      <c r="R359" s="1" t="s">
        <v>569</v>
      </c>
      <c r="S359" s="3">
        <v>46204</v>
      </c>
      <c r="T359" s="3">
        <v>46205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1</v>
      </c>
      <c r="AK359" s="1">
        <v>0</v>
      </c>
      <c r="AL359" s="1">
        <v>0</v>
      </c>
      <c r="AM359" s="1">
        <v>0</v>
      </c>
    </row>
    <row r="360" spans="1:39" x14ac:dyDescent="0.25">
      <c r="A360" s="1">
        <v>555</v>
      </c>
      <c r="B360" s="1" t="s">
        <v>752</v>
      </c>
      <c r="C360" s="1" t="s">
        <v>749</v>
      </c>
      <c r="D360" s="1" t="s">
        <v>115</v>
      </c>
      <c r="E360" s="1" t="s">
        <v>52</v>
      </c>
      <c r="F360" s="2">
        <v>46211</v>
      </c>
      <c r="G360" s="2">
        <v>46211</v>
      </c>
      <c r="H360" s="4">
        <v>0</v>
      </c>
      <c r="J360" s="1" t="s">
        <v>83</v>
      </c>
      <c r="K360" s="1">
        <v>554</v>
      </c>
      <c r="M360" s="1" t="s">
        <v>688</v>
      </c>
      <c r="N360" s="3">
        <v>46211</v>
      </c>
      <c r="P360" s="1" t="s">
        <v>67</v>
      </c>
      <c r="Q360" s="1" t="s">
        <v>55</v>
      </c>
      <c r="R360" s="1" t="s">
        <v>569</v>
      </c>
      <c r="S360" s="3">
        <v>46206</v>
      </c>
      <c r="T360" s="3">
        <v>46206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</row>
    <row r="361" spans="1:39" x14ac:dyDescent="0.25">
      <c r="A361" s="1">
        <v>556</v>
      </c>
      <c r="B361" s="1" t="s">
        <v>753</v>
      </c>
      <c r="C361" s="1" t="s">
        <v>571</v>
      </c>
      <c r="D361" s="1" t="s">
        <v>754</v>
      </c>
      <c r="E361" s="1" t="s">
        <v>679</v>
      </c>
      <c r="F361" s="2">
        <v>46191</v>
      </c>
      <c r="G361" s="2">
        <v>46211</v>
      </c>
      <c r="H361" s="4">
        <v>0.8</v>
      </c>
      <c r="J361" s="1" t="s">
        <v>41</v>
      </c>
      <c r="M361" s="1" t="s">
        <v>308</v>
      </c>
      <c r="N361" s="3">
        <v>46211</v>
      </c>
      <c r="P361" s="1" t="s">
        <v>73</v>
      </c>
      <c r="Q361" s="1" t="s">
        <v>55</v>
      </c>
      <c r="R361" s="1" t="s">
        <v>569</v>
      </c>
      <c r="S361" s="3">
        <v>46189</v>
      </c>
      <c r="T361" s="3">
        <v>46206</v>
      </c>
      <c r="AB361" s="1">
        <v>0.8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</row>
    <row r="362" spans="1:39" x14ac:dyDescent="0.25">
      <c r="A362" s="1">
        <v>557</v>
      </c>
      <c r="B362" s="1" t="s">
        <v>755</v>
      </c>
      <c r="C362" s="1" t="s">
        <v>756</v>
      </c>
      <c r="D362" s="1" t="s">
        <v>101</v>
      </c>
      <c r="E362" s="1" t="s">
        <v>682</v>
      </c>
      <c r="F362" s="2">
        <v>46191</v>
      </c>
      <c r="G362" s="2">
        <v>46203</v>
      </c>
      <c r="H362" s="4">
        <v>1</v>
      </c>
      <c r="I362" s="2">
        <v>46203</v>
      </c>
      <c r="J362" s="1" t="s">
        <v>53</v>
      </c>
      <c r="K362" s="1" t="s">
        <v>693</v>
      </c>
      <c r="L362" s="1">
        <v>558</v>
      </c>
      <c r="M362" s="1" t="s">
        <v>308</v>
      </c>
      <c r="N362" s="3">
        <v>46205</v>
      </c>
      <c r="P362" s="1" t="s">
        <v>73</v>
      </c>
      <c r="Q362" s="1" t="s">
        <v>55</v>
      </c>
      <c r="R362" s="1" t="s">
        <v>569</v>
      </c>
      <c r="S362" s="3">
        <v>46189</v>
      </c>
      <c r="T362" s="3">
        <v>46202</v>
      </c>
      <c r="AB362" s="1">
        <v>1</v>
      </c>
      <c r="AC362" s="1">
        <v>1</v>
      </c>
      <c r="AD362" s="1">
        <v>1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1</v>
      </c>
    </row>
    <row r="363" spans="1:39" x14ac:dyDescent="0.25">
      <c r="A363" s="1">
        <v>558</v>
      </c>
      <c r="B363" s="1" t="s">
        <v>757</v>
      </c>
      <c r="C363" s="1" t="s">
        <v>756</v>
      </c>
      <c r="D363" s="1" t="s">
        <v>105</v>
      </c>
      <c r="E363" s="1" t="s">
        <v>102</v>
      </c>
      <c r="F363" s="2">
        <v>46204</v>
      </c>
      <c r="G363" s="2">
        <v>46206</v>
      </c>
      <c r="H363" s="4">
        <v>1</v>
      </c>
      <c r="I363" s="2">
        <v>46206</v>
      </c>
      <c r="J363" s="1" t="s">
        <v>53</v>
      </c>
      <c r="K363" s="1">
        <v>557</v>
      </c>
      <c r="L363" s="1">
        <v>559</v>
      </c>
      <c r="M363" s="1" t="s">
        <v>385</v>
      </c>
      <c r="N363" s="3">
        <v>46206</v>
      </c>
      <c r="P363" s="1" t="s">
        <v>180</v>
      </c>
      <c r="Q363" s="1" t="s">
        <v>55</v>
      </c>
      <c r="R363" s="1" t="s">
        <v>569</v>
      </c>
      <c r="S363" s="3">
        <v>46203</v>
      </c>
      <c r="T363" s="3">
        <v>46203</v>
      </c>
      <c r="AB363" s="1">
        <v>1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</row>
    <row r="364" spans="1:39" x14ac:dyDescent="0.25">
      <c r="A364" s="1">
        <v>559</v>
      </c>
      <c r="B364" s="1" t="s">
        <v>758</v>
      </c>
      <c r="C364" s="1" t="s">
        <v>756</v>
      </c>
      <c r="D364" s="1" t="s">
        <v>109</v>
      </c>
      <c r="E364" s="1" t="s">
        <v>116</v>
      </c>
      <c r="F364" s="2">
        <v>46209</v>
      </c>
      <c r="G364" s="2">
        <v>46210</v>
      </c>
      <c r="H364" s="4">
        <v>0</v>
      </c>
      <c r="J364" s="1" t="s">
        <v>41</v>
      </c>
      <c r="K364" s="1">
        <v>558</v>
      </c>
      <c r="L364" s="1">
        <v>560</v>
      </c>
      <c r="M364" s="1" t="s">
        <v>686</v>
      </c>
      <c r="N364" s="3">
        <v>46210</v>
      </c>
      <c r="P364" s="1" t="s">
        <v>67</v>
      </c>
      <c r="Q364" s="1" t="s">
        <v>55</v>
      </c>
      <c r="R364" s="1" t="s">
        <v>569</v>
      </c>
      <c r="S364" s="3">
        <v>46204</v>
      </c>
      <c r="T364" s="3">
        <v>46205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1</v>
      </c>
      <c r="AK364" s="1">
        <v>0</v>
      </c>
      <c r="AL364" s="1">
        <v>0</v>
      </c>
      <c r="AM364" s="1">
        <v>0</v>
      </c>
    </row>
    <row r="365" spans="1:39" x14ac:dyDescent="0.25">
      <c r="A365" s="1">
        <v>560</v>
      </c>
      <c r="B365" s="1" t="s">
        <v>759</v>
      </c>
      <c r="C365" s="1" t="s">
        <v>756</v>
      </c>
      <c r="D365" s="1" t="s">
        <v>115</v>
      </c>
      <c r="E365" s="1" t="s">
        <v>52</v>
      </c>
      <c r="F365" s="2">
        <v>46211</v>
      </c>
      <c r="G365" s="2">
        <v>46211</v>
      </c>
      <c r="H365" s="4">
        <v>0</v>
      </c>
      <c r="J365" s="1" t="s">
        <v>83</v>
      </c>
      <c r="K365" s="1">
        <v>559</v>
      </c>
      <c r="M365" s="1" t="s">
        <v>688</v>
      </c>
      <c r="N365" s="3">
        <v>46211</v>
      </c>
      <c r="P365" s="1" t="s">
        <v>67</v>
      </c>
      <c r="Q365" s="1" t="s">
        <v>55</v>
      </c>
      <c r="R365" s="1" t="s">
        <v>569</v>
      </c>
      <c r="S365" s="3">
        <v>46206</v>
      </c>
      <c r="T365" s="3">
        <v>46206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</row>
    <row r="366" spans="1:39" x14ac:dyDescent="0.25">
      <c r="A366" s="1">
        <v>561</v>
      </c>
      <c r="B366" s="1" t="s">
        <v>760</v>
      </c>
      <c r="C366" s="1" t="s">
        <v>571</v>
      </c>
      <c r="D366" s="1" t="s">
        <v>761</v>
      </c>
      <c r="E366" s="1" t="s">
        <v>679</v>
      </c>
      <c r="F366" s="2">
        <v>46191</v>
      </c>
      <c r="G366" s="2">
        <v>46211</v>
      </c>
      <c r="H366" s="4">
        <v>0.8</v>
      </c>
      <c r="J366" s="1" t="s">
        <v>41</v>
      </c>
      <c r="M366" s="1" t="s">
        <v>308</v>
      </c>
      <c r="N366" s="3">
        <v>46211</v>
      </c>
      <c r="P366" s="1" t="s">
        <v>73</v>
      </c>
      <c r="Q366" s="1" t="s">
        <v>55</v>
      </c>
      <c r="R366" s="1" t="s">
        <v>569</v>
      </c>
      <c r="S366" s="3">
        <v>46189</v>
      </c>
      <c r="T366" s="3">
        <v>46206</v>
      </c>
      <c r="AB366" s="1">
        <v>0.8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</row>
    <row r="367" spans="1:39" x14ac:dyDescent="0.25">
      <c r="A367" s="1">
        <v>562</v>
      </c>
      <c r="B367" s="1" t="s">
        <v>762</v>
      </c>
      <c r="C367" s="1" t="s">
        <v>763</v>
      </c>
      <c r="D367" s="1" t="s">
        <v>101</v>
      </c>
      <c r="E367" s="1" t="s">
        <v>682</v>
      </c>
      <c r="F367" s="2">
        <v>46191</v>
      </c>
      <c r="G367" s="2">
        <v>46203</v>
      </c>
      <c r="H367" s="4">
        <v>1</v>
      </c>
      <c r="I367" s="2">
        <v>46203</v>
      </c>
      <c r="J367" s="1" t="s">
        <v>53</v>
      </c>
      <c r="K367" s="1" t="s">
        <v>693</v>
      </c>
      <c r="L367" s="1">
        <v>563</v>
      </c>
      <c r="M367" s="1" t="s">
        <v>308</v>
      </c>
      <c r="N367" s="3">
        <v>46205</v>
      </c>
      <c r="P367" s="1" t="s">
        <v>73</v>
      </c>
      <c r="Q367" s="1" t="s">
        <v>55</v>
      </c>
      <c r="R367" s="1" t="s">
        <v>569</v>
      </c>
      <c r="S367" s="3">
        <v>46189</v>
      </c>
      <c r="T367" s="3">
        <v>46202</v>
      </c>
      <c r="AB367" s="1">
        <v>1</v>
      </c>
      <c r="AC367" s="1">
        <v>1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1</v>
      </c>
    </row>
    <row r="368" spans="1:39" x14ac:dyDescent="0.25">
      <c r="A368" s="1">
        <v>563</v>
      </c>
      <c r="B368" s="1" t="s">
        <v>764</v>
      </c>
      <c r="C368" s="1" t="s">
        <v>763</v>
      </c>
      <c r="D368" s="1" t="s">
        <v>105</v>
      </c>
      <c r="E368" s="1" t="s">
        <v>102</v>
      </c>
      <c r="F368" s="2">
        <v>46204</v>
      </c>
      <c r="G368" s="2">
        <v>46206</v>
      </c>
      <c r="H368" s="4">
        <v>1</v>
      </c>
      <c r="I368" s="2">
        <v>46206</v>
      </c>
      <c r="J368" s="1" t="s">
        <v>53</v>
      </c>
      <c r="K368" s="1">
        <v>562</v>
      </c>
      <c r="L368" s="1">
        <v>564</v>
      </c>
      <c r="M368" s="1" t="s">
        <v>385</v>
      </c>
      <c r="N368" s="3">
        <v>46206</v>
      </c>
      <c r="P368" s="1" t="s">
        <v>180</v>
      </c>
      <c r="Q368" s="1" t="s">
        <v>55</v>
      </c>
      <c r="R368" s="1" t="s">
        <v>569</v>
      </c>
      <c r="S368" s="3">
        <v>46203</v>
      </c>
      <c r="T368" s="3">
        <v>46203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>
        <v>1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</row>
    <row r="369" spans="1:39" x14ac:dyDescent="0.25">
      <c r="A369" s="1">
        <v>564</v>
      </c>
      <c r="B369" s="1" t="s">
        <v>765</v>
      </c>
      <c r="C369" s="1" t="s">
        <v>763</v>
      </c>
      <c r="D369" s="1" t="s">
        <v>109</v>
      </c>
      <c r="E369" s="1" t="s">
        <v>116</v>
      </c>
      <c r="F369" s="2">
        <v>46209</v>
      </c>
      <c r="G369" s="2">
        <v>46210</v>
      </c>
      <c r="H369" s="4">
        <v>0</v>
      </c>
      <c r="J369" s="1" t="s">
        <v>41</v>
      </c>
      <c r="K369" s="1">
        <v>563</v>
      </c>
      <c r="L369" s="1">
        <v>565</v>
      </c>
      <c r="M369" s="1" t="s">
        <v>686</v>
      </c>
      <c r="N369" s="3">
        <v>46210</v>
      </c>
      <c r="P369" s="1" t="s">
        <v>67</v>
      </c>
      <c r="Q369" s="1" t="s">
        <v>55</v>
      </c>
      <c r="R369" s="1" t="s">
        <v>569</v>
      </c>
      <c r="S369" s="3">
        <v>46204</v>
      </c>
      <c r="T369" s="3">
        <v>46205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1</v>
      </c>
      <c r="AK369" s="1">
        <v>0</v>
      </c>
      <c r="AL369" s="1">
        <v>0</v>
      </c>
      <c r="AM369" s="1">
        <v>0</v>
      </c>
    </row>
    <row r="370" spans="1:39" x14ac:dyDescent="0.25">
      <c r="A370" s="1">
        <v>565</v>
      </c>
      <c r="B370" s="1" t="s">
        <v>766</v>
      </c>
      <c r="C370" s="1" t="s">
        <v>763</v>
      </c>
      <c r="D370" s="1" t="s">
        <v>115</v>
      </c>
      <c r="E370" s="1" t="s">
        <v>52</v>
      </c>
      <c r="F370" s="2">
        <v>46211</v>
      </c>
      <c r="G370" s="2">
        <v>46211</v>
      </c>
      <c r="H370" s="4">
        <v>0</v>
      </c>
      <c r="J370" s="1" t="s">
        <v>83</v>
      </c>
      <c r="K370" s="1">
        <v>564</v>
      </c>
      <c r="M370" s="1" t="s">
        <v>688</v>
      </c>
      <c r="N370" s="3">
        <v>46211</v>
      </c>
      <c r="P370" s="1" t="s">
        <v>67</v>
      </c>
      <c r="Q370" s="1" t="s">
        <v>55</v>
      </c>
      <c r="R370" s="1" t="s">
        <v>569</v>
      </c>
      <c r="S370" s="3">
        <v>46206</v>
      </c>
      <c r="T370" s="3">
        <v>46206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</row>
    <row r="371" spans="1:39" x14ac:dyDescent="0.25">
      <c r="A371" s="1">
        <v>566</v>
      </c>
      <c r="B371" s="1" t="s">
        <v>767</v>
      </c>
      <c r="C371" s="1" t="s">
        <v>571</v>
      </c>
      <c r="D371" s="1" t="s">
        <v>768</v>
      </c>
      <c r="E371" s="1" t="s">
        <v>679</v>
      </c>
      <c r="F371" s="2">
        <v>46191</v>
      </c>
      <c r="G371" s="2">
        <v>46211</v>
      </c>
      <c r="H371" s="4">
        <v>0.8</v>
      </c>
      <c r="J371" s="1" t="s">
        <v>41</v>
      </c>
      <c r="M371" s="1" t="s">
        <v>308</v>
      </c>
      <c r="N371" s="3">
        <v>46211</v>
      </c>
      <c r="P371" s="1" t="s">
        <v>73</v>
      </c>
      <c r="Q371" s="1" t="s">
        <v>55</v>
      </c>
      <c r="R371" s="1" t="s">
        <v>569</v>
      </c>
      <c r="S371" s="3">
        <v>46189</v>
      </c>
      <c r="T371" s="3">
        <v>46206</v>
      </c>
      <c r="AB371" s="1">
        <v>0.8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</row>
    <row r="372" spans="1:39" x14ac:dyDescent="0.25">
      <c r="A372" s="1">
        <v>567</v>
      </c>
      <c r="B372" s="1" t="s">
        <v>769</v>
      </c>
      <c r="C372" s="1" t="s">
        <v>770</v>
      </c>
      <c r="D372" s="1" t="s">
        <v>101</v>
      </c>
      <c r="E372" s="1" t="s">
        <v>682</v>
      </c>
      <c r="F372" s="2">
        <v>46191</v>
      </c>
      <c r="G372" s="2">
        <v>46203</v>
      </c>
      <c r="H372" s="4">
        <v>1</v>
      </c>
      <c r="I372" s="2">
        <v>46203</v>
      </c>
      <c r="J372" s="1" t="s">
        <v>53</v>
      </c>
      <c r="K372" s="1" t="s">
        <v>693</v>
      </c>
      <c r="L372" s="1">
        <v>568</v>
      </c>
      <c r="M372" s="1" t="s">
        <v>308</v>
      </c>
      <c r="N372" s="3">
        <v>46205</v>
      </c>
      <c r="P372" s="1" t="s">
        <v>73</v>
      </c>
      <c r="Q372" s="1" t="s">
        <v>55</v>
      </c>
      <c r="R372" s="1" t="s">
        <v>569</v>
      </c>
      <c r="S372" s="3">
        <v>46189</v>
      </c>
      <c r="T372" s="3">
        <v>46202</v>
      </c>
      <c r="AB372" s="1">
        <v>1</v>
      </c>
      <c r="AC372" s="1">
        <v>1</v>
      </c>
      <c r="AD372" s="1">
        <v>1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1</v>
      </c>
    </row>
    <row r="373" spans="1:39" x14ac:dyDescent="0.25">
      <c r="A373" s="1">
        <v>568</v>
      </c>
      <c r="B373" s="1" t="s">
        <v>771</v>
      </c>
      <c r="C373" s="1" t="s">
        <v>770</v>
      </c>
      <c r="D373" s="1" t="s">
        <v>105</v>
      </c>
      <c r="E373" s="1" t="s">
        <v>102</v>
      </c>
      <c r="F373" s="2">
        <v>46204</v>
      </c>
      <c r="G373" s="2">
        <v>46206</v>
      </c>
      <c r="H373" s="4">
        <v>1</v>
      </c>
      <c r="I373" s="2">
        <v>46206</v>
      </c>
      <c r="J373" s="1" t="s">
        <v>53</v>
      </c>
      <c r="K373" s="1">
        <v>567</v>
      </c>
      <c r="L373" s="1">
        <v>569</v>
      </c>
      <c r="M373" s="1" t="s">
        <v>385</v>
      </c>
      <c r="N373" s="3">
        <v>46206</v>
      </c>
      <c r="P373" s="1" t="s">
        <v>180</v>
      </c>
      <c r="Q373" s="1" t="s">
        <v>55</v>
      </c>
      <c r="R373" s="1" t="s">
        <v>569</v>
      </c>
      <c r="S373" s="3">
        <v>46203</v>
      </c>
      <c r="T373" s="3">
        <v>46203</v>
      </c>
      <c r="AB373" s="1">
        <v>1</v>
      </c>
      <c r="AC373" s="1">
        <v>0</v>
      </c>
      <c r="AD373" s="1">
        <v>0</v>
      </c>
      <c r="AE373" s="1">
        <v>0</v>
      </c>
      <c r="AF373" s="1">
        <v>0</v>
      </c>
      <c r="AG373" s="1">
        <v>1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</row>
    <row r="374" spans="1:39" x14ac:dyDescent="0.25">
      <c r="A374" s="1">
        <v>569</v>
      </c>
      <c r="B374" s="1" t="s">
        <v>772</v>
      </c>
      <c r="C374" s="1" t="s">
        <v>770</v>
      </c>
      <c r="D374" s="1" t="s">
        <v>109</v>
      </c>
      <c r="E374" s="1" t="s">
        <v>116</v>
      </c>
      <c r="F374" s="2">
        <v>46209</v>
      </c>
      <c r="G374" s="2">
        <v>46210</v>
      </c>
      <c r="H374" s="4">
        <v>0</v>
      </c>
      <c r="J374" s="1" t="s">
        <v>41</v>
      </c>
      <c r="K374" s="1">
        <v>568</v>
      </c>
      <c r="L374" s="1">
        <v>570</v>
      </c>
      <c r="M374" s="1" t="s">
        <v>686</v>
      </c>
      <c r="N374" s="3">
        <v>46210</v>
      </c>
      <c r="P374" s="1" t="s">
        <v>67</v>
      </c>
      <c r="Q374" s="1" t="s">
        <v>55</v>
      </c>
      <c r="R374" s="1" t="s">
        <v>569</v>
      </c>
      <c r="S374" s="3">
        <v>46204</v>
      </c>
      <c r="T374" s="3">
        <v>46205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1</v>
      </c>
      <c r="AK374" s="1">
        <v>0</v>
      </c>
      <c r="AL374" s="1">
        <v>0</v>
      </c>
      <c r="AM374" s="1">
        <v>0</v>
      </c>
    </row>
    <row r="375" spans="1:39" x14ac:dyDescent="0.25">
      <c r="A375" s="1">
        <v>570</v>
      </c>
      <c r="B375" s="1" t="s">
        <v>773</v>
      </c>
      <c r="C375" s="1" t="s">
        <v>770</v>
      </c>
      <c r="D375" s="1" t="s">
        <v>115</v>
      </c>
      <c r="E375" s="1" t="s">
        <v>52</v>
      </c>
      <c r="F375" s="2">
        <v>46211</v>
      </c>
      <c r="G375" s="2">
        <v>46211</v>
      </c>
      <c r="H375" s="4">
        <v>0</v>
      </c>
      <c r="J375" s="1" t="s">
        <v>83</v>
      </c>
      <c r="K375" s="1">
        <v>569</v>
      </c>
      <c r="M375" s="1" t="s">
        <v>688</v>
      </c>
      <c r="N375" s="3">
        <v>46211</v>
      </c>
      <c r="P375" s="1" t="s">
        <v>67</v>
      </c>
      <c r="Q375" s="1" t="s">
        <v>55</v>
      </c>
      <c r="R375" s="1" t="s">
        <v>569</v>
      </c>
      <c r="S375" s="3">
        <v>46206</v>
      </c>
      <c r="T375" s="3">
        <v>46206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</row>
    <row r="376" spans="1:39" x14ac:dyDescent="0.25">
      <c r="A376" s="1">
        <v>571</v>
      </c>
      <c r="B376" s="1" t="s">
        <v>774</v>
      </c>
      <c r="C376" s="1" t="s">
        <v>571</v>
      </c>
      <c r="D376" s="1" t="s">
        <v>775</v>
      </c>
      <c r="E376" s="1" t="s">
        <v>679</v>
      </c>
      <c r="F376" s="2">
        <v>46191</v>
      </c>
      <c r="G376" s="2">
        <v>46211</v>
      </c>
      <c r="H376" s="4">
        <v>0.8</v>
      </c>
      <c r="J376" s="1" t="s">
        <v>41</v>
      </c>
      <c r="M376" s="1" t="s">
        <v>308</v>
      </c>
      <c r="N376" s="3">
        <v>46211</v>
      </c>
      <c r="P376" s="1" t="s">
        <v>73</v>
      </c>
      <c r="Q376" s="1" t="s">
        <v>55</v>
      </c>
      <c r="R376" s="1" t="s">
        <v>569</v>
      </c>
      <c r="S376" s="3">
        <v>46189</v>
      </c>
      <c r="T376" s="3">
        <v>46206</v>
      </c>
      <c r="AB376" s="1">
        <v>0.8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</row>
    <row r="377" spans="1:39" x14ac:dyDescent="0.25">
      <c r="A377" s="1">
        <v>572</v>
      </c>
      <c r="B377" s="1" t="s">
        <v>776</v>
      </c>
      <c r="C377" s="1" t="s">
        <v>777</v>
      </c>
      <c r="D377" s="1" t="s">
        <v>101</v>
      </c>
      <c r="E377" s="1" t="s">
        <v>682</v>
      </c>
      <c r="F377" s="2">
        <v>46191</v>
      </c>
      <c r="G377" s="2">
        <v>46203</v>
      </c>
      <c r="H377" s="4">
        <v>1</v>
      </c>
      <c r="I377" s="2">
        <v>46203</v>
      </c>
      <c r="J377" s="1" t="s">
        <v>53</v>
      </c>
      <c r="K377" s="1" t="s">
        <v>693</v>
      </c>
      <c r="L377" s="1">
        <v>573</v>
      </c>
      <c r="M377" s="1" t="s">
        <v>308</v>
      </c>
      <c r="N377" s="3">
        <v>46205</v>
      </c>
      <c r="P377" s="1" t="s">
        <v>73</v>
      </c>
      <c r="Q377" s="1" t="s">
        <v>55</v>
      </c>
      <c r="R377" s="1" t="s">
        <v>569</v>
      </c>
      <c r="S377" s="3">
        <v>46189</v>
      </c>
      <c r="T377" s="3">
        <v>46202</v>
      </c>
      <c r="AB377" s="1">
        <v>1</v>
      </c>
      <c r="AC377" s="1">
        <v>1</v>
      </c>
      <c r="AD377" s="1">
        <v>1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1</v>
      </c>
    </row>
    <row r="378" spans="1:39" x14ac:dyDescent="0.25">
      <c r="A378" s="1">
        <v>573</v>
      </c>
      <c r="B378" s="1" t="s">
        <v>778</v>
      </c>
      <c r="C378" s="1" t="s">
        <v>777</v>
      </c>
      <c r="D378" s="1" t="s">
        <v>105</v>
      </c>
      <c r="E378" s="1" t="s">
        <v>102</v>
      </c>
      <c r="F378" s="2">
        <v>46204</v>
      </c>
      <c r="G378" s="2">
        <v>46206</v>
      </c>
      <c r="H378" s="4">
        <v>1</v>
      </c>
      <c r="I378" s="2">
        <v>46206</v>
      </c>
      <c r="J378" s="1" t="s">
        <v>53</v>
      </c>
      <c r="K378" s="1">
        <v>572</v>
      </c>
      <c r="L378" s="1">
        <v>574</v>
      </c>
      <c r="M378" s="1" t="s">
        <v>385</v>
      </c>
      <c r="N378" s="3">
        <v>46206</v>
      </c>
      <c r="P378" s="1" t="s">
        <v>180</v>
      </c>
      <c r="Q378" s="1" t="s">
        <v>55</v>
      </c>
      <c r="R378" s="1" t="s">
        <v>569</v>
      </c>
      <c r="S378" s="3">
        <v>46203</v>
      </c>
      <c r="T378" s="3">
        <v>46203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1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</row>
    <row r="379" spans="1:39" x14ac:dyDescent="0.25">
      <c r="A379" s="1">
        <v>574</v>
      </c>
      <c r="B379" s="1" t="s">
        <v>779</v>
      </c>
      <c r="C379" s="1" t="s">
        <v>777</v>
      </c>
      <c r="D379" s="1" t="s">
        <v>109</v>
      </c>
      <c r="E379" s="1" t="s">
        <v>116</v>
      </c>
      <c r="F379" s="2">
        <v>46209</v>
      </c>
      <c r="G379" s="2">
        <v>46210</v>
      </c>
      <c r="H379" s="4">
        <v>0</v>
      </c>
      <c r="J379" s="1" t="s">
        <v>41</v>
      </c>
      <c r="K379" s="1">
        <v>573</v>
      </c>
      <c r="L379" s="1">
        <v>575</v>
      </c>
      <c r="M379" s="1" t="s">
        <v>686</v>
      </c>
      <c r="N379" s="3">
        <v>46210</v>
      </c>
      <c r="P379" s="1" t="s">
        <v>67</v>
      </c>
      <c r="Q379" s="1" t="s">
        <v>55</v>
      </c>
      <c r="R379" s="1" t="s">
        <v>569</v>
      </c>
      <c r="S379" s="3">
        <v>46204</v>
      </c>
      <c r="T379" s="3">
        <v>46205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>
        <v>0</v>
      </c>
      <c r="AM379" s="1">
        <v>0</v>
      </c>
    </row>
    <row r="380" spans="1:39" x14ac:dyDescent="0.25">
      <c r="A380" s="1">
        <v>575</v>
      </c>
      <c r="B380" s="1" t="s">
        <v>780</v>
      </c>
      <c r="C380" s="1" t="s">
        <v>777</v>
      </c>
      <c r="D380" s="1" t="s">
        <v>115</v>
      </c>
      <c r="E380" s="1" t="s">
        <v>52</v>
      </c>
      <c r="F380" s="2">
        <v>46211</v>
      </c>
      <c r="G380" s="2">
        <v>46211</v>
      </c>
      <c r="H380" s="4">
        <v>0</v>
      </c>
      <c r="J380" s="1" t="s">
        <v>83</v>
      </c>
      <c r="K380" s="1">
        <v>574</v>
      </c>
      <c r="M380" s="1" t="s">
        <v>688</v>
      </c>
      <c r="N380" s="3">
        <v>46211</v>
      </c>
      <c r="P380" s="1" t="s">
        <v>67</v>
      </c>
      <c r="Q380" s="1" t="s">
        <v>55</v>
      </c>
      <c r="R380" s="1" t="s">
        <v>569</v>
      </c>
      <c r="S380" s="3">
        <v>46206</v>
      </c>
      <c r="T380" s="3">
        <v>46206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</row>
    <row r="381" spans="1:39" x14ac:dyDescent="0.25">
      <c r="A381" s="1">
        <v>576</v>
      </c>
      <c r="B381" s="1" t="s">
        <v>781</v>
      </c>
      <c r="C381" s="1" t="s">
        <v>571</v>
      </c>
      <c r="D381" s="1" t="s">
        <v>782</v>
      </c>
      <c r="E381" s="1" t="s">
        <v>679</v>
      </c>
      <c r="F381" s="2">
        <v>46191</v>
      </c>
      <c r="G381" s="2">
        <v>46211</v>
      </c>
      <c r="H381" s="4">
        <v>0.8</v>
      </c>
      <c r="J381" s="1" t="s">
        <v>41</v>
      </c>
      <c r="M381" s="1" t="s">
        <v>308</v>
      </c>
      <c r="N381" s="3">
        <v>46211</v>
      </c>
      <c r="P381" s="1" t="s">
        <v>73</v>
      </c>
      <c r="Q381" s="1" t="s">
        <v>55</v>
      </c>
      <c r="R381" s="1" t="s">
        <v>569</v>
      </c>
      <c r="S381" s="3">
        <v>46189</v>
      </c>
      <c r="T381" s="3">
        <v>46206</v>
      </c>
      <c r="AB381" s="1">
        <v>0.8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</row>
    <row r="382" spans="1:39" x14ac:dyDescent="0.25">
      <c r="A382" s="1">
        <v>577</v>
      </c>
      <c r="B382" s="1" t="s">
        <v>783</v>
      </c>
      <c r="C382" s="1" t="s">
        <v>784</v>
      </c>
      <c r="D382" s="1" t="s">
        <v>101</v>
      </c>
      <c r="E382" s="1" t="s">
        <v>682</v>
      </c>
      <c r="F382" s="2">
        <v>46191</v>
      </c>
      <c r="G382" s="2">
        <v>46203</v>
      </c>
      <c r="H382" s="4">
        <v>1</v>
      </c>
      <c r="I382" s="2">
        <v>46203</v>
      </c>
      <c r="J382" s="1" t="s">
        <v>53</v>
      </c>
      <c r="K382" s="1" t="s">
        <v>693</v>
      </c>
      <c r="L382" s="1">
        <v>578</v>
      </c>
      <c r="M382" s="1" t="s">
        <v>308</v>
      </c>
      <c r="N382" s="3">
        <v>46205</v>
      </c>
      <c r="P382" s="1" t="s">
        <v>73</v>
      </c>
      <c r="Q382" s="1" t="s">
        <v>55</v>
      </c>
      <c r="R382" s="1" t="s">
        <v>569</v>
      </c>
      <c r="S382" s="3">
        <v>46189</v>
      </c>
      <c r="T382" s="3">
        <v>46202</v>
      </c>
      <c r="AB382" s="1">
        <v>1</v>
      </c>
      <c r="AC382" s="1">
        <v>1</v>
      </c>
      <c r="AD382" s="1">
        <v>1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1</v>
      </c>
    </row>
    <row r="383" spans="1:39" x14ac:dyDescent="0.25">
      <c r="A383" s="1">
        <v>578</v>
      </c>
      <c r="B383" s="1" t="s">
        <v>785</v>
      </c>
      <c r="C383" s="1" t="s">
        <v>784</v>
      </c>
      <c r="D383" s="1" t="s">
        <v>105</v>
      </c>
      <c r="E383" s="1" t="s">
        <v>102</v>
      </c>
      <c r="F383" s="2">
        <v>46204</v>
      </c>
      <c r="G383" s="2">
        <v>46206</v>
      </c>
      <c r="H383" s="4">
        <v>1</v>
      </c>
      <c r="I383" s="2">
        <v>46206</v>
      </c>
      <c r="J383" s="1" t="s">
        <v>53</v>
      </c>
      <c r="K383" s="1">
        <v>577</v>
      </c>
      <c r="L383" s="1">
        <v>579</v>
      </c>
      <c r="M383" s="1" t="s">
        <v>385</v>
      </c>
      <c r="N383" s="3">
        <v>46206</v>
      </c>
      <c r="P383" s="1" t="s">
        <v>180</v>
      </c>
      <c r="Q383" s="1" t="s">
        <v>55</v>
      </c>
      <c r="R383" s="1" t="s">
        <v>569</v>
      </c>
      <c r="S383" s="3">
        <v>46203</v>
      </c>
      <c r="T383" s="3">
        <v>46203</v>
      </c>
      <c r="AB383" s="1">
        <v>1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</row>
    <row r="384" spans="1:39" x14ac:dyDescent="0.25">
      <c r="A384" s="1">
        <v>579</v>
      </c>
      <c r="B384" s="1" t="s">
        <v>786</v>
      </c>
      <c r="C384" s="1" t="s">
        <v>784</v>
      </c>
      <c r="D384" s="1" t="s">
        <v>109</v>
      </c>
      <c r="E384" s="1" t="s">
        <v>116</v>
      </c>
      <c r="F384" s="2">
        <v>46209</v>
      </c>
      <c r="G384" s="2">
        <v>46210</v>
      </c>
      <c r="H384" s="4">
        <v>0</v>
      </c>
      <c r="J384" s="1" t="s">
        <v>41</v>
      </c>
      <c r="K384" s="1">
        <v>578</v>
      </c>
      <c r="L384" s="1">
        <v>580</v>
      </c>
      <c r="M384" s="1" t="s">
        <v>686</v>
      </c>
      <c r="N384" s="3">
        <v>46210</v>
      </c>
      <c r="P384" s="1" t="s">
        <v>67</v>
      </c>
      <c r="Q384" s="1" t="s">
        <v>55</v>
      </c>
      <c r="R384" s="1" t="s">
        <v>569</v>
      </c>
      <c r="S384" s="3">
        <v>46204</v>
      </c>
      <c r="T384" s="3">
        <v>46205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1</v>
      </c>
      <c r="AK384" s="1">
        <v>0</v>
      </c>
      <c r="AL384" s="1">
        <v>0</v>
      </c>
      <c r="AM384" s="1">
        <v>0</v>
      </c>
    </row>
    <row r="385" spans="1:39" x14ac:dyDescent="0.25">
      <c r="A385" s="1">
        <v>580</v>
      </c>
      <c r="B385" s="1" t="s">
        <v>787</v>
      </c>
      <c r="C385" s="1" t="s">
        <v>784</v>
      </c>
      <c r="D385" s="1" t="s">
        <v>115</v>
      </c>
      <c r="E385" s="1" t="s">
        <v>52</v>
      </c>
      <c r="F385" s="2">
        <v>46211</v>
      </c>
      <c r="G385" s="2">
        <v>46211</v>
      </c>
      <c r="H385" s="4">
        <v>0</v>
      </c>
      <c r="J385" s="1" t="s">
        <v>83</v>
      </c>
      <c r="K385" s="1">
        <v>579</v>
      </c>
      <c r="M385" s="1" t="s">
        <v>688</v>
      </c>
      <c r="N385" s="3">
        <v>46211</v>
      </c>
      <c r="P385" s="1" t="s">
        <v>67</v>
      </c>
      <c r="Q385" s="1" t="s">
        <v>55</v>
      </c>
      <c r="R385" s="1" t="s">
        <v>569</v>
      </c>
      <c r="S385" s="3">
        <v>46206</v>
      </c>
      <c r="T385" s="3">
        <v>46206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</row>
    <row r="386" spans="1:39" x14ac:dyDescent="0.25">
      <c r="A386" s="1">
        <v>581</v>
      </c>
      <c r="B386" s="1" t="s">
        <v>788</v>
      </c>
      <c r="C386" s="1" t="s">
        <v>571</v>
      </c>
      <c r="D386" s="1" t="s">
        <v>789</v>
      </c>
      <c r="E386" s="1" t="s">
        <v>679</v>
      </c>
      <c r="F386" s="2">
        <v>46191</v>
      </c>
      <c r="G386" s="2">
        <v>46211</v>
      </c>
      <c r="H386" s="4">
        <v>0.8</v>
      </c>
      <c r="J386" s="1" t="s">
        <v>41</v>
      </c>
      <c r="M386" s="1" t="s">
        <v>308</v>
      </c>
      <c r="N386" s="3">
        <v>46211</v>
      </c>
      <c r="P386" s="1" t="s">
        <v>73</v>
      </c>
      <c r="Q386" s="1" t="s">
        <v>55</v>
      </c>
      <c r="R386" s="1" t="s">
        <v>569</v>
      </c>
      <c r="S386" s="3">
        <v>46189</v>
      </c>
      <c r="T386" s="3">
        <v>46206</v>
      </c>
      <c r="AB386" s="1">
        <v>0.8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</row>
    <row r="387" spans="1:39" x14ac:dyDescent="0.25">
      <c r="A387" s="1">
        <v>582</v>
      </c>
      <c r="B387" s="1" t="s">
        <v>790</v>
      </c>
      <c r="C387" s="1" t="s">
        <v>791</v>
      </c>
      <c r="D387" s="1" t="s">
        <v>101</v>
      </c>
      <c r="E387" s="1" t="s">
        <v>682</v>
      </c>
      <c r="F387" s="2">
        <v>46191</v>
      </c>
      <c r="G387" s="2">
        <v>46203</v>
      </c>
      <c r="H387" s="4">
        <v>1</v>
      </c>
      <c r="I387" s="2">
        <v>46203</v>
      </c>
      <c r="J387" s="1" t="s">
        <v>53</v>
      </c>
      <c r="K387" s="1" t="s">
        <v>693</v>
      </c>
      <c r="L387" s="1">
        <v>583</v>
      </c>
      <c r="M387" s="1" t="s">
        <v>308</v>
      </c>
      <c r="N387" s="3">
        <v>46205</v>
      </c>
      <c r="P387" s="1" t="s">
        <v>73</v>
      </c>
      <c r="Q387" s="1" t="s">
        <v>55</v>
      </c>
      <c r="R387" s="1" t="s">
        <v>569</v>
      </c>
      <c r="S387" s="3">
        <v>46189</v>
      </c>
      <c r="T387" s="3">
        <v>46202</v>
      </c>
      <c r="AB387" s="1">
        <v>1</v>
      </c>
      <c r="AC387" s="1">
        <v>1</v>
      </c>
      <c r="AD387" s="1">
        <v>1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1</v>
      </c>
    </row>
    <row r="388" spans="1:39" x14ac:dyDescent="0.25">
      <c r="A388" s="1">
        <v>583</v>
      </c>
      <c r="B388" s="1" t="s">
        <v>792</v>
      </c>
      <c r="C388" s="1" t="s">
        <v>791</v>
      </c>
      <c r="D388" s="1" t="s">
        <v>105</v>
      </c>
      <c r="E388" s="1" t="s">
        <v>102</v>
      </c>
      <c r="F388" s="2">
        <v>46204</v>
      </c>
      <c r="G388" s="2">
        <v>46206</v>
      </c>
      <c r="H388" s="4">
        <v>1</v>
      </c>
      <c r="I388" s="2">
        <v>46206</v>
      </c>
      <c r="J388" s="1" t="s">
        <v>53</v>
      </c>
      <c r="K388" s="1">
        <v>582</v>
      </c>
      <c r="L388" s="1">
        <v>584</v>
      </c>
      <c r="M388" s="1" t="s">
        <v>385</v>
      </c>
      <c r="N388" s="3">
        <v>46206</v>
      </c>
      <c r="P388" s="1" t="s">
        <v>180</v>
      </c>
      <c r="Q388" s="1" t="s">
        <v>55</v>
      </c>
      <c r="R388" s="1" t="s">
        <v>569</v>
      </c>
      <c r="S388" s="3">
        <v>46203</v>
      </c>
      <c r="T388" s="3">
        <v>46203</v>
      </c>
      <c r="AB388" s="1">
        <v>1</v>
      </c>
      <c r="AC388" s="1">
        <v>0</v>
      </c>
      <c r="AD388" s="1">
        <v>0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</row>
    <row r="389" spans="1:39" x14ac:dyDescent="0.25">
      <c r="A389" s="1">
        <v>584</v>
      </c>
      <c r="B389" s="1" t="s">
        <v>793</v>
      </c>
      <c r="C389" s="1" t="s">
        <v>791</v>
      </c>
      <c r="D389" s="1" t="s">
        <v>109</v>
      </c>
      <c r="E389" s="1" t="s">
        <v>116</v>
      </c>
      <c r="F389" s="2">
        <v>46209</v>
      </c>
      <c r="G389" s="2">
        <v>46210</v>
      </c>
      <c r="H389" s="4">
        <v>0</v>
      </c>
      <c r="J389" s="1" t="s">
        <v>41</v>
      </c>
      <c r="K389" s="1">
        <v>583</v>
      </c>
      <c r="L389" s="1">
        <v>585</v>
      </c>
      <c r="M389" s="1" t="s">
        <v>686</v>
      </c>
      <c r="N389" s="3">
        <v>46210</v>
      </c>
      <c r="P389" s="1" t="s">
        <v>67</v>
      </c>
      <c r="Q389" s="1" t="s">
        <v>55</v>
      </c>
      <c r="R389" s="1" t="s">
        <v>569</v>
      </c>
      <c r="S389" s="3">
        <v>46204</v>
      </c>
      <c r="T389" s="3">
        <v>46205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1</v>
      </c>
      <c r="AK389" s="1">
        <v>0</v>
      </c>
      <c r="AL389" s="1">
        <v>0</v>
      </c>
      <c r="AM389" s="1">
        <v>0</v>
      </c>
    </row>
    <row r="390" spans="1:39" x14ac:dyDescent="0.25">
      <c r="A390" s="1">
        <v>585</v>
      </c>
      <c r="B390" s="1" t="s">
        <v>794</v>
      </c>
      <c r="C390" s="1" t="s">
        <v>791</v>
      </c>
      <c r="D390" s="1" t="s">
        <v>115</v>
      </c>
      <c r="E390" s="1" t="s">
        <v>52</v>
      </c>
      <c r="F390" s="2">
        <v>46211</v>
      </c>
      <c r="G390" s="2">
        <v>46211</v>
      </c>
      <c r="H390" s="4">
        <v>0</v>
      </c>
      <c r="J390" s="1" t="s">
        <v>83</v>
      </c>
      <c r="K390" s="1">
        <v>584</v>
      </c>
      <c r="M390" s="1" t="s">
        <v>688</v>
      </c>
      <c r="N390" s="3">
        <v>46211</v>
      </c>
      <c r="P390" s="1" t="s">
        <v>67</v>
      </c>
      <c r="Q390" s="1" t="s">
        <v>55</v>
      </c>
      <c r="R390" s="1" t="s">
        <v>569</v>
      </c>
      <c r="S390" s="3">
        <v>46206</v>
      </c>
      <c r="T390" s="3">
        <v>46206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</row>
    <row r="391" spans="1:39" x14ac:dyDescent="0.25">
      <c r="A391" s="1">
        <v>586</v>
      </c>
      <c r="B391" s="1" t="s">
        <v>795</v>
      </c>
      <c r="C391" s="1" t="s">
        <v>571</v>
      </c>
      <c r="D391" s="1" t="s">
        <v>796</v>
      </c>
      <c r="E391" s="1" t="s">
        <v>679</v>
      </c>
      <c r="F391" s="2">
        <v>46191</v>
      </c>
      <c r="G391" s="2">
        <v>46211</v>
      </c>
      <c r="H391" s="4">
        <v>0.8</v>
      </c>
      <c r="J391" s="1" t="s">
        <v>41</v>
      </c>
      <c r="M391" s="1" t="s">
        <v>308</v>
      </c>
      <c r="N391" s="3">
        <v>46211</v>
      </c>
      <c r="P391" s="1" t="s">
        <v>73</v>
      </c>
      <c r="Q391" s="1" t="s">
        <v>55</v>
      </c>
      <c r="R391" s="1" t="s">
        <v>569</v>
      </c>
      <c r="S391" s="3">
        <v>46189</v>
      </c>
      <c r="T391" s="3">
        <v>46206</v>
      </c>
      <c r="U391" s="1" t="s">
        <v>77</v>
      </c>
      <c r="AB391" s="1">
        <v>0.8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</row>
    <row r="392" spans="1:39" x14ac:dyDescent="0.25">
      <c r="A392" s="1">
        <v>587</v>
      </c>
      <c r="B392" s="1" t="s">
        <v>797</v>
      </c>
      <c r="C392" s="1" t="s">
        <v>798</v>
      </c>
      <c r="D392" s="1" t="s">
        <v>101</v>
      </c>
      <c r="E392" s="1" t="s">
        <v>682</v>
      </c>
      <c r="F392" s="2">
        <v>46191</v>
      </c>
      <c r="G392" s="2">
        <v>46203</v>
      </c>
      <c r="H392" s="4">
        <v>1</v>
      </c>
      <c r="I392" s="2">
        <v>46203</v>
      </c>
      <c r="J392" s="1" t="s">
        <v>53</v>
      </c>
      <c r="K392" s="1" t="s">
        <v>693</v>
      </c>
      <c r="L392" s="1">
        <v>588</v>
      </c>
      <c r="M392" s="1" t="s">
        <v>304</v>
      </c>
      <c r="N392" s="3">
        <v>46202</v>
      </c>
      <c r="P392" s="1" t="s">
        <v>73</v>
      </c>
      <c r="Q392" s="1" t="s">
        <v>55</v>
      </c>
      <c r="R392" s="1" t="s">
        <v>569</v>
      </c>
      <c r="S392" s="3">
        <v>46192</v>
      </c>
      <c r="T392" s="3">
        <v>46202</v>
      </c>
      <c r="AB392" s="1">
        <v>1</v>
      </c>
      <c r="AC392" s="1">
        <v>1</v>
      </c>
      <c r="AD392" s="1">
        <v>1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1</v>
      </c>
    </row>
    <row r="393" spans="1:39" x14ac:dyDescent="0.25">
      <c r="A393" s="1">
        <v>588</v>
      </c>
      <c r="B393" s="1" t="s">
        <v>799</v>
      </c>
      <c r="C393" s="1" t="s">
        <v>798</v>
      </c>
      <c r="D393" s="1" t="s">
        <v>105</v>
      </c>
      <c r="E393" s="1" t="s">
        <v>102</v>
      </c>
      <c r="F393" s="2">
        <v>46204</v>
      </c>
      <c r="G393" s="2">
        <v>46206</v>
      </c>
      <c r="H393" s="4">
        <v>1</v>
      </c>
      <c r="I393" s="2">
        <v>46206</v>
      </c>
      <c r="J393" s="1" t="s">
        <v>53</v>
      </c>
      <c r="K393" s="1">
        <v>587</v>
      </c>
      <c r="L393" s="1">
        <v>589</v>
      </c>
      <c r="M393" s="1" t="s">
        <v>196</v>
      </c>
      <c r="N393" s="3">
        <v>46203</v>
      </c>
      <c r="P393" s="1" t="s">
        <v>180</v>
      </c>
      <c r="Q393" s="1" t="s">
        <v>55</v>
      </c>
      <c r="R393" s="1" t="s">
        <v>569</v>
      </c>
      <c r="S393" s="3">
        <v>46203</v>
      </c>
      <c r="T393" s="3">
        <v>46203</v>
      </c>
      <c r="AB393" s="1">
        <v>1</v>
      </c>
      <c r="AC393" s="1">
        <v>0</v>
      </c>
      <c r="AD393" s="1">
        <v>0</v>
      </c>
      <c r="AE393" s="1">
        <v>0</v>
      </c>
      <c r="AF393" s="1">
        <v>0</v>
      </c>
      <c r="AG393" s="1">
        <v>1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</row>
    <row r="394" spans="1:39" x14ac:dyDescent="0.25">
      <c r="A394" s="1">
        <v>589</v>
      </c>
      <c r="B394" s="1" t="s">
        <v>800</v>
      </c>
      <c r="C394" s="1" t="s">
        <v>798</v>
      </c>
      <c r="D394" s="1" t="s">
        <v>109</v>
      </c>
      <c r="E394" s="1" t="s">
        <v>116</v>
      </c>
      <c r="F394" s="2">
        <v>46209</v>
      </c>
      <c r="G394" s="2">
        <v>46210</v>
      </c>
      <c r="H394" s="4">
        <v>0</v>
      </c>
      <c r="J394" s="1" t="s">
        <v>41</v>
      </c>
      <c r="K394" s="1">
        <v>588</v>
      </c>
      <c r="L394" s="1">
        <v>590</v>
      </c>
      <c r="M394" s="1" t="s">
        <v>404</v>
      </c>
      <c r="N394" s="3">
        <v>46204</v>
      </c>
      <c r="P394" s="1" t="s">
        <v>67</v>
      </c>
      <c r="Q394" s="1" t="s">
        <v>55</v>
      </c>
      <c r="R394" s="1" t="s">
        <v>569</v>
      </c>
      <c r="S394" s="3">
        <v>46204</v>
      </c>
      <c r="T394" s="3">
        <v>46204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1</v>
      </c>
      <c r="AK394" s="1">
        <v>0</v>
      </c>
      <c r="AL394" s="1">
        <v>0</v>
      </c>
      <c r="AM394" s="1">
        <v>0</v>
      </c>
    </row>
    <row r="395" spans="1:39" x14ac:dyDescent="0.25">
      <c r="A395" s="1">
        <v>590</v>
      </c>
      <c r="B395" s="1" t="s">
        <v>801</v>
      </c>
      <c r="C395" s="1" t="s">
        <v>798</v>
      </c>
      <c r="D395" s="1" t="s">
        <v>115</v>
      </c>
      <c r="E395" s="1" t="s">
        <v>52</v>
      </c>
      <c r="F395" s="2">
        <v>46211</v>
      </c>
      <c r="G395" s="2">
        <v>46211</v>
      </c>
      <c r="H395" s="4">
        <v>0</v>
      </c>
      <c r="J395" s="1" t="s">
        <v>83</v>
      </c>
      <c r="K395" s="1">
        <v>589</v>
      </c>
      <c r="M395" s="1" t="s">
        <v>383</v>
      </c>
      <c r="N395" s="3">
        <v>46205</v>
      </c>
      <c r="P395" s="1" t="s">
        <v>67</v>
      </c>
      <c r="Q395" s="1" t="s">
        <v>55</v>
      </c>
      <c r="R395" s="1" t="s">
        <v>569</v>
      </c>
      <c r="S395" s="3">
        <v>46205</v>
      </c>
      <c r="T395" s="3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</row>
    <row r="396" spans="1:39" x14ac:dyDescent="0.25">
      <c r="A396" s="1">
        <v>591</v>
      </c>
      <c r="B396" s="1" t="s">
        <v>802</v>
      </c>
      <c r="C396" s="1" t="s">
        <v>571</v>
      </c>
      <c r="D396" s="1" t="s">
        <v>803</v>
      </c>
      <c r="E396" s="1" t="s">
        <v>679</v>
      </c>
      <c r="F396" s="2">
        <v>46191</v>
      </c>
      <c r="G396" s="2">
        <v>46211</v>
      </c>
      <c r="H396" s="4">
        <v>0.8</v>
      </c>
      <c r="J396" s="1" t="s">
        <v>41</v>
      </c>
      <c r="M396" s="1" t="s">
        <v>308</v>
      </c>
      <c r="N396" s="3">
        <v>46211</v>
      </c>
      <c r="P396" s="1" t="s">
        <v>73</v>
      </c>
      <c r="Q396" s="1" t="s">
        <v>55</v>
      </c>
      <c r="R396" s="1" t="s">
        <v>569</v>
      </c>
      <c r="S396" s="3">
        <v>46189</v>
      </c>
      <c r="T396" s="3">
        <v>46206</v>
      </c>
      <c r="U396" s="1" t="s">
        <v>77</v>
      </c>
      <c r="AB396" s="1">
        <v>0.8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</row>
    <row r="397" spans="1:39" x14ac:dyDescent="0.25">
      <c r="A397" s="1">
        <v>592</v>
      </c>
      <c r="B397" s="1" t="s">
        <v>804</v>
      </c>
      <c r="C397" s="1" t="s">
        <v>805</v>
      </c>
      <c r="D397" s="1" t="s">
        <v>101</v>
      </c>
      <c r="E397" s="1" t="s">
        <v>682</v>
      </c>
      <c r="F397" s="2">
        <v>46191</v>
      </c>
      <c r="G397" s="2">
        <v>46203</v>
      </c>
      <c r="H397" s="4">
        <v>1</v>
      </c>
      <c r="I397" s="2">
        <v>46203</v>
      </c>
      <c r="J397" s="1" t="s">
        <v>53</v>
      </c>
      <c r="K397" s="1" t="s">
        <v>693</v>
      </c>
      <c r="L397" s="1">
        <v>593</v>
      </c>
      <c r="M397" s="1" t="s">
        <v>284</v>
      </c>
      <c r="N397" s="3">
        <v>46203</v>
      </c>
      <c r="P397" s="1" t="s">
        <v>73</v>
      </c>
      <c r="Q397" s="1" t="s">
        <v>55</v>
      </c>
      <c r="R397" s="1" t="s">
        <v>569</v>
      </c>
      <c r="S397" s="3">
        <v>46195</v>
      </c>
      <c r="T397" s="3">
        <v>46203</v>
      </c>
      <c r="AB397" s="1">
        <v>1</v>
      </c>
      <c r="AC397" s="1">
        <v>1</v>
      </c>
      <c r="AD397" s="1">
        <v>1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1</v>
      </c>
    </row>
    <row r="398" spans="1:39" x14ac:dyDescent="0.25">
      <c r="A398" s="1">
        <v>593</v>
      </c>
      <c r="B398" s="1" t="s">
        <v>806</v>
      </c>
      <c r="C398" s="1" t="s">
        <v>805</v>
      </c>
      <c r="D398" s="1" t="s">
        <v>105</v>
      </c>
      <c r="E398" s="1" t="s">
        <v>102</v>
      </c>
      <c r="F398" s="2">
        <v>46204</v>
      </c>
      <c r="G398" s="2">
        <v>46206</v>
      </c>
      <c r="H398" s="4">
        <v>1</v>
      </c>
      <c r="I398" s="2">
        <v>46206</v>
      </c>
      <c r="J398" s="1" t="s">
        <v>53</v>
      </c>
      <c r="K398" s="1">
        <v>592</v>
      </c>
      <c r="L398" s="1">
        <v>594</v>
      </c>
      <c r="M398" s="1" t="s">
        <v>404</v>
      </c>
      <c r="N398" s="3">
        <v>46204</v>
      </c>
      <c r="P398" s="1" t="s">
        <v>180</v>
      </c>
      <c r="Q398" s="1" t="s">
        <v>55</v>
      </c>
      <c r="R398" s="1" t="s">
        <v>569</v>
      </c>
      <c r="S398" s="3">
        <v>46204</v>
      </c>
      <c r="T398" s="3">
        <v>46204</v>
      </c>
      <c r="AB398" s="1">
        <v>1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</row>
    <row r="399" spans="1:39" x14ac:dyDescent="0.25">
      <c r="A399" s="1">
        <v>594</v>
      </c>
      <c r="B399" s="1" t="s">
        <v>807</v>
      </c>
      <c r="C399" s="1" t="s">
        <v>805</v>
      </c>
      <c r="D399" s="1" t="s">
        <v>109</v>
      </c>
      <c r="E399" s="1" t="s">
        <v>116</v>
      </c>
      <c r="F399" s="2">
        <v>46209</v>
      </c>
      <c r="G399" s="2">
        <v>46210</v>
      </c>
      <c r="H399" s="4">
        <v>0</v>
      </c>
      <c r="J399" s="1" t="s">
        <v>41</v>
      </c>
      <c r="K399" s="1">
        <v>593</v>
      </c>
      <c r="L399" s="1">
        <v>595</v>
      </c>
      <c r="M399" s="1" t="s">
        <v>383</v>
      </c>
      <c r="N399" s="3">
        <v>46205</v>
      </c>
      <c r="P399" s="1" t="s">
        <v>67</v>
      </c>
      <c r="Q399" s="1" t="s">
        <v>55</v>
      </c>
      <c r="R399" s="1" t="s">
        <v>569</v>
      </c>
      <c r="S399" s="3">
        <v>46205</v>
      </c>
      <c r="T399" s="3">
        <v>46205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1</v>
      </c>
      <c r="AK399" s="1">
        <v>0</v>
      </c>
      <c r="AL399" s="1">
        <v>0</v>
      </c>
      <c r="AM399" s="1">
        <v>0</v>
      </c>
    </row>
    <row r="400" spans="1:39" x14ac:dyDescent="0.25">
      <c r="A400" s="1">
        <v>595</v>
      </c>
      <c r="B400" s="1" t="s">
        <v>808</v>
      </c>
      <c r="C400" s="1" t="s">
        <v>805</v>
      </c>
      <c r="D400" s="1" t="s">
        <v>115</v>
      </c>
      <c r="E400" s="1" t="s">
        <v>52</v>
      </c>
      <c r="F400" s="2">
        <v>46211</v>
      </c>
      <c r="G400" s="2">
        <v>46211</v>
      </c>
      <c r="H400" s="4">
        <v>0</v>
      </c>
      <c r="J400" s="1" t="s">
        <v>83</v>
      </c>
      <c r="K400" s="1">
        <v>594</v>
      </c>
      <c r="M400" s="1" t="s">
        <v>385</v>
      </c>
      <c r="N400" s="3">
        <v>46206</v>
      </c>
      <c r="P400" s="1" t="s">
        <v>67</v>
      </c>
      <c r="Q400" s="1" t="s">
        <v>55</v>
      </c>
      <c r="R400" s="1" t="s">
        <v>569</v>
      </c>
      <c r="S400" s="3">
        <v>46206</v>
      </c>
      <c r="T400" s="3">
        <v>46206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</row>
    <row r="401" spans="1:39" x14ac:dyDescent="0.25">
      <c r="A401" s="1">
        <v>596</v>
      </c>
      <c r="B401" s="1" t="s">
        <v>809</v>
      </c>
      <c r="C401" s="1" t="s">
        <v>571</v>
      </c>
      <c r="D401" s="1" t="s">
        <v>810</v>
      </c>
      <c r="E401" s="1" t="s">
        <v>679</v>
      </c>
      <c r="F401" s="2">
        <v>46191</v>
      </c>
      <c r="G401" s="2">
        <v>46211</v>
      </c>
      <c r="H401" s="4">
        <v>0.8</v>
      </c>
      <c r="J401" s="1" t="s">
        <v>41</v>
      </c>
      <c r="M401" s="1" t="s">
        <v>308</v>
      </c>
      <c r="N401" s="3">
        <v>46211</v>
      </c>
      <c r="P401" s="1" t="s">
        <v>73</v>
      </c>
      <c r="Q401" s="1" t="s">
        <v>55</v>
      </c>
      <c r="R401" s="1" t="s">
        <v>569</v>
      </c>
      <c r="S401" s="3">
        <v>46189</v>
      </c>
      <c r="T401" s="3">
        <v>46206</v>
      </c>
      <c r="U401" s="1" t="s">
        <v>77</v>
      </c>
      <c r="AB401" s="1">
        <v>0.8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</row>
    <row r="402" spans="1:39" x14ac:dyDescent="0.25">
      <c r="A402" s="1">
        <v>597</v>
      </c>
      <c r="B402" s="1" t="s">
        <v>811</v>
      </c>
      <c r="C402" s="1" t="s">
        <v>812</v>
      </c>
      <c r="D402" s="1" t="s">
        <v>101</v>
      </c>
      <c r="E402" s="1" t="s">
        <v>682</v>
      </c>
      <c r="F402" s="2">
        <v>46191</v>
      </c>
      <c r="G402" s="2">
        <v>46203</v>
      </c>
      <c r="H402" s="4">
        <v>1</v>
      </c>
      <c r="I402" s="2">
        <v>46203</v>
      </c>
      <c r="J402" s="1" t="s">
        <v>53</v>
      </c>
      <c r="K402" s="1" t="s">
        <v>693</v>
      </c>
      <c r="L402" s="1">
        <v>598</v>
      </c>
      <c r="M402" s="1" t="s">
        <v>284</v>
      </c>
      <c r="N402" s="3">
        <v>46203</v>
      </c>
      <c r="P402" s="1" t="s">
        <v>73</v>
      </c>
      <c r="Q402" s="1" t="s">
        <v>55</v>
      </c>
      <c r="R402" s="1" t="s">
        <v>569</v>
      </c>
      <c r="S402" s="3">
        <v>46195</v>
      </c>
      <c r="T402" s="3">
        <v>46203</v>
      </c>
      <c r="AB402" s="1">
        <v>1</v>
      </c>
      <c r="AC402" s="1">
        <v>1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1</v>
      </c>
    </row>
    <row r="403" spans="1:39" x14ac:dyDescent="0.25">
      <c r="A403" s="1">
        <v>598</v>
      </c>
      <c r="B403" s="1" t="s">
        <v>813</v>
      </c>
      <c r="C403" s="1" t="s">
        <v>812</v>
      </c>
      <c r="D403" s="1" t="s">
        <v>105</v>
      </c>
      <c r="E403" s="1" t="s">
        <v>102</v>
      </c>
      <c r="F403" s="2">
        <v>46204</v>
      </c>
      <c r="G403" s="2">
        <v>46206</v>
      </c>
      <c r="H403" s="4">
        <v>1</v>
      </c>
      <c r="I403" s="2">
        <v>46206</v>
      </c>
      <c r="J403" s="1" t="s">
        <v>53</v>
      </c>
      <c r="K403" s="1">
        <v>597</v>
      </c>
      <c r="L403" s="1">
        <v>599</v>
      </c>
      <c r="M403" s="1" t="s">
        <v>404</v>
      </c>
      <c r="N403" s="3">
        <v>46204</v>
      </c>
      <c r="P403" s="1" t="s">
        <v>180</v>
      </c>
      <c r="Q403" s="1" t="s">
        <v>55</v>
      </c>
      <c r="R403" s="1" t="s">
        <v>569</v>
      </c>
      <c r="S403" s="3">
        <v>46204</v>
      </c>
      <c r="T403" s="3">
        <v>46204</v>
      </c>
      <c r="AB403" s="1">
        <v>1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</row>
    <row r="404" spans="1:39" x14ac:dyDescent="0.25">
      <c r="A404" s="1">
        <v>599</v>
      </c>
      <c r="B404" s="1" t="s">
        <v>814</v>
      </c>
      <c r="C404" s="1" t="s">
        <v>812</v>
      </c>
      <c r="D404" s="1" t="s">
        <v>109</v>
      </c>
      <c r="E404" s="1" t="s">
        <v>116</v>
      </c>
      <c r="F404" s="2">
        <v>46209</v>
      </c>
      <c r="G404" s="2">
        <v>46210</v>
      </c>
      <c r="H404" s="4">
        <v>0</v>
      </c>
      <c r="J404" s="1" t="s">
        <v>41</v>
      </c>
      <c r="K404" s="1">
        <v>598</v>
      </c>
      <c r="L404" s="1">
        <v>600</v>
      </c>
      <c r="M404" s="1" t="s">
        <v>383</v>
      </c>
      <c r="N404" s="3">
        <v>46205</v>
      </c>
      <c r="P404" s="1" t="s">
        <v>67</v>
      </c>
      <c r="Q404" s="1" t="s">
        <v>55</v>
      </c>
      <c r="R404" s="1" t="s">
        <v>569</v>
      </c>
      <c r="S404" s="3">
        <v>46205</v>
      </c>
      <c r="T404" s="3">
        <v>46205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s="1">
        <v>0</v>
      </c>
      <c r="AM404" s="1">
        <v>0</v>
      </c>
    </row>
    <row r="405" spans="1:39" x14ac:dyDescent="0.25">
      <c r="A405" s="1">
        <v>600</v>
      </c>
      <c r="B405" s="1" t="s">
        <v>815</v>
      </c>
      <c r="C405" s="1" t="s">
        <v>812</v>
      </c>
      <c r="D405" s="1" t="s">
        <v>115</v>
      </c>
      <c r="E405" s="1" t="s">
        <v>52</v>
      </c>
      <c r="F405" s="2">
        <v>46211</v>
      </c>
      <c r="G405" s="2">
        <v>46211</v>
      </c>
      <c r="H405" s="4">
        <v>0</v>
      </c>
      <c r="J405" s="1" t="s">
        <v>83</v>
      </c>
      <c r="K405" s="1">
        <v>599</v>
      </c>
      <c r="M405" s="1" t="s">
        <v>385</v>
      </c>
      <c r="N405" s="3">
        <v>46206</v>
      </c>
      <c r="P405" s="1" t="s">
        <v>67</v>
      </c>
      <c r="Q405" s="1" t="s">
        <v>55</v>
      </c>
      <c r="R405" s="1" t="s">
        <v>569</v>
      </c>
      <c r="S405" s="3">
        <v>46206</v>
      </c>
      <c r="T405" s="3">
        <v>46206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</row>
    <row r="406" spans="1:39" x14ac:dyDescent="0.25">
      <c r="A406" s="1">
        <v>601</v>
      </c>
      <c r="B406" s="1" t="s">
        <v>816</v>
      </c>
      <c r="C406" s="1" t="s">
        <v>571</v>
      </c>
      <c r="D406" s="1" t="s">
        <v>817</v>
      </c>
      <c r="E406" s="1" t="s">
        <v>679</v>
      </c>
      <c r="F406" s="2">
        <v>46191</v>
      </c>
      <c r="G406" s="2">
        <v>46211</v>
      </c>
      <c r="H406" s="4">
        <v>0.8</v>
      </c>
      <c r="J406" s="1" t="s">
        <v>41</v>
      </c>
      <c r="M406" s="1" t="s">
        <v>308</v>
      </c>
      <c r="N406" s="3">
        <v>46211</v>
      </c>
      <c r="P406" s="1" t="s">
        <v>73</v>
      </c>
      <c r="Q406" s="1" t="s">
        <v>55</v>
      </c>
      <c r="R406" s="1" t="s">
        <v>569</v>
      </c>
      <c r="S406" s="3">
        <v>46189</v>
      </c>
      <c r="T406" s="3">
        <v>46206</v>
      </c>
      <c r="U406" s="1" t="s">
        <v>77</v>
      </c>
      <c r="AB406" s="1">
        <v>0.8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</row>
    <row r="407" spans="1:39" x14ac:dyDescent="0.25">
      <c r="A407" s="1">
        <v>602</v>
      </c>
      <c r="B407" s="1" t="s">
        <v>818</v>
      </c>
      <c r="C407" s="1" t="s">
        <v>819</v>
      </c>
      <c r="D407" s="1" t="s">
        <v>101</v>
      </c>
      <c r="E407" s="1" t="s">
        <v>682</v>
      </c>
      <c r="F407" s="2">
        <v>46191</v>
      </c>
      <c r="G407" s="2">
        <v>46203</v>
      </c>
      <c r="H407" s="4">
        <v>1</v>
      </c>
      <c r="I407" s="2">
        <v>46203</v>
      </c>
      <c r="J407" s="1" t="s">
        <v>53</v>
      </c>
      <c r="K407" s="1" t="s">
        <v>693</v>
      </c>
      <c r="L407" s="1">
        <v>603</v>
      </c>
      <c r="M407" s="1" t="s">
        <v>304</v>
      </c>
      <c r="N407" s="3">
        <v>46202</v>
      </c>
      <c r="P407" s="1" t="s">
        <v>73</v>
      </c>
      <c r="Q407" s="1" t="s">
        <v>55</v>
      </c>
      <c r="R407" s="1" t="s">
        <v>569</v>
      </c>
      <c r="S407" s="3">
        <v>46192</v>
      </c>
      <c r="T407" s="3">
        <v>46202</v>
      </c>
      <c r="AB407" s="1">
        <v>1</v>
      </c>
      <c r="AC407" s="1">
        <v>1</v>
      </c>
      <c r="AD407" s="1">
        <v>1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1</v>
      </c>
    </row>
    <row r="408" spans="1:39" x14ac:dyDescent="0.25">
      <c r="A408" s="1">
        <v>603</v>
      </c>
      <c r="B408" s="1" t="s">
        <v>820</v>
      </c>
      <c r="C408" s="1" t="s">
        <v>819</v>
      </c>
      <c r="D408" s="1" t="s">
        <v>105</v>
      </c>
      <c r="E408" s="1" t="s">
        <v>102</v>
      </c>
      <c r="F408" s="2">
        <v>46204</v>
      </c>
      <c r="G408" s="2">
        <v>46206</v>
      </c>
      <c r="H408" s="4">
        <v>1</v>
      </c>
      <c r="I408" s="2">
        <v>46206</v>
      </c>
      <c r="J408" s="1" t="s">
        <v>53</v>
      </c>
      <c r="K408" s="1">
        <v>602</v>
      </c>
      <c r="L408" s="1">
        <v>604</v>
      </c>
      <c r="M408" s="1" t="s">
        <v>196</v>
      </c>
      <c r="N408" s="3">
        <v>46203</v>
      </c>
      <c r="P408" s="1" t="s">
        <v>180</v>
      </c>
      <c r="Q408" s="1" t="s">
        <v>55</v>
      </c>
      <c r="R408" s="1" t="s">
        <v>569</v>
      </c>
      <c r="S408" s="3">
        <v>46203</v>
      </c>
      <c r="T408" s="3">
        <v>46203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</row>
    <row r="409" spans="1:39" x14ac:dyDescent="0.25">
      <c r="A409" s="1">
        <v>604</v>
      </c>
      <c r="B409" s="1" t="s">
        <v>821</v>
      </c>
      <c r="C409" s="1" t="s">
        <v>819</v>
      </c>
      <c r="D409" s="1" t="s">
        <v>109</v>
      </c>
      <c r="E409" s="1" t="s">
        <v>116</v>
      </c>
      <c r="F409" s="2">
        <v>46209</v>
      </c>
      <c r="G409" s="2">
        <v>46210</v>
      </c>
      <c r="H409" s="4">
        <v>0</v>
      </c>
      <c r="J409" s="1" t="s">
        <v>41</v>
      </c>
      <c r="K409" s="1">
        <v>603</v>
      </c>
      <c r="L409" s="1">
        <v>605</v>
      </c>
      <c r="M409" s="1" t="s">
        <v>404</v>
      </c>
      <c r="N409" s="3">
        <v>46204</v>
      </c>
      <c r="P409" s="1" t="s">
        <v>67</v>
      </c>
      <c r="Q409" s="1" t="s">
        <v>55</v>
      </c>
      <c r="R409" s="1" t="s">
        <v>569</v>
      </c>
      <c r="S409" s="3">
        <v>46204</v>
      </c>
      <c r="T409" s="3">
        <v>46204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1</v>
      </c>
      <c r="AK409" s="1">
        <v>0</v>
      </c>
      <c r="AL409" s="1">
        <v>0</v>
      </c>
      <c r="AM409" s="1">
        <v>0</v>
      </c>
    </row>
    <row r="410" spans="1:39" x14ac:dyDescent="0.25">
      <c r="A410" s="1">
        <v>605</v>
      </c>
      <c r="B410" s="1" t="s">
        <v>822</v>
      </c>
      <c r="C410" s="1" t="s">
        <v>819</v>
      </c>
      <c r="D410" s="1" t="s">
        <v>115</v>
      </c>
      <c r="E410" s="1" t="s">
        <v>52</v>
      </c>
      <c r="F410" s="2">
        <v>46211</v>
      </c>
      <c r="G410" s="2">
        <v>46211</v>
      </c>
      <c r="H410" s="4">
        <v>0</v>
      </c>
      <c r="J410" s="1" t="s">
        <v>83</v>
      </c>
      <c r="K410" s="1">
        <v>604</v>
      </c>
      <c r="M410" s="1" t="s">
        <v>383</v>
      </c>
      <c r="N410" s="3">
        <v>46205</v>
      </c>
      <c r="P410" s="1" t="s">
        <v>67</v>
      </c>
      <c r="Q410" s="1" t="s">
        <v>55</v>
      </c>
      <c r="R410" s="1" t="s">
        <v>569</v>
      </c>
      <c r="S410" s="3">
        <v>46205</v>
      </c>
      <c r="T410" s="3">
        <v>46205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</row>
    <row r="411" spans="1:39" x14ac:dyDescent="0.25">
      <c r="A411" s="1">
        <v>606</v>
      </c>
      <c r="B411" s="1" t="s">
        <v>823</v>
      </c>
      <c r="C411" s="1" t="s">
        <v>571</v>
      </c>
      <c r="D411" s="1" t="s">
        <v>824</v>
      </c>
      <c r="E411" s="1" t="s">
        <v>186</v>
      </c>
      <c r="F411" s="2">
        <v>46192</v>
      </c>
      <c r="G411" s="2">
        <v>46205</v>
      </c>
      <c r="H411" s="4">
        <v>0.8</v>
      </c>
      <c r="J411" s="1" t="s">
        <v>41</v>
      </c>
      <c r="M411" s="1" t="s">
        <v>308</v>
      </c>
      <c r="N411" s="3">
        <v>46211</v>
      </c>
      <c r="P411" s="1" t="s">
        <v>73</v>
      </c>
      <c r="Q411" s="1" t="s">
        <v>55</v>
      </c>
      <c r="R411" s="1" t="s">
        <v>569</v>
      </c>
      <c r="S411" s="3">
        <v>46189</v>
      </c>
      <c r="T411" s="3">
        <v>46206</v>
      </c>
      <c r="U411" s="1" t="s">
        <v>77</v>
      </c>
      <c r="AB411" s="1">
        <v>0.8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</row>
    <row r="412" spans="1:39" x14ac:dyDescent="0.25">
      <c r="A412" s="1">
        <v>607</v>
      </c>
      <c r="B412" s="1" t="s">
        <v>825</v>
      </c>
      <c r="C412" s="1" t="s">
        <v>826</v>
      </c>
      <c r="D412" s="1" t="s">
        <v>101</v>
      </c>
      <c r="E412" s="1" t="s">
        <v>223</v>
      </c>
      <c r="F412" s="2">
        <v>46192</v>
      </c>
      <c r="G412" s="2">
        <v>46199</v>
      </c>
      <c r="H412" s="4">
        <v>1</v>
      </c>
      <c r="I412" s="2">
        <v>46199</v>
      </c>
      <c r="J412" s="1" t="s">
        <v>53</v>
      </c>
      <c r="K412" s="1" t="s">
        <v>693</v>
      </c>
      <c r="L412" s="1">
        <v>608</v>
      </c>
      <c r="M412" s="1" t="s">
        <v>304</v>
      </c>
      <c r="N412" s="3">
        <v>46202</v>
      </c>
      <c r="P412" s="1" t="s">
        <v>73</v>
      </c>
      <c r="Q412" s="1" t="s">
        <v>55</v>
      </c>
      <c r="R412" s="1" t="s">
        <v>569</v>
      </c>
      <c r="S412" s="3">
        <v>46192</v>
      </c>
      <c r="T412" s="3">
        <v>46202</v>
      </c>
      <c r="AB412" s="1">
        <v>1</v>
      </c>
      <c r="AC412" s="1">
        <v>1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1</v>
      </c>
    </row>
    <row r="413" spans="1:39" x14ac:dyDescent="0.25">
      <c r="A413" s="1">
        <v>608</v>
      </c>
      <c r="B413" s="1" t="s">
        <v>827</v>
      </c>
      <c r="C413" s="1" t="s">
        <v>826</v>
      </c>
      <c r="D413" s="1" t="s">
        <v>105</v>
      </c>
      <c r="E413" s="1" t="s">
        <v>116</v>
      </c>
      <c r="F413" s="2">
        <v>46202</v>
      </c>
      <c r="G413" s="2">
        <v>46203</v>
      </c>
      <c r="H413" s="4">
        <v>1</v>
      </c>
      <c r="I413" s="2">
        <v>46203</v>
      </c>
      <c r="J413" s="1" t="s">
        <v>53</v>
      </c>
      <c r="K413" s="1">
        <v>607</v>
      </c>
      <c r="L413" s="1">
        <v>609</v>
      </c>
      <c r="M413" s="1" t="s">
        <v>196</v>
      </c>
      <c r="N413" s="3">
        <v>46203</v>
      </c>
      <c r="P413" s="1" t="s">
        <v>180</v>
      </c>
      <c r="Q413" s="1" t="s">
        <v>55</v>
      </c>
      <c r="R413" s="1" t="s">
        <v>569</v>
      </c>
      <c r="S413" s="3">
        <v>46203</v>
      </c>
      <c r="T413" s="3">
        <v>46203</v>
      </c>
      <c r="AB413" s="1">
        <v>1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</row>
    <row r="414" spans="1:39" x14ac:dyDescent="0.25">
      <c r="A414" s="1">
        <v>609</v>
      </c>
      <c r="B414" s="1" t="s">
        <v>828</v>
      </c>
      <c r="C414" s="1" t="s">
        <v>826</v>
      </c>
      <c r="D414" s="1" t="s">
        <v>109</v>
      </c>
      <c r="E414" s="1" t="s">
        <v>52</v>
      </c>
      <c r="F414" s="2">
        <v>46204</v>
      </c>
      <c r="G414" s="2">
        <v>46204</v>
      </c>
      <c r="H414" s="4">
        <v>0</v>
      </c>
      <c r="J414" s="1" t="s">
        <v>41</v>
      </c>
      <c r="K414" s="1">
        <v>608</v>
      </c>
      <c r="L414" s="1">
        <v>610</v>
      </c>
      <c r="M414" s="1" t="s">
        <v>404</v>
      </c>
      <c r="N414" s="3">
        <v>46204</v>
      </c>
      <c r="P414" s="1" t="s">
        <v>67</v>
      </c>
      <c r="Q414" s="1" t="s">
        <v>55</v>
      </c>
      <c r="R414" s="1" t="s">
        <v>569</v>
      </c>
      <c r="S414" s="3">
        <v>46204</v>
      </c>
      <c r="T414" s="3">
        <v>46204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1</v>
      </c>
      <c r="AK414" s="1">
        <v>0</v>
      </c>
      <c r="AL414" s="1">
        <v>0</v>
      </c>
      <c r="AM414" s="1">
        <v>0</v>
      </c>
    </row>
    <row r="415" spans="1:39" x14ac:dyDescent="0.25">
      <c r="A415" s="1">
        <v>610</v>
      </c>
      <c r="B415" s="1" t="s">
        <v>829</v>
      </c>
      <c r="C415" s="1" t="s">
        <v>826</v>
      </c>
      <c r="D415" s="1" t="s">
        <v>115</v>
      </c>
      <c r="E415" s="1" t="s">
        <v>52</v>
      </c>
      <c r="F415" s="2">
        <v>46205</v>
      </c>
      <c r="G415" s="2">
        <v>46205</v>
      </c>
      <c r="H415" s="4">
        <v>0</v>
      </c>
      <c r="J415" s="1" t="s">
        <v>41</v>
      </c>
      <c r="K415" s="1">
        <v>609</v>
      </c>
      <c r="M415" s="1" t="s">
        <v>383</v>
      </c>
      <c r="N415" s="3">
        <v>46205</v>
      </c>
      <c r="P415" s="1" t="s">
        <v>67</v>
      </c>
      <c r="Q415" s="1" t="s">
        <v>55</v>
      </c>
      <c r="R415" s="1" t="s">
        <v>569</v>
      </c>
      <c r="S415" s="3">
        <v>46205</v>
      </c>
      <c r="T415" s="3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1</v>
      </c>
      <c r="AM415" s="1">
        <v>0</v>
      </c>
    </row>
    <row r="416" spans="1:39" x14ac:dyDescent="0.25">
      <c r="A416" s="1">
        <v>611</v>
      </c>
      <c r="B416" s="1" t="s">
        <v>830</v>
      </c>
      <c r="C416" s="1" t="s">
        <v>571</v>
      </c>
      <c r="D416" s="1" t="s">
        <v>831</v>
      </c>
      <c r="E416" s="1" t="s">
        <v>186</v>
      </c>
      <c r="F416" s="2">
        <v>46191</v>
      </c>
      <c r="G416" s="2">
        <v>46204</v>
      </c>
      <c r="H416" s="4">
        <v>0.7</v>
      </c>
      <c r="J416" s="1" t="s">
        <v>41</v>
      </c>
      <c r="M416" s="1" t="s">
        <v>308</v>
      </c>
      <c r="N416" s="3">
        <v>46211</v>
      </c>
      <c r="P416" s="1" t="s">
        <v>73</v>
      </c>
      <c r="Q416" s="1" t="s">
        <v>55</v>
      </c>
      <c r="R416" s="1" t="s">
        <v>569</v>
      </c>
      <c r="S416" s="3">
        <v>46189</v>
      </c>
      <c r="T416" s="3">
        <v>46206</v>
      </c>
      <c r="U416" s="1" t="s">
        <v>77</v>
      </c>
      <c r="AB416" s="1">
        <v>0.7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</row>
    <row r="417" spans="1:39" x14ac:dyDescent="0.25">
      <c r="A417" s="1">
        <v>612</v>
      </c>
      <c r="B417" s="1" t="s">
        <v>832</v>
      </c>
      <c r="C417" s="1" t="s">
        <v>833</v>
      </c>
      <c r="D417" s="1" t="s">
        <v>101</v>
      </c>
      <c r="E417" s="1" t="s">
        <v>297</v>
      </c>
      <c r="F417" s="2">
        <v>46191</v>
      </c>
      <c r="G417" s="2">
        <v>46199</v>
      </c>
      <c r="H417" s="4">
        <v>1</v>
      </c>
      <c r="I417" s="2">
        <v>46199</v>
      </c>
      <c r="J417" s="1" t="s">
        <v>53</v>
      </c>
      <c r="K417" s="1" t="s">
        <v>693</v>
      </c>
      <c r="L417" s="1">
        <v>613</v>
      </c>
      <c r="M417" s="1" t="s">
        <v>304</v>
      </c>
      <c r="N417" s="3">
        <v>46202</v>
      </c>
      <c r="P417" s="1" t="s">
        <v>73</v>
      </c>
      <c r="Q417" s="1" t="s">
        <v>55</v>
      </c>
      <c r="R417" s="1" t="s">
        <v>569</v>
      </c>
      <c r="S417" s="3">
        <v>46192</v>
      </c>
      <c r="T417" s="3">
        <v>46202</v>
      </c>
      <c r="AB417" s="1">
        <v>1</v>
      </c>
      <c r="AC417" s="1">
        <v>1</v>
      </c>
      <c r="AD417" s="1">
        <v>1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1</v>
      </c>
    </row>
    <row r="418" spans="1:39" x14ac:dyDescent="0.25">
      <c r="A418" s="1">
        <v>613</v>
      </c>
      <c r="B418" s="1" t="s">
        <v>834</v>
      </c>
      <c r="C418" s="1" t="s">
        <v>833</v>
      </c>
      <c r="D418" s="1" t="s">
        <v>105</v>
      </c>
      <c r="E418" s="1" t="s">
        <v>52</v>
      </c>
      <c r="F418" s="2">
        <v>46202</v>
      </c>
      <c r="G418" s="2">
        <v>46202</v>
      </c>
      <c r="H418" s="4">
        <v>0</v>
      </c>
      <c r="J418" s="1" t="s">
        <v>41</v>
      </c>
      <c r="K418" s="1">
        <v>612</v>
      </c>
      <c r="L418" s="1">
        <v>614</v>
      </c>
      <c r="M418" s="1" t="s">
        <v>196</v>
      </c>
      <c r="N418" s="3">
        <v>46203</v>
      </c>
      <c r="P418" s="1" t="s">
        <v>180</v>
      </c>
      <c r="Q418" s="1" t="s">
        <v>55</v>
      </c>
      <c r="R418" s="1" t="s">
        <v>569</v>
      </c>
      <c r="S418" s="3">
        <v>46203</v>
      </c>
      <c r="T418" s="3">
        <v>46203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</row>
    <row r="419" spans="1:39" x14ac:dyDescent="0.25">
      <c r="A419" s="1">
        <v>614</v>
      </c>
      <c r="B419" s="1" t="s">
        <v>835</v>
      </c>
      <c r="C419" s="1" t="s">
        <v>833</v>
      </c>
      <c r="D419" s="1" t="s">
        <v>109</v>
      </c>
      <c r="E419" s="1" t="s">
        <v>52</v>
      </c>
      <c r="F419" s="2">
        <v>46203</v>
      </c>
      <c r="G419" s="2">
        <v>46203</v>
      </c>
      <c r="H419" s="4">
        <v>0</v>
      </c>
      <c r="J419" s="1" t="s">
        <v>41</v>
      </c>
      <c r="K419" s="1">
        <v>613</v>
      </c>
      <c r="L419" s="1">
        <v>615</v>
      </c>
      <c r="M419" s="1" t="s">
        <v>404</v>
      </c>
      <c r="N419" s="3">
        <v>46204</v>
      </c>
      <c r="P419" s="1" t="s">
        <v>67</v>
      </c>
      <c r="Q419" s="1" t="s">
        <v>55</v>
      </c>
      <c r="R419" s="1" t="s">
        <v>569</v>
      </c>
      <c r="S419" s="3">
        <v>46204</v>
      </c>
      <c r="T419" s="3">
        <v>46204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1</v>
      </c>
      <c r="AK419" s="1">
        <v>0</v>
      </c>
      <c r="AL419" s="1">
        <v>0</v>
      </c>
      <c r="AM419" s="1">
        <v>0</v>
      </c>
    </row>
    <row r="420" spans="1:39" x14ac:dyDescent="0.25">
      <c r="A420" s="1">
        <v>615</v>
      </c>
      <c r="B420" s="1" t="s">
        <v>836</v>
      </c>
      <c r="C420" s="1" t="s">
        <v>833</v>
      </c>
      <c r="D420" s="1" t="s">
        <v>115</v>
      </c>
      <c r="E420" s="1" t="s">
        <v>52</v>
      </c>
      <c r="F420" s="2">
        <v>46204</v>
      </c>
      <c r="G420" s="2">
        <v>46204</v>
      </c>
      <c r="H420" s="4">
        <v>0</v>
      </c>
      <c r="J420" s="1" t="s">
        <v>41</v>
      </c>
      <c r="K420" s="1">
        <v>614</v>
      </c>
      <c r="M420" s="1" t="s">
        <v>383</v>
      </c>
      <c r="N420" s="3">
        <v>46205</v>
      </c>
      <c r="P420" s="1" t="s">
        <v>67</v>
      </c>
      <c r="Q420" s="1" t="s">
        <v>55</v>
      </c>
      <c r="R420" s="1" t="s">
        <v>569</v>
      </c>
      <c r="S420" s="3">
        <v>46205</v>
      </c>
      <c r="T420" s="3">
        <v>46205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1</v>
      </c>
      <c r="AM420" s="1">
        <v>0</v>
      </c>
    </row>
    <row r="421" spans="1:39" x14ac:dyDescent="0.25">
      <c r="A421" s="1">
        <v>616</v>
      </c>
      <c r="B421" s="1" t="s">
        <v>837</v>
      </c>
      <c r="C421" s="1" t="s">
        <v>571</v>
      </c>
      <c r="D421" s="1" t="s">
        <v>838</v>
      </c>
      <c r="E421" s="1" t="s">
        <v>294</v>
      </c>
      <c r="F421" s="2">
        <v>46192</v>
      </c>
      <c r="G421" s="2">
        <v>46206</v>
      </c>
      <c r="H421" s="4">
        <v>0.73</v>
      </c>
      <c r="J421" s="1" t="s">
        <v>41</v>
      </c>
      <c r="M421" s="1" t="s">
        <v>308</v>
      </c>
      <c r="N421" s="3">
        <v>46211</v>
      </c>
      <c r="P421" s="1" t="s">
        <v>73</v>
      </c>
      <c r="Q421" s="1" t="s">
        <v>55</v>
      </c>
      <c r="R421" s="1" t="s">
        <v>569</v>
      </c>
      <c r="S421" s="3">
        <v>46189</v>
      </c>
      <c r="T421" s="3">
        <v>46206</v>
      </c>
      <c r="U421" s="1" t="s">
        <v>77</v>
      </c>
      <c r="AB421" s="1">
        <v>0.73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</row>
    <row r="422" spans="1:39" x14ac:dyDescent="0.25">
      <c r="A422" s="1">
        <v>617</v>
      </c>
      <c r="B422" s="1" t="s">
        <v>839</v>
      </c>
      <c r="C422" s="1" t="s">
        <v>840</v>
      </c>
      <c r="D422" s="1" t="s">
        <v>101</v>
      </c>
      <c r="E422" s="1" t="s">
        <v>515</v>
      </c>
      <c r="F422" s="2">
        <v>46192</v>
      </c>
      <c r="G422" s="2">
        <v>46203</v>
      </c>
      <c r="H422" s="4">
        <v>1</v>
      </c>
      <c r="I422" s="2">
        <v>46203</v>
      </c>
      <c r="J422" s="1" t="s">
        <v>53</v>
      </c>
      <c r="K422" s="1" t="s">
        <v>693</v>
      </c>
      <c r="L422" s="1">
        <v>618</v>
      </c>
      <c r="M422" s="1" t="s">
        <v>304</v>
      </c>
      <c r="N422" s="3">
        <v>46202</v>
      </c>
      <c r="P422" s="1" t="s">
        <v>73</v>
      </c>
      <c r="Q422" s="1" t="s">
        <v>55</v>
      </c>
      <c r="R422" s="1" t="s">
        <v>569</v>
      </c>
      <c r="S422" s="3">
        <v>46192</v>
      </c>
      <c r="T422" s="3">
        <v>46202</v>
      </c>
      <c r="AB422" s="1">
        <v>1</v>
      </c>
      <c r="AC422" s="1">
        <v>1</v>
      </c>
      <c r="AD422" s="1">
        <v>1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1</v>
      </c>
    </row>
    <row r="423" spans="1:39" x14ac:dyDescent="0.25">
      <c r="A423" s="1">
        <v>618</v>
      </c>
      <c r="B423" s="1" t="s">
        <v>841</v>
      </c>
      <c r="C423" s="1" t="s">
        <v>840</v>
      </c>
      <c r="D423" s="1" t="s">
        <v>105</v>
      </c>
      <c r="E423" s="1" t="s">
        <v>52</v>
      </c>
      <c r="F423" s="2">
        <v>46204</v>
      </c>
      <c r="G423" s="2">
        <v>46204</v>
      </c>
      <c r="H423" s="4">
        <v>0</v>
      </c>
      <c r="J423" s="1" t="s">
        <v>41</v>
      </c>
      <c r="K423" s="1">
        <v>617</v>
      </c>
      <c r="L423" s="1">
        <v>619</v>
      </c>
      <c r="M423" s="1" t="s">
        <v>196</v>
      </c>
      <c r="N423" s="3">
        <v>46203</v>
      </c>
      <c r="P423" s="1" t="s">
        <v>180</v>
      </c>
      <c r="Q423" s="1" t="s">
        <v>55</v>
      </c>
      <c r="R423" s="1" t="s">
        <v>569</v>
      </c>
      <c r="S423" s="3">
        <v>46203</v>
      </c>
      <c r="T423" s="3">
        <v>46203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</row>
    <row r="424" spans="1:39" x14ac:dyDescent="0.25">
      <c r="A424" s="1">
        <v>619</v>
      </c>
      <c r="B424" s="1" t="s">
        <v>842</v>
      </c>
      <c r="C424" s="1" t="s">
        <v>840</v>
      </c>
      <c r="D424" s="1" t="s">
        <v>109</v>
      </c>
      <c r="E424" s="1" t="s">
        <v>52</v>
      </c>
      <c r="F424" s="2">
        <v>46205</v>
      </c>
      <c r="G424" s="2">
        <v>46205</v>
      </c>
      <c r="H424" s="4">
        <v>0</v>
      </c>
      <c r="J424" s="1" t="s">
        <v>41</v>
      </c>
      <c r="K424" s="1">
        <v>618</v>
      </c>
      <c r="L424" s="1">
        <v>620</v>
      </c>
      <c r="M424" s="1" t="s">
        <v>404</v>
      </c>
      <c r="N424" s="3">
        <v>46204</v>
      </c>
      <c r="P424" s="1" t="s">
        <v>67</v>
      </c>
      <c r="Q424" s="1" t="s">
        <v>55</v>
      </c>
      <c r="R424" s="1" t="s">
        <v>569</v>
      </c>
      <c r="S424" s="3">
        <v>46204</v>
      </c>
      <c r="T424" s="3">
        <v>46204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1</v>
      </c>
      <c r="AK424" s="1">
        <v>0</v>
      </c>
      <c r="AL424" s="1">
        <v>0</v>
      </c>
      <c r="AM424" s="1">
        <v>0</v>
      </c>
    </row>
    <row r="425" spans="1:39" x14ac:dyDescent="0.25">
      <c r="A425" s="1">
        <v>620</v>
      </c>
      <c r="B425" s="1" t="s">
        <v>843</v>
      </c>
      <c r="C425" s="1" t="s">
        <v>840</v>
      </c>
      <c r="D425" s="1" t="s">
        <v>115</v>
      </c>
      <c r="E425" s="1" t="s">
        <v>52</v>
      </c>
      <c r="F425" s="2">
        <v>46206</v>
      </c>
      <c r="G425" s="2">
        <v>46206</v>
      </c>
      <c r="H425" s="4">
        <v>0</v>
      </c>
      <c r="J425" s="1" t="s">
        <v>41</v>
      </c>
      <c r="K425" s="1">
        <v>619</v>
      </c>
      <c r="M425" s="1" t="s">
        <v>383</v>
      </c>
      <c r="N425" s="3">
        <v>46205</v>
      </c>
      <c r="P425" s="1" t="s">
        <v>67</v>
      </c>
      <c r="Q425" s="1" t="s">
        <v>55</v>
      </c>
      <c r="R425" s="1" t="s">
        <v>569</v>
      </c>
      <c r="S425" s="3">
        <v>46205</v>
      </c>
      <c r="T425" s="3">
        <v>46205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1</v>
      </c>
      <c r="AM425" s="1">
        <v>0</v>
      </c>
    </row>
    <row r="426" spans="1:39" x14ac:dyDescent="0.25">
      <c r="A426" s="1">
        <v>621</v>
      </c>
      <c r="B426" s="1" t="s">
        <v>844</v>
      </c>
      <c r="C426" s="1" t="s">
        <v>571</v>
      </c>
      <c r="D426" s="1" t="s">
        <v>845</v>
      </c>
      <c r="E426" s="1" t="s">
        <v>294</v>
      </c>
      <c r="F426" s="2">
        <v>46203</v>
      </c>
      <c r="G426" s="2">
        <v>46219</v>
      </c>
      <c r="H426" s="4">
        <v>0.49</v>
      </c>
      <c r="J426" s="1" t="s">
        <v>232</v>
      </c>
      <c r="M426" s="1" t="s">
        <v>196</v>
      </c>
      <c r="N426" s="3">
        <v>46211</v>
      </c>
      <c r="P426" s="1" t="s">
        <v>180</v>
      </c>
      <c r="Q426" s="1" t="s">
        <v>44</v>
      </c>
      <c r="R426" s="1" t="s">
        <v>569</v>
      </c>
      <c r="S426" s="3">
        <v>46197</v>
      </c>
      <c r="T426" s="3">
        <v>46205</v>
      </c>
      <c r="U426" s="1" t="s">
        <v>77</v>
      </c>
      <c r="AB426" s="1">
        <v>0.49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</row>
    <row r="427" spans="1:39" x14ac:dyDescent="0.25">
      <c r="A427" s="1">
        <v>622</v>
      </c>
      <c r="B427" s="1" t="s">
        <v>846</v>
      </c>
      <c r="C427" s="1" t="s">
        <v>847</v>
      </c>
      <c r="D427" s="1" t="s">
        <v>101</v>
      </c>
      <c r="E427" s="1" t="s">
        <v>848</v>
      </c>
      <c r="F427" s="2">
        <v>46203</v>
      </c>
      <c r="G427" s="2">
        <v>46211</v>
      </c>
      <c r="H427" s="4">
        <v>1</v>
      </c>
      <c r="I427" s="2">
        <v>46211</v>
      </c>
      <c r="J427" s="1" t="s">
        <v>53</v>
      </c>
      <c r="K427" s="1">
        <v>482</v>
      </c>
      <c r="L427" s="1">
        <v>623</v>
      </c>
      <c r="M427" s="1" t="s">
        <v>196</v>
      </c>
      <c r="N427" s="3">
        <v>46209</v>
      </c>
      <c r="P427" s="1" t="s">
        <v>180</v>
      </c>
      <c r="Q427" s="1" t="s">
        <v>55</v>
      </c>
      <c r="R427" s="1" t="s">
        <v>569</v>
      </c>
      <c r="S427" s="3">
        <v>46203</v>
      </c>
      <c r="T427" s="3">
        <v>46209</v>
      </c>
      <c r="AB427" s="1">
        <v>1</v>
      </c>
      <c r="AC427" s="1">
        <v>1</v>
      </c>
      <c r="AD427" s="1">
        <v>1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1</v>
      </c>
    </row>
    <row r="428" spans="1:39" x14ac:dyDescent="0.25">
      <c r="A428" s="1">
        <v>623</v>
      </c>
      <c r="B428" s="1" t="s">
        <v>849</v>
      </c>
      <c r="C428" s="1" t="s">
        <v>847</v>
      </c>
      <c r="D428" s="1" t="s">
        <v>105</v>
      </c>
      <c r="E428" s="1" t="s">
        <v>52</v>
      </c>
      <c r="F428" s="2">
        <v>46216</v>
      </c>
      <c r="G428" s="2">
        <v>46216</v>
      </c>
      <c r="H428" s="4">
        <v>0</v>
      </c>
      <c r="J428" s="1" t="s">
        <v>83</v>
      </c>
      <c r="K428" s="1">
        <v>622</v>
      </c>
      <c r="L428" s="1">
        <v>624</v>
      </c>
      <c r="M428" s="1" t="s">
        <v>686</v>
      </c>
      <c r="N428" s="3">
        <v>46210</v>
      </c>
      <c r="P428" s="1" t="s">
        <v>180</v>
      </c>
      <c r="Q428" s="1" t="s">
        <v>44</v>
      </c>
      <c r="R428" s="1" t="s">
        <v>569</v>
      </c>
      <c r="S428" s="3">
        <v>46209</v>
      </c>
      <c r="T428" s="3">
        <v>46210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</row>
    <row r="429" spans="1:39" x14ac:dyDescent="0.25">
      <c r="A429" s="1">
        <v>624</v>
      </c>
      <c r="B429" s="1" t="s">
        <v>850</v>
      </c>
      <c r="C429" s="1" t="s">
        <v>847</v>
      </c>
      <c r="D429" s="1" t="s">
        <v>109</v>
      </c>
      <c r="E429" s="1" t="s">
        <v>116</v>
      </c>
      <c r="F429" s="2">
        <v>46217</v>
      </c>
      <c r="G429" s="2">
        <v>46218</v>
      </c>
      <c r="H429" s="4">
        <v>0</v>
      </c>
      <c r="J429" s="1" t="s">
        <v>83</v>
      </c>
      <c r="K429" s="1">
        <v>623</v>
      </c>
      <c r="L429" s="1">
        <v>625</v>
      </c>
      <c r="M429" s="1" t="s">
        <v>387</v>
      </c>
      <c r="N429" s="3">
        <v>46216</v>
      </c>
      <c r="P429" s="1" t="s">
        <v>180</v>
      </c>
      <c r="Q429" s="1" t="s">
        <v>44</v>
      </c>
      <c r="R429" s="1" t="s">
        <v>569</v>
      </c>
      <c r="S429" s="3">
        <v>46210</v>
      </c>
      <c r="T429" s="3">
        <v>46216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 x14ac:dyDescent="0.25">
      <c r="A430" s="1">
        <v>625</v>
      </c>
      <c r="B430" s="1" t="s">
        <v>851</v>
      </c>
      <c r="C430" s="1" t="s">
        <v>847</v>
      </c>
      <c r="D430" s="1" t="s">
        <v>115</v>
      </c>
      <c r="E430" s="1" t="s">
        <v>52</v>
      </c>
      <c r="F430" s="2">
        <v>46219</v>
      </c>
      <c r="G430" s="2">
        <v>46219</v>
      </c>
      <c r="H430" s="4">
        <v>0</v>
      </c>
      <c r="J430" s="1" t="s">
        <v>83</v>
      </c>
      <c r="K430" s="1">
        <v>624</v>
      </c>
      <c r="M430" s="1" t="s">
        <v>852</v>
      </c>
      <c r="N430" s="3">
        <v>46217</v>
      </c>
      <c r="P430" s="1" t="s">
        <v>67</v>
      </c>
      <c r="Q430" s="1" t="s">
        <v>44</v>
      </c>
      <c r="R430" s="1" t="s">
        <v>569</v>
      </c>
      <c r="S430" s="3">
        <v>46216</v>
      </c>
      <c r="T430" s="3">
        <v>46217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</row>
    <row r="431" spans="1:39" x14ac:dyDescent="0.25">
      <c r="A431" s="1">
        <v>626</v>
      </c>
      <c r="B431" s="1" t="s">
        <v>853</v>
      </c>
      <c r="C431" s="1" t="s">
        <v>571</v>
      </c>
      <c r="D431" s="1" t="s">
        <v>854</v>
      </c>
      <c r="E431" s="1" t="s">
        <v>573</v>
      </c>
      <c r="F431" s="2">
        <v>46189</v>
      </c>
      <c r="G431" s="2">
        <v>46205</v>
      </c>
      <c r="H431" s="4">
        <v>0.54</v>
      </c>
      <c r="J431" s="1" t="s">
        <v>41</v>
      </c>
      <c r="M431" s="1" t="s">
        <v>196</v>
      </c>
      <c r="N431" s="3">
        <v>46211</v>
      </c>
      <c r="P431" s="1" t="s">
        <v>73</v>
      </c>
      <c r="Q431" s="1" t="s">
        <v>55</v>
      </c>
      <c r="R431" s="1" t="s">
        <v>569</v>
      </c>
      <c r="S431" s="3">
        <v>46197</v>
      </c>
      <c r="T431" s="3">
        <v>46205</v>
      </c>
      <c r="U431" s="1" t="s">
        <v>77</v>
      </c>
      <c r="AB431" s="1">
        <v>0.54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</row>
    <row r="432" spans="1:39" x14ac:dyDescent="0.25">
      <c r="A432" s="1">
        <v>627</v>
      </c>
      <c r="B432" s="1" t="s">
        <v>855</v>
      </c>
      <c r="C432" s="1" t="s">
        <v>856</v>
      </c>
      <c r="D432" s="1" t="s">
        <v>101</v>
      </c>
      <c r="E432" s="1" t="s">
        <v>297</v>
      </c>
      <c r="F432" s="2">
        <v>46189</v>
      </c>
      <c r="G432" s="2">
        <v>46197</v>
      </c>
      <c r="H432" s="4">
        <v>1</v>
      </c>
      <c r="I432" s="2">
        <v>46197</v>
      </c>
      <c r="J432" s="1" t="s">
        <v>53</v>
      </c>
      <c r="L432" s="1">
        <v>628</v>
      </c>
      <c r="M432" s="1" t="s">
        <v>227</v>
      </c>
      <c r="N432" s="3">
        <v>46192</v>
      </c>
      <c r="P432" s="1" t="s">
        <v>73</v>
      </c>
      <c r="Q432" s="1" t="s">
        <v>55</v>
      </c>
      <c r="R432" s="1" t="s">
        <v>569</v>
      </c>
      <c r="S432" s="3">
        <v>46189</v>
      </c>
      <c r="T432" s="3">
        <v>46192</v>
      </c>
      <c r="AB432" s="1">
        <v>1</v>
      </c>
      <c r="AC432" s="1">
        <v>1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1</v>
      </c>
    </row>
    <row r="433" spans="1:39" x14ac:dyDescent="0.25">
      <c r="A433" s="1">
        <v>628</v>
      </c>
      <c r="B433" s="1" t="s">
        <v>857</v>
      </c>
      <c r="C433" s="1" t="s">
        <v>856</v>
      </c>
      <c r="D433" s="1" t="s">
        <v>105</v>
      </c>
      <c r="E433" s="1" t="s">
        <v>102</v>
      </c>
      <c r="F433" s="2">
        <v>46198</v>
      </c>
      <c r="G433" s="2">
        <v>46202</v>
      </c>
      <c r="H433" s="4">
        <v>0</v>
      </c>
      <c r="J433" s="1" t="s">
        <v>41</v>
      </c>
      <c r="K433" s="1">
        <v>627</v>
      </c>
      <c r="L433" s="1">
        <v>629</v>
      </c>
      <c r="M433" s="1" t="s">
        <v>284</v>
      </c>
      <c r="N433" s="3">
        <v>46195</v>
      </c>
      <c r="P433" s="1" t="s">
        <v>180</v>
      </c>
      <c r="Q433" s="1" t="s">
        <v>55</v>
      </c>
      <c r="R433" s="1" t="s">
        <v>569</v>
      </c>
      <c r="S433" s="3">
        <v>46195</v>
      </c>
      <c r="T433" s="3">
        <v>46195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</row>
    <row r="434" spans="1:39" x14ac:dyDescent="0.25">
      <c r="A434" s="1">
        <v>629</v>
      </c>
      <c r="B434" s="1" t="s">
        <v>858</v>
      </c>
      <c r="C434" s="1" t="s">
        <v>856</v>
      </c>
      <c r="D434" s="1" t="s">
        <v>109</v>
      </c>
      <c r="E434" s="1" t="s">
        <v>116</v>
      </c>
      <c r="F434" s="2">
        <v>46203</v>
      </c>
      <c r="G434" s="2">
        <v>46204</v>
      </c>
      <c r="H434" s="4">
        <v>0</v>
      </c>
      <c r="J434" s="1" t="s">
        <v>41</v>
      </c>
      <c r="K434" s="1">
        <v>628</v>
      </c>
      <c r="L434" s="1">
        <v>630</v>
      </c>
      <c r="M434" s="1" t="s">
        <v>251</v>
      </c>
      <c r="N434" s="3">
        <v>46197</v>
      </c>
      <c r="P434" s="1" t="s">
        <v>180</v>
      </c>
      <c r="Q434" s="1" t="s">
        <v>55</v>
      </c>
      <c r="R434" s="1" t="s">
        <v>569</v>
      </c>
      <c r="S434" s="3">
        <v>46196</v>
      </c>
      <c r="T434" s="3">
        <v>46197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1</v>
      </c>
      <c r="AK434" s="1">
        <v>0</v>
      </c>
      <c r="AL434" s="1">
        <v>0</v>
      </c>
      <c r="AM434" s="1">
        <v>0</v>
      </c>
    </row>
    <row r="435" spans="1:39" x14ac:dyDescent="0.25">
      <c r="A435" s="1">
        <v>630</v>
      </c>
      <c r="B435" s="1" t="s">
        <v>859</v>
      </c>
      <c r="C435" s="1" t="s">
        <v>856</v>
      </c>
      <c r="D435" s="1" t="s">
        <v>115</v>
      </c>
      <c r="E435" s="1" t="s">
        <v>52</v>
      </c>
      <c r="F435" s="2">
        <v>46205</v>
      </c>
      <c r="G435" s="2">
        <v>46205</v>
      </c>
      <c r="H435" s="4">
        <v>0</v>
      </c>
      <c r="J435" s="1" t="s">
        <v>41</v>
      </c>
      <c r="K435" s="1">
        <v>629</v>
      </c>
      <c r="M435" s="1" t="s">
        <v>191</v>
      </c>
      <c r="N435" s="3">
        <v>46198</v>
      </c>
      <c r="P435" s="1" t="s">
        <v>180</v>
      </c>
      <c r="Q435" s="1" t="s">
        <v>55</v>
      </c>
      <c r="R435" s="1" t="s">
        <v>569</v>
      </c>
      <c r="S435" s="3">
        <v>46198</v>
      </c>
      <c r="T435" s="3">
        <v>46198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1</v>
      </c>
      <c r="AM435" s="1">
        <v>0</v>
      </c>
    </row>
    <row r="436" spans="1:39" x14ac:dyDescent="0.25">
      <c r="A436" s="1">
        <v>631</v>
      </c>
      <c r="B436" s="1" t="s">
        <v>860</v>
      </c>
      <c r="C436" s="1" t="s">
        <v>571</v>
      </c>
      <c r="D436" s="1" t="s">
        <v>861</v>
      </c>
      <c r="E436" s="1" t="s">
        <v>608</v>
      </c>
      <c r="F436" s="2">
        <v>46202</v>
      </c>
      <c r="G436" s="2">
        <v>46219</v>
      </c>
      <c r="H436" s="4">
        <v>0.67</v>
      </c>
      <c r="J436" s="1" t="s">
        <v>232</v>
      </c>
      <c r="M436" s="1" t="s">
        <v>196</v>
      </c>
      <c r="N436" s="3">
        <v>46211</v>
      </c>
      <c r="P436" s="1" t="s">
        <v>73</v>
      </c>
      <c r="Q436" s="1" t="s">
        <v>44</v>
      </c>
      <c r="R436" s="1" t="s">
        <v>569</v>
      </c>
      <c r="S436" s="3">
        <v>46197</v>
      </c>
      <c r="T436" s="3">
        <v>46205</v>
      </c>
      <c r="AB436" s="1">
        <v>0.67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</row>
    <row r="437" spans="1:39" x14ac:dyDescent="0.25">
      <c r="A437" s="1">
        <v>632</v>
      </c>
      <c r="B437" s="1" t="s">
        <v>862</v>
      </c>
      <c r="C437" s="1" t="s">
        <v>863</v>
      </c>
      <c r="D437" s="1" t="s">
        <v>101</v>
      </c>
      <c r="E437" s="1" t="s">
        <v>515</v>
      </c>
      <c r="F437" s="2">
        <v>46202</v>
      </c>
      <c r="G437" s="2">
        <v>46211</v>
      </c>
      <c r="H437" s="4">
        <v>1</v>
      </c>
      <c r="I437" s="2">
        <v>46211</v>
      </c>
      <c r="J437" s="1" t="s">
        <v>53</v>
      </c>
      <c r="L437" s="1">
        <v>633</v>
      </c>
      <c r="M437" s="1" t="s">
        <v>196</v>
      </c>
      <c r="N437" s="3">
        <v>46205</v>
      </c>
      <c r="P437" s="1" t="s">
        <v>73</v>
      </c>
      <c r="Q437" s="1" t="s">
        <v>55</v>
      </c>
      <c r="R437" s="1" t="s">
        <v>569</v>
      </c>
      <c r="S437" s="3">
        <v>46197</v>
      </c>
      <c r="T437" s="3">
        <v>46199</v>
      </c>
      <c r="AB437" s="1">
        <v>1</v>
      </c>
      <c r="AC437" s="1">
        <v>1</v>
      </c>
      <c r="AD437" s="1">
        <v>1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1</v>
      </c>
    </row>
    <row r="438" spans="1:39" x14ac:dyDescent="0.25">
      <c r="A438" s="1">
        <v>633</v>
      </c>
      <c r="B438" s="1" t="s">
        <v>864</v>
      </c>
      <c r="C438" s="1" t="s">
        <v>863</v>
      </c>
      <c r="D438" s="1" t="s">
        <v>105</v>
      </c>
      <c r="E438" s="1" t="s">
        <v>52</v>
      </c>
      <c r="F438" s="2">
        <v>46216</v>
      </c>
      <c r="G438" s="2">
        <v>46216</v>
      </c>
      <c r="H438" s="4">
        <v>0</v>
      </c>
      <c r="J438" s="1" t="s">
        <v>83</v>
      </c>
      <c r="K438" s="1">
        <v>632</v>
      </c>
      <c r="L438" s="1">
        <v>634</v>
      </c>
      <c r="M438" s="1" t="s">
        <v>385</v>
      </c>
      <c r="N438" s="3">
        <v>46206</v>
      </c>
      <c r="P438" s="1" t="s">
        <v>180</v>
      </c>
      <c r="Q438" s="1" t="s">
        <v>44</v>
      </c>
      <c r="R438" s="1" t="s">
        <v>569</v>
      </c>
      <c r="S438" s="3">
        <v>46202</v>
      </c>
      <c r="T438" s="3">
        <v>46202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</row>
    <row r="439" spans="1:39" x14ac:dyDescent="0.25">
      <c r="A439" s="1">
        <v>634</v>
      </c>
      <c r="B439" s="1" t="s">
        <v>865</v>
      </c>
      <c r="C439" s="1" t="s">
        <v>863</v>
      </c>
      <c r="D439" s="1" t="s">
        <v>109</v>
      </c>
      <c r="E439" s="1" t="s">
        <v>116</v>
      </c>
      <c r="F439" s="2">
        <v>46217</v>
      </c>
      <c r="G439" s="2">
        <v>46218</v>
      </c>
      <c r="H439" s="4">
        <v>0</v>
      </c>
      <c r="J439" s="1" t="s">
        <v>83</v>
      </c>
      <c r="K439" s="1">
        <v>633</v>
      </c>
      <c r="L439" s="1">
        <v>635</v>
      </c>
      <c r="M439" s="1" t="s">
        <v>686</v>
      </c>
      <c r="N439" s="3">
        <v>46210</v>
      </c>
      <c r="P439" s="1" t="s">
        <v>180</v>
      </c>
      <c r="Q439" s="1" t="s">
        <v>44</v>
      </c>
      <c r="R439" s="1" t="s">
        <v>569</v>
      </c>
      <c r="S439" s="3">
        <v>46203</v>
      </c>
      <c r="T439" s="3">
        <v>46204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 x14ac:dyDescent="0.25">
      <c r="A440" s="1">
        <v>635</v>
      </c>
      <c r="B440" s="1" t="s">
        <v>866</v>
      </c>
      <c r="C440" s="1" t="s">
        <v>863</v>
      </c>
      <c r="D440" s="1" t="s">
        <v>115</v>
      </c>
      <c r="E440" s="1" t="s">
        <v>52</v>
      </c>
      <c r="F440" s="2">
        <v>46219</v>
      </c>
      <c r="G440" s="2">
        <v>46219</v>
      </c>
      <c r="H440" s="4">
        <v>0</v>
      </c>
      <c r="J440" s="1" t="s">
        <v>83</v>
      </c>
      <c r="K440" s="1">
        <v>634</v>
      </c>
      <c r="M440" s="1" t="s">
        <v>688</v>
      </c>
      <c r="N440" s="3">
        <v>46211</v>
      </c>
      <c r="P440" s="1" t="s">
        <v>67</v>
      </c>
      <c r="Q440" s="1" t="s">
        <v>44</v>
      </c>
      <c r="R440" s="1" t="s">
        <v>569</v>
      </c>
      <c r="S440" s="3">
        <v>46205</v>
      </c>
      <c r="T440" s="3">
        <v>46205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</row>
    <row r="441" spans="1:39" x14ac:dyDescent="0.25">
      <c r="A441" s="1">
        <v>636</v>
      </c>
      <c r="B441" s="1" t="s">
        <v>867</v>
      </c>
      <c r="C441" s="1" t="s">
        <v>50</v>
      </c>
      <c r="D441" s="1" t="s">
        <v>868</v>
      </c>
      <c r="E441" s="1" t="s">
        <v>254</v>
      </c>
      <c r="F441" s="2">
        <v>46205</v>
      </c>
      <c r="G441" s="2">
        <v>46219</v>
      </c>
      <c r="H441" s="4">
        <v>0.5</v>
      </c>
      <c r="J441" s="1" t="s">
        <v>232</v>
      </c>
      <c r="M441" s="1" t="s">
        <v>227</v>
      </c>
      <c r="N441" s="3">
        <v>46205</v>
      </c>
      <c r="P441" s="1" t="s">
        <v>180</v>
      </c>
      <c r="Q441" s="1" t="s">
        <v>44</v>
      </c>
      <c r="R441" s="1" t="s">
        <v>869</v>
      </c>
      <c r="S441" s="3">
        <v>46176</v>
      </c>
      <c r="T441" s="3">
        <v>46192</v>
      </c>
      <c r="AB441" s="1">
        <v>0.5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</row>
    <row r="442" spans="1:39" x14ac:dyDescent="0.25">
      <c r="A442" s="1">
        <v>637</v>
      </c>
      <c r="B442" s="1" t="s">
        <v>870</v>
      </c>
      <c r="C442" s="1" t="s">
        <v>871</v>
      </c>
      <c r="D442" s="1" t="s">
        <v>872</v>
      </c>
      <c r="E442" s="1" t="s">
        <v>254</v>
      </c>
      <c r="F442" s="2">
        <v>46205</v>
      </c>
      <c r="G442" s="2">
        <v>46219</v>
      </c>
      <c r="H442" s="4">
        <v>0.67</v>
      </c>
      <c r="J442" s="1" t="s">
        <v>232</v>
      </c>
      <c r="M442" s="1" t="s">
        <v>227</v>
      </c>
      <c r="N442" s="3">
        <v>46204</v>
      </c>
      <c r="P442" s="1" t="s">
        <v>180</v>
      </c>
      <c r="Q442" s="1" t="s">
        <v>44</v>
      </c>
      <c r="R442" s="1" t="s">
        <v>869</v>
      </c>
      <c r="S442" s="3">
        <v>46176</v>
      </c>
      <c r="T442" s="3">
        <v>46191</v>
      </c>
      <c r="AB442" s="1">
        <v>0.67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 x14ac:dyDescent="0.25">
      <c r="A443" s="1">
        <v>638</v>
      </c>
      <c r="B443" s="1" t="s">
        <v>873</v>
      </c>
      <c r="C443" s="1" t="s">
        <v>874</v>
      </c>
      <c r="D443" s="1" t="s">
        <v>101</v>
      </c>
      <c r="E443" s="1" t="s">
        <v>223</v>
      </c>
      <c r="F443" s="2">
        <v>46205</v>
      </c>
      <c r="G443" s="2">
        <v>46216</v>
      </c>
      <c r="H443" s="4">
        <v>1</v>
      </c>
      <c r="I443" s="2">
        <v>46216</v>
      </c>
      <c r="J443" s="1" t="s">
        <v>53</v>
      </c>
      <c r="K443" s="1" t="s">
        <v>875</v>
      </c>
      <c r="L443" s="1" t="s">
        <v>876</v>
      </c>
      <c r="M443" s="1" t="s">
        <v>227</v>
      </c>
      <c r="N443" s="3">
        <v>46198</v>
      </c>
      <c r="P443" s="1" t="s">
        <v>180</v>
      </c>
      <c r="Q443" s="1" t="s">
        <v>55</v>
      </c>
      <c r="R443" s="1" t="s">
        <v>869</v>
      </c>
      <c r="S443" s="3">
        <v>46176</v>
      </c>
      <c r="T443" s="3">
        <v>46185</v>
      </c>
      <c r="AB443" s="1">
        <v>1</v>
      </c>
      <c r="AC443" s="1">
        <v>1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</row>
    <row r="444" spans="1:39" x14ac:dyDescent="0.25">
      <c r="A444" s="1">
        <v>639</v>
      </c>
      <c r="B444" s="1" t="s">
        <v>877</v>
      </c>
      <c r="C444" s="1" t="s">
        <v>874</v>
      </c>
      <c r="D444" s="1" t="s">
        <v>105</v>
      </c>
      <c r="E444" s="1" t="s">
        <v>52</v>
      </c>
      <c r="F444" s="2">
        <v>46217</v>
      </c>
      <c r="G444" s="2">
        <v>46217</v>
      </c>
      <c r="H444" s="4">
        <v>0</v>
      </c>
      <c r="J444" s="1" t="s">
        <v>83</v>
      </c>
      <c r="K444" s="1">
        <v>638</v>
      </c>
      <c r="L444" s="1">
        <v>640</v>
      </c>
      <c r="M444" s="1" t="s">
        <v>193</v>
      </c>
      <c r="N444" s="3">
        <v>46199</v>
      </c>
      <c r="P444" s="1" t="s">
        <v>67</v>
      </c>
      <c r="Q444" s="1" t="s">
        <v>44</v>
      </c>
      <c r="R444" s="1" t="s">
        <v>869</v>
      </c>
      <c r="S444" s="3">
        <v>46188</v>
      </c>
      <c r="T444" s="3">
        <v>46188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 x14ac:dyDescent="0.25">
      <c r="A445" s="1">
        <v>640</v>
      </c>
      <c r="B445" s="1" t="s">
        <v>878</v>
      </c>
      <c r="C445" s="1" t="s">
        <v>874</v>
      </c>
      <c r="D445" s="1" t="s">
        <v>109</v>
      </c>
      <c r="E445" s="1" t="s">
        <v>52</v>
      </c>
      <c r="F445" s="2">
        <v>46218</v>
      </c>
      <c r="G445" s="2">
        <v>46218</v>
      </c>
      <c r="H445" s="4">
        <v>0</v>
      </c>
      <c r="J445" s="1" t="s">
        <v>83</v>
      </c>
      <c r="K445" s="1">
        <v>639</v>
      </c>
      <c r="L445" s="1">
        <v>641</v>
      </c>
      <c r="M445" s="1" t="s">
        <v>311</v>
      </c>
      <c r="N445" s="3">
        <v>46203</v>
      </c>
      <c r="P445" s="1" t="s">
        <v>67</v>
      </c>
      <c r="Q445" s="1" t="s">
        <v>44</v>
      </c>
      <c r="R445" s="1" t="s">
        <v>869</v>
      </c>
      <c r="S445" s="3">
        <v>46189</v>
      </c>
      <c r="T445" s="3">
        <v>46190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</row>
    <row r="446" spans="1:39" x14ac:dyDescent="0.25">
      <c r="A446" s="1">
        <v>641</v>
      </c>
      <c r="B446" s="1" t="s">
        <v>879</v>
      </c>
      <c r="C446" s="1" t="s">
        <v>874</v>
      </c>
      <c r="D446" s="1" t="s">
        <v>115</v>
      </c>
      <c r="E446" s="1" t="s">
        <v>52</v>
      </c>
      <c r="F446" s="2">
        <v>46219</v>
      </c>
      <c r="G446" s="2">
        <v>46219</v>
      </c>
      <c r="H446" s="4">
        <v>0</v>
      </c>
      <c r="J446" s="1" t="s">
        <v>83</v>
      </c>
      <c r="K446" s="1">
        <v>640</v>
      </c>
      <c r="M446" s="1" t="s">
        <v>404</v>
      </c>
      <c r="N446" s="3">
        <v>46204</v>
      </c>
      <c r="P446" s="1" t="s">
        <v>67</v>
      </c>
      <c r="Q446" s="1" t="s">
        <v>44</v>
      </c>
      <c r="R446" s="1" t="s">
        <v>869</v>
      </c>
      <c r="S446" s="3">
        <v>46191</v>
      </c>
      <c r="T446" s="3">
        <v>46191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</row>
    <row r="447" spans="1:39" x14ac:dyDescent="0.25">
      <c r="A447" s="1">
        <v>642</v>
      </c>
      <c r="B447" s="1" t="s">
        <v>880</v>
      </c>
      <c r="C447" s="1" t="s">
        <v>871</v>
      </c>
      <c r="D447" s="1" t="s">
        <v>881</v>
      </c>
      <c r="E447" s="1" t="s">
        <v>139</v>
      </c>
      <c r="F447" s="2">
        <v>46216</v>
      </c>
      <c r="G447" s="2">
        <v>46219</v>
      </c>
      <c r="H447" s="4">
        <v>0.13</v>
      </c>
      <c r="J447" s="1" t="s">
        <v>83</v>
      </c>
      <c r="M447" s="1" t="s">
        <v>193</v>
      </c>
      <c r="N447" s="3">
        <v>46205</v>
      </c>
      <c r="P447" s="1" t="s">
        <v>67</v>
      </c>
      <c r="Q447" s="1" t="s">
        <v>44</v>
      </c>
      <c r="R447" s="1" t="s">
        <v>869</v>
      </c>
      <c r="S447" s="3">
        <v>46188</v>
      </c>
      <c r="T447" s="3">
        <v>46192</v>
      </c>
      <c r="AB447" s="1">
        <v>0.13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 x14ac:dyDescent="0.25">
      <c r="A448" s="1">
        <v>643</v>
      </c>
      <c r="B448" s="1" t="s">
        <v>882</v>
      </c>
      <c r="C448" s="1" t="s">
        <v>883</v>
      </c>
      <c r="D448" s="1" t="s">
        <v>101</v>
      </c>
      <c r="E448" s="1" t="s">
        <v>52</v>
      </c>
      <c r="F448" s="2">
        <v>46216</v>
      </c>
      <c r="G448" s="2">
        <v>46216</v>
      </c>
      <c r="H448" s="4">
        <v>0.5</v>
      </c>
      <c r="J448" s="1" t="s">
        <v>83</v>
      </c>
      <c r="K448" s="1" t="s">
        <v>884</v>
      </c>
      <c r="L448" s="1">
        <v>644</v>
      </c>
      <c r="M448" s="1" t="s">
        <v>193</v>
      </c>
      <c r="N448" s="3">
        <v>46199</v>
      </c>
      <c r="P448" s="1" t="s">
        <v>67</v>
      </c>
      <c r="Q448" s="1" t="s">
        <v>44</v>
      </c>
      <c r="R448" s="1" t="s">
        <v>869</v>
      </c>
      <c r="S448" s="3">
        <v>46188</v>
      </c>
      <c r="T448" s="3">
        <v>46188</v>
      </c>
      <c r="AB448" s="1">
        <v>0.5</v>
      </c>
      <c r="AC448" s="1">
        <v>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</row>
    <row r="449" spans="1:39" x14ac:dyDescent="0.25">
      <c r="A449" s="1">
        <v>644</v>
      </c>
      <c r="B449" s="1" t="s">
        <v>885</v>
      </c>
      <c r="C449" s="1" t="s">
        <v>883</v>
      </c>
      <c r="D449" s="1" t="s">
        <v>105</v>
      </c>
      <c r="E449" s="1" t="s">
        <v>52</v>
      </c>
      <c r="F449" s="2">
        <v>46217</v>
      </c>
      <c r="G449" s="2">
        <v>46217</v>
      </c>
      <c r="H449" s="4">
        <v>0</v>
      </c>
      <c r="J449" s="1" t="s">
        <v>83</v>
      </c>
      <c r="K449" s="1">
        <v>643</v>
      </c>
      <c r="L449" s="1">
        <v>645</v>
      </c>
      <c r="M449" s="1" t="s">
        <v>311</v>
      </c>
      <c r="N449" s="3">
        <v>46202</v>
      </c>
      <c r="P449" s="1" t="s">
        <v>67</v>
      </c>
      <c r="Q449" s="1" t="s">
        <v>44</v>
      </c>
      <c r="R449" s="1" t="s">
        <v>869</v>
      </c>
      <c r="S449" s="3">
        <v>46189</v>
      </c>
      <c r="T449" s="3">
        <v>46189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 x14ac:dyDescent="0.25">
      <c r="A450" s="1">
        <v>645</v>
      </c>
      <c r="B450" s="1" t="s">
        <v>886</v>
      </c>
      <c r="C450" s="1" t="s">
        <v>883</v>
      </c>
      <c r="D450" s="1" t="s">
        <v>109</v>
      </c>
      <c r="E450" s="1" t="s">
        <v>52</v>
      </c>
      <c r="F450" s="2">
        <v>46218</v>
      </c>
      <c r="G450" s="2">
        <v>46218</v>
      </c>
      <c r="H450" s="4">
        <v>0</v>
      </c>
      <c r="J450" s="1" t="s">
        <v>83</v>
      </c>
      <c r="K450" s="1">
        <v>644</v>
      </c>
      <c r="L450" s="1">
        <v>646</v>
      </c>
      <c r="M450" s="1" t="s">
        <v>196</v>
      </c>
      <c r="N450" s="3">
        <v>46204</v>
      </c>
      <c r="P450" s="1" t="s">
        <v>67</v>
      </c>
      <c r="Q450" s="1" t="s">
        <v>44</v>
      </c>
      <c r="R450" s="1" t="s">
        <v>869</v>
      </c>
      <c r="S450" s="3">
        <v>46190</v>
      </c>
      <c r="T450" s="3">
        <v>46191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</row>
    <row r="451" spans="1:39" x14ac:dyDescent="0.25">
      <c r="A451" s="1">
        <v>646</v>
      </c>
      <c r="B451" s="1" t="s">
        <v>887</v>
      </c>
      <c r="C451" s="1" t="s">
        <v>883</v>
      </c>
      <c r="D451" s="1" t="s">
        <v>115</v>
      </c>
      <c r="E451" s="1" t="s">
        <v>52</v>
      </c>
      <c r="F451" s="2">
        <v>46219</v>
      </c>
      <c r="G451" s="2">
        <v>46219</v>
      </c>
      <c r="H451" s="4">
        <v>0</v>
      </c>
      <c r="J451" s="1" t="s">
        <v>83</v>
      </c>
      <c r="K451" s="1">
        <v>645</v>
      </c>
      <c r="M451" s="1" t="s">
        <v>383</v>
      </c>
      <c r="N451" s="3">
        <v>46205</v>
      </c>
      <c r="P451" s="1" t="s">
        <v>67</v>
      </c>
      <c r="Q451" s="1" t="s">
        <v>44</v>
      </c>
      <c r="R451" s="1" t="s">
        <v>869</v>
      </c>
      <c r="S451" s="3">
        <v>46192</v>
      </c>
      <c r="T451" s="3">
        <v>46192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</row>
    <row r="452" spans="1:39" x14ac:dyDescent="0.25">
      <c r="A452" s="1">
        <v>8</v>
      </c>
      <c r="B452" s="1" t="s">
        <v>74</v>
      </c>
      <c r="C452" s="1" t="s">
        <v>63</v>
      </c>
      <c r="D452" s="1" t="s">
        <v>75</v>
      </c>
      <c r="E452" s="1" t="s">
        <v>888</v>
      </c>
      <c r="F452" s="2">
        <v>46178</v>
      </c>
      <c r="G452" s="2">
        <v>46178</v>
      </c>
      <c r="H452" s="4">
        <v>0</v>
      </c>
      <c r="J452" s="1" t="s">
        <v>83</v>
      </c>
      <c r="L452" s="1">
        <v>393</v>
      </c>
      <c r="M452" s="1" t="s">
        <v>66</v>
      </c>
      <c r="N452" s="3">
        <v>46178</v>
      </c>
      <c r="P452" s="1" t="s">
        <v>314</v>
      </c>
      <c r="Q452" s="1" t="s">
        <v>55</v>
      </c>
      <c r="R452" s="1" t="s">
        <v>61</v>
      </c>
      <c r="S452" s="3">
        <v>46178</v>
      </c>
      <c r="T452" s="3">
        <v>46178</v>
      </c>
      <c r="U452" s="1" t="s">
        <v>889</v>
      </c>
      <c r="W452" s="1" t="s">
        <v>890</v>
      </c>
      <c r="X452" s="1" t="s">
        <v>63</v>
      </c>
      <c r="Y452" s="1" t="s">
        <v>891</v>
      </c>
      <c r="Z452" s="1" t="s">
        <v>892</v>
      </c>
      <c r="AA452" s="1" t="b">
        <v>1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 x14ac:dyDescent="0.25">
      <c r="A453" s="1">
        <v>24</v>
      </c>
      <c r="B453" s="1" t="s">
        <v>893</v>
      </c>
      <c r="C453" s="1" t="s">
        <v>50</v>
      </c>
      <c r="D453" s="1" t="s">
        <v>894</v>
      </c>
      <c r="E453" s="1" t="s">
        <v>895</v>
      </c>
      <c r="F453" s="2">
        <v>46139</v>
      </c>
      <c r="G453" s="2">
        <v>46210</v>
      </c>
      <c r="H453" s="4">
        <v>0.11</v>
      </c>
      <c r="J453" s="1" t="s">
        <v>232</v>
      </c>
      <c r="M453" s="1" t="s">
        <v>42</v>
      </c>
      <c r="N453" s="3">
        <v>46210</v>
      </c>
      <c r="P453" s="1" t="s">
        <v>314</v>
      </c>
      <c r="Q453" s="1" t="s">
        <v>55</v>
      </c>
      <c r="R453" s="1" t="s">
        <v>896</v>
      </c>
      <c r="S453" s="3">
        <v>46139</v>
      </c>
      <c r="T453" s="3">
        <v>46204</v>
      </c>
      <c r="U453" s="1" t="s">
        <v>889</v>
      </c>
      <c r="W453" s="1" t="s">
        <v>897</v>
      </c>
      <c r="X453" s="1" t="s">
        <v>50</v>
      </c>
      <c r="Y453" s="1" t="s">
        <v>898</v>
      </c>
      <c r="Z453" s="1" t="s">
        <v>897</v>
      </c>
      <c r="AA453" s="1" t="b">
        <v>1</v>
      </c>
      <c r="AB453" s="1">
        <v>0.11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</row>
    <row r="454" spans="1:39" x14ac:dyDescent="0.25">
      <c r="A454" s="1">
        <v>25</v>
      </c>
      <c r="B454" s="1" t="s">
        <v>899</v>
      </c>
      <c r="C454" s="1" t="s">
        <v>900</v>
      </c>
      <c r="D454" s="1" t="s">
        <v>901</v>
      </c>
      <c r="E454" s="1" t="s">
        <v>297</v>
      </c>
      <c r="F454" s="2">
        <v>46174</v>
      </c>
      <c r="G454" s="2">
        <v>46182</v>
      </c>
      <c r="H454" s="4">
        <v>0</v>
      </c>
      <c r="J454" s="1" t="s">
        <v>83</v>
      </c>
      <c r="M454" s="1" t="s">
        <v>902</v>
      </c>
      <c r="N454" s="3">
        <v>46182</v>
      </c>
      <c r="P454" s="1" t="s">
        <v>314</v>
      </c>
      <c r="Q454" s="1" t="s">
        <v>55</v>
      </c>
      <c r="R454" s="1" t="s">
        <v>896</v>
      </c>
      <c r="S454" s="3">
        <v>46167</v>
      </c>
      <c r="T454" s="3">
        <v>46175</v>
      </c>
      <c r="U454" s="1" t="s">
        <v>889</v>
      </c>
      <c r="W454" s="1" t="s">
        <v>903</v>
      </c>
      <c r="X454" s="1" t="s">
        <v>900</v>
      </c>
      <c r="Y454" s="1" t="s">
        <v>904</v>
      </c>
      <c r="Z454" s="1" t="s">
        <v>903</v>
      </c>
      <c r="AA454" s="1" t="b">
        <v>1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 x14ac:dyDescent="0.25">
      <c r="A455" s="1">
        <v>30</v>
      </c>
      <c r="B455" s="1" t="s">
        <v>905</v>
      </c>
      <c r="C455" s="1" t="s">
        <v>900</v>
      </c>
      <c r="D455" s="1" t="s">
        <v>906</v>
      </c>
      <c r="E455" s="1" t="s">
        <v>297</v>
      </c>
      <c r="F455" s="2">
        <v>46191</v>
      </c>
      <c r="G455" s="2">
        <v>46199</v>
      </c>
      <c r="H455" s="4">
        <v>0</v>
      </c>
      <c r="J455" s="1" t="s">
        <v>83</v>
      </c>
      <c r="M455" s="1" t="s">
        <v>187</v>
      </c>
      <c r="N455" s="3">
        <v>46199</v>
      </c>
      <c r="P455" s="1" t="s">
        <v>314</v>
      </c>
      <c r="Q455" s="1" t="s">
        <v>55</v>
      </c>
      <c r="R455" s="1" t="s">
        <v>896</v>
      </c>
      <c r="S455" s="3">
        <v>46184</v>
      </c>
      <c r="T455" s="3">
        <v>46192</v>
      </c>
      <c r="U455" s="1" t="s">
        <v>889</v>
      </c>
      <c r="W455" s="1" t="s">
        <v>907</v>
      </c>
      <c r="X455" s="1" t="s">
        <v>900</v>
      </c>
      <c r="Y455" s="1" t="s">
        <v>908</v>
      </c>
      <c r="Z455" s="1" t="s">
        <v>907</v>
      </c>
      <c r="AA455" s="1" t="b">
        <v>1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 x14ac:dyDescent="0.25">
      <c r="A456" s="1">
        <v>35</v>
      </c>
      <c r="B456" s="1" t="s">
        <v>909</v>
      </c>
      <c r="C456" s="1" t="s">
        <v>900</v>
      </c>
      <c r="D456" s="1" t="s">
        <v>910</v>
      </c>
      <c r="E456" s="1" t="s">
        <v>223</v>
      </c>
      <c r="F456" s="2">
        <v>46203</v>
      </c>
      <c r="G456" s="2">
        <v>46210</v>
      </c>
      <c r="H456" s="4">
        <v>0</v>
      </c>
      <c r="J456" s="1" t="s">
        <v>83</v>
      </c>
      <c r="M456" s="1" t="s">
        <v>196</v>
      </c>
      <c r="N456" s="3">
        <v>46210</v>
      </c>
      <c r="P456" s="1" t="s">
        <v>314</v>
      </c>
      <c r="Q456" s="1" t="s">
        <v>55</v>
      </c>
      <c r="R456" s="1" t="s">
        <v>896</v>
      </c>
      <c r="S456" s="3">
        <v>46196</v>
      </c>
      <c r="T456" s="3">
        <v>46204</v>
      </c>
      <c r="U456" s="1" t="s">
        <v>889</v>
      </c>
      <c r="W456" s="1" t="s">
        <v>911</v>
      </c>
      <c r="X456" s="1" t="s">
        <v>900</v>
      </c>
      <c r="Y456" s="1" t="s">
        <v>912</v>
      </c>
      <c r="Z456" s="1" t="s">
        <v>911</v>
      </c>
      <c r="AA456" s="1" t="b">
        <v>1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 x14ac:dyDescent="0.25">
      <c r="A457" s="1">
        <v>40</v>
      </c>
      <c r="B457" s="1" t="s">
        <v>913</v>
      </c>
      <c r="C457" s="1" t="s">
        <v>900</v>
      </c>
      <c r="D457" s="1" t="s">
        <v>914</v>
      </c>
      <c r="E457" s="1" t="s">
        <v>915</v>
      </c>
      <c r="F457" s="2">
        <v>46139</v>
      </c>
      <c r="G457" s="2">
        <v>46203</v>
      </c>
      <c r="H457" s="4">
        <v>0.43</v>
      </c>
      <c r="J457" s="1" t="s">
        <v>232</v>
      </c>
      <c r="M457" s="1" t="s">
        <v>42</v>
      </c>
      <c r="N457" s="3">
        <v>46203</v>
      </c>
      <c r="P457" s="1" t="s">
        <v>314</v>
      </c>
      <c r="Q457" s="1" t="s">
        <v>55</v>
      </c>
      <c r="R457" s="1" t="s">
        <v>896</v>
      </c>
      <c r="S457" s="3">
        <v>46139</v>
      </c>
      <c r="T457" s="3">
        <v>46203</v>
      </c>
      <c r="U457" s="1" t="s">
        <v>889</v>
      </c>
      <c r="W457" s="1" t="s">
        <v>916</v>
      </c>
      <c r="X457" s="1" t="s">
        <v>900</v>
      </c>
      <c r="Y457" s="1" t="s">
        <v>917</v>
      </c>
      <c r="Z457" s="1" t="s">
        <v>916</v>
      </c>
      <c r="AA457" s="1" t="b">
        <v>1</v>
      </c>
      <c r="AB457" s="1">
        <v>0.43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 x14ac:dyDescent="0.25">
      <c r="A458" s="1">
        <v>107</v>
      </c>
      <c r="B458" s="1" t="s">
        <v>918</v>
      </c>
      <c r="C458" s="1" t="s">
        <v>160</v>
      </c>
      <c r="D458" s="1" t="s">
        <v>919</v>
      </c>
      <c r="E458" s="1" t="s">
        <v>920</v>
      </c>
      <c r="F458" s="2">
        <v>46176</v>
      </c>
      <c r="G458" s="2">
        <v>46191</v>
      </c>
      <c r="H458" s="4">
        <v>0</v>
      </c>
      <c r="J458" s="1" t="s">
        <v>83</v>
      </c>
      <c r="M458" s="1" t="s">
        <v>220</v>
      </c>
      <c r="N458" s="3">
        <v>46191</v>
      </c>
      <c r="P458" s="1" t="s">
        <v>314</v>
      </c>
      <c r="Q458" s="1" t="s">
        <v>55</v>
      </c>
      <c r="R458" s="1" t="s">
        <v>158</v>
      </c>
      <c r="S458" s="3">
        <v>46163</v>
      </c>
      <c r="T458" s="3">
        <v>46178</v>
      </c>
      <c r="U458" s="1" t="s">
        <v>889</v>
      </c>
      <c r="W458" s="1" t="s">
        <v>921</v>
      </c>
      <c r="X458" s="1" t="s">
        <v>160</v>
      </c>
      <c r="Y458" s="1" t="s">
        <v>922</v>
      </c>
      <c r="Z458" s="1" t="s">
        <v>921</v>
      </c>
      <c r="AA458" s="1" t="b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</row>
    <row r="459" spans="1:39" x14ac:dyDescent="0.25">
      <c r="A459" s="1">
        <v>138</v>
      </c>
      <c r="B459" s="1" t="s">
        <v>923</v>
      </c>
      <c r="C459" s="1" t="s">
        <v>292</v>
      </c>
      <c r="D459" s="1" t="s">
        <v>924</v>
      </c>
      <c r="E459" s="1" t="s">
        <v>297</v>
      </c>
      <c r="F459" s="2">
        <v>46189</v>
      </c>
      <c r="G459" s="2">
        <v>46197</v>
      </c>
      <c r="H459" s="4">
        <v>0</v>
      </c>
      <c r="J459" s="1" t="s">
        <v>83</v>
      </c>
      <c r="M459" s="1" t="s">
        <v>227</v>
      </c>
      <c r="N459" s="3">
        <v>46197</v>
      </c>
      <c r="P459" s="1" t="s">
        <v>314</v>
      </c>
      <c r="Q459" s="1" t="s">
        <v>55</v>
      </c>
      <c r="R459" s="1" t="s">
        <v>290</v>
      </c>
      <c r="S459" s="3">
        <v>46176</v>
      </c>
      <c r="T459" s="3">
        <v>46184</v>
      </c>
      <c r="U459" s="1" t="s">
        <v>889</v>
      </c>
      <c r="W459" s="1" t="s">
        <v>925</v>
      </c>
      <c r="AA459" s="1" t="b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5">
      <c r="A460" s="1">
        <v>148</v>
      </c>
      <c r="B460" s="1" t="s">
        <v>926</v>
      </c>
      <c r="C460" s="1" t="s">
        <v>292</v>
      </c>
      <c r="D460" s="1" t="s">
        <v>927</v>
      </c>
      <c r="E460" s="1" t="s">
        <v>297</v>
      </c>
      <c r="F460" s="2">
        <v>46183</v>
      </c>
      <c r="G460" s="2">
        <v>46191</v>
      </c>
      <c r="H460" s="4">
        <v>0</v>
      </c>
      <c r="J460" s="1" t="s">
        <v>83</v>
      </c>
      <c r="M460" s="1" t="s">
        <v>183</v>
      </c>
      <c r="N460" s="3">
        <v>46191</v>
      </c>
      <c r="P460" s="1" t="s">
        <v>314</v>
      </c>
      <c r="Q460" s="1" t="s">
        <v>55</v>
      </c>
      <c r="R460" s="1" t="s">
        <v>290</v>
      </c>
      <c r="S460" s="3">
        <v>46170</v>
      </c>
      <c r="T460" s="3">
        <v>46178</v>
      </c>
      <c r="U460" s="1" t="s">
        <v>889</v>
      </c>
      <c r="W460" s="1" t="s">
        <v>928</v>
      </c>
      <c r="AA460" s="1" t="b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 x14ac:dyDescent="0.25">
      <c r="A461" s="1">
        <v>153</v>
      </c>
      <c r="B461" s="1" t="s">
        <v>929</v>
      </c>
      <c r="C461" s="1" t="s">
        <v>292</v>
      </c>
      <c r="D461" s="1" t="s">
        <v>930</v>
      </c>
      <c r="E461" s="1" t="s">
        <v>297</v>
      </c>
      <c r="F461" s="2">
        <v>46178</v>
      </c>
      <c r="G461" s="2">
        <v>46188</v>
      </c>
      <c r="H461" s="4">
        <v>0</v>
      </c>
      <c r="J461" s="1" t="s">
        <v>83</v>
      </c>
      <c r="M461" s="1" t="s">
        <v>66</v>
      </c>
      <c r="N461" s="3">
        <v>46188</v>
      </c>
      <c r="P461" s="1" t="s">
        <v>314</v>
      </c>
      <c r="Q461" s="1" t="s">
        <v>55</v>
      </c>
      <c r="R461" s="1" t="s">
        <v>290</v>
      </c>
      <c r="S461" s="3">
        <v>46167</v>
      </c>
      <c r="T461" s="3">
        <v>46175</v>
      </c>
      <c r="U461" s="1" t="s">
        <v>889</v>
      </c>
      <c r="W461" s="1" t="s">
        <v>931</v>
      </c>
      <c r="X461" s="1" t="s">
        <v>292</v>
      </c>
      <c r="Y461" s="1" t="s">
        <v>932</v>
      </c>
      <c r="Z461" s="1" t="s">
        <v>931</v>
      </c>
      <c r="AA461" s="1" t="b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 x14ac:dyDescent="0.25">
      <c r="A462" s="1">
        <v>158</v>
      </c>
      <c r="B462" s="1" t="s">
        <v>933</v>
      </c>
      <c r="C462" s="1" t="s">
        <v>292</v>
      </c>
      <c r="D462" s="1" t="s">
        <v>934</v>
      </c>
      <c r="E462" s="1" t="s">
        <v>297</v>
      </c>
      <c r="F462" s="2">
        <v>46178</v>
      </c>
      <c r="G462" s="2">
        <v>46188</v>
      </c>
      <c r="H462" s="4">
        <v>0</v>
      </c>
      <c r="J462" s="1" t="s">
        <v>83</v>
      </c>
      <c r="M462" s="1" t="s">
        <v>66</v>
      </c>
      <c r="N462" s="3">
        <v>46188</v>
      </c>
      <c r="P462" s="1" t="s">
        <v>314</v>
      </c>
      <c r="Q462" s="1" t="s">
        <v>55</v>
      </c>
      <c r="R462" s="1" t="s">
        <v>290</v>
      </c>
      <c r="S462" s="3">
        <v>46167</v>
      </c>
      <c r="T462" s="3">
        <v>46175</v>
      </c>
      <c r="U462" s="1" t="s">
        <v>889</v>
      </c>
      <c r="W462" s="1" t="s">
        <v>935</v>
      </c>
      <c r="AA462" s="1" t="b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5">
      <c r="A463" s="1">
        <v>178</v>
      </c>
      <c r="B463" s="1" t="s">
        <v>936</v>
      </c>
      <c r="C463" s="1" t="s">
        <v>292</v>
      </c>
      <c r="D463" s="1" t="s">
        <v>937</v>
      </c>
      <c r="E463" s="1" t="s">
        <v>938</v>
      </c>
      <c r="F463" s="2">
        <v>46181</v>
      </c>
      <c r="G463" s="2">
        <v>46198</v>
      </c>
      <c r="H463" s="4">
        <v>0</v>
      </c>
      <c r="J463" s="1" t="s">
        <v>83</v>
      </c>
      <c r="M463" s="1" t="s">
        <v>149</v>
      </c>
      <c r="N463" s="3">
        <v>46198</v>
      </c>
      <c r="P463" s="1" t="s">
        <v>314</v>
      </c>
      <c r="Q463" s="1" t="s">
        <v>55</v>
      </c>
      <c r="R463" s="1" t="s">
        <v>290</v>
      </c>
      <c r="S463" s="3">
        <v>46157</v>
      </c>
      <c r="T463" s="3">
        <v>46176</v>
      </c>
      <c r="U463" s="1" t="s">
        <v>889</v>
      </c>
      <c r="W463" s="1" t="s">
        <v>939</v>
      </c>
      <c r="AA463" s="1" t="b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</row>
    <row r="464" spans="1:39" x14ac:dyDescent="0.25">
      <c r="A464" s="1">
        <v>198</v>
      </c>
      <c r="B464" s="1" t="s">
        <v>940</v>
      </c>
      <c r="C464" s="1" t="s">
        <v>292</v>
      </c>
      <c r="D464" s="1" t="s">
        <v>941</v>
      </c>
      <c r="E464" s="1" t="s">
        <v>297</v>
      </c>
      <c r="F464" s="2">
        <v>46178</v>
      </c>
      <c r="G464" s="2">
        <v>46188</v>
      </c>
      <c r="H464" s="4">
        <v>0</v>
      </c>
      <c r="J464" s="1" t="s">
        <v>83</v>
      </c>
      <c r="M464" s="1" t="s">
        <v>66</v>
      </c>
      <c r="N464" s="3">
        <v>46188</v>
      </c>
      <c r="P464" s="1" t="s">
        <v>314</v>
      </c>
      <c r="Q464" s="1" t="s">
        <v>55</v>
      </c>
      <c r="R464" s="1" t="s">
        <v>290</v>
      </c>
      <c r="S464" s="3">
        <v>46167</v>
      </c>
      <c r="T464" s="3">
        <v>46175</v>
      </c>
      <c r="U464" s="1" t="s">
        <v>889</v>
      </c>
      <c r="W464" s="1" t="s">
        <v>942</v>
      </c>
      <c r="AA464" s="1" t="b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 x14ac:dyDescent="0.25">
      <c r="A465" s="1">
        <v>203</v>
      </c>
      <c r="B465" s="1" t="s">
        <v>943</v>
      </c>
      <c r="C465" s="1" t="s">
        <v>292</v>
      </c>
      <c r="D465" s="1" t="s">
        <v>944</v>
      </c>
      <c r="E465" s="1" t="s">
        <v>297</v>
      </c>
      <c r="F465" s="2">
        <v>46178</v>
      </c>
      <c r="G465" s="2">
        <v>46188</v>
      </c>
      <c r="H465" s="4">
        <v>0</v>
      </c>
      <c r="J465" s="1" t="s">
        <v>83</v>
      </c>
      <c r="M465" s="1" t="s">
        <v>66</v>
      </c>
      <c r="N465" s="3">
        <v>46188</v>
      </c>
      <c r="P465" s="1" t="s">
        <v>314</v>
      </c>
      <c r="Q465" s="1" t="s">
        <v>55</v>
      </c>
      <c r="R465" s="1" t="s">
        <v>290</v>
      </c>
      <c r="S465" s="3">
        <v>46167</v>
      </c>
      <c r="T465" s="3">
        <v>46175</v>
      </c>
      <c r="U465" s="1" t="s">
        <v>889</v>
      </c>
      <c r="W465" s="1" t="s">
        <v>945</v>
      </c>
      <c r="AA465" s="1" t="b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 x14ac:dyDescent="0.25">
      <c r="A466" s="1">
        <v>208</v>
      </c>
      <c r="B466" s="1" t="s">
        <v>946</v>
      </c>
      <c r="C466" s="1" t="s">
        <v>292</v>
      </c>
      <c r="D466" s="1" t="s">
        <v>947</v>
      </c>
      <c r="E466" s="1" t="s">
        <v>297</v>
      </c>
      <c r="F466" s="2">
        <v>46178</v>
      </c>
      <c r="G466" s="2">
        <v>46188</v>
      </c>
      <c r="H466" s="4">
        <v>0</v>
      </c>
      <c r="J466" s="1" t="s">
        <v>83</v>
      </c>
      <c r="M466" s="1" t="s">
        <v>66</v>
      </c>
      <c r="N466" s="3">
        <v>46188</v>
      </c>
      <c r="P466" s="1" t="s">
        <v>314</v>
      </c>
      <c r="Q466" s="1" t="s">
        <v>55</v>
      </c>
      <c r="R466" s="1" t="s">
        <v>290</v>
      </c>
      <c r="S466" s="3">
        <v>46167</v>
      </c>
      <c r="T466" s="3">
        <v>46175</v>
      </c>
      <c r="U466" s="1" t="s">
        <v>889</v>
      </c>
      <c r="W466" s="1" t="s">
        <v>948</v>
      </c>
      <c r="AA466" s="1" t="b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 x14ac:dyDescent="0.25">
      <c r="A467" s="1">
        <v>218</v>
      </c>
      <c r="B467" s="1" t="s">
        <v>949</v>
      </c>
      <c r="C467" s="1" t="s">
        <v>292</v>
      </c>
      <c r="D467" s="1" t="s">
        <v>950</v>
      </c>
      <c r="E467" s="1" t="s">
        <v>938</v>
      </c>
      <c r="F467" s="2">
        <v>46175</v>
      </c>
      <c r="G467" s="2">
        <v>46192</v>
      </c>
      <c r="H467" s="4">
        <v>0</v>
      </c>
      <c r="J467" s="1" t="s">
        <v>83</v>
      </c>
      <c r="M467" s="1" t="s">
        <v>172</v>
      </c>
      <c r="N467" s="3">
        <v>46192</v>
      </c>
      <c r="P467" s="1" t="s">
        <v>314</v>
      </c>
      <c r="Q467" s="1" t="s">
        <v>55</v>
      </c>
      <c r="R467" s="1" t="s">
        <v>290</v>
      </c>
      <c r="S467" s="3">
        <v>46162</v>
      </c>
      <c r="T467" s="3">
        <v>46181</v>
      </c>
      <c r="U467" s="1" t="s">
        <v>889</v>
      </c>
      <c r="W467" s="1" t="s">
        <v>951</v>
      </c>
      <c r="AA467" s="1" t="b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 x14ac:dyDescent="0.25">
      <c r="A468" s="1">
        <v>239</v>
      </c>
      <c r="B468" s="1" t="s">
        <v>952</v>
      </c>
      <c r="C468" s="1" t="s">
        <v>367</v>
      </c>
      <c r="D468" s="1" t="s">
        <v>953</v>
      </c>
      <c r="E468" s="1" t="s">
        <v>297</v>
      </c>
      <c r="F468" s="2">
        <v>46197</v>
      </c>
      <c r="G468" s="2">
        <v>46205</v>
      </c>
      <c r="H468" s="4">
        <v>0</v>
      </c>
      <c r="J468" s="1" t="s">
        <v>83</v>
      </c>
      <c r="M468" s="1" t="s">
        <v>308</v>
      </c>
      <c r="N468" s="3">
        <v>46205</v>
      </c>
      <c r="P468" s="1" t="s">
        <v>314</v>
      </c>
      <c r="Q468" s="1" t="s">
        <v>55</v>
      </c>
      <c r="R468" s="1" t="s">
        <v>365</v>
      </c>
      <c r="S468" s="3">
        <v>46189</v>
      </c>
      <c r="T468" s="3">
        <v>46197</v>
      </c>
      <c r="U468" s="1" t="s">
        <v>889</v>
      </c>
      <c r="W468" s="1" t="s">
        <v>954</v>
      </c>
      <c r="X468" s="1" t="s">
        <v>367</v>
      </c>
      <c r="Y468" s="1" t="s">
        <v>955</v>
      </c>
      <c r="Z468" s="1" t="s">
        <v>954</v>
      </c>
      <c r="AA468" s="1" t="b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</row>
    <row r="469" spans="1:39" x14ac:dyDescent="0.25">
      <c r="A469" s="1">
        <v>269</v>
      </c>
      <c r="B469" s="1" t="s">
        <v>956</v>
      </c>
      <c r="C469" s="1" t="s">
        <v>367</v>
      </c>
      <c r="D469" s="1" t="s">
        <v>957</v>
      </c>
      <c r="E469" s="1" t="s">
        <v>682</v>
      </c>
      <c r="F469" s="2">
        <v>46196</v>
      </c>
      <c r="G469" s="2">
        <v>46206</v>
      </c>
      <c r="H469" s="4">
        <v>0</v>
      </c>
      <c r="J469" s="1" t="s">
        <v>83</v>
      </c>
      <c r="M469" s="1" t="s">
        <v>251</v>
      </c>
      <c r="N469" s="3">
        <v>46206</v>
      </c>
      <c r="P469" s="1" t="s">
        <v>314</v>
      </c>
      <c r="Q469" s="1" t="s">
        <v>55</v>
      </c>
      <c r="R469" s="1" t="s">
        <v>365</v>
      </c>
      <c r="S469" s="3">
        <v>46188</v>
      </c>
      <c r="T469" s="3">
        <v>46198</v>
      </c>
      <c r="U469" s="1" t="s">
        <v>889</v>
      </c>
      <c r="W469" s="1" t="s">
        <v>958</v>
      </c>
      <c r="X469" s="1" t="s">
        <v>367</v>
      </c>
      <c r="Y469" s="1" t="s">
        <v>959</v>
      </c>
      <c r="Z469" s="1" t="s">
        <v>958</v>
      </c>
      <c r="AA469" s="1" t="b">
        <v>1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 x14ac:dyDescent="0.25">
      <c r="A470" s="1">
        <v>295</v>
      </c>
      <c r="B470" s="1" t="s">
        <v>960</v>
      </c>
      <c r="C470" s="1" t="s">
        <v>440</v>
      </c>
      <c r="D470" s="1" t="s">
        <v>961</v>
      </c>
      <c r="E470" s="1" t="s">
        <v>297</v>
      </c>
      <c r="F470" s="2">
        <v>46197</v>
      </c>
      <c r="G470" s="2">
        <v>46205</v>
      </c>
      <c r="H470" s="4">
        <v>0</v>
      </c>
      <c r="J470" s="1" t="s">
        <v>83</v>
      </c>
      <c r="M470" s="1" t="s">
        <v>308</v>
      </c>
      <c r="N470" s="3">
        <v>46205</v>
      </c>
      <c r="P470" s="1" t="s">
        <v>314</v>
      </c>
      <c r="Q470" s="1" t="s">
        <v>55</v>
      </c>
      <c r="R470" s="1" t="s">
        <v>438</v>
      </c>
      <c r="S470" s="3">
        <v>46185</v>
      </c>
      <c r="T470" s="3">
        <v>46195</v>
      </c>
      <c r="U470" s="1" t="s">
        <v>889</v>
      </c>
      <c r="W470" s="1" t="s">
        <v>962</v>
      </c>
      <c r="X470" s="1" t="s">
        <v>440</v>
      </c>
      <c r="Y470" s="1" t="s">
        <v>963</v>
      </c>
      <c r="Z470" s="1" t="s">
        <v>962</v>
      </c>
      <c r="AA470" s="1" t="b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 x14ac:dyDescent="0.25">
      <c r="A471" s="1">
        <v>340</v>
      </c>
      <c r="B471" s="1" t="s">
        <v>532</v>
      </c>
      <c r="C471" s="1" t="s">
        <v>440</v>
      </c>
      <c r="D471" s="1" t="s">
        <v>964</v>
      </c>
      <c r="E471" s="1" t="s">
        <v>223</v>
      </c>
      <c r="F471" s="2">
        <v>46197</v>
      </c>
      <c r="G471" s="2">
        <v>46204</v>
      </c>
      <c r="H471" s="4">
        <v>0</v>
      </c>
      <c r="J471" s="1" t="s">
        <v>83</v>
      </c>
      <c r="M471" s="1" t="s">
        <v>308</v>
      </c>
      <c r="N471" s="3">
        <v>46204</v>
      </c>
      <c r="P471" s="1" t="s">
        <v>314</v>
      </c>
      <c r="Q471" s="1" t="s">
        <v>55</v>
      </c>
      <c r="R471" s="1" t="s">
        <v>438</v>
      </c>
      <c r="S471" s="3">
        <v>46185</v>
      </c>
      <c r="T471" s="3">
        <v>46197</v>
      </c>
      <c r="U471" s="1" t="s">
        <v>889</v>
      </c>
      <c r="W471" s="1" t="s">
        <v>965</v>
      </c>
      <c r="X471" s="1" t="s">
        <v>440</v>
      </c>
      <c r="Y471" s="1" t="s">
        <v>966</v>
      </c>
      <c r="Z471" s="1" t="s">
        <v>965</v>
      </c>
      <c r="AA471" s="1" t="b">
        <v>1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 x14ac:dyDescent="0.25">
      <c r="A472" s="1">
        <v>345</v>
      </c>
      <c r="B472" s="1" t="s">
        <v>541</v>
      </c>
      <c r="C472" s="1" t="s">
        <v>440</v>
      </c>
      <c r="D472" s="1" t="s">
        <v>967</v>
      </c>
      <c r="E472" s="1" t="s">
        <v>682</v>
      </c>
      <c r="F472" s="2">
        <v>46197</v>
      </c>
      <c r="G472" s="2">
        <v>46209</v>
      </c>
      <c r="H472" s="4">
        <v>0</v>
      </c>
      <c r="J472" s="1" t="s">
        <v>83</v>
      </c>
      <c r="M472" s="1" t="s">
        <v>308</v>
      </c>
      <c r="N472" s="3">
        <v>46209</v>
      </c>
      <c r="P472" s="1" t="s">
        <v>314</v>
      </c>
      <c r="Q472" s="1" t="s">
        <v>55</v>
      </c>
      <c r="R472" s="1" t="s">
        <v>438</v>
      </c>
      <c r="S472" s="3">
        <v>46185</v>
      </c>
      <c r="T472" s="3">
        <v>46197</v>
      </c>
      <c r="U472" s="1" t="s">
        <v>889</v>
      </c>
      <c r="W472" s="1" t="s">
        <v>968</v>
      </c>
      <c r="X472" s="1" t="s">
        <v>440</v>
      </c>
      <c r="Y472" s="1" t="s">
        <v>969</v>
      </c>
      <c r="Z472" s="1" t="s">
        <v>968</v>
      </c>
      <c r="AA472" s="1" t="b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 x14ac:dyDescent="0.25">
      <c r="A473" s="1">
        <v>350</v>
      </c>
      <c r="B473" s="1" t="s">
        <v>550</v>
      </c>
      <c r="C473" s="1" t="s">
        <v>440</v>
      </c>
      <c r="D473" s="1" t="s">
        <v>970</v>
      </c>
      <c r="E473" s="1" t="s">
        <v>971</v>
      </c>
      <c r="F473" s="2">
        <v>46178</v>
      </c>
      <c r="G473" s="2">
        <v>46202</v>
      </c>
      <c r="H473" s="4">
        <v>0</v>
      </c>
      <c r="J473" s="1" t="s">
        <v>83</v>
      </c>
      <c r="M473" s="1" t="s">
        <v>66</v>
      </c>
      <c r="N473" s="3">
        <v>46202</v>
      </c>
      <c r="P473" s="1" t="s">
        <v>314</v>
      </c>
      <c r="Q473" s="1" t="s">
        <v>55</v>
      </c>
      <c r="R473" s="1" t="s">
        <v>438</v>
      </c>
      <c r="S473" s="3">
        <v>46168</v>
      </c>
      <c r="T473" s="3">
        <v>46190</v>
      </c>
      <c r="U473" s="1" t="s">
        <v>889</v>
      </c>
      <c r="W473" s="1" t="s">
        <v>972</v>
      </c>
      <c r="X473" s="1" t="s">
        <v>440</v>
      </c>
      <c r="Y473" s="1" t="s">
        <v>973</v>
      </c>
      <c r="Z473" s="1" t="s">
        <v>972</v>
      </c>
      <c r="AA473" s="1" t="b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</row>
    <row r="474" spans="1:39" x14ac:dyDescent="0.25">
      <c r="A474" s="1">
        <v>370</v>
      </c>
      <c r="B474" s="1" t="s">
        <v>558</v>
      </c>
      <c r="C474" s="1" t="s">
        <v>440</v>
      </c>
      <c r="D474" s="1" t="s">
        <v>974</v>
      </c>
      <c r="E474" s="1" t="s">
        <v>682</v>
      </c>
      <c r="F474" s="2">
        <v>46183</v>
      </c>
      <c r="G474" s="2">
        <v>46195</v>
      </c>
      <c r="H474" s="4">
        <v>0</v>
      </c>
      <c r="J474" s="1" t="s">
        <v>83</v>
      </c>
      <c r="M474" s="1" t="s">
        <v>183</v>
      </c>
      <c r="N474" s="3">
        <v>46195</v>
      </c>
      <c r="P474" s="1" t="s">
        <v>314</v>
      </c>
      <c r="Q474" s="1" t="s">
        <v>55</v>
      </c>
      <c r="R474" s="1" t="s">
        <v>438</v>
      </c>
      <c r="S474" s="3">
        <v>46171</v>
      </c>
      <c r="T474" s="3">
        <v>46183</v>
      </c>
      <c r="U474" s="1" t="s">
        <v>889</v>
      </c>
      <c r="W474" s="1" t="s">
        <v>975</v>
      </c>
      <c r="X474" s="1" t="s">
        <v>440</v>
      </c>
      <c r="Y474" s="1" t="s">
        <v>976</v>
      </c>
      <c r="Z474" s="1" t="s">
        <v>975</v>
      </c>
      <c r="AA474" s="1" t="b">
        <v>1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 x14ac:dyDescent="0.25">
      <c r="A475" s="1">
        <v>375</v>
      </c>
      <c r="B475" s="1" t="s">
        <v>977</v>
      </c>
      <c r="C475" s="1" t="s">
        <v>440</v>
      </c>
      <c r="D475" s="1" t="s">
        <v>978</v>
      </c>
      <c r="E475" s="1" t="s">
        <v>682</v>
      </c>
      <c r="F475" s="2">
        <v>46183</v>
      </c>
      <c r="G475" s="2">
        <v>46195</v>
      </c>
      <c r="H475" s="4">
        <v>0</v>
      </c>
      <c r="J475" s="1" t="s">
        <v>83</v>
      </c>
      <c r="M475" s="1" t="s">
        <v>183</v>
      </c>
      <c r="N475" s="3">
        <v>46195</v>
      </c>
      <c r="P475" s="1" t="s">
        <v>314</v>
      </c>
      <c r="Q475" s="1" t="s">
        <v>55</v>
      </c>
      <c r="R475" s="1" t="s">
        <v>438</v>
      </c>
      <c r="S475" s="3">
        <v>46171</v>
      </c>
      <c r="T475" s="3">
        <v>46183</v>
      </c>
      <c r="U475" s="1" t="s">
        <v>889</v>
      </c>
      <c r="W475" s="1" t="s">
        <v>979</v>
      </c>
      <c r="X475" s="1" t="s">
        <v>440</v>
      </c>
      <c r="Y475" s="1" t="s">
        <v>980</v>
      </c>
      <c r="Z475" s="1" t="s">
        <v>979</v>
      </c>
      <c r="AA475" s="1" t="b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 x14ac:dyDescent="0.25">
      <c r="A476" s="1">
        <v>380</v>
      </c>
      <c r="B476" s="1" t="s">
        <v>981</v>
      </c>
      <c r="C476" s="1" t="s">
        <v>440</v>
      </c>
      <c r="D476" s="1" t="s">
        <v>982</v>
      </c>
      <c r="E476" s="1" t="s">
        <v>682</v>
      </c>
      <c r="F476" s="2">
        <v>46183</v>
      </c>
      <c r="G476" s="2">
        <v>46195</v>
      </c>
      <c r="H476" s="4">
        <v>0</v>
      </c>
      <c r="J476" s="1" t="s">
        <v>83</v>
      </c>
      <c r="M476" s="1" t="s">
        <v>183</v>
      </c>
      <c r="N476" s="3">
        <v>46195</v>
      </c>
      <c r="P476" s="1" t="s">
        <v>314</v>
      </c>
      <c r="Q476" s="1" t="s">
        <v>55</v>
      </c>
      <c r="R476" s="1" t="s">
        <v>438</v>
      </c>
      <c r="S476" s="3">
        <v>46171</v>
      </c>
      <c r="T476" s="3">
        <v>46183</v>
      </c>
      <c r="U476" s="1" t="s">
        <v>889</v>
      </c>
      <c r="W476" s="1" t="s">
        <v>983</v>
      </c>
      <c r="X476" s="1" t="s">
        <v>440</v>
      </c>
      <c r="Y476" s="1" t="s">
        <v>984</v>
      </c>
      <c r="Z476" s="1" t="s">
        <v>983</v>
      </c>
      <c r="AA476" s="1" t="b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 x14ac:dyDescent="0.25">
      <c r="A477" s="1">
        <v>385</v>
      </c>
      <c r="B477" s="1" t="s">
        <v>985</v>
      </c>
      <c r="C477" s="1" t="s">
        <v>440</v>
      </c>
      <c r="D477" s="1" t="s">
        <v>986</v>
      </c>
      <c r="E477" s="1" t="s">
        <v>682</v>
      </c>
      <c r="F477" s="2">
        <v>46183</v>
      </c>
      <c r="G477" s="2">
        <v>46195</v>
      </c>
      <c r="H477" s="4">
        <v>0</v>
      </c>
      <c r="J477" s="1" t="s">
        <v>83</v>
      </c>
      <c r="M477" s="1" t="s">
        <v>183</v>
      </c>
      <c r="N477" s="3">
        <v>46195</v>
      </c>
      <c r="P477" s="1" t="s">
        <v>314</v>
      </c>
      <c r="Q477" s="1" t="s">
        <v>55</v>
      </c>
      <c r="R477" s="1" t="s">
        <v>438</v>
      </c>
      <c r="S477" s="3">
        <v>46171</v>
      </c>
      <c r="T477" s="3">
        <v>46183</v>
      </c>
      <c r="U477" s="1" t="s">
        <v>889</v>
      </c>
      <c r="W477" s="1" t="s">
        <v>987</v>
      </c>
      <c r="X477" s="1" t="s">
        <v>440</v>
      </c>
      <c r="Y477" s="1" t="s">
        <v>988</v>
      </c>
      <c r="Z477" s="1" t="s">
        <v>987</v>
      </c>
      <c r="AA477" s="1" t="b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 x14ac:dyDescent="0.25">
      <c r="A478" s="1">
        <v>406</v>
      </c>
      <c r="B478" s="1" t="s">
        <v>589</v>
      </c>
      <c r="C478" s="1" t="s">
        <v>571</v>
      </c>
      <c r="D478" s="1" t="s">
        <v>989</v>
      </c>
      <c r="E478" s="1" t="s">
        <v>223</v>
      </c>
      <c r="F478" s="2">
        <v>46195</v>
      </c>
      <c r="G478" s="2">
        <v>46202</v>
      </c>
      <c r="H478" s="4">
        <v>0</v>
      </c>
      <c r="J478" s="1" t="s">
        <v>83</v>
      </c>
      <c r="M478" s="1" t="s">
        <v>284</v>
      </c>
      <c r="N478" s="3">
        <v>46202</v>
      </c>
      <c r="P478" s="1" t="s">
        <v>314</v>
      </c>
      <c r="Q478" s="1" t="s">
        <v>44</v>
      </c>
      <c r="R478" s="1" t="s">
        <v>569</v>
      </c>
      <c r="S478" s="3">
        <v>46184</v>
      </c>
      <c r="T478" s="3">
        <v>46192</v>
      </c>
      <c r="U478" s="1" t="s">
        <v>889</v>
      </c>
      <c r="W478" s="1" t="s">
        <v>990</v>
      </c>
      <c r="X478" s="1" t="s">
        <v>571</v>
      </c>
      <c r="Y478" s="1" t="s">
        <v>991</v>
      </c>
      <c r="Z478" s="1" t="s">
        <v>990</v>
      </c>
      <c r="AA478" s="1" t="b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 x14ac:dyDescent="0.25">
      <c r="A479" s="1">
        <v>411</v>
      </c>
      <c r="B479" s="1" t="s">
        <v>992</v>
      </c>
      <c r="C479" s="1" t="s">
        <v>571</v>
      </c>
      <c r="D479" s="1" t="s">
        <v>993</v>
      </c>
      <c r="E479" s="1" t="s">
        <v>297</v>
      </c>
      <c r="F479" s="2">
        <v>46195</v>
      </c>
      <c r="G479" s="2">
        <v>46203</v>
      </c>
      <c r="H479" s="4">
        <v>0</v>
      </c>
      <c r="J479" s="1" t="s">
        <v>83</v>
      </c>
      <c r="M479" s="1" t="s">
        <v>284</v>
      </c>
      <c r="N479" s="3">
        <v>46203</v>
      </c>
      <c r="P479" s="1" t="s">
        <v>314</v>
      </c>
      <c r="Q479" s="1" t="s">
        <v>55</v>
      </c>
      <c r="R479" s="1" t="s">
        <v>569</v>
      </c>
      <c r="S479" s="3">
        <v>46192</v>
      </c>
      <c r="T479" s="3">
        <v>46202</v>
      </c>
      <c r="U479" s="1" t="s">
        <v>889</v>
      </c>
      <c r="W479" s="1" t="s">
        <v>994</v>
      </c>
      <c r="X479" s="1" t="s">
        <v>571</v>
      </c>
      <c r="Y479" s="1" t="s">
        <v>995</v>
      </c>
      <c r="Z479" s="1" t="s">
        <v>994</v>
      </c>
      <c r="AA479" s="1" t="b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 x14ac:dyDescent="0.25">
      <c r="A480" s="1">
        <v>451</v>
      </c>
      <c r="B480" s="1" t="s">
        <v>646</v>
      </c>
      <c r="C480" s="1" t="s">
        <v>571</v>
      </c>
      <c r="D480" s="1" t="s">
        <v>996</v>
      </c>
      <c r="E480" s="1" t="s">
        <v>938</v>
      </c>
      <c r="F480" s="2">
        <v>46183</v>
      </c>
      <c r="G480" s="2">
        <v>46202</v>
      </c>
      <c r="H480" s="4">
        <v>0</v>
      </c>
      <c r="J480" s="1" t="s">
        <v>83</v>
      </c>
      <c r="M480" s="1" t="s">
        <v>183</v>
      </c>
      <c r="N480" s="3">
        <v>46202</v>
      </c>
      <c r="P480" s="1" t="s">
        <v>314</v>
      </c>
      <c r="Q480" s="1" t="s">
        <v>55</v>
      </c>
      <c r="R480" s="1" t="s">
        <v>569</v>
      </c>
      <c r="S480" s="3">
        <v>46167</v>
      </c>
      <c r="T480" s="3">
        <v>46184</v>
      </c>
      <c r="U480" s="1" t="s">
        <v>889</v>
      </c>
      <c r="W480" s="1" t="s">
        <v>997</v>
      </c>
      <c r="X480" s="1" t="s">
        <v>571</v>
      </c>
      <c r="Y480" s="1" t="s">
        <v>998</v>
      </c>
      <c r="Z480" s="1" t="s">
        <v>997</v>
      </c>
      <c r="AA480" s="1" t="b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 x14ac:dyDescent="0.25">
      <c r="A481" s="1">
        <v>461</v>
      </c>
      <c r="B481" s="1" t="s">
        <v>653</v>
      </c>
      <c r="C481" s="1" t="s">
        <v>571</v>
      </c>
      <c r="D481" s="1" t="s">
        <v>999</v>
      </c>
      <c r="E481" s="1" t="s">
        <v>297</v>
      </c>
      <c r="F481" s="2">
        <v>46199</v>
      </c>
      <c r="G481" s="2">
        <v>46209</v>
      </c>
      <c r="H481" s="4">
        <v>0</v>
      </c>
      <c r="J481" s="1" t="s">
        <v>83</v>
      </c>
      <c r="M481" s="1" t="s">
        <v>193</v>
      </c>
      <c r="N481" s="3">
        <v>46209</v>
      </c>
      <c r="P481" s="1" t="s">
        <v>314</v>
      </c>
      <c r="Q481" s="1" t="s">
        <v>55</v>
      </c>
      <c r="R481" s="1" t="s">
        <v>569</v>
      </c>
      <c r="S481" s="3">
        <v>46192</v>
      </c>
      <c r="T481" s="3">
        <v>46202</v>
      </c>
      <c r="U481" s="1" t="s">
        <v>889</v>
      </c>
      <c r="W481" s="1" t="s">
        <v>1000</v>
      </c>
      <c r="X481" s="1" t="s">
        <v>571</v>
      </c>
      <c r="Y481" s="1" t="s">
        <v>1001</v>
      </c>
      <c r="Z481" s="1" t="s">
        <v>1000</v>
      </c>
      <c r="AA481" s="1" t="b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 x14ac:dyDescent="0.25">
      <c r="A482" s="1">
        <v>466</v>
      </c>
      <c r="B482" s="1" t="s">
        <v>1002</v>
      </c>
      <c r="C482" s="1" t="s">
        <v>571</v>
      </c>
      <c r="D482" s="1" t="s">
        <v>1003</v>
      </c>
      <c r="E482" s="1" t="s">
        <v>223</v>
      </c>
      <c r="F482" s="2">
        <v>46199</v>
      </c>
      <c r="G482" s="2">
        <v>46206</v>
      </c>
      <c r="H482" s="4">
        <v>0</v>
      </c>
      <c r="J482" s="1" t="s">
        <v>83</v>
      </c>
      <c r="M482" s="1" t="s">
        <v>193</v>
      </c>
      <c r="N482" s="3">
        <v>46206</v>
      </c>
      <c r="P482" s="1" t="s">
        <v>314</v>
      </c>
      <c r="Q482" s="1" t="s">
        <v>44</v>
      </c>
      <c r="R482" s="1" t="s">
        <v>569</v>
      </c>
      <c r="S482" s="3">
        <v>46192</v>
      </c>
      <c r="T482" s="3">
        <v>46202</v>
      </c>
      <c r="U482" s="1" t="s">
        <v>889</v>
      </c>
      <c r="W482" s="1" t="s">
        <v>1004</v>
      </c>
      <c r="X482" s="1" t="s">
        <v>571</v>
      </c>
      <c r="Y482" s="1" t="s">
        <v>1005</v>
      </c>
      <c r="Z482" s="1" t="s">
        <v>1004</v>
      </c>
      <c r="AA482" s="1" t="b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 x14ac:dyDescent="0.25">
      <c r="U483" s="1" t="s">
        <v>889</v>
      </c>
      <c r="X483" s="1" t="s">
        <v>883</v>
      </c>
      <c r="Z483" s="1" t="s">
        <v>1006</v>
      </c>
      <c r="AA483" s="1" t="b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</row>
    <row r="484" spans="1:39" x14ac:dyDescent="0.25">
      <c r="U484" s="1" t="s">
        <v>889</v>
      </c>
      <c r="X484" s="1" t="s">
        <v>883</v>
      </c>
      <c r="Z484" s="1" t="s">
        <v>1006</v>
      </c>
      <c r="AA484" s="1" t="b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 x14ac:dyDescent="0.25">
      <c r="U485" s="1" t="s">
        <v>889</v>
      </c>
      <c r="X485" s="1" t="s">
        <v>883</v>
      </c>
      <c r="Z485" s="1" t="s">
        <v>1006</v>
      </c>
      <c r="AA485" s="1" t="b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</row>
    <row r="486" spans="1:39" x14ac:dyDescent="0.25">
      <c r="U486" s="1" t="s">
        <v>889</v>
      </c>
      <c r="X486" s="1" t="s">
        <v>883</v>
      </c>
      <c r="Z486" s="1" t="s">
        <v>1006</v>
      </c>
      <c r="AA486" s="1" t="b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</row>
    <row r="487" spans="1:39" x14ac:dyDescent="0.25">
      <c r="U487" s="1" t="s">
        <v>889</v>
      </c>
      <c r="X487" s="1" t="s">
        <v>883</v>
      </c>
      <c r="Z487" s="1" t="s">
        <v>1006</v>
      </c>
      <c r="AA487" s="1" t="b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 x14ac:dyDescent="0.25">
      <c r="U488" s="1" t="s">
        <v>889</v>
      </c>
      <c r="X488" s="1" t="s">
        <v>883</v>
      </c>
      <c r="Z488" s="1" t="s">
        <v>1006</v>
      </c>
      <c r="AA488" s="1" t="b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 x14ac:dyDescent="0.25">
      <c r="U489" s="1" t="s">
        <v>889</v>
      </c>
      <c r="X489" s="1" t="s">
        <v>883</v>
      </c>
      <c r="Z489" s="1" t="s">
        <v>1006</v>
      </c>
      <c r="AA489" s="1" t="b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 x14ac:dyDescent="0.25">
      <c r="U490" s="1" t="s">
        <v>889</v>
      </c>
      <c r="X490" s="1" t="s">
        <v>883</v>
      </c>
      <c r="Z490" s="1" t="s">
        <v>1006</v>
      </c>
      <c r="AA490" s="1" t="b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</row>
    <row r="491" spans="1:39" x14ac:dyDescent="0.25">
      <c r="U491" s="1" t="s">
        <v>889</v>
      </c>
      <c r="X491" s="1" t="s">
        <v>883</v>
      </c>
      <c r="Z491" s="1" t="s">
        <v>1006</v>
      </c>
      <c r="AA491" s="1" t="b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 x14ac:dyDescent="0.25">
      <c r="U492" s="1" t="s">
        <v>889</v>
      </c>
      <c r="X492" s="1" t="s">
        <v>883</v>
      </c>
      <c r="Z492" s="1" t="s">
        <v>1006</v>
      </c>
      <c r="AA492" s="1" t="b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5">
      <c r="U493" s="1" t="s">
        <v>889</v>
      </c>
      <c r="X493" s="1" t="s">
        <v>883</v>
      </c>
      <c r="Z493" s="1" t="s">
        <v>1006</v>
      </c>
      <c r="AA493" s="1" t="b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 x14ac:dyDescent="0.25">
      <c r="U494" s="1" t="s">
        <v>889</v>
      </c>
      <c r="X494" s="1" t="s">
        <v>883</v>
      </c>
      <c r="Z494" s="1" t="s">
        <v>1006</v>
      </c>
      <c r="AA494" s="1" t="b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 x14ac:dyDescent="0.25">
      <c r="U495" s="1" t="s">
        <v>889</v>
      </c>
      <c r="X495" s="1" t="s">
        <v>883</v>
      </c>
      <c r="Z495" s="1" t="s">
        <v>1006</v>
      </c>
      <c r="AA495" s="1" t="b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 x14ac:dyDescent="0.25">
      <c r="U496" s="1" t="s">
        <v>889</v>
      </c>
      <c r="X496" s="1" t="s">
        <v>883</v>
      </c>
      <c r="Z496" s="1" t="s">
        <v>1006</v>
      </c>
      <c r="AA496" s="1" t="b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21:39" x14ac:dyDescent="0.25">
      <c r="U497" s="1" t="s">
        <v>889</v>
      </c>
      <c r="X497" s="1" t="s">
        <v>883</v>
      </c>
      <c r="Z497" s="1" t="s">
        <v>1006</v>
      </c>
      <c r="AA497" s="1" t="b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21:39" x14ac:dyDescent="0.25">
      <c r="U498" s="1" t="s">
        <v>889</v>
      </c>
      <c r="X498" s="1" t="s">
        <v>883</v>
      </c>
      <c r="Z498" s="1" t="s">
        <v>1006</v>
      </c>
      <c r="AA498" s="1" t="b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21:39" x14ac:dyDescent="0.25">
      <c r="U499" s="1" t="s">
        <v>889</v>
      </c>
      <c r="X499" s="1" t="s">
        <v>883</v>
      </c>
      <c r="Z499" s="1" t="s">
        <v>1006</v>
      </c>
      <c r="AA499" s="1" t="b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21:39" x14ac:dyDescent="0.25">
      <c r="U500" s="1" t="s">
        <v>889</v>
      </c>
      <c r="X500" s="1" t="s">
        <v>883</v>
      </c>
      <c r="Z500" s="1" t="s">
        <v>1006</v>
      </c>
      <c r="AA500" s="1" t="b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21:39" x14ac:dyDescent="0.25">
      <c r="U501" s="1" t="s">
        <v>889</v>
      </c>
      <c r="X501" s="1" t="s">
        <v>883</v>
      </c>
      <c r="Z501" s="1" t="s">
        <v>1006</v>
      </c>
      <c r="AA501" s="1" t="b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21:39" x14ac:dyDescent="0.25">
      <c r="U502" s="1" t="s">
        <v>889</v>
      </c>
      <c r="X502" s="1" t="s">
        <v>883</v>
      </c>
      <c r="Z502" s="1" t="s">
        <v>1006</v>
      </c>
      <c r="AA502" s="1" t="b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21:39" x14ac:dyDescent="0.25">
      <c r="U503" s="1" t="s">
        <v>889</v>
      </c>
      <c r="X503" s="1" t="s">
        <v>883</v>
      </c>
      <c r="Z503" s="1" t="s">
        <v>1006</v>
      </c>
      <c r="AA503" s="1" t="b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21:39" x14ac:dyDescent="0.25">
      <c r="U504" s="1" t="s">
        <v>889</v>
      </c>
      <c r="X504" s="1" t="s">
        <v>883</v>
      </c>
      <c r="Z504" s="1" t="s">
        <v>1006</v>
      </c>
      <c r="AA504" s="1" t="b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21:39" x14ac:dyDescent="0.25">
      <c r="U505" s="1" t="s">
        <v>889</v>
      </c>
      <c r="X505" s="1" t="s">
        <v>883</v>
      </c>
      <c r="Z505" s="1" t="s">
        <v>1006</v>
      </c>
      <c r="AA505" s="1" t="b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21:39" x14ac:dyDescent="0.25">
      <c r="U506" s="1" t="s">
        <v>889</v>
      </c>
      <c r="X506" s="1" t="s">
        <v>883</v>
      </c>
      <c r="Z506" s="1" t="s">
        <v>1006</v>
      </c>
      <c r="AA506" s="1" t="b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21:39" x14ac:dyDescent="0.25">
      <c r="U507" s="1" t="s">
        <v>889</v>
      </c>
      <c r="X507" s="1" t="s">
        <v>883</v>
      </c>
      <c r="Z507" s="1" t="s">
        <v>1006</v>
      </c>
      <c r="AA507" s="1" t="b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21:39" x14ac:dyDescent="0.25">
      <c r="U508" s="1" t="s">
        <v>889</v>
      </c>
      <c r="X508" s="1" t="s">
        <v>883</v>
      </c>
      <c r="Z508" s="1" t="s">
        <v>1006</v>
      </c>
      <c r="AA508" s="1" t="b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21:39" x14ac:dyDescent="0.25">
      <c r="U509" s="1" t="s">
        <v>889</v>
      </c>
      <c r="X509" s="1" t="s">
        <v>883</v>
      </c>
      <c r="Z509" s="1" t="s">
        <v>1006</v>
      </c>
      <c r="AA509" s="1" t="b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21:39" x14ac:dyDescent="0.25">
      <c r="U510" s="1" t="s">
        <v>889</v>
      </c>
      <c r="X510" s="1" t="s">
        <v>883</v>
      </c>
      <c r="Z510" s="1" t="s">
        <v>1006</v>
      </c>
      <c r="AA510" s="1" t="b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21:39" x14ac:dyDescent="0.25">
      <c r="U511" s="1" t="s">
        <v>889</v>
      </c>
      <c r="X511" s="1" t="s">
        <v>883</v>
      </c>
      <c r="Z511" s="1" t="s">
        <v>1006</v>
      </c>
      <c r="AA511" s="1" t="b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21:39" x14ac:dyDescent="0.25">
      <c r="U512" s="1" t="s">
        <v>889</v>
      </c>
      <c r="X512" s="1" t="s">
        <v>883</v>
      </c>
      <c r="Z512" s="1" t="s">
        <v>1006</v>
      </c>
      <c r="AA512" s="1" t="b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21:39" x14ac:dyDescent="0.25">
      <c r="U513" s="1" t="s">
        <v>889</v>
      </c>
      <c r="X513" s="1" t="s">
        <v>883</v>
      </c>
      <c r="Z513" s="1" t="s">
        <v>1006</v>
      </c>
      <c r="AA513" s="1" t="b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21:39" x14ac:dyDescent="0.25">
      <c r="U514" s="1" t="s">
        <v>889</v>
      </c>
      <c r="X514" s="1" t="s">
        <v>883</v>
      </c>
      <c r="Z514" s="1" t="s">
        <v>1006</v>
      </c>
      <c r="AA514" s="1" t="b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21:39" x14ac:dyDescent="0.25">
      <c r="U515" s="1" t="s">
        <v>889</v>
      </c>
      <c r="X515" s="1" t="s">
        <v>883</v>
      </c>
      <c r="Z515" s="1" t="s">
        <v>1006</v>
      </c>
      <c r="AA515" s="1" t="b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21:39" x14ac:dyDescent="0.25">
      <c r="U516" s="1" t="s">
        <v>889</v>
      </c>
      <c r="X516" s="1" t="s">
        <v>883</v>
      </c>
      <c r="Z516" s="1" t="s">
        <v>1006</v>
      </c>
      <c r="AA516" s="1" t="b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21:39" x14ac:dyDescent="0.25">
      <c r="U517" s="1" t="s">
        <v>889</v>
      </c>
      <c r="X517" s="1" t="s">
        <v>883</v>
      </c>
      <c r="Z517" s="1" t="s">
        <v>1006</v>
      </c>
      <c r="AA517" s="1" t="b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21:39" x14ac:dyDescent="0.25">
      <c r="U518" s="1" t="s">
        <v>889</v>
      </c>
      <c r="X518" s="1" t="s">
        <v>883</v>
      </c>
      <c r="Z518" s="1" t="s">
        <v>1006</v>
      </c>
      <c r="AA518" s="1" t="b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21:39" x14ac:dyDescent="0.25">
      <c r="U519" s="1" t="s">
        <v>889</v>
      </c>
      <c r="X519" s="1" t="s">
        <v>883</v>
      </c>
      <c r="Z519" s="1" t="s">
        <v>1006</v>
      </c>
      <c r="AA519" s="1" t="b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21:39" x14ac:dyDescent="0.25">
      <c r="U520" s="1" t="s">
        <v>889</v>
      </c>
      <c r="X520" s="1" t="s">
        <v>883</v>
      </c>
      <c r="Z520" s="1" t="s">
        <v>1006</v>
      </c>
      <c r="AA520" s="1" t="b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21:39" x14ac:dyDescent="0.25">
      <c r="U521" s="1" t="s">
        <v>889</v>
      </c>
      <c r="X521" s="1" t="s">
        <v>883</v>
      </c>
      <c r="Z521" s="1" t="s">
        <v>1006</v>
      </c>
      <c r="AA521" s="1" t="b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21:39" x14ac:dyDescent="0.25">
      <c r="U522" s="1" t="s">
        <v>889</v>
      </c>
      <c r="X522" s="1" t="s">
        <v>883</v>
      </c>
      <c r="Z522" s="1" t="s">
        <v>1006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E34" sqref="A21:E34"/>
    </sheetView>
  </sheetViews>
  <sheetFormatPr defaultRowHeight="15" x14ac:dyDescent="0.2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1007</v>
      </c>
      <c r="B1" s="1">
        <v>86</v>
      </c>
    </row>
    <row r="2" spans="1:8" x14ac:dyDescent="0.25">
      <c r="A2" s="1" t="s">
        <v>1008</v>
      </c>
      <c r="B2" s="5">
        <v>0.94117647058823528</v>
      </c>
    </row>
    <row r="3" spans="1:8" x14ac:dyDescent="0.25">
      <c r="A3" s="1" t="s">
        <v>17</v>
      </c>
      <c r="B3" s="1" t="s">
        <v>28</v>
      </c>
      <c r="C3" s="1" t="s">
        <v>29</v>
      </c>
      <c r="D3" s="1" t="s">
        <v>1009</v>
      </c>
      <c r="E3" s="1" t="s">
        <v>32</v>
      </c>
      <c r="F3" s="1" t="s">
        <v>34</v>
      </c>
      <c r="G3" s="1" t="s">
        <v>36</v>
      </c>
      <c r="H3" s="1" t="s">
        <v>1010</v>
      </c>
    </row>
    <row r="4" spans="1:8" x14ac:dyDescent="0.25">
      <c r="A4" s="1" t="s">
        <v>569</v>
      </c>
      <c r="B4" s="1">
        <v>39</v>
      </c>
      <c r="C4" s="1">
        <v>38</v>
      </c>
      <c r="D4" s="5">
        <v>0.97435897435897434</v>
      </c>
      <c r="E4" s="1">
        <v>22</v>
      </c>
      <c r="F4" s="1">
        <v>0</v>
      </c>
      <c r="G4" s="1">
        <v>0</v>
      </c>
      <c r="H4" s="5">
        <v>0</v>
      </c>
    </row>
    <row r="5" spans="1:8" x14ac:dyDescent="0.25">
      <c r="A5" s="1" t="s">
        <v>869</v>
      </c>
      <c r="B5" s="1">
        <v>2</v>
      </c>
      <c r="C5" s="1">
        <v>1</v>
      </c>
      <c r="D5" s="5">
        <v>0.5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896</v>
      </c>
      <c r="B6" s="1">
        <v>0</v>
      </c>
      <c r="C6" s="1">
        <v>0</v>
      </c>
      <c r="D6" s="5">
        <v>0</v>
      </c>
      <c r="E6" s="1">
        <v>0</v>
      </c>
      <c r="F6" s="1">
        <v>0</v>
      </c>
      <c r="G6" s="1">
        <v>0</v>
      </c>
      <c r="H6" s="5">
        <v>0</v>
      </c>
    </row>
    <row r="7" spans="1:8" x14ac:dyDescent="0.25">
      <c r="A7" s="1" t="s">
        <v>438</v>
      </c>
      <c r="B7" s="1">
        <v>13</v>
      </c>
      <c r="C7" s="1">
        <v>12</v>
      </c>
      <c r="D7" s="5">
        <v>0.92307692307692313</v>
      </c>
      <c r="E7" s="1">
        <v>2</v>
      </c>
      <c r="F7" s="1">
        <v>0</v>
      </c>
      <c r="G7" s="1">
        <v>0</v>
      </c>
      <c r="H7" s="5">
        <v>0</v>
      </c>
    </row>
    <row r="8" spans="1:8" x14ac:dyDescent="0.25">
      <c r="A8" s="1" t="s">
        <v>365</v>
      </c>
      <c r="B8" s="1">
        <v>8</v>
      </c>
      <c r="C8" s="1">
        <v>7</v>
      </c>
      <c r="D8" s="5">
        <v>0.875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45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61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158</v>
      </c>
      <c r="B11" s="1">
        <v>13</v>
      </c>
      <c r="C11" s="1">
        <v>13</v>
      </c>
      <c r="D11" s="5">
        <v>1</v>
      </c>
      <c r="E11" s="1">
        <v>5</v>
      </c>
      <c r="F11" s="1">
        <v>3</v>
      </c>
      <c r="G11" s="1">
        <v>3</v>
      </c>
      <c r="H11" s="5">
        <v>0.23076923076923081</v>
      </c>
    </row>
    <row r="12" spans="1:8" x14ac:dyDescent="0.25">
      <c r="A12" s="1" t="s">
        <v>88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95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140</v>
      </c>
      <c r="B14" s="1">
        <v>1</v>
      </c>
      <c r="C14" s="1">
        <v>1</v>
      </c>
      <c r="D14" s="5">
        <v>1</v>
      </c>
      <c r="E14" s="1">
        <v>1</v>
      </c>
      <c r="F14" s="1">
        <v>1</v>
      </c>
      <c r="G14" s="1">
        <v>1</v>
      </c>
      <c r="H14" s="5">
        <v>1</v>
      </c>
    </row>
    <row r="15" spans="1:8" x14ac:dyDescent="0.25">
      <c r="A15" s="1" t="s">
        <v>290</v>
      </c>
      <c r="B15" s="1">
        <v>8</v>
      </c>
      <c r="C15" s="1">
        <v>7</v>
      </c>
      <c r="D15" s="5">
        <v>0.875</v>
      </c>
      <c r="E15" s="1">
        <v>0</v>
      </c>
      <c r="F15" s="1">
        <v>0</v>
      </c>
      <c r="G15" s="1">
        <v>0</v>
      </c>
      <c r="H15" s="5">
        <v>0</v>
      </c>
    </row>
    <row r="16" spans="1:8" x14ac:dyDescent="0.25">
      <c r="A16" s="1" t="s">
        <v>1026</v>
      </c>
      <c r="B16" s="1">
        <f>SUBTOTAL(109,Tabela2[Emissão inicial total])</f>
        <v>86</v>
      </c>
      <c r="C16" s="1">
        <f>SUBTOTAL(109,Tabela2[Emissão inicial concluída])</f>
        <v>81</v>
      </c>
      <c r="D16" s="5"/>
      <c r="E16" s="1">
        <f>SUBTOTAL(109,Tabela2[Avaliação do cliente concluída])</f>
        <v>32</v>
      </c>
      <c r="F16" s="1">
        <f>SUBTOTAL(109,Tabela2[Atendimento de comentário concluído])</f>
        <v>6</v>
      </c>
      <c r="G16" s="1">
        <f>SUBTOTAL(109,Tabela2[Aprovação concluída])</f>
        <v>6</v>
      </c>
      <c r="H16" s="5"/>
    </row>
    <row r="21" spans="1:5" x14ac:dyDescent="0.25">
      <c r="A21" s="1" t="s">
        <v>17</v>
      </c>
      <c r="B21" s="1" t="s">
        <v>30</v>
      </c>
      <c r="C21" s="1" t="s">
        <v>33</v>
      </c>
      <c r="D21" s="1" t="s">
        <v>35</v>
      </c>
      <c r="E21" s="1" t="s">
        <v>37</v>
      </c>
    </row>
    <row r="22" spans="1:5" x14ac:dyDescent="0.25">
      <c r="A22" s="1" t="s">
        <v>569</v>
      </c>
      <c r="B22" s="1">
        <v>1</v>
      </c>
      <c r="C22" s="1">
        <v>12</v>
      </c>
      <c r="D22" s="1">
        <v>33</v>
      </c>
      <c r="E22" s="1">
        <v>11</v>
      </c>
    </row>
    <row r="23" spans="1:5" x14ac:dyDescent="0.25">
      <c r="A23" s="1" t="s">
        <v>869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896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5">
      <c r="A25" s="1" t="s">
        <v>438</v>
      </c>
      <c r="B25" s="1">
        <v>1</v>
      </c>
      <c r="C25" s="1">
        <v>6</v>
      </c>
      <c r="D25" s="1">
        <v>5</v>
      </c>
      <c r="E25" s="1">
        <v>6</v>
      </c>
    </row>
    <row r="26" spans="1:5" x14ac:dyDescent="0.25">
      <c r="A26" s="1" t="s">
        <v>365</v>
      </c>
      <c r="B26" s="1">
        <v>1</v>
      </c>
      <c r="C26" s="1">
        <v>3</v>
      </c>
      <c r="D26" s="1">
        <v>3</v>
      </c>
      <c r="E26" s="1">
        <v>2</v>
      </c>
    </row>
    <row r="27" spans="1:5" x14ac:dyDescent="0.25">
      <c r="A27" s="1" t="s">
        <v>45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61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158</v>
      </c>
      <c r="B29" s="1">
        <v>0</v>
      </c>
      <c r="C29" s="1">
        <v>8</v>
      </c>
      <c r="D29" s="1">
        <v>4</v>
      </c>
      <c r="E29" s="1">
        <v>4</v>
      </c>
    </row>
    <row r="30" spans="1:5" x14ac:dyDescent="0.25">
      <c r="A30" s="1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95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140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290</v>
      </c>
      <c r="B33" s="1">
        <v>1</v>
      </c>
      <c r="C33" s="1">
        <v>8</v>
      </c>
      <c r="D33" s="1">
        <v>8</v>
      </c>
      <c r="E33" s="1">
        <v>6</v>
      </c>
    </row>
    <row r="34" spans="1:5" x14ac:dyDescent="0.25">
      <c r="A34" s="1" t="s">
        <v>1026</v>
      </c>
      <c r="B34" s="1">
        <f>SUBTOTAL(109,Tabela3[Emissão Inicial Atrasada])</f>
        <v>4</v>
      </c>
      <c r="C34" s="1">
        <f>SUBTOTAL(109,Tabela3[Avaliação Cliente Atrasada])</f>
        <v>37</v>
      </c>
      <c r="D34" s="1">
        <f>SUBTOTAL(109,Tabela3[Atendimento Atrasado])</f>
        <v>53</v>
      </c>
      <c r="E34" s="1">
        <f>SUBTOTAL(109,Tabela3[Aprovação Atrasada])</f>
        <v>29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2"/>
  <sheetViews>
    <sheetView topLeftCell="D1" zoomScale="70" zoomScaleNormal="70" workbookViewId="0">
      <selection activeCell="W77" sqref="W77"/>
    </sheetView>
  </sheetViews>
  <sheetFormatPr defaultColWidth="15" defaultRowHeight="15" x14ac:dyDescent="0.25"/>
  <cols>
    <col min="1" max="1" width="15" style="7"/>
    <col min="2" max="9" width="15" style="6"/>
    <col min="10" max="11" width="15" style="8"/>
    <col min="12" max="12" width="15" style="6"/>
    <col min="13" max="14" width="15" style="8"/>
    <col min="15" max="16384" width="15" style="6"/>
  </cols>
  <sheetData>
    <row r="1" spans="1:15" ht="45" x14ac:dyDescent="0.25">
      <c r="A1" s="7" t="s">
        <v>1011</v>
      </c>
      <c r="B1" s="6" t="s">
        <v>1012</v>
      </c>
      <c r="C1" s="6" t="s">
        <v>1013</v>
      </c>
      <c r="D1" s="6" t="s">
        <v>1014</v>
      </c>
      <c r="E1" s="6" t="s">
        <v>1015</v>
      </c>
      <c r="F1" s="6" t="s">
        <v>1016</v>
      </c>
      <c r="G1" s="6" t="s">
        <v>1017</v>
      </c>
      <c r="H1" s="6" t="s">
        <v>1018</v>
      </c>
      <c r="I1" s="6" t="s">
        <v>1019</v>
      </c>
      <c r="J1" s="8" t="s">
        <v>1020</v>
      </c>
      <c r="K1" s="8" t="s">
        <v>1021</v>
      </c>
      <c r="L1" s="6" t="s">
        <v>1022</v>
      </c>
      <c r="M1" s="8" t="s">
        <v>1023</v>
      </c>
      <c r="N1" s="8" t="s">
        <v>1024</v>
      </c>
      <c r="O1" s="6" t="s">
        <v>1025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0</v>
      </c>
      <c r="C42" s="6">
        <v>0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8">
        <v>0</v>
      </c>
      <c r="K42" s="8">
        <v>1.1764705882352939E-2</v>
      </c>
      <c r="L42" s="6">
        <v>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0</v>
      </c>
      <c r="D43" s="6">
        <v>0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8">
        <v>0</v>
      </c>
      <c r="K43" s="8">
        <v>1.1764705882352939E-2</v>
      </c>
      <c r="L43" s="6">
        <v>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0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8">
        <v>0</v>
      </c>
      <c r="K44" s="8">
        <v>1.1764705882352939E-2</v>
      </c>
      <c r="L44" s="6">
        <v>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0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8">
        <v>0</v>
      </c>
      <c r="K45" s="8">
        <v>1.1764705882352939E-2</v>
      </c>
      <c r="L45" s="6">
        <v>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0</v>
      </c>
      <c r="D46" s="6">
        <v>0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8">
        <v>0</v>
      </c>
      <c r="K46" s="8">
        <v>1.1764705882352939E-2</v>
      </c>
      <c r="L46" s="6">
        <v>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1</v>
      </c>
      <c r="D47" s="6">
        <v>1</v>
      </c>
      <c r="E47" s="6">
        <v>2</v>
      </c>
      <c r="F47" s="6">
        <v>0</v>
      </c>
      <c r="G47" s="6">
        <v>0</v>
      </c>
      <c r="H47" s="6">
        <v>0</v>
      </c>
      <c r="I47" s="6">
        <v>0</v>
      </c>
      <c r="J47" s="8">
        <v>1.1764705882352939E-2</v>
      </c>
      <c r="K47" s="8">
        <v>2.3529411764705879E-2</v>
      </c>
      <c r="L47" s="6">
        <v>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1</v>
      </c>
      <c r="D48" s="6">
        <v>0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8">
        <v>1.1764705882352939E-2</v>
      </c>
      <c r="K48" s="8">
        <v>2.3529411764705879E-2</v>
      </c>
      <c r="L48" s="6">
        <v>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1</v>
      </c>
      <c r="D49" s="6">
        <v>0</v>
      </c>
      <c r="E49" s="6">
        <v>2</v>
      </c>
      <c r="F49" s="6">
        <v>0</v>
      </c>
      <c r="G49" s="6">
        <v>0</v>
      </c>
      <c r="H49" s="6">
        <v>0</v>
      </c>
      <c r="I49" s="6">
        <v>0</v>
      </c>
      <c r="J49" s="8">
        <v>1.1764705882352939E-2</v>
      </c>
      <c r="K49" s="8">
        <v>2.3529411764705879E-2</v>
      </c>
      <c r="L49" s="6">
        <v>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1</v>
      </c>
      <c r="D50" s="6">
        <v>0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8">
        <v>1.1764705882352939E-2</v>
      </c>
      <c r="K50" s="8">
        <v>2.3529411764705879E-2</v>
      </c>
      <c r="L50" s="6">
        <v>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1</v>
      </c>
      <c r="D51" s="6">
        <v>0</v>
      </c>
      <c r="E51" s="6">
        <v>2</v>
      </c>
      <c r="F51" s="6">
        <v>0</v>
      </c>
      <c r="G51" s="6">
        <v>0</v>
      </c>
      <c r="H51" s="6">
        <v>0</v>
      </c>
      <c r="I51" s="6">
        <v>0</v>
      </c>
      <c r="J51" s="8">
        <v>1.1764705882352939E-2</v>
      </c>
      <c r="K51" s="8">
        <v>2.3529411764705879E-2</v>
      </c>
      <c r="L51" s="6">
        <v>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1</v>
      </c>
      <c r="D52" s="6">
        <v>0</v>
      </c>
      <c r="E52" s="6">
        <v>2</v>
      </c>
      <c r="F52" s="6">
        <v>0</v>
      </c>
      <c r="G52" s="6">
        <v>0</v>
      </c>
      <c r="H52" s="6">
        <v>0</v>
      </c>
      <c r="I52" s="6">
        <v>0</v>
      </c>
      <c r="J52" s="8">
        <v>1.1764705882352939E-2</v>
      </c>
      <c r="K52" s="8">
        <v>2.3529411764705879E-2</v>
      </c>
      <c r="L52" s="6">
        <v>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1</v>
      </c>
      <c r="D53" s="6">
        <v>0</v>
      </c>
      <c r="E53" s="6">
        <v>2</v>
      </c>
      <c r="F53" s="6">
        <v>0</v>
      </c>
      <c r="G53" s="6">
        <v>0</v>
      </c>
      <c r="H53" s="6">
        <v>0</v>
      </c>
      <c r="I53" s="6">
        <v>0</v>
      </c>
      <c r="J53" s="8">
        <v>1.1764705882352939E-2</v>
      </c>
      <c r="K53" s="8">
        <v>2.3529411764705879E-2</v>
      </c>
      <c r="L53" s="6">
        <v>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1</v>
      </c>
      <c r="D54" s="6">
        <v>0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8">
        <v>1.1764705882352939E-2</v>
      </c>
      <c r="K54" s="8">
        <v>2.3529411764705879E-2</v>
      </c>
      <c r="L54" s="6">
        <v>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1</v>
      </c>
      <c r="D55" s="6">
        <v>0</v>
      </c>
      <c r="E55" s="6">
        <v>2</v>
      </c>
      <c r="F55" s="6">
        <v>0</v>
      </c>
      <c r="G55" s="6">
        <v>0</v>
      </c>
      <c r="H55" s="6">
        <v>0</v>
      </c>
      <c r="I55" s="6">
        <v>0</v>
      </c>
      <c r="J55" s="8">
        <v>1.1764705882352939E-2</v>
      </c>
      <c r="K55" s="8">
        <v>2.3529411764705879E-2</v>
      </c>
      <c r="L55" s="6">
        <v>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1</v>
      </c>
      <c r="D56" s="6">
        <v>0</v>
      </c>
      <c r="E56" s="6">
        <v>2</v>
      </c>
      <c r="F56" s="6">
        <v>1</v>
      </c>
      <c r="G56" s="6">
        <v>0</v>
      </c>
      <c r="H56" s="6">
        <v>1</v>
      </c>
      <c r="I56" s="6">
        <v>0</v>
      </c>
      <c r="J56" s="8">
        <v>1.1764705882352939E-2</v>
      </c>
      <c r="K56" s="8">
        <v>2.3529411764705879E-2</v>
      </c>
      <c r="L56" s="6">
        <v>1</v>
      </c>
      <c r="M56" s="8">
        <v>1.1627906976744189E-2</v>
      </c>
      <c r="N56" s="8">
        <v>0</v>
      </c>
      <c r="O56" s="6">
        <v>-1</v>
      </c>
    </row>
    <row r="57" spans="1:15" x14ac:dyDescent="0.25">
      <c r="A57" s="7">
        <v>46156</v>
      </c>
      <c r="B57" s="6">
        <v>1</v>
      </c>
      <c r="C57" s="6">
        <v>2</v>
      </c>
      <c r="D57" s="6">
        <v>0</v>
      </c>
      <c r="E57" s="6">
        <v>2</v>
      </c>
      <c r="F57" s="6">
        <v>0</v>
      </c>
      <c r="G57" s="6">
        <v>0</v>
      </c>
      <c r="H57" s="6">
        <v>1</v>
      </c>
      <c r="I57" s="6">
        <v>0</v>
      </c>
      <c r="J57" s="8">
        <v>2.3529411764705879E-2</v>
      </c>
      <c r="K57" s="8">
        <v>2.3529411764705879E-2</v>
      </c>
      <c r="L57" s="6">
        <v>0</v>
      </c>
      <c r="M57" s="8">
        <v>1.1627906976744189E-2</v>
      </c>
      <c r="N57" s="8">
        <v>0</v>
      </c>
      <c r="O57" s="6">
        <v>-1</v>
      </c>
    </row>
    <row r="58" spans="1:15" x14ac:dyDescent="0.25">
      <c r="A58" s="7">
        <v>46157</v>
      </c>
      <c r="B58" s="6">
        <v>1</v>
      </c>
      <c r="C58" s="6">
        <v>3</v>
      </c>
      <c r="D58" s="6">
        <v>0</v>
      </c>
      <c r="E58" s="6">
        <v>2</v>
      </c>
      <c r="F58" s="6">
        <v>0</v>
      </c>
      <c r="G58" s="6">
        <v>0</v>
      </c>
      <c r="H58" s="6">
        <v>1</v>
      </c>
      <c r="I58" s="6">
        <v>0</v>
      </c>
      <c r="J58" s="8">
        <v>3.5294117647058823E-2</v>
      </c>
      <c r="K58" s="8">
        <v>2.3529411764705879E-2</v>
      </c>
      <c r="L58" s="6">
        <v>-1</v>
      </c>
      <c r="M58" s="8">
        <v>1.1627906976744189E-2</v>
      </c>
      <c r="N58" s="8">
        <v>0</v>
      </c>
      <c r="O58" s="6">
        <v>-1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2</v>
      </c>
      <c r="F59" s="6">
        <v>0</v>
      </c>
      <c r="G59" s="6">
        <v>0</v>
      </c>
      <c r="H59" s="6">
        <v>1</v>
      </c>
      <c r="I59" s="6">
        <v>0</v>
      </c>
      <c r="J59" s="8">
        <v>3.5294117647058823E-2</v>
      </c>
      <c r="K59" s="8">
        <v>2.3529411764705879E-2</v>
      </c>
      <c r="L59" s="6">
        <v>-1</v>
      </c>
      <c r="M59" s="8">
        <v>1.1627906976744189E-2</v>
      </c>
      <c r="N59" s="8">
        <v>0</v>
      </c>
      <c r="O59" s="6">
        <v>-1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2</v>
      </c>
      <c r="F60" s="6">
        <v>0</v>
      </c>
      <c r="G60" s="6">
        <v>0</v>
      </c>
      <c r="H60" s="6">
        <v>1</v>
      </c>
      <c r="I60" s="6">
        <v>0</v>
      </c>
      <c r="J60" s="8">
        <v>3.5294117647058823E-2</v>
      </c>
      <c r="K60" s="8">
        <v>2.3529411764705879E-2</v>
      </c>
      <c r="L60" s="6">
        <v>-1</v>
      </c>
      <c r="M60" s="8">
        <v>1.1627906976744189E-2</v>
      </c>
      <c r="N60" s="8">
        <v>0</v>
      </c>
      <c r="O60" s="6">
        <v>-1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2</v>
      </c>
      <c r="F61" s="6">
        <v>1</v>
      </c>
      <c r="G61" s="6">
        <v>0</v>
      </c>
      <c r="H61" s="6">
        <v>2</v>
      </c>
      <c r="I61" s="6">
        <v>0</v>
      </c>
      <c r="J61" s="8">
        <v>3.5294117647058823E-2</v>
      </c>
      <c r="K61" s="8">
        <v>2.3529411764705879E-2</v>
      </c>
      <c r="L61" s="6">
        <v>-1</v>
      </c>
      <c r="M61" s="8">
        <v>2.3255813953488368E-2</v>
      </c>
      <c r="N61" s="8">
        <v>0</v>
      </c>
      <c r="O61" s="6">
        <v>-1</v>
      </c>
    </row>
    <row r="62" spans="1:15" x14ac:dyDescent="0.25">
      <c r="A62" s="7">
        <v>46161</v>
      </c>
      <c r="B62" s="6">
        <v>2</v>
      </c>
      <c r="C62" s="6">
        <v>5</v>
      </c>
      <c r="D62" s="6">
        <v>0</v>
      </c>
      <c r="E62" s="6">
        <v>2</v>
      </c>
      <c r="F62" s="6">
        <v>0</v>
      </c>
      <c r="G62" s="6">
        <v>0</v>
      </c>
      <c r="H62" s="6">
        <v>2</v>
      </c>
      <c r="I62" s="6">
        <v>0</v>
      </c>
      <c r="J62" s="8">
        <v>5.8823529411764712E-2</v>
      </c>
      <c r="K62" s="8">
        <v>2.3529411764705879E-2</v>
      </c>
      <c r="L62" s="6">
        <v>-1</v>
      </c>
      <c r="M62" s="8">
        <v>2.3255813953488368E-2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6</v>
      </c>
      <c r="D63" s="6">
        <v>0</v>
      </c>
      <c r="E63" s="6">
        <v>2</v>
      </c>
      <c r="F63" s="6">
        <v>1</v>
      </c>
      <c r="G63" s="6">
        <v>0</v>
      </c>
      <c r="H63" s="6">
        <v>3</v>
      </c>
      <c r="I63" s="6">
        <v>0</v>
      </c>
      <c r="J63" s="8">
        <v>7.0588235294117646E-2</v>
      </c>
      <c r="K63" s="8">
        <v>2.3529411764705879E-2</v>
      </c>
      <c r="L63" s="6">
        <v>-1</v>
      </c>
      <c r="M63" s="8">
        <v>3.4883720930232558E-2</v>
      </c>
      <c r="N63" s="8">
        <v>0</v>
      </c>
      <c r="O63" s="6">
        <v>-1</v>
      </c>
    </row>
    <row r="64" spans="1:15" x14ac:dyDescent="0.25">
      <c r="A64" s="7">
        <v>46163</v>
      </c>
      <c r="B64" s="6">
        <v>2</v>
      </c>
      <c r="C64" s="6">
        <v>8</v>
      </c>
      <c r="D64" s="6">
        <v>0</v>
      </c>
      <c r="E64" s="6">
        <v>2</v>
      </c>
      <c r="F64" s="6">
        <v>1</v>
      </c>
      <c r="G64" s="6">
        <v>0</v>
      </c>
      <c r="H64" s="6">
        <v>4</v>
      </c>
      <c r="I64" s="6">
        <v>0</v>
      </c>
      <c r="J64" s="8">
        <v>9.4117647058823528E-2</v>
      </c>
      <c r="K64" s="8">
        <v>2.3529411764705879E-2</v>
      </c>
      <c r="L64" s="6">
        <v>-1</v>
      </c>
      <c r="M64" s="8">
        <v>4.6511627906976737E-2</v>
      </c>
      <c r="N64" s="8">
        <v>0</v>
      </c>
      <c r="O64" s="6">
        <v>-1</v>
      </c>
    </row>
    <row r="65" spans="1:15" x14ac:dyDescent="0.25">
      <c r="A65" s="7">
        <v>46164</v>
      </c>
      <c r="B65" s="6">
        <v>3</v>
      </c>
      <c r="C65" s="6">
        <v>11</v>
      </c>
      <c r="D65" s="6">
        <v>1</v>
      </c>
      <c r="E65" s="6">
        <v>3</v>
      </c>
      <c r="F65" s="6">
        <v>0</v>
      </c>
      <c r="G65" s="6">
        <v>0</v>
      </c>
      <c r="H65" s="6">
        <v>4</v>
      </c>
      <c r="I65" s="6">
        <v>0</v>
      </c>
      <c r="J65" s="8">
        <v>0.12941176470588239</v>
      </c>
      <c r="K65" s="8">
        <v>3.5294117647058823E-2</v>
      </c>
      <c r="L65" s="6">
        <v>-1</v>
      </c>
      <c r="M65" s="8">
        <v>4.6511627906976737E-2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11</v>
      </c>
      <c r="D66" s="6">
        <v>0</v>
      </c>
      <c r="E66" s="6">
        <v>3</v>
      </c>
      <c r="F66" s="6">
        <v>0</v>
      </c>
      <c r="G66" s="6">
        <v>0</v>
      </c>
      <c r="H66" s="6">
        <v>4</v>
      </c>
      <c r="I66" s="6">
        <v>0</v>
      </c>
      <c r="J66" s="8">
        <v>0.12941176470588239</v>
      </c>
      <c r="K66" s="8">
        <v>3.5294117647058823E-2</v>
      </c>
      <c r="L66" s="6">
        <v>-1</v>
      </c>
      <c r="M66" s="8">
        <v>4.6511627906976737E-2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11</v>
      </c>
      <c r="D67" s="6">
        <v>0</v>
      </c>
      <c r="E67" s="6">
        <v>3</v>
      </c>
      <c r="F67" s="6">
        <v>0</v>
      </c>
      <c r="G67" s="6">
        <v>0</v>
      </c>
      <c r="H67" s="6">
        <v>4</v>
      </c>
      <c r="I67" s="6">
        <v>0</v>
      </c>
      <c r="J67" s="8">
        <v>0.12941176470588239</v>
      </c>
      <c r="K67" s="8">
        <v>3.5294117647058823E-2</v>
      </c>
      <c r="L67" s="6">
        <v>-1</v>
      </c>
      <c r="M67" s="8">
        <v>4.6511627906976737E-2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12</v>
      </c>
      <c r="D68" s="6">
        <v>0</v>
      </c>
      <c r="E68" s="6">
        <v>3</v>
      </c>
      <c r="F68" s="6">
        <v>2</v>
      </c>
      <c r="G68" s="6">
        <v>0</v>
      </c>
      <c r="H68" s="6">
        <v>6</v>
      </c>
      <c r="I68" s="6">
        <v>0</v>
      </c>
      <c r="J68" s="8">
        <v>0.14117647058823529</v>
      </c>
      <c r="K68" s="8">
        <v>3.5294117647058823E-2</v>
      </c>
      <c r="L68" s="6">
        <v>-1</v>
      </c>
      <c r="M68" s="8">
        <v>6.9767441860465115E-2</v>
      </c>
      <c r="N68" s="8">
        <v>0</v>
      </c>
      <c r="O68" s="6">
        <v>-1</v>
      </c>
    </row>
    <row r="69" spans="1:15" x14ac:dyDescent="0.25">
      <c r="A69" s="7">
        <v>46168</v>
      </c>
      <c r="B69" s="6">
        <v>0</v>
      </c>
      <c r="C69" s="6">
        <v>12</v>
      </c>
      <c r="D69" s="6">
        <v>0</v>
      </c>
      <c r="E69" s="6">
        <v>3</v>
      </c>
      <c r="F69" s="6">
        <v>1</v>
      </c>
      <c r="G69" s="6">
        <v>0</v>
      </c>
      <c r="H69" s="6">
        <v>7</v>
      </c>
      <c r="I69" s="6">
        <v>0</v>
      </c>
      <c r="J69" s="8">
        <v>0.14117647058823529</v>
      </c>
      <c r="K69" s="8">
        <v>3.5294117647058823E-2</v>
      </c>
      <c r="L69" s="6">
        <v>-1</v>
      </c>
      <c r="M69" s="8">
        <v>8.1395348837209308E-2</v>
      </c>
      <c r="N69" s="8">
        <v>0</v>
      </c>
      <c r="O69" s="6">
        <v>-1</v>
      </c>
    </row>
    <row r="70" spans="1:15" x14ac:dyDescent="0.25">
      <c r="A70" s="7">
        <v>46169</v>
      </c>
      <c r="B70" s="6">
        <v>5</v>
      </c>
      <c r="C70" s="6">
        <v>17</v>
      </c>
      <c r="D70" s="6">
        <v>0</v>
      </c>
      <c r="E70" s="6">
        <v>3</v>
      </c>
      <c r="F70" s="6">
        <v>2</v>
      </c>
      <c r="G70" s="6">
        <v>0</v>
      </c>
      <c r="H70" s="6">
        <v>9</v>
      </c>
      <c r="I70" s="6">
        <v>0</v>
      </c>
      <c r="J70" s="8">
        <v>0.2</v>
      </c>
      <c r="K70" s="8">
        <v>3.5294117647058823E-2</v>
      </c>
      <c r="L70" s="6">
        <v>-1</v>
      </c>
      <c r="M70" s="8">
        <v>0.10465116279069769</v>
      </c>
      <c r="N70" s="8">
        <v>0</v>
      </c>
      <c r="O70" s="6">
        <v>-1</v>
      </c>
    </row>
    <row r="71" spans="1:15" x14ac:dyDescent="0.25">
      <c r="A71" s="7">
        <v>46170</v>
      </c>
      <c r="B71" s="6">
        <v>3</v>
      </c>
      <c r="C71" s="6">
        <v>20</v>
      </c>
      <c r="D71" s="6">
        <v>0</v>
      </c>
      <c r="E71" s="6">
        <v>3</v>
      </c>
      <c r="F71" s="6">
        <v>3</v>
      </c>
      <c r="G71" s="6">
        <v>1</v>
      </c>
      <c r="H71" s="6">
        <v>12</v>
      </c>
      <c r="I71" s="6">
        <v>1</v>
      </c>
      <c r="J71" s="8">
        <v>0.23529411764705879</v>
      </c>
      <c r="K71" s="8">
        <v>3.5294117647058823E-2</v>
      </c>
      <c r="L71" s="6">
        <v>-1</v>
      </c>
      <c r="M71" s="8">
        <v>0.1395348837209302</v>
      </c>
      <c r="N71" s="8">
        <v>1.1627906976744189E-2</v>
      </c>
      <c r="O71" s="6">
        <v>-1</v>
      </c>
    </row>
    <row r="72" spans="1:15" x14ac:dyDescent="0.25">
      <c r="A72" s="7">
        <v>46171</v>
      </c>
      <c r="B72" s="6">
        <v>0</v>
      </c>
      <c r="C72" s="6">
        <v>20</v>
      </c>
      <c r="D72" s="6">
        <v>0</v>
      </c>
      <c r="E72" s="6">
        <v>3</v>
      </c>
      <c r="F72" s="6">
        <v>1</v>
      </c>
      <c r="G72" s="6">
        <v>0</v>
      </c>
      <c r="H72" s="6">
        <v>13</v>
      </c>
      <c r="I72" s="6">
        <v>1</v>
      </c>
      <c r="J72" s="8">
        <v>0.23529411764705879</v>
      </c>
      <c r="K72" s="8">
        <v>3.5294117647058823E-2</v>
      </c>
      <c r="L72" s="6">
        <v>-1</v>
      </c>
      <c r="M72" s="8">
        <v>0.15116279069767441</v>
      </c>
      <c r="N72" s="8">
        <v>1.1627906976744189E-2</v>
      </c>
      <c r="O72" s="6">
        <v>-1</v>
      </c>
    </row>
    <row r="73" spans="1:15" x14ac:dyDescent="0.25">
      <c r="A73" s="7">
        <v>46172</v>
      </c>
      <c r="B73" s="6">
        <v>0</v>
      </c>
      <c r="C73" s="6">
        <v>20</v>
      </c>
      <c r="D73" s="6">
        <v>0</v>
      </c>
      <c r="E73" s="6">
        <v>3</v>
      </c>
      <c r="F73" s="6">
        <v>0</v>
      </c>
      <c r="G73" s="6">
        <v>0</v>
      </c>
      <c r="H73" s="6">
        <v>13</v>
      </c>
      <c r="I73" s="6">
        <v>1</v>
      </c>
      <c r="J73" s="8">
        <v>0.23529411764705879</v>
      </c>
      <c r="K73" s="8">
        <v>3.5294117647058823E-2</v>
      </c>
      <c r="L73" s="6">
        <v>-1</v>
      </c>
      <c r="M73" s="8">
        <v>0.15116279069767441</v>
      </c>
      <c r="N73" s="8">
        <v>1.1627906976744189E-2</v>
      </c>
      <c r="O73" s="6">
        <v>-1</v>
      </c>
    </row>
    <row r="74" spans="1:15" x14ac:dyDescent="0.25">
      <c r="A74" s="7">
        <v>46173</v>
      </c>
      <c r="B74" s="6">
        <v>0</v>
      </c>
      <c r="C74" s="6">
        <v>20</v>
      </c>
      <c r="D74" s="6">
        <v>0</v>
      </c>
      <c r="E74" s="6">
        <v>3</v>
      </c>
      <c r="F74" s="6">
        <v>0</v>
      </c>
      <c r="G74" s="6">
        <v>0</v>
      </c>
      <c r="H74" s="6">
        <v>13</v>
      </c>
      <c r="I74" s="6">
        <v>1</v>
      </c>
      <c r="J74" s="8">
        <v>0.23529411764705879</v>
      </c>
      <c r="K74" s="8">
        <v>3.5294117647058823E-2</v>
      </c>
      <c r="L74" s="6">
        <v>-1</v>
      </c>
      <c r="M74" s="8">
        <v>0.15116279069767441</v>
      </c>
      <c r="N74" s="8">
        <v>1.1627906976744189E-2</v>
      </c>
      <c r="O74" s="6">
        <v>-1</v>
      </c>
    </row>
    <row r="75" spans="1:15" x14ac:dyDescent="0.25">
      <c r="A75" s="7">
        <v>46174</v>
      </c>
      <c r="B75" s="6">
        <v>3</v>
      </c>
      <c r="C75" s="6">
        <v>23</v>
      </c>
      <c r="D75" s="6">
        <v>1</v>
      </c>
      <c r="E75" s="6">
        <v>4</v>
      </c>
      <c r="F75" s="6">
        <v>0</v>
      </c>
      <c r="G75" s="6">
        <v>1</v>
      </c>
      <c r="H75" s="6">
        <v>13</v>
      </c>
      <c r="I75" s="6">
        <v>2</v>
      </c>
      <c r="J75" s="8">
        <v>0.27058823529411757</v>
      </c>
      <c r="K75" s="8">
        <v>4.7058823529411757E-2</v>
      </c>
      <c r="L75" s="6">
        <v>-1</v>
      </c>
      <c r="M75" s="8">
        <v>0.15116279069767441</v>
      </c>
      <c r="N75" s="8">
        <v>2.3255813953488368E-2</v>
      </c>
      <c r="O75" s="6">
        <v>-1</v>
      </c>
    </row>
    <row r="76" spans="1:15" x14ac:dyDescent="0.25">
      <c r="A76" s="7">
        <v>46175</v>
      </c>
      <c r="B76" s="6">
        <v>1</v>
      </c>
      <c r="C76" s="6">
        <v>24</v>
      </c>
      <c r="D76" s="6">
        <v>0</v>
      </c>
      <c r="E76" s="6">
        <v>4</v>
      </c>
      <c r="F76" s="6">
        <v>5</v>
      </c>
      <c r="G76" s="6">
        <v>1</v>
      </c>
      <c r="H76" s="6">
        <v>18</v>
      </c>
      <c r="I76" s="6">
        <v>3</v>
      </c>
      <c r="J76" s="8">
        <v>0.28235294117647058</v>
      </c>
      <c r="K76" s="8">
        <v>4.7058823529411757E-2</v>
      </c>
      <c r="L76" s="6">
        <v>-1</v>
      </c>
      <c r="M76" s="8">
        <v>0.20930232558139539</v>
      </c>
      <c r="N76" s="8">
        <v>3.4883720930232558E-2</v>
      </c>
      <c r="O76" s="6">
        <v>-1</v>
      </c>
    </row>
    <row r="77" spans="1:15" x14ac:dyDescent="0.25">
      <c r="A77" s="7">
        <v>46176</v>
      </c>
      <c r="B77" s="6">
        <v>0</v>
      </c>
      <c r="C77" s="6">
        <v>24</v>
      </c>
      <c r="D77" s="6">
        <v>0</v>
      </c>
      <c r="E77" s="6">
        <v>4</v>
      </c>
      <c r="F77" s="6">
        <v>3</v>
      </c>
      <c r="G77" s="6">
        <v>0</v>
      </c>
      <c r="H77" s="6">
        <v>21</v>
      </c>
      <c r="I77" s="6">
        <v>3</v>
      </c>
      <c r="J77" s="8">
        <v>0.28235294117647058</v>
      </c>
      <c r="K77" s="8">
        <v>4.7058823529411757E-2</v>
      </c>
      <c r="L77" s="6">
        <v>-1</v>
      </c>
      <c r="M77" s="8">
        <v>0.2441860465116279</v>
      </c>
      <c r="N77" s="8">
        <v>3.4883720930232558E-2</v>
      </c>
      <c r="O77" s="6">
        <v>-1</v>
      </c>
    </row>
    <row r="78" spans="1:15" x14ac:dyDescent="0.25">
      <c r="A78" s="7">
        <v>46177</v>
      </c>
      <c r="B78" s="6">
        <v>1</v>
      </c>
      <c r="C78" s="6">
        <v>25</v>
      </c>
      <c r="D78" s="6">
        <v>0</v>
      </c>
      <c r="E78" s="6">
        <v>4</v>
      </c>
      <c r="F78" s="6">
        <v>0</v>
      </c>
      <c r="G78" s="6">
        <v>0</v>
      </c>
      <c r="H78" s="6">
        <v>21</v>
      </c>
      <c r="I78" s="6">
        <v>3</v>
      </c>
      <c r="J78" s="8">
        <v>0.29411764705882348</v>
      </c>
      <c r="K78" s="8">
        <v>4.7058823529411757E-2</v>
      </c>
      <c r="L78" s="6">
        <v>-1</v>
      </c>
      <c r="M78" s="8">
        <v>0.2441860465116279</v>
      </c>
      <c r="N78" s="8">
        <v>3.4883720930232558E-2</v>
      </c>
      <c r="O78" s="6">
        <v>-1</v>
      </c>
    </row>
    <row r="79" spans="1:15" x14ac:dyDescent="0.25">
      <c r="A79" s="7">
        <v>46178</v>
      </c>
      <c r="B79" s="6">
        <v>3</v>
      </c>
      <c r="C79" s="6">
        <v>28</v>
      </c>
      <c r="D79" s="6">
        <v>1</v>
      </c>
      <c r="E79" s="6">
        <v>5</v>
      </c>
      <c r="F79" s="6">
        <v>3</v>
      </c>
      <c r="G79" s="6">
        <v>0</v>
      </c>
      <c r="H79" s="6">
        <v>24</v>
      </c>
      <c r="I79" s="6">
        <v>3</v>
      </c>
      <c r="J79" s="8">
        <v>0.32941176470588229</v>
      </c>
      <c r="K79" s="8">
        <v>5.8823529411764712E-2</v>
      </c>
      <c r="L79" s="6">
        <v>-1</v>
      </c>
      <c r="M79" s="8">
        <v>0.27906976744186052</v>
      </c>
      <c r="N79" s="8">
        <v>3.4883720930232558E-2</v>
      </c>
      <c r="O79" s="6">
        <v>-1</v>
      </c>
    </row>
    <row r="80" spans="1:15" x14ac:dyDescent="0.25">
      <c r="A80" s="7">
        <v>46179</v>
      </c>
      <c r="B80" s="6">
        <v>0</v>
      </c>
      <c r="C80" s="6">
        <v>28</v>
      </c>
      <c r="D80" s="6">
        <v>0</v>
      </c>
      <c r="E80" s="6">
        <v>5</v>
      </c>
      <c r="F80" s="6">
        <v>0</v>
      </c>
      <c r="G80" s="6">
        <v>0</v>
      </c>
      <c r="H80" s="6">
        <v>24</v>
      </c>
      <c r="I80" s="6">
        <v>3</v>
      </c>
      <c r="J80" s="8">
        <v>0.32941176470588229</v>
      </c>
      <c r="K80" s="8">
        <v>5.8823529411764712E-2</v>
      </c>
      <c r="L80" s="6">
        <v>-1</v>
      </c>
      <c r="M80" s="8">
        <v>0.27906976744186052</v>
      </c>
      <c r="N80" s="8">
        <v>3.4883720930232558E-2</v>
      </c>
      <c r="O80" s="6">
        <v>-1</v>
      </c>
    </row>
    <row r="81" spans="1:15" x14ac:dyDescent="0.25">
      <c r="A81" s="7">
        <v>46180</v>
      </c>
      <c r="B81" s="6">
        <v>0</v>
      </c>
      <c r="C81" s="6">
        <v>28</v>
      </c>
      <c r="D81" s="6">
        <v>0</v>
      </c>
      <c r="E81" s="6">
        <v>5</v>
      </c>
      <c r="F81" s="6">
        <v>0</v>
      </c>
      <c r="G81" s="6">
        <v>0</v>
      </c>
      <c r="H81" s="6">
        <v>24</v>
      </c>
      <c r="I81" s="6">
        <v>3</v>
      </c>
      <c r="J81" s="8">
        <v>0.32941176470588229</v>
      </c>
      <c r="K81" s="8">
        <v>5.8823529411764712E-2</v>
      </c>
      <c r="L81" s="6">
        <v>-1</v>
      </c>
      <c r="M81" s="8">
        <v>0.27906976744186052</v>
      </c>
      <c r="N81" s="8">
        <v>3.4883720930232558E-2</v>
      </c>
      <c r="O81" s="6">
        <v>-1</v>
      </c>
    </row>
    <row r="82" spans="1:15" x14ac:dyDescent="0.25">
      <c r="A82" s="7">
        <v>46181</v>
      </c>
      <c r="B82" s="6">
        <v>0</v>
      </c>
      <c r="C82" s="6">
        <v>28</v>
      </c>
      <c r="D82" s="6">
        <v>1</v>
      </c>
      <c r="E82" s="6">
        <v>6</v>
      </c>
      <c r="F82" s="6">
        <v>1</v>
      </c>
      <c r="G82" s="6">
        <v>0</v>
      </c>
      <c r="H82" s="6">
        <v>25</v>
      </c>
      <c r="I82" s="6">
        <v>3</v>
      </c>
      <c r="J82" s="8">
        <v>0.32941176470588229</v>
      </c>
      <c r="K82" s="8">
        <v>7.0588235294117646E-2</v>
      </c>
      <c r="L82" s="6">
        <v>-1</v>
      </c>
      <c r="M82" s="8">
        <v>0.29069767441860472</v>
      </c>
      <c r="N82" s="8">
        <v>3.4883720930232558E-2</v>
      </c>
      <c r="O82" s="6">
        <v>-1</v>
      </c>
    </row>
    <row r="83" spans="1:15" x14ac:dyDescent="0.25">
      <c r="A83" s="7">
        <v>46182</v>
      </c>
      <c r="B83" s="6">
        <v>1</v>
      </c>
      <c r="C83" s="6">
        <v>29</v>
      </c>
      <c r="D83" s="6">
        <v>1</v>
      </c>
      <c r="E83" s="6">
        <v>7</v>
      </c>
      <c r="F83" s="6">
        <v>0</v>
      </c>
      <c r="G83" s="6">
        <v>0</v>
      </c>
      <c r="H83" s="6">
        <v>25</v>
      </c>
      <c r="I83" s="6">
        <v>3</v>
      </c>
      <c r="J83" s="8">
        <v>0.3411764705882353</v>
      </c>
      <c r="K83" s="8">
        <v>8.2352941176470587E-2</v>
      </c>
      <c r="L83" s="6">
        <v>-1</v>
      </c>
      <c r="M83" s="8">
        <v>0.29069767441860472</v>
      </c>
      <c r="N83" s="8">
        <v>3.4883720930232558E-2</v>
      </c>
      <c r="O83" s="6">
        <v>-1</v>
      </c>
    </row>
    <row r="84" spans="1:15" x14ac:dyDescent="0.25">
      <c r="A84" s="7">
        <v>46183</v>
      </c>
      <c r="B84" s="6">
        <v>2</v>
      </c>
      <c r="C84" s="6">
        <v>31</v>
      </c>
      <c r="D84" s="6">
        <v>0</v>
      </c>
      <c r="E84" s="6">
        <v>7</v>
      </c>
      <c r="F84" s="6">
        <v>1</v>
      </c>
      <c r="G84" s="6">
        <v>0</v>
      </c>
      <c r="H84" s="6">
        <v>26</v>
      </c>
      <c r="I84" s="6">
        <v>3</v>
      </c>
      <c r="J84" s="8">
        <v>0.36470588235294121</v>
      </c>
      <c r="K84" s="8">
        <v>8.2352941176470587E-2</v>
      </c>
      <c r="L84" s="6">
        <v>-1</v>
      </c>
      <c r="M84" s="8">
        <v>0.30232558139534882</v>
      </c>
      <c r="N84" s="8">
        <v>3.4883720930232558E-2</v>
      </c>
      <c r="O84" s="6">
        <v>-1</v>
      </c>
    </row>
    <row r="85" spans="1:15" x14ac:dyDescent="0.25">
      <c r="A85" s="7">
        <v>46184</v>
      </c>
      <c r="B85" s="6">
        <v>2</v>
      </c>
      <c r="C85" s="6">
        <v>33</v>
      </c>
      <c r="D85" s="6">
        <v>0</v>
      </c>
      <c r="E85" s="6">
        <v>7</v>
      </c>
      <c r="F85" s="6">
        <v>3</v>
      </c>
      <c r="G85" s="6">
        <v>1</v>
      </c>
      <c r="H85" s="6">
        <v>29</v>
      </c>
      <c r="I85" s="6">
        <v>4</v>
      </c>
      <c r="J85" s="8">
        <v>0.38823529411764712</v>
      </c>
      <c r="K85" s="8">
        <v>8.2352941176470587E-2</v>
      </c>
      <c r="L85" s="6">
        <v>-1</v>
      </c>
      <c r="M85" s="8">
        <v>0.33720930232558138</v>
      </c>
      <c r="N85" s="8">
        <v>4.6511627906976737E-2</v>
      </c>
      <c r="O85" s="6">
        <v>-1</v>
      </c>
    </row>
    <row r="86" spans="1:15" x14ac:dyDescent="0.25">
      <c r="A86" s="7">
        <v>46185</v>
      </c>
      <c r="B86" s="6">
        <v>1</v>
      </c>
      <c r="C86" s="6">
        <v>34</v>
      </c>
      <c r="D86" s="6">
        <v>5</v>
      </c>
      <c r="E86" s="6">
        <v>12</v>
      </c>
      <c r="F86" s="6">
        <v>0</v>
      </c>
      <c r="G86" s="6">
        <v>0</v>
      </c>
      <c r="H86" s="6">
        <v>29</v>
      </c>
      <c r="I86" s="6">
        <v>4</v>
      </c>
      <c r="J86" s="8">
        <v>0.4</v>
      </c>
      <c r="K86" s="8">
        <v>0.14117647058823529</v>
      </c>
      <c r="L86" s="6">
        <v>-1</v>
      </c>
      <c r="M86" s="8">
        <v>0.33720930232558138</v>
      </c>
      <c r="N86" s="8">
        <v>4.6511627906976737E-2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34</v>
      </c>
      <c r="D87" s="6">
        <v>0</v>
      </c>
      <c r="E87" s="6">
        <v>12</v>
      </c>
      <c r="F87" s="6">
        <v>0</v>
      </c>
      <c r="G87" s="6">
        <v>0</v>
      </c>
      <c r="H87" s="6">
        <v>29</v>
      </c>
      <c r="I87" s="6">
        <v>4</v>
      </c>
      <c r="J87" s="8">
        <v>0.4</v>
      </c>
      <c r="K87" s="8">
        <v>0.14117647058823529</v>
      </c>
      <c r="L87" s="6">
        <v>-1</v>
      </c>
      <c r="M87" s="8">
        <v>0.33720930232558138</v>
      </c>
      <c r="N87" s="8">
        <v>4.6511627906976737E-2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34</v>
      </c>
      <c r="D88" s="6">
        <v>0</v>
      </c>
      <c r="E88" s="6">
        <v>12</v>
      </c>
      <c r="F88" s="6">
        <v>0</v>
      </c>
      <c r="G88" s="6">
        <v>0</v>
      </c>
      <c r="H88" s="6">
        <v>29</v>
      </c>
      <c r="I88" s="6">
        <v>4</v>
      </c>
      <c r="J88" s="8">
        <v>0.4</v>
      </c>
      <c r="K88" s="8">
        <v>0.14117647058823529</v>
      </c>
      <c r="L88" s="6">
        <v>-1</v>
      </c>
      <c r="M88" s="8">
        <v>0.33720930232558138</v>
      </c>
      <c r="N88" s="8">
        <v>4.6511627906976737E-2</v>
      </c>
      <c r="O88" s="6">
        <v>-1</v>
      </c>
    </row>
    <row r="89" spans="1:15" x14ac:dyDescent="0.25">
      <c r="A89" s="7">
        <v>46188</v>
      </c>
      <c r="B89" s="6">
        <v>2</v>
      </c>
      <c r="C89" s="6">
        <v>36</v>
      </c>
      <c r="D89" s="6">
        <v>2</v>
      </c>
      <c r="E89" s="6">
        <v>14</v>
      </c>
      <c r="F89" s="6">
        <v>1</v>
      </c>
      <c r="G89" s="6">
        <v>0</v>
      </c>
      <c r="H89" s="6">
        <v>30</v>
      </c>
      <c r="I89" s="6">
        <v>4</v>
      </c>
      <c r="J89" s="8">
        <v>0.42352941176470588</v>
      </c>
      <c r="K89" s="8">
        <v>0.1647058823529412</v>
      </c>
      <c r="L89" s="6">
        <v>-1</v>
      </c>
      <c r="M89" s="8">
        <v>0.34883720930232559</v>
      </c>
      <c r="N89" s="8">
        <v>4.6511627906976737E-2</v>
      </c>
      <c r="O89" s="6">
        <v>-1</v>
      </c>
    </row>
    <row r="90" spans="1:15" x14ac:dyDescent="0.25">
      <c r="A90" s="7">
        <v>46189</v>
      </c>
      <c r="B90" s="6">
        <v>4</v>
      </c>
      <c r="C90" s="6">
        <v>40</v>
      </c>
      <c r="D90" s="6">
        <v>0</v>
      </c>
      <c r="E90" s="6">
        <v>14</v>
      </c>
      <c r="F90" s="6">
        <v>2</v>
      </c>
      <c r="G90" s="6">
        <v>0</v>
      </c>
      <c r="H90" s="6">
        <v>32</v>
      </c>
      <c r="I90" s="6">
        <v>4</v>
      </c>
      <c r="J90" s="8">
        <v>0.47058823529411759</v>
      </c>
      <c r="K90" s="8">
        <v>0.1647058823529412</v>
      </c>
      <c r="L90" s="6">
        <v>-1</v>
      </c>
      <c r="M90" s="8">
        <v>0.37209302325581389</v>
      </c>
      <c r="N90" s="8">
        <v>4.6511627906976737E-2</v>
      </c>
      <c r="O90" s="6">
        <v>-1</v>
      </c>
    </row>
    <row r="91" spans="1:15" x14ac:dyDescent="0.25">
      <c r="A91" s="7">
        <v>46190</v>
      </c>
      <c r="B91" s="6">
        <v>0</v>
      </c>
      <c r="C91" s="6">
        <v>40</v>
      </c>
      <c r="D91" s="6">
        <v>0</v>
      </c>
      <c r="E91" s="6">
        <v>14</v>
      </c>
      <c r="F91" s="6">
        <v>2</v>
      </c>
      <c r="G91" s="6">
        <v>0</v>
      </c>
      <c r="H91" s="6">
        <v>34</v>
      </c>
      <c r="I91" s="6">
        <v>4</v>
      </c>
      <c r="J91" s="8">
        <v>0.47058823529411759</v>
      </c>
      <c r="K91" s="8">
        <v>0.1647058823529412</v>
      </c>
      <c r="L91" s="6">
        <v>-1</v>
      </c>
      <c r="M91" s="8">
        <v>0.39534883720930231</v>
      </c>
      <c r="N91" s="8">
        <v>4.6511627906976737E-2</v>
      </c>
      <c r="O91" s="6">
        <v>-1</v>
      </c>
    </row>
    <row r="92" spans="1:15" x14ac:dyDescent="0.25">
      <c r="A92" s="7">
        <v>46191</v>
      </c>
      <c r="B92" s="6">
        <v>2</v>
      </c>
      <c r="C92" s="6">
        <v>42</v>
      </c>
      <c r="D92" s="6">
        <v>1</v>
      </c>
      <c r="E92" s="6">
        <v>15</v>
      </c>
      <c r="F92" s="6">
        <v>1</v>
      </c>
      <c r="G92" s="6">
        <v>1</v>
      </c>
      <c r="H92" s="6">
        <v>35</v>
      </c>
      <c r="I92" s="6">
        <v>5</v>
      </c>
      <c r="J92" s="8">
        <v>0.49411764705882361</v>
      </c>
      <c r="K92" s="8">
        <v>0.1764705882352941</v>
      </c>
      <c r="L92" s="6">
        <v>-1</v>
      </c>
      <c r="M92" s="8">
        <v>0.40697674418604651</v>
      </c>
      <c r="N92" s="8">
        <v>5.8139534883720929E-2</v>
      </c>
      <c r="O92" s="6">
        <v>-1</v>
      </c>
    </row>
    <row r="93" spans="1:15" x14ac:dyDescent="0.25">
      <c r="A93" s="7">
        <v>46192</v>
      </c>
      <c r="B93" s="6">
        <v>7</v>
      </c>
      <c r="C93" s="6">
        <v>49</v>
      </c>
      <c r="D93" s="6">
        <v>5</v>
      </c>
      <c r="E93" s="6">
        <v>20</v>
      </c>
      <c r="F93" s="6">
        <v>1</v>
      </c>
      <c r="G93" s="6">
        <v>0</v>
      </c>
      <c r="H93" s="6">
        <v>36</v>
      </c>
      <c r="I93" s="6">
        <v>5</v>
      </c>
      <c r="J93" s="8">
        <v>0.57647058823529407</v>
      </c>
      <c r="K93" s="8">
        <v>0.23529411764705879</v>
      </c>
      <c r="L93" s="6">
        <v>-1</v>
      </c>
      <c r="M93" s="8">
        <v>0.41860465116279072</v>
      </c>
      <c r="N93" s="8">
        <v>5.8139534883720929E-2</v>
      </c>
      <c r="O93" s="6">
        <v>-1</v>
      </c>
    </row>
    <row r="94" spans="1:15" x14ac:dyDescent="0.25">
      <c r="A94" s="7">
        <v>46193</v>
      </c>
      <c r="B94" s="6">
        <v>0</v>
      </c>
      <c r="C94" s="6">
        <v>49</v>
      </c>
      <c r="D94" s="6">
        <v>0</v>
      </c>
      <c r="E94" s="6">
        <v>20</v>
      </c>
      <c r="F94" s="6">
        <v>0</v>
      </c>
      <c r="G94" s="6">
        <v>0</v>
      </c>
      <c r="H94" s="6">
        <v>36</v>
      </c>
      <c r="I94" s="6">
        <v>5</v>
      </c>
      <c r="J94" s="8">
        <v>0.57647058823529407</v>
      </c>
      <c r="K94" s="8">
        <v>0.23529411764705879</v>
      </c>
      <c r="L94" s="6">
        <v>-1</v>
      </c>
      <c r="M94" s="8">
        <v>0.41860465116279072</v>
      </c>
      <c r="N94" s="8">
        <v>5.8139534883720929E-2</v>
      </c>
      <c r="O94" s="6">
        <v>-1</v>
      </c>
    </row>
    <row r="95" spans="1:15" x14ac:dyDescent="0.25">
      <c r="A95" s="7">
        <v>46194</v>
      </c>
      <c r="B95" s="6">
        <v>0</v>
      </c>
      <c r="C95" s="6">
        <v>49</v>
      </c>
      <c r="D95" s="6">
        <v>0</v>
      </c>
      <c r="E95" s="6">
        <v>20</v>
      </c>
      <c r="F95" s="6">
        <v>0</v>
      </c>
      <c r="G95" s="6">
        <v>0</v>
      </c>
      <c r="H95" s="6">
        <v>36</v>
      </c>
      <c r="I95" s="6">
        <v>5</v>
      </c>
      <c r="J95" s="8">
        <v>0.57647058823529407</v>
      </c>
      <c r="K95" s="8">
        <v>0.23529411764705879</v>
      </c>
      <c r="L95" s="6">
        <v>-1</v>
      </c>
      <c r="M95" s="8">
        <v>0.41860465116279072</v>
      </c>
      <c r="N95" s="8">
        <v>5.8139534883720929E-2</v>
      </c>
      <c r="O95" s="6">
        <v>-1</v>
      </c>
    </row>
    <row r="96" spans="1:15" x14ac:dyDescent="0.25">
      <c r="A96" s="7">
        <v>46195</v>
      </c>
      <c r="B96" s="6">
        <v>0</v>
      </c>
      <c r="C96" s="6">
        <v>49</v>
      </c>
      <c r="D96" s="6">
        <v>0</v>
      </c>
      <c r="E96" s="6">
        <v>20</v>
      </c>
      <c r="F96" s="6">
        <v>4</v>
      </c>
      <c r="G96" s="6">
        <v>1</v>
      </c>
      <c r="H96" s="6">
        <v>40</v>
      </c>
      <c r="I96" s="6">
        <v>6</v>
      </c>
      <c r="J96" s="8">
        <v>0.57647058823529407</v>
      </c>
      <c r="K96" s="8">
        <v>0.23529411764705879</v>
      </c>
      <c r="L96" s="6">
        <v>-1</v>
      </c>
      <c r="M96" s="8">
        <v>0.46511627906976738</v>
      </c>
      <c r="N96" s="8">
        <v>6.9767441860465115E-2</v>
      </c>
      <c r="O96" s="6">
        <v>-1</v>
      </c>
    </row>
    <row r="97" spans="1:15" x14ac:dyDescent="0.25">
      <c r="A97" s="7">
        <v>46196</v>
      </c>
      <c r="B97" s="6">
        <v>2</v>
      </c>
      <c r="C97" s="6">
        <v>51</v>
      </c>
      <c r="D97" s="6">
        <v>2</v>
      </c>
      <c r="E97" s="6">
        <v>22</v>
      </c>
      <c r="F97" s="6">
        <v>1</v>
      </c>
      <c r="G97" s="6">
        <v>0</v>
      </c>
      <c r="H97" s="6">
        <v>41</v>
      </c>
      <c r="I97" s="6">
        <v>6</v>
      </c>
      <c r="J97" s="8">
        <v>0.6</v>
      </c>
      <c r="K97" s="8">
        <v>0.25882352941176467</v>
      </c>
      <c r="L97" s="6">
        <v>-1</v>
      </c>
      <c r="M97" s="8">
        <v>0.47674418604651159</v>
      </c>
      <c r="N97" s="8">
        <v>6.9767441860465115E-2</v>
      </c>
      <c r="O97" s="6">
        <v>-1</v>
      </c>
    </row>
    <row r="98" spans="1:15" x14ac:dyDescent="0.25">
      <c r="A98" s="7">
        <v>46197</v>
      </c>
      <c r="B98" s="6">
        <v>4</v>
      </c>
      <c r="C98" s="6">
        <v>55</v>
      </c>
      <c r="D98" s="6">
        <v>1</v>
      </c>
      <c r="E98" s="6">
        <v>23</v>
      </c>
      <c r="F98" s="6">
        <v>2</v>
      </c>
      <c r="G98" s="6">
        <v>0</v>
      </c>
      <c r="H98" s="6">
        <v>43</v>
      </c>
      <c r="I98" s="6">
        <v>6</v>
      </c>
      <c r="J98" s="8">
        <v>0.6470588235294118</v>
      </c>
      <c r="K98" s="8">
        <v>0.27058823529411757</v>
      </c>
      <c r="L98" s="6">
        <v>-1</v>
      </c>
      <c r="M98" s="8">
        <v>0.5</v>
      </c>
      <c r="N98" s="8">
        <v>6.9767441860465115E-2</v>
      </c>
      <c r="O98" s="6">
        <v>-1</v>
      </c>
    </row>
    <row r="99" spans="1:15" x14ac:dyDescent="0.25">
      <c r="A99" s="7">
        <v>46198</v>
      </c>
      <c r="B99" s="6">
        <v>0</v>
      </c>
      <c r="C99" s="6">
        <v>55</v>
      </c>
      <c r="D99" s="6">
        <v>3</v>
      </c>
      <c r="E99" s="6">
        <v>26</v>
      </c>
      <c r="F99" s="6">
        <v>7</v>
      </c>
      <c r="G99" s="6">
        <v>0</v>
      </c>
      <c r="H99" s="6">
        <v>50</v>
      </c>
      <c r="I99" s="6">
        <v>6</v>
      </c>
      <c r="J99" s="8">
        <v>0.6470588235294118</v>
      </c>
      <c r="K99" s="8">
        <v>0.30588235294117649</v>
      </c>
      <c r="L99" s="6">
        <v>-1</v>
      </c>
      <c r="M99" s="8">
        <v>0.58139534883720934</v>
      </c>
      <c r="N99" s="8">
        <v>6.9767441860465115E-2</v>
      </c>
      <c r="O99" s="6">
        <v>-1</v>
      </c>
    </row>
    <row r="100" spans="1:15" x14ac:dyDescent="0.25">
      <c r="A100" s="7">
        <v>46199</v>
      </c>
      <c r="B100" s="6">
        <v>2</v>
      </c>
      <c r="C100" s="6">
        <v>57</v>
      </c>
      <c r="D100" s="6">
        <v>7</v>
      </c>
      <c r="E100" s="6">
        <v>33</v>
      </c>
      <c r="F100" s="6">
        <v>0</v>
      </c>
      <c r="G100" s="6">
        <v>0</v>
      </c>
      <c r="H100" s="6">
        <v>50</v>
      </c>
      <c r="I100" s="6">
        <v>6</v>
      </c>
      <c r="J100" s="8">
        <v>0.6705882352941176</v>
      </c>
      <c r="K100" s="8">
        <v>0.38823529411764712</v>
      </c>
      <c r="L100" s="6">
        <v>-1</v>
      </c>
      <c r="M100" s="8">
        <v>0.58139534883720934</v>
      </c>
      <c r="N100" s="8">
        <v>6.9767441860465115E-2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57</v>
      </c>
      <c r="D101" s="6">
        <v>0</v>
      </c>
      <c r="E101" s="6">
        <v>33</v>
      </c>
      <c r="F101" s="6">
        <v>0</v>
      </c>
      <c r="G101" s="6">
        <v>0</v>
      </c>
      <c r="H101" s="6">
        <v>50</v>
      </c>
      <c r="I101" s="6">
        <v>6</v>
      </c>
      <c r="J101" s="8">
        <v>0.6705882352941176</v>
      </c>
      <c r="K101" s="8">
        <v>0.38823529411764712</v>
      </c>
      <c r="L101" s="6">
        <v>-1</v>
      </c>
      <c r="M101" s="8">
        <v>0.58139534883720934</v>
      </c>
      <c r="N101" s="8">
        <v>6.9767441860465115E-2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57</v>
      </c>
      <c r="D102" s="6">
        <v>0</v>
      </c>
      <c r="E102" s="6">
        <v>33</v>
      </c>
      <c r="F102" s="6">
        <v>0</v>
      </c>
      <c r="G102" s="6">
        <v>0</v>
      </c>
      <c r="H102" s="6">
        <v>50</v>
      </c>
      <c r="I102" s="6">
        <v>6</v>
      </c>
      <c r="J102" s="8">
        <v>0.6705882352941176</v>
      </c>
      <c r="K102" s="8">
        <v>0.38823529411764712</v>
      </c>
      <c r="L102" s="6">
        <v>-1</v>
      </c>
      <c r="M102" s="8">
        <v>0.58139534883720934</v>
      </c>
      <c r="N102" s="8">
        <v>6.9767441860465115E-2</v>
      </c>
      <c r="O102" s="6">
        <v>-1</v>
      </c>
    </row>
    <row r="103" spans="1:15" x14ac:dyDescent="0.25">
      <c r="A103" s="7">
        <v>46202</v>
      </c>
      <c r="B103" s="6">
        <v>21</v>
      </c>
      <c r="C103" s="6">
        <v>78</v>
      </c>
      <c r="D103" s="6">
        <v>0</v>
      </c>
      <c r="E103" s="6">
        <v>33</v>
      </c>
      <c r="F103" s="6">
        <v>2</v>
      </c>
      <c r="G103" s="6">
        <v>0</v>
      </c>
      <c r="H103" s="6">
        <v>52</v>
      </c>
      <c r="I103" s="6">
        <v>6</v>
      </c>
      <c r="J103" s="8">
        <v>0.91764705882352937</v>
      </c>
      <c r="K103" s="8">
        <v>0.38823529411764712</v>
      </c>
      <c r="L103" s="6">
        <v>-1</v>
      </c>
      <c r="M103" s="8">
        <v>0.60465116279069764</v>
      </c>
      <c r="N103" s="8">
        <v>6.9767441860465115E-2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81</v>
      </c>
      <c r="D104" s="6">
        <v>21</v>
      </c>
      <c r="E104" s="6">
        <v>54</v>
      </c>
      <c r="F104" s="6">
        <v>4</v>
      </c>
      <c r="G104" s="6">
        <v>0</v>
      </c>
      <c r="H104" s="6">
        <v>56</v>
      </c>
      <c r="I104" s="6">
        <v>6</v>
      </c>
      <c r="J104" s="8">
        <v>0.95294117647058818</v>
      </c>
      <c r="K104" s="8">
        <v>0.63529411764705879</v>
      </c>
      <c r="L104" s="6">
        <v>-1</v>
      </c>
      <c r="M104" s="8">
        <v>0.65116279069767447</v>
      </c>
      <c r="N104" s="8">
        <v>6.9767441860465115E-2</v>
      </c>
      <c r="O104" s="6">
        <v>-1</v>
      </c>
    </row>
    <row r="105" spans="1:15" x14ac:dyDescent="0.25">
      <c r="A105" s="7">
        <v>46204</v>
      </c>
      <c r="B105" s="6">
        <v>3</v>
      </c>
      <c r="C105" s="6">
        <v>84</v>
      </c>
      <c r="D105" s="6">
        <v>3</v>
      </c>
      <c r="E105" s="6">
        <v>57</v>
      </c>
      <c r="F105" s="6">
        <v>0</v>
      </c>
      <c r="G105" s="6">
        <v>0</v>
      </c>
      <c r="H105" s="6">
        <v>56</v>
      </c>
      <c r="I105" s="6">
        <v>6</v>
      </c>
      <c r="J105" s="8">
        <v>0.9882352941176471</v>
      </c>
      <c r="K105" s="8">
        <v>0.6705882352941176</v>
      </c>
      <c r="L105" s="6">
        <v>-1</v>
      </c>
      <c r="M105" s="8">
        <v>0.65116279069767447</v>
      </c>
      <c r="N105" s="8">
        <v>6.9767441860465115E-2</v>
      </c>
      <c r="O105" s="6">
        <v>-1</v>
      </c>
    </row>
    <row r="106" spans="1:15" x14ac:dyDescent="0.25">
      <c r="A106" s="7">
        <v>46205</v>
      </c>
      <c r="B106" s="6">
        <v>0</v>
      </c>
      <c r="C106" s="6">
        <v>84</v>
      </c>
      <c r="D106" s="6">
        <v>3</v>
      </c>
      <c r="E106" s="6">
        <v>60</v>
      </c>
      <c r="F106" s="6">
        <v>7</v>
      </c>
      <c r="G106" s="6">
        <v>0</v>
      </c>
      <c r="H106" s="6">
        <v>63</v>
      </c>
      <c r="I106" s="6">
        <v>6</v>
      </c>
      <c r="J106" s="8">
        <v>0.9882352941176471</v>
      </c>
      <c r="K106" s="8">
        <v>0.70588235294117652</v>
      </c>
      <c r="L106" s="6">
        <v>-1</v>
      </c>
      <c r="M106" s="8">
        <v>0.73255813953488369</v>
      </c>
      <c r="N106" s="8">
        <v>6.9767441860465115E-2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84</v>
      </c>
      <c r="D107" s="6">
        <v>6</v>
      </c>
      <c r="E107" s="6">
        <v>66</v>
      </c>
      <c r="F107" s="6">
        <v>18</v>
      </c>
      <c r="G107" s="6">
        <v>0</v>
      </c>
      <c r="H107" s="6">
        <v>81</v>
      </c>
      <c r="I107" s="6">
        <v>6</v>
      </c>
      <c r="J107" s="8">
        <v>0.9882352941176471</v>
      </c>
      <c r="K107" s="8">
        <v>0.77647058823529413</v>
      </c>
      <c r="L107" s="6">
        <v>-1</v>
      </c>
      <c r="M107" s="8">
        <v>0.94186046511627908</v>
      </c>
      <c r="N107" s="8">
        <v>6.9767441860465115E-2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84</v>
      </c>
      <c r="D108" s="6">
        <v>0</v>
      </c>
      <c r="E108" s="6">
        <v>66</v>
      </c>
      <c r="F108" s="6">
        <v>0</v>
      </c>
      <c r="G108" s="6">
        <v>0</v>
      </c>
      <c r="H108" s="6">
        <v>81</v>
      </c>
      <c r="I108" s="6">
        <v>6</v>
      </c>
      <c r="J108" s="8">
        <v>0.9882352941176471</v>
      </c>
      <c r="K108" s="8">
        <v>0.77647058823529413</v>
      </c>
      <c r="L108" s="6">
        <v>-1</v>
      </c>
      <c r="M108" s="8">
        <v>0.94186046511627908</v>
      </c>
      <c r="N108" s="8">
        <v>6.9767441860465115E-2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84</v>
      </c>
      <c r="D109" s="6">
        <v>0</v>
      </c>
      <c r="E109" s="6">
        <v>66</v>
      </c>
      <c r="F109" s="6">
        <v>0</v>
      </c>
      <c r="G109" s="6">
        <v>0</v>
      </c>
      <c r="H109" s="6">
        <v>81</v>
      </c>
      <c r="I109" s="6">
        <v>6</v>
      </c>
      <c r="J109" s="8">
        <v>0.9882352941176471</v>
      </c>
      <c r="K109" s="8">
        <v>0.77647058823529413</v>
      </c>
      <c r="L109" s="6">
        <v>-1</v>
      </c>
      <c r="M109" s="8">
        <v>0.94186046511627908</v>
      </c>
      <c r="N109" s="8">
        <v>6.9767441860465115E-2</v>
      </c>
      <c r="O109" s="6">
        <v>-1</v>
      </c>
    </row>
    <row r="110" spans="1:15" x14ac:dyDescent="0.25">
      <c r="A110" s="7">
        <v>46209</v>
      </c>
      <c r="B110" s="6">
        <v>1</v>
      </c>
      <c r="C110" s="6">
        <v>85</v>
      </c>
      <c r="D110" s="6">
        <v>1</v>
      </c>
      <c r="E110" s="6">
        <v>67</v>
      </c>
      <c r="F110" s="6">
        <v>1</v>
      </c>
      <c r="G110" s="6">
        <v>0</v>
      </c>
      <c r="H110" s="6">
        <v>82</v>
      </c>
      <c r="I110" s="6">
        <v>6</v>
      </c>
      <c r="J110" s="8">
        <v>1</v>
      </c>
      <c r="K110" s="8">
        <v>0.78823529411764703</v>
      </c>
      <c r="L110" s="6">
        <v>-1</v>
      </c>
      <c r="M110" s="8">
        <v>0.95348837209302328</v>
      </c>
      <c r="N110" s="8">
        <v>6.9767441860465115E-2</v>
      </c>
      <c r="O110" s="6">
        <v>-1</v>
      </c>
    </row>
    <row r="111" spans="1:15" x14ac:dyDescent="0.25">
      <c r="A111" s="7">
        <v>46210</v>
      </c>
      <c r="B111" s="6">
        <v>0</v>
      </c>
      <c r="C111" s="6">
        <v>85</v>
      </c>
      <c r="D111" s="6">
        <v>2</v>
      </c>
      <c r="E111" s="6">
        <v>69</v>
      </c>
      <c r="F111" s="6">
        <v>3</v>
      </c>
      <c r="G111" s="6">
        <v>0</v>
      </c>
      <c r="H111" s="6">
        <v>85</v>
      </c>
      <c r="I111" s="6">
        <v>6</v>
      </c>
      <c r="J111" s="8">
        <v>1</v>
      </c>
      <c r="K111" s="8">
        <v>0.81176470588235294</v>
      </c>
      <c r="L111" s="6">
        <v>-1</v>
      </c>
      <c r="M111" s="8">
        <v>0.98837209302325579</v>
      </c>
      <c r="N111" s="8">
        <v>6.9767441860465115E-2</v>
      </c>
      <c r="O111" s="6">
        <v>-1</v>
      </c>
    </row>
    <row r="112" spans="1:15" x14ac:dyDescent="0.25">
      <c r="A112" s="9">
        <v>46211</v>
      </c>
      <c r="B112" s="10">
        <v>0</v>
      </c>
      <c r="C112" s="10">
        <v>85</v>
      </c>
      <c r="D112" s="10">
        <v>11</v>
      </c>
      <c r="E112" s="10">
        <v>80</v>
      </c>
      <c r="F112" s="10">
        <v>0</v>
      </c>
      <c r="G112" s="10">
        <v>0</v>
      </c>
      <c r="H112" s="10">
        <v>85</v>
      </c>
      <c r="I112" s="10">
        <v>6</v>
      </c>
      <c r="J112" s="11">
        <v>1</v>
      </c>
      <c r="K112" s="11">
        <v>0.94117647058823528</v>
      </c>
      <c r="L112" s="10">
        <v>-1</v>
      </c>
      <c r="M112" s="11">
        <v>0.98837209302325579</v>
      </c>
      <c r="N112" s="11">
        <v>6.9767441860465115E-2</v>
      </c>
      <c r="O112" s="10">
        <v>-1</v>
      </c>
    </row>
    <row r="113" spans="1:15" x14ac:dyDescent="0.25">
      <c r="A113" s="7">
        <v>46212</v>
      </c>
      <c r="B113" s="6">
        <v>0</v>
      </c>
      <c r="C113" s="6">
        <v>85</v>
      </c>
      <c r="D113" s="6">
        <v>0</v>
      </c>
      <c r="F113" s="6">
        <v>0</v>
      </c>
      <c r="G113" s="6">
        <v>0</v>
      </c>
      <c r="H113" s="6">
        <v>85</v>
      </c>
      <c r="J113" s="8">
        <v>1</v>
      </c>
      <c r="K113" s="8">
        <v>0.94117647058823528</v>
      </c>
      <c r="L113" s="6">
        <v>-1</v>
      </c>
      <c r="M113" s="8">
        <v>0.98837209302325579</v>
      </c>
      <c r="N113" s="8">
        <v>6.9767441860465115E-2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85</v>
      </c>
      <c r="D114" s="6">
        <v>0</v>
      </c>
      <c r="F114" s="6">
        <v>0</v>
      </c>
      <c r="G114" s="6">
        <v>0</v>
      </c>
      <c r="H114" s="6">
        <v>85</v>
      </c>
      <c r="J114" s="8">
        <v>1</v>
      </c>
      <c r="K114" s="8">
        <v>0.94117647058823528</v>
      </c>
      <c r="L114" s="6">
        <v>-1</v>
      </c>
      <c r="M114" s="8">
        <v>0.98837209302325579</v>
      </c>
      <c r="N114" s="8">
        <v>6.9767441860465115E-2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85</v>
      </c>
      <c r="D115" s="6">
        <v>0</v>
      </c>
      <c r="F115" s="6">
        <v>0</v>
      </c>
      <c r="G115" s="6">
        <v>0</v>
      </c>
      <c r="H115" s="6">
        <v>85</v>
      </c>
      <c r="J115" s="8">
        <v>1</v>
      </c>
      <c r="K115" s="8">
        <v>0.94117647058823528</v>
      </c>
      <c r="L115" s="6">
        <v>-1</v>
      </c>
      <c r="M115" s="8">
        <v>0.98837209302325579</v>
      </c>
      <c r="N115" s="8">
        <v>6.9767441860465115E-2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85</v>
      </c>
      <c r="D116" s="6">
        <v>0</v>
      </c>
      <c r="F116" s="6">
        <v>0</v>
      </c>
      <c r="G116" s="6">
        <v>0</v>
      </c>
      <c r="H116" s="6">
        <v>85</v>
      </c>
      <c r="J116" s="8">
        <v>1</v>
      </c>
      <c r="K116" s="8">
        <v>0.94117647058823528</v>
      </c>
      <c r="L116" s="6">
        <v>-1</v>
      </c>
      <c r="M116" s="8">
        <v>0.98837209302325579</v>
      </c>
      <c r="N116" s="8">
        <v>6.9767441860465115E-2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85</v>
      </c>
      <c r="D117" s="6">
        <v>1</v>
      </c>
      <c r="F117" s="6">
        <v>0</v>
      </c>
      <c r="G117" s="6">
        <v>0</v>
      </c>
      <c r="H117" s="6">
        <v>85</v>
      </c>
      <c r="J117" s="8">
        <v>1</v>
      </c>
      <c r="K117" s="8">
        <v>0.94117647058823528</v>
      </c>
      <c r="L117" s="6">
        <v>-1</v>
      </c>
      <c r="M117" s="8">
        <v>0.98837209302325579</v>
      </c>
      <c r="N117" s="8">
        <v>6.9767441860465115E-2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85</v>
      </c>
      <c r="D118" s="6">
        <v>0</v>
      </c>
      <c r="F118" s="6">
        <v>1</v>
      </c>
      <c r="G118" s="6">
        <v>0</v>
      </c>
      <c r="H118" s="6">
        <v>86</v>
      </c>
      <c r="J118" s="8">
        <v>1</v>
      </c>
      <c r="K118" s="8">
        <v>0.94117647058823528</v>
      </c>
      <c r="L118" s="6">
        <v>-1</v>
      </c>
      <c r="M118" s="8">
        <v>1</v>
      </c>
      <c r="N118" s="8">
        <v>6.9767441860465115E-2</v>
      </c>
      <c r="O118" s="6">
        <v>-1</v>
      </c>
    </row>
    <row r="120" spans="1:15" x14ac:dyDescent="0.25">
      <c r="L120" s="6">
        <v>1</v>
      </c>
      <c r="O120" s="6">
        <v>1</v>
      </c>
    </row>
    <row r="121" spans="1:15" x14ac:dyDescent="0.25">
      <c r="L121" s="6">
        <v>0</v>
      </c>
      <c r="O121" s="6">
        <v>0</v>
      </c>
    </row>
    <row r="122" spans="1:15" x14ac:dyDescent="0.25">
      <c r="L122" s="6">
        <v>-1</v>
      </c>
      <c r="O122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D2E0238-2372-4E35-80C5-C2E4A6BBD60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L1:L122</xm:sqref>
        </x14:conditionalFormatting>
        <x14:conditionalFormatting xmlns:xm="http://schemas.microsoft.com/office/excel/2006/main">
          <x14:cfRule type="iconSet" priority="1" id="{4EAF012F-5794-4E68-BD2C-990E0CB01E0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41"/>
  <sheetViews>
    <sheetView workbookViewId="0">
      <selection activeCell="E51" sqref="E51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7" width="18.28515625" style="2" bestFit="1" customWidth="1"/>
    <col min="8" max="8" width="16" style="4" bestFit="1" customWidth="1"/>
    <col min="9" max="9" width="18.28515625" style="2" bestFit="1" customWidth="1"/>
    <col min="10" max="10" width="11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16.42578125" style="1" bestFit="1" customWidth="1"/>
    <col min="24" max="24" width="32" style="1" bestFit="1" customWidth="1"/>
    <col min="25" max="25" width="21.28515625" style="1" bestFit="1" customWidth="1"/>
    <col min="26" max="26" width="16.1406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2">
        <v>46139</v>
      </c>
      <c r="G2" s="2">
        <v>46139</v>
      </c>
      <c r="H2" s="4">
        <v>1</v>
      </c>
      <c r="I2" s="2">
        <v>46139</v>
      </c>
      <c r="J2" s="1" t="s">
        <v>53</v>
      </c>
      <c r="L2" s="1" t="s">
        <v>54</v>
      </c>
      <c r="M2" s="1" t="s">
        <v>42</v>
      </c>
      <c r="N2" s="3">
        <v>46139</v>
      </c>
      <c r="P2" s="1" t="s">
        <v>43</v>
      </c>
      <c r="Q2" s="1" t="s">
        <v>55</v>
      </c>
      <c r="R2" s="1" t="s">
        <v>45</v>
      </c>
      <c r="S2" s="3">
        <v>46139</v>
      </c>
      <c r="T2" s="3">
        <v>46139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6</v>
      </c>
      <c r="B3" s="1" t="s">
        <v>68</v>
      </c>
      <c r="C3" s="1" t="s">
        <v>63</v>
      </c>
      <c r="D3" s="1" t="s">
        <v>69</v>
      </c>
      <c r="E3" s="1" t="s">
        <v>52</v>
      </c>
      <c r="F3" s="2">
        <v>46161</v>
      </c>
      <c r="G3" s="2">
        <v>46161</v>
      </c>
      <c r="H3" s="4">
        <v>1</v>
      </c>
      <c r="I3" s="2">
        <v>46161</v>
      </c>
      <c r="J3" s="1" t="s">
        <v>53</v>
      </c>
      <c r="L3" s="1" t="s">
        <v>70</v>
      </c>
      <c r="M3" s="1" t="s">
        <v>59</v>
      </c>
      <c r="N3" s="3">
        <v>46161</v>
      </c>
      <c r="P3" s="1" t="s">
        <v>60</v>
      </c>
      <c r="Q3" s="1" t="s">
        <v>55</v>
      </c>
      <c r="R3" s="1" t="s">
        <v>61</v>
      </c>
      <c r="S3" s="3">
        <v>46161</v>
      </c>
      <c r="T3" s="3">
        <v>46161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7</v>
      </c>
      <c r="B4" s="1" t="s">
        <v>71</v>
      </c>
      <c r="C4" s="1" t="s">
        <v>63</v>
      </c>
      <c r="D4" s="1" t="s">
        <v>72</v>
      </c>
      <c r="E4" s="1" t="s">
        <v>52</v>
      </c>
      <c r="F4" s="2">
        <v>46188</v>
      </c>
      <c r="G4" s="2">
        <v>46188</v>
      </c>
      <c r="H4" s="4">
        <v>1</v>
      </c>
      <c r="I4" s="2">
        <v>46188</v>
      </c>
      <c r="J4" s="1" t="s">
        <v>53</v>
      </c>
      <c r="L4" s="1">
        <v>297</v>
      </c>
      <c r="M4" s="1" t="s">
        <v>66</v>
      </c>
      <c r="N4" s="3">
        <v>46178</v>
      </c>
      <c r="P4" s="1" t="s">
        <v>73</v>
      </c>
      <c r="Q4" s="1" t="s">
        <v>55</v>
      </c>
      <c r="R4" s="1" t="s">
        <v>61</v>
      </c>
      <c r="S4" s="3">
        <v>46178</v>
      </c>
      <c r="T4" s="3">
        <v>46178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</v>
      </c>
      <c r="B5" s="1" t="s">
        <v>74</v>
      </c>
      <c r="C5" s="1" t="s">
        <v>63</v>
      </c>
      <c r="D5" s="1" t="s">
        <v>75</v>
      </c>
      <c r="E5" s="1" t="s">
        <v>52</v>
      </c>
      <c r="F5" s="2">
        <v>46182</v>
      </c>
      <c r="G5" s="2">
        <v>46182</v>
      </c>
      <c r="H5" s="4">
        <v>1</v>
      </c>
      <c r="I5" s="2">
        <v>46182</v>
      </c>
      <c r="J5" s="1" t="s">
        <v>53</v>
      </c>
      <c r="L5" s="1">
        <v>413</v>
      </c>
      <c r="M5" s="1" t="s">
        <v>66</v>
      </c>
      <c r="N5" s="3">
        <v>46178</v>
      </c>
      <c r="P5" s="1" t="s">
        <v>76</v>
      </c>
      <c r="Q5" s="1" t="s">
        <v>55</v>
      </c>
      <c r="R5" s="1" t="s">
        <v>61</v>
      </c>
      <c r="S5" s="3">
        <v>46178</v>
      </c>
      <c r="T5" s="3">
        <v>46178</v>
      </c>
      <c r="U5" s="1" t="s">
        <v>77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9</v>
      </c>
      <c r="B6" s="1" t="s">
        <v>78</v>
      </c>
      <c r="C6" s="1" t="s">
        <v>63</v>
      </c>
      <c r="D6" s="1" t="s">
        <v>79</v>
      </c>
      <c r="E6" s="1" t="s">
        <v>52</v>
      </c>
      <c r="F6" s="2">
        <v>46164</v>
      </c>
      <c r="G6" s="2">
        <v>46164</v>
      </c>
      <c r="H6" s="4">
        <v>1</v>
      </c>
      <c r="I6" s="2">
        <v>46164</v>
      </c>
      <c r="J6" s="1" t="s">
        <v>53</v>
      </c>
      <c r="L6" s="1">
        <v>150</v>
      </c>
      <c r="M6" s="1" t="s">
        <v>80</v>
      </c>
      <c r="N6" s="3">
        <v>46164</v>
      </c>
      <c r="P6" s="1" t="s">
        <v>60</v>
      </c>
      <c r="Q6" s="1" t="s">
        <v>55</v>
      </c>
      <c r="R6" s="1" t="s">
        <v>61</v>
      </c>
      <c r="S6" s="3">
        <v>46164</v>
      </c>
      <c r="T6" s="3">
        <v>46164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11</v>
      </c>
      <c r="B7" s="1" t="s">
        <v>84</v>
      </c>
      <c r="C7" s="1" t="s">
        <v>50</v>
      </c>
      <c r="D7" s="1" t="s">
        <v>85</v>
      </c>
      <c r="E7" s="1" t="s">
        <v>86</v>
      </c>
      <c r="F7" s="2">
        <v>46141</v>
      </c>
      <c r="G7" s="2">
        <v>46141</v>
      </c>
      <c r="H7" s="4">
        <v>1</v>
      </c>
      <c r="I7" s="2">
        <v>46141</v>
      </c>
      <c r="J7" s="1" t="s">
        <v>53</v>
      </c>
      <c r="M7" s="1" t="s">
        <v>87</v>
      </c>
      <c r="N7" s="3">
        <v>46141</v>
      </c>
      <c r="P7" s="1" t="s">
        <v>43</v>
      </c>
      <c r="Q7" s="1" t="s">
        <v>55</v>
      </c>
      <c r="R7" s="1" t="s">
        <v>88</v>
      </c>
      <c r="S7" s="3">
        <v>46141</v>
      </c>
      <c r="T7" s="3">
        <v>46141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2">
        <v>46141</v>
      </c>
      <c r="G8" s="2">
        <v>46141</v>
      </c>
      <c r="H8" s="4">
        <v>1</v>
      </c>
      <c r="I8" s="2">
        <v>46141</v>
      </c>
      <c r="J8" s="1" t="s">
        <v>53</v>
      </c>
      <c r="M8" s="1" t="s">
        <v>87</v>
      </c>
      <c r="N8" s="3">
        <v>46141</v>
      </c>
      <c r="P8" s="1" t="s">
        <v>43</v>
      </c>
      <c r="Q8" s="1" t="s">
        <v>55</v>
      </c>
      <c r="R8" s="1" t="s">
        <v>88</v>
      </c>
      <c r="S8" s="3">
        <v>46141</v>
      </c>
      <c r="T8" s="3">
        <v>46141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2">
        <v>46139</v>
      </c>
      <c r="G9" s="2">
        <v>46175</v>
      </c>
      <c r="H9" s="4">
        <v>1</v>
      </c>
      <c r="I9" s="2">
        <v>46175</v>
      </c>
      <c r="J9" s="1" t="s">
        <v>53</v>
      </c>
      <c r="M9" s="1" t="s">
        <v>42</v>
      </c>
      <c r="N9" s="3">
        <v>46174</v>
      </c>
      <c r="P9" s="1" t="s">
        <v>43</v>
      </c>
      <c r="Q9" s="1" t="s">
        <v>55</v>
      </c>
      <c r="R9" s="1" t="s">
        <v>95</v>
      </c>
      <c r="S9" s="3">
        <v>46139</v>
      </c>
      <c r="T9" s="3">
        <v>46160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2">
        <v>46139</v>
      </c>
      <c r="G10" s="2">
        <v>46175</v>
      </c>
      <c r="H10" s="4">
        <v>1</v>
      </c>
      <c r="I10" s="2">
        <v>46175</v>
      </c>
      <c r="J10" s="1" t="s">
        <v>53</v>
      </c>
      <c r="M10" s="1" t="s">
        <v>42</v>
      </c>
      <c r="N10" s="3">
        <v>46174</v>
      </c>
      <c r="P10" s="1" t="s">
        <v>43</v>
      </c>
      <c r="Q10" s="1" t="s">
        <v>55</v>
      </c>
      <c r="R10" s="1" t="s">
        <v>95</v>
      </c>
      <c r="S10" s="3">
        <v>46139</v>
      </c>
      <c r="T10" s="3">
        <v>46155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2">
        <v>46139</v>
      </c>
      <c r="G11" s="2">
        <v>46141</v>
      </c>
      <c r="H11" s="4">
        <v>1</v>
      </c>
      <c r="I11" s="2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3">
        <v>46141</v>
      </c>
      <c r="P11" s="1" t="s">
        <v>43</v>
      </c>
      <c r="Q11" s="1" t="s">
        <v>55</v>
      </c>
      <c r="R11" s="1" t="s">
        <v>95</v>
      </c>
      <c r="S11" s="3">
        <v>46139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2">
        <v>46142</v>
      </c>
      <c r="G12" s="2">
        <v>46142</v>
      </c>
      <c r="H12" s="4">
        <v>1</v>
      </c>
      <c r="I12" s="2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3">
        <v>46142</v>
      </c>
      <c r="P12" s="1" t="s">
        <v>43</v>
      </c>
      <c r="Q12" s="1" t="s">
        <v>55</v>
      </c>
      <c r="R12" s="1" t="s">
        <v>95</v>
      </c>
      <c r="S12" s="3">
        <v>46142</v>
      </c>
      <c r="T12" s="3">
        <v>46142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2">
        <v>46143</v>
      </c>
      <c r="G13" s="2">
        <v>46154</v>
      </c>
      <c r="H13" s="4">
        <v>1</v>
      </c>
      <c r="I13" s="2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3">
        <v>46154</v>
      </c>
      <c r="P13" s="1" t="s">
        <v>43</v>
      </c>
      <c r="Q13" s="1" t="s">
        <v>55</v>
      </c>
      <c r="R13" s="1" t="s">
        <v>95</v>
      </c>
      <c r="S13" s="3">
        <v>46143</v>
      </c>
      <c r="T13" s="3">
        <v>46154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2">
        <v>46174</v>
      </c>
      <c r="G14" s="2">
        <v>46175</v>
      </c>
      <c r="H14" s="4">
        <v>1</v>
      </c>
      <c r="I14" s="2">
        <v>46175</v>
      </c>
      <c r="J14" s="1" t="s">
        <v>53</v>
      </c>
      <c r="K14" s="1" t="s">
        <v>117</v>
      </c>
      <c r="M14" s="1" t="s">
        <v>118</v>
      </c>
      <c r="N14" s="3">
        <v>46174</v>
      </c>
      <c r="P14" s="1" t="s">
        <v>119</v>
      </c>
      <c r="Q14" s="1" t="s">
        <v>55</v>
      </c>
      <c r="R14" s="1" t="s">
        <v>95</v>
      </c>
      <c r="S14" s="3">
        <v>46154</v>
      </c>
      <c r="T14" s="3">
        <v>46155</v>
      </c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 x14ac:dyDescent="0.25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2">
        <v>46142</v>
      </c>
      <c r="G15" s="2">
        <v>46174</v>
      </c>
      <c r="H15" s="4">
        <v>1</v>
      </c>
      <c r="I15" s="2">
        <v>46174</v>
      </c>
      <c r="J15" s="1" t="s">
        <v>53</v>
      </c>
      <c r="M15" s="1" t="s">
        <v>107</v>
      </c>
      <c r="N15" s="3">
        <v>46171</v>
      </c>
      <c r="P15" s="1" t="s">
        <v>43</v>
      </c>
      <c r="Q15" s="1" t="s">
        <v>55</v>
      </c>
      <c r="R15" s="1" t="s">
        <v>95</v>
      </c>
      <c r="S15" s="3">
        <v>46142</v>
      </c>
      <c r="T15" s="3">
        <v>46160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2">
        <v>46142</v>
      </c>
      <c r="G16" s="2">
        <v>46146</v>
      </c>
      <c r="H16" s="4">
        <v>1</v>
      </c>
      <c r="I16" s="2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3">
        <v>46146</v>
      </c>
      <c r="P16" s="1" t="s">
        <v>43</v>
      </c>
      <c r="Q16" s="1" t="s">
        <v>55</v>
      </c>
      <c r="R16" s="1" t="s">
        <v>95</v>
      </c>
      <c r="S16" s="3">
        <v>46142</v>
      </c>
      <c r="T16" s="3">
        <v>46146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 x14ac:dyDescent="0.25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2">
        <v>46147</v>
      </c>
      <c r="G17" s="2">
        <v>46147</v>
      </c>
      <c r="H17" s="4">
        <v>1</v>
      </c>
      <c r="I17" s="2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3">
        <v>46147</v>
      </c>
      <c r="P17" s="1" t="s">
        <v>43</v>
      </c>
      <c r="Q17" s="1" t="s">
        <v>55</v>
      </c>
      <c r="R17" s="1" t="s">
        <v>95</v>
      </c>
      <c r="S17" s="3">
        <v>46147</v>
      </c>
      <c r="T17" s="3">
        <v>46147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2">
        <v>46148</v>
      </c>
      <c r="G18" s="2">
        <v>46157</v>
      </c>
      <c r="H18" s="4">
        <v>1</v>
      </c>
      <c r="I18" s="2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3">
        <v>46157</v>
      </c>
      <c r="P18" s="1" t="s">
        <v>43</v>
      </c>
      <c r="Q18" s="1" t="s">
        <v>55</v>
      </c>
      <c r="R18" s="1" t="s">
        <v>95</v>
      </c>
      <c r="S18" s="3">
        <v>46148</v>
      </c>
      <c r="T18" s="3">
        <v>46157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2">
        <v>46171</v>
      </c>
      <c r="G19" s="2">
        <v>46174</v>
      </c>
      <c r="H19" s="4">
        <v>1</v>
      </c>
      <c r="I19" s="2">
        <v>46174</v>
      </c>
      <c r="J19" s="1" t="s">
        <v>53</v>
      </c>
      <c r="K19" s="1" t="s">
        <v>134</v>
      </c>
      <c r="M19" s="1" t="s">
        <v>135</v>
      </c>
      <c r="N19" s="3">
        <v>46171</v>
      </c>
      <c r="P19" s="1" t="s">
        <v>136</v>
      </c>
      <c r="Q19" s="1" t="s">
        <v>55</v>
      </c>
      <c r="R19" s="1" t="s">
        <v>95</v>
      </c>
      <c r="S19" s="3">
        <v>46157</v>
      </c>
      <c r="T19" s="3">
        <v>46160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hidden="1" x14ac:dyDescent="0.25">
      <c r="A20" s="1">
        <v>50</v>
      </c>
      <c r="B20" s="1" t="s">
        <v>137</v>
      </c>
      <c r="C20" s="1" t="s">
        <v>50</v>
      </c>
      <c r="D20" s="1" t="s">
        <v>138</v>
      </c>
      <c r="E20" s="1" t="s">
        <v>139</v>
      </c>
      <c r="F20" s="2">
        <v>46178</v>
      </c>
      <c r="G20" s="2">
        <v>46184</v>
      </c>
      <c r="H20" s="4">
        <v>1</v>
      </c>
      <c r="I20" s="2">
        <v>46184</v>
      </c>
      <c r="J20" s="1" t="s">
        <v>53</v>
      </c>
      <c r="M20" s="1" t="s">
        <v>66</v>
      </c>
      <c r="N20" s="3">
        <v>46184</v>
      </c>
      <c r="P20" s="1" t="s">
        <v>119</v>
      </c>
      <c r="Q20" s="1" t="s">
        <v>55</v>
      </c>
      <c r="R20" s="1" t="s">
        <v>140</v>
      </c>
      <c r="S20" s="3">
        <v>46147</v>
      </c>
      <c r="T20" s="3">
        <v>46195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hidden="1" x14ac:dyDescent="0.25">
      <c r="A21" s="1">
        <v>61</v>
      </c>
      <c r="B21" s="1" t="s">
        <v>141</v>
      </c>
      <c r="C21" s="1" t="s">
        <v>142</v>
      </c>
      <c r="D21" s="1" t="s">
        <v>143</v>
      </c>
      <c r="E21" s="1" t="s">
        <v>139</v>
      </c>
      <c r="F21" s="2">
        <v>46178</v>
      </c>
      <c r="G21" s="2">
        <v>46184</v>
      </c>
      <c r="H21" s="4">
        <v>1</v>
      </c>
      <c r="I21" s="2">
        <v>46184</v>
      </c>
      <c r="J21" s="1" t="s">
        <v>53</v>
      </c>
      <c r="M21" s="1" t="s">
        <v>66</v>
      </c>
      <c r="N21" s="3">
        <v>46184</v>
      </c>
      <c r="P21" s="1" t="s">
        <v>119</v>
      </c>
      <c r="Q21" s="1" t="s">
        <v>55</v>
      </c>
      <c r="R21" s="1" t="s">
        <v>140</v>
      </c>
      <c r="S21" s="3">
        <v>46156</v>
      </c>
      <c r="T21" s="3">
        <v>46162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x14ac:dyDescent="0.25">
      <c r="A22" s="1">
        <v>62</v>
      </c>
      <c r="B22" s="1" t="s">
        <v>144</v>
      </c>
      <c r="C22" s="1" t="s">
        <v>145</v>
      </c>
      <c r="D22" s="1" t="s">
        <v>101</v>
      </c>
      <c r="E22" s="1" t="s">
        <v>52</v>
      </c>
      <c r="F22" s="2">
        <v>46178</v>
      </c>
      <c r="G22" s="2">
        <v>46178</v>
      </c>
      <c r="H22" s="4">
        <v>1</v>
      </c>
      <c r="I22" s="2">
        <v>46178</v>
      </c>
      <c r="J22" s="1" t="s">
        <v>53</v>
      </c>
      <c r="K22" s="1" t="s">
        <v>146</v>
      </c>
      <c r="L22" s="1" t="s">
        <v>147</v>
      </c>
      <c r="M22" s="1" t="s">
        <v>66</v>
      </c>
      <c r="N22" s="3">
        <v>46178</v>
      </c>
      <c r="P22" s="1" t="s">
        <v>119</v>
      </c>
      <c r="Q22" s="1" t="s">
        <v>55</v>
      </c>
      <c r="R22" s="1" t="s">
        <v>140</v>
      </c>
      <c r="S22" s="3">
        <v>46156</v>
      </c>
      <c r="T22" s="3">
        <v>46156</v>
      </c>
      <c r="AB22" s="1">
        <v>1</v>
      </c>
      <c r="AC22" s="1">
        <v>1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</row>
    <row r="23" spans="1:39" hidden="1" x14ac:dyDescent="0.25">
      <c r="A23" s="1">
        <v>63</v>
      </c>
      <c r="B23" s="1" t="s">
        <v>148</v>
      </c>
      <c r="C23" s="1" t="s">
        <v>145</v>
      </c>
      <c r="D23" s="1" t="s">
        <v>105</v>
      </c>
      <c r="E23" s="1" t="s">
        <v>52</v>
      </c>
      <c r="F23" s="2">
        <v>46181</v>
      </c>
      <c r="G23" s="2">
        <v>46181</v>
      </c>
      <c r="H23" s="4">
        <v>1</v>
      </c>
      <c r="I23" s="2">
        <v>46181</v>
      </c>
      <c r="J23" s="1" t="s">
        <v>53</v>
      </c>
      <c r="K23" s="1">
        <v>62</v>
      </c>
      <c r="L23" s="1">
        <v>64</v>
      </c>
      <c r="M23" s="1" t="s">
        <v>149</v>
      </c>
      <c r="N23" s="3">
        <v>46181</v>
      </c>
      <c r="P23" s="1" t="s">
        <v>76</v>
      </c>
      <c r="Q23" s="1" t="s">
        <v>55</v>
      </c>
      <c r="R23" s="1" t="s">
        <v>140</v>
      </c>
      <c r="S23" s="3">
        <v>46157</v>
      </c>
      <c r="T23" s="3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hidden="1" x14ac:dyDescent="0.25">
      <c r="A24" s="1">
        <v>64</v>
      </c>
      <c r="B24" s="1" t="s">
        <v>150</v>
      </c>
      <c r="C24" s="1" t="s">
        <v>145</v>
      </c>
      <c r="D24" s="1" t="s">
        <v>109</v>
      </c>
      <c r="E24" s="1" t="s">
        <v>116</v>
      </c>
      <c r="F24" s="2">
        <v>46182</v>
      </c>
      <c r="G24" s="2">
        <v>46183</v>
      </c>
      <c r="H24" s="4">
        <v>1</v>
      </c>
      <c r="I24" s="2">
        <v>46183</v>
      </c>
      <c r="J24" s="1" t="s">
        <v>53</v>
      </c>
      <c r="K24" s="1">
        <v>63</v>
      </c>
      <c r="L24" s="1">
        <v>65</v>
      </c>
      <c r="M24" s="1" t="s">
        <v>151</v>
      </c>
      <c r="N24" s="3">
        <v>46183</v>
      </c>
      <c r="P24" s="1" t="s">
        <v>76</v>
      </c>
      <c r="Q24" s="1" t="s">
        <v>55</v>
      </c>
      <c r="R24" s="1" t="s">
        <v>140</v>
      </c>
      <c r="S24" s="3">
        <v>46160</v>
      </c>
      <c r="T24" s="3">
        <v>46161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65</v>
      </c>
      <c r="B25" s="1" t="s">
        <v>152</v>
      </c>
      <c r="C25" s="1" t="s">
        <v>145</v>
      </c>
      <c r="D25" s="1" t="s">
        <v>115</v>
      </c>
      <c r="E25" s="1" t="s">
        <v>52</v>
      </c>
      <c r="F25" s="2">
        <v>46184</v>
      </c>
      <c r="G25" s="2">
        <v>46184</v>
      </c>
      <c r="H25" s="4">
        <v>1</v>
      </c>
      <c r="I25" s="2">
        <v>46184</v>
      </c>
      <c r="J25" s="1" t="s">
        <v>53</v>
      </c>
      <c r="K25" s="1">
        <v>64</v>
      </c>
      <c r="M25" s="1" t="s">
        <v>153</v>
      </c>
      <c r="N25" s="3">
        <v>46184</v>
      </c>
      <c r="P25" s="1" t="s">
        <v>76</v>
      </c>
      <c r="Q25" s="1" t="s">
        <v>55</v>
      </c>
      <c r="R25" s="1" t="s">
        <v>140</v>
      </c>
      <c r="S25" s="3">
        <v>46162</v>
      </c>
      <c r="T25" s="3">
        <v>46162</v>
      </c>
      <c r="AB25" s="1">
        <v>1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</row>
    <row r="26" spans="1:39" hidden="1" x14ac:dyDescent="0.25">
      <c r="A26" s="1">
        <v>77</v>
      </c>
      <c r="B26" s="1" t="s">
        <v>159</v>
      </c>
      <c r="C26" s="1" t="s">
        <v>160</v>
      </c>
      <c r="D26" s="1" t="s">
        <v>161</v>
      </c>
      <c r="E26" s="1" t="s">
        <v>162</v>
      </c>
      <c r="F26" s="2">
        <v>46184</v>
      </c>
      <c r="G26" s="2">
        <v>46195</v>
      </c>
      <c r="H26" s="4">
        <v>1</v>
      </c>
      <c r="I26" s="2">
        <v>46195</v>
      </c>
      <c r="J26" s="1" t="s">
        <v>53</v>
      </c>
      <c r="M26" s="1" t="s">
        <v>157</v>
      </c>
      <c r="N26" s="3">
        <v>46175</v>
      </c>
      <c r="P26" s="1" t="s">
        <v>76</v>
      </c>
      <c r="Q26" s="1" t="s">
        <v>55</v>
      </c>
      <c r="R26" s="1" t="s">
        <v>158</v>
      </c>
      <c r="S26" s="3">
        <v>46156</v>
      </c>
      <c r="T26" s="3">
        <v>46163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78</v>
      </c>
      <c r="B27" s="1" t="s">
        <v>163</v>
      </c>
      <c r="C27" s="1" t="s">
        <v>164</v>
      </c>
      <c r="D27" s="1" t="s">
        <v>101</v>
      </c>
      <c r="E27" s="1" t="s">
        <v>116</v>
      </c>
      <c r="F27" s="2">
        <v>46184</v>
      </c>
      <c r="G27" s="2">
        <v>46185</v>
      </c>
      <c r="H27" s="4">
        <v>1</v>
      </c>
      <c r="I27" s="2">
        <v>46185</v>
      </c>
      <c r="J27" s="1" t="s">
        <v>53</v>
      </c>
      <c r="K27" s="1" t="s">
        <v>165</v>
      </c>
      <c r="L27" s="1" t="s">
        <v>166</v>
      </c>
      <c r="M27" s="1" t="s">
        <v>157</v>
      </c>
      <c r="N27" s="3">
        <v>46169</v>
      </c>
      <c r="P27" s="1" t="s">
        <v>76</v>
      </c>
      <c r="Q27" s="1" t="s">
        <v>55</v>
      </c>
      <c r="R27" s="1" t="s">
        <v>158</v>
      </c>
      <c r="S27" s="3">
        <v>46156</v>
      </c>
      <c r="T27" s="3">
        <v>46157</v>
      </c>
      <c r="AB27" s="1">
        <v>1</v>
      </c>
      <c r="AC27" s="1">
        <v>1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</row>
    <row r="28" spans="1:39" hidden="1" x14ac:dyDescent="0.25">
      <c r="A28" s="1">
        <v>79</v>
      </c>
      <c r="B28" s="1" t="s">
        <v>167</v>
      </c>
      <c r="C28" s="1" t="s">
        <v>164</v>
      </c>
      <c r="D28" s="1" t="s">
        <v>105</v>
      </c>
      <c r="E28" s="1" t="s">
        <v>168</v>
      </c>
      <c r="F28" s="2">
        <v>46185</v>
      </c>
      <c r="G28" s="2">
        <v>46190</v>
      </c>
      <c r="H28" s="4">
        <v>1</v>
      </c>
      <c r="I28" s="2">
        <v>46190</v>
      </c>
      <c r="J28" s="1" t="s">
        <v>53</v>
      </c>
      <c r="K28" s="1">
        <v>78</v>
      </c>
      <c r="L28" s="1">
        <v>80</v>
      </c>
      <c r="M28" s="1" t="s">
        <v>135</v>
      </c>
      <c r="N28" s="3">
        <v>46170</v>
      </c>
      <c r="P28" s="1" t="s">
        <v>73</v>
      </c>
      <c r="Q28" s="1" t="s">
        <v>55</v>
      </c>
      <c r="R28" s="1" t="s">
        <v>158</v>
      </c>
      <c r="S28" s="3">
        <v>46160</v>
      </c>
      <c r="T28" s="3">
        <v>46160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80</v>
      </c>
      <c r="B29" s="1" t="s">
        <v>169</v>
      </c>
      <c r="C29" s="1" t="s">
        <v>164</v>
      </c>
      <c r="D29" s="1" t="s">
        <v>109</v>
      </c>
      <c r="E29" s="1" t="s">
        <v>116</v>
      </c>
      <c r="F29" s="2">
        <v>46191</v>
      </c>
      <c r="G29" s="2">
        <v>46192</v>
      </c>
      <c r="H29" s="4">
        <v>1</v>
      </c>
      <c r="I29" s="2">
        <v>46192</v>
      </c>
      <c r="J29" s="1" t="s">
        <v>53</v>
      </c>
      <c r="K29" s="1">
        <v>79</v>
      </c>
      <c r="L29" s="1" t="s">
        <v>170</v>
      </c>
      <c r="M29" s="1" t="s">
        <v>118</v>
      </c>
      <c r="N29" s="3">
        <v>46174</v>
      </c>
      <c r="P29" s="1" t="s">
        <v>73</v>
      </c>
      <c r="Q29" s="1" t="s">
        <v>55</v>
      </c>
      <c r="R29" s="1" t="s">
        <v>158</v>
      </c>
      <c r="S29" s="3">
        <v>46161</v>
      </c>
      <c r="T29" s="3">
        <v>46162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0</v>
      </c>
    </row>
    <row r="30" spans="1:39" hidden="1" x14ac:dyDescent="0.25">
      <c r="A30" s="1">
        <v>81</v>
      </c>
      <c r="B30" s="1" t="s">
        <v>171</v>
      </c>
      <c r="C30" s="1" t="s">
        <v>164</v>
      </c>
      <c r="D30" s="1" t="s">
        <v>115</v>
      </c>
      <c r="E30" s="1" t="s">
        <v>116</v>
      </c>
      <c r="F30" s="2">
        <v>46192</v>
      </c>
      <c r="G30" s="2">
        <v>46195</v>
      </c>
      <c r="H30" s="4">
        <v>1</v>
      </c>
      <c r="I30" s="2">
        <v>46195</v>
      </c>
      <c r="J30" s="1" t="s">
        <v>53</v>
      </c>
      <c r="K30" s="1">
        <v>80</v>
      </c>
      <c r="M30" s="1" t="s">
        <v>172</v>
      </c>
      <c r="N30" s="3">
        <v>46175</v>
      </c>
      <c r="P30" s="1" t="s">
        <v>73</v>
      </c>
      <c r="Q30" s="1" t="s">
        <v>55</v>
      </c>
      <c r="R30" s="1" t="s">
        <v>158</v>
      </c>
      <c r="S30" s="3">
        <v>46163</v>
      </c>
      <c r="T30" s="3">
        <v>46163</v>
      </c>
      <c r="AB30" s="1">
        <v>1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0</v>
      </c>
      <c r="AM30" s="1">
        <v>0</v>
      </c>
    </row>
    <row r="31" spans="1:39" x14ac:dyDescent="0.25">
      <c r="A31" s="1">
        <v>83</v>
      </c>
      <c r="B31" s="1" t="s">
        <v>176</v>
      </c>
      <c r="C31" s="1" t="s">
        <v>177</v>
      </c>
      <c r="D31" s="1" t="s">
        <v>101</v>
      </c>
      <c r="E31" s="1" t="s">
        <v>102</v>
      </c>
      <c r="F31" s="2">
        <v>46182</v>
      </c>
      <c r="G31" s="2">
        <v>46185</v>
      </c>
      <c r="H31" s="4">
        <v>1</v>
      </c>
      <c r="I31" s="2">
        <v>46185</v>
      </c>
      <c r="J31" s="1" t="s">
        <v>53</v>
      </c>
      <c r="K31" s="1" t="s">
        <v>178</v>
      </c>
      <c r="L31" s="1">
        <v>84</v>
      </c>
      <c r="M31" s="1" t="s">
        <v>172</v>
      </c>
      <c r="N31" s="3">
        <v>46177</v>
      </c>
      <c r="P31" s="1" t="s">
        <v>76</v>
      </c>
      <c r="Q31" s="1" t="s">
        <v>55</v>
      </c>
      <c r="R31" s="1" t="s">
        <v>158</v>
      </c>
      <c r="S31" s="3">
        <v>46168</v>
      </c>
      <c r="T31" s="3">
        <v>46170</v>
      </c>
      <c r="AB31" s="1">
        <v>1</v>
      </c>
      <c r="AC31" s="1">
        <v>1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</row>
    <row r="32" spans="1:39" x14ac:dyDescent="0.25">
      <c r="A32" s="1">
        <v>88</v>
      </c>
      <c r="B32" s="1" t="s">
        <v>188</v>
      </c>
      <c r="C32" s="1" t="s">
        <v>189</v>
      </c>
      <c r="D32" s="1" t="s">
        <v>101</v>
      </c>
      <c r="E32" s="1" t="s">
        <v>168</v>
      </c>
      <c r="F32" s="2">
        <v>46203</v>
      </c>
      <c r="G32" s="2">
        <v>46206</v>
      </c>
      <c r="H32" s="4">
        <v>1</v>
      </c>
      <c r="I32" s="2">
        <v>46206</v>
      </c>
      <c r="J32" s="1" t="s">
        <v>53</v>
      </c>
      <c r="K32" s="1">
        <v>245</v>
      </c>
      <c r="L32" s="1">
        <v>89</v>
      </c>
      <c r="M32" s="1" t="s">
        <v>187</v>
      </c>
      <c r="N32" s="3">
        <v>46197</v>
      </c>
      <c r="P32" s="1" t="s">
        <v>67</v>
      </c>
      <c r="Q32" s="1" t="s">
        <v>55</v>
      </c>
      <c r="R32" s="1" t="s">
        <v>158</v>
      </c>
      <c r="S32" s="3">
        <v>46183</v>
      </c>
      <c r="T32" s="3">
        <v>46189</v>
      </c>
      <c r="AB32" s="1">
        <v>1</v>
      </c>
      <c r="AC32" s="1">
        <v>1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</row>
    <row r="33" spans="1:39" x14ac:dyDescent="0.25">
      <c r="A33" s="1">
        <v>93</v>
      </c>
      <c r="B33" s="1" t="s">
        <v>199</v>
      </c>
      <c r="C33" s="1" t="s">
        <v>200</v>
      </c>
      <c r="D33" s="1" t="s">
        <v>101</v>
      </c>
      <c r="E33" s="1" t="s">
        <v>168</v>
      </c>
      <c r="F33" s="2">
        <v>46203</v>
      </c>
      <c r="G33" s="2">
        <v>46206</v>
      </c>
      <c r="H33" s="4">
        <v>1</v>
      </c>
      <c r="I33" s="2">
        <v>46206</v>
      </c>
      <c r="J33" s="1" t="s">
        <v>53</v>
      </c>
      <c r="K33" s="1">
        <v>245</v>
      </c>
      <c r="L33" s="1">
        <v>94</v>
      </c>
      <c r="M33" s="1" t="s">
        <v>187</v>
      </c>
      <c r="N33" s="3">
        <v>46197</v>
      </c>
      <c r="P33" s="1" t="s">
        <v>67</v>
      </c>
      <c r="Q33" s="1" t="s">
        <v>55</v>
      </c>
      <c r="R33" s="1" t="s">
        <v>158</v>
      </c>
      <c r="S33" s="3">
        <v>46183</v>
      </c>
      <c r="T33" s="3">
        <v>46189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x14ac:dyDescent="0.25">
      <c r="A34" s="1">
        <v>98</v>
      </c>
      <c r="B34" s="1" t="s">
        <v>206</v>
      </c>
      <c r="C34" s="1" t="s">
        <v>207</v>
      </c>
      <c r="D34" s="1" t="s">
        <v>101</v>
      </c>
      <c r="E34" s="1" t="s">
        <v>168</v>
      </c>
      <c r="F34" s="2">
        <v>46203</v>
      </c>
      <c r="G34" s="2">
        <v>46206</v>
      </c>
      <c r="H34" s="4">
        <v>1</v>
      </c>
      <c r="I34" s="2">
        <v>46206</v>
      </c>
      <c r="J34" s="1" t="s">
        <v>53</v>
      </c>
      <c r="K34" s="1">
        <v>245</v>
      </c>
      <c r="L34" s="1">
        <v>99</v>
      </c>
      <c r="M34" s="1" t="s">
        <v>187</v>
      </c>
      <c r="N34" s="3">
        <v>46197</v>
      </c>
      <c r="P34" s="1" t="s">
        <v>67</v>
      </c>
      <c r="Q34" s="1" t="s">
        <v>55</v>
      </c>
      <c r="R34" s="1" t="s">
        <v>158</v>
      </c>
      <c r="S34" s="3">
        <v>46183</v>
      </c>
      <c r="T34" s="3">
        <v>46189</v>
      </c>
      <c r="AB34" s="1">
        <v>1</v>
      </c>
      <c r="AC34" s="1">
        <v>1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</row>
    <row r="35" spans="1:39" x14ac:dyDescent="0.25">
      <c r="A35" s="1">
        <v>103</v>
      </c>
      <c r="B35" s="1" t="s">
        <v>213</v>
      </c>
      <c r="C35" s="1" t="s">
        <v>214</v>
      </c>
      <c r="D35" s="1" t="s">
        <v>101</v>
      </c>
      <c r="E35" s="1" t="s">
        <v>168</v>
      </c>
      <c r="F35" s="2">
        <v>46203</v>
      </c>
      <c r="G35" s="2">
        <v>46206</v>
      </c>
      <c r="H35" s="4">
        <v>1</v>
      </c>
      <c r="I35" s="2">
        <v>46206</v>
      </c>
      <c r="J35" s="1" t="s">
        <v>53</v>
      </c>
      <c r="K35" s="1">
        <v>245</v>
      </c>
      <c r="L35" s="1">
        <v>104</v>
      </c>
      <c r="M35" s="1" t="s">
        <v>187</v>
      </c>
      <c r="N35" s="3">
        <v>46197</v>
      </c>
      <c r="P35" s="1" t="s">
        <v>67</v>
      </c>
      <c r="Q35" s="1" t="s">
        <v>55</v>
      </c>
      <c r="R35" s="1" t="s">
        <v>158</v>
      </c>
      <c r="S35" s="3">
        <v>46183</v>
      </c>
      <c r="T35" s="3">
        <v>46189</v>
      </c>
      <c r="AB35" s="1">
        <v>1</v>
      </c>
      <c r="AC35" s="1">
        <v>1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</row>
    <row r="36" spans="1:39" hidden="1" x14ac:dyDescent="0.25">
      <c r="A36" s="1">
        <v>107</v>
      </c>
      <c r="B36" s="1" t="s">
        <v>218</v>
      </c>
      <c r="C36" s="1" t="s">
        <v>160</v>
      </c>
      <c r="D36" s="1" t="s">
        <v>219</v>
      </c>
      <c r="E36" s="1" t="s">
        <v>186</v>
      </c>
      <c r="F36" s="2">
        <v>46176</v>
      </c>
      <c r="G36" s="2">
        <v>46191</v>
      </c>
      <c r="H36" s="4">
        <v>1</v>
      </c>
      <c r="I36" s="2">
        <v>46191</v>
      </c>
      <c r="J36" s="1" t="s">
        <v>53</v>
      </c>
      <c r="M36" s="1" t="s">
        <v>220</v>
      </c>
      <c r="N36" s="3">
        <v>46191</v>
      </c>
      <c r="P36" s="1" t="s">
        <v>119</v>
      </c>
      <c r="Q36" s="1" t="s">
        <v>55</v>
      </c>
      <c r="R36" s="1" t="s">
        <v>158</v>
      </c>
      <c r="S36" s="3">
        <v>46163</v>
      </c>
      <c r="T36" s="3">
        <v>46178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108</v>
      </c>
      <c r="B37" s="1" t="s">
        <v>221</v>
      </c>
      <c r="C37" s="1" t="s">
        <v>222</v>
      </c>
      <c r="D37" s="1" t="s">
        <v>101</v>
      </c>
      <c r="E37" s="1" t="s">
        <v>223</v>
      </c>
      <c r="F37" s="2">
        <v>46176</v>
      </c>
      <c r="G37" s="2">
        <v>46185</v>
      </c>
      <c r="H37" s="4">
        <v>1</v>
      </c>
      <c r="I37" s="2">
        <v>46185</v>
      </c>
      <c r="J37" s="1" t="s">
        <v>53</v>
      </c>
      <c r="K37" s="1">
        <v>129</v>
      </c>
      <c r="L37" s="1">
        <v>109</v>
      </c>
      <c r="M37" s="1" t="s">
        <v>220</v>
      </c>
      <c r="N37" s="3">
        <v>46185</v>
      </c>
      <c r="P37" s="1" t="s">
        <v>119</v>
      </c>
      <c r="Q37" s="1" t="s">
        <v>55</v>
      </c>
      <c r="R37" s="1" t="s">
        <v>158</v>
      </c>
      <c r="S37" s="3">
        <v>46163</v>
      </c>
      <c r="T37" s="3">
        <v>46174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hidden="1" x14ac:dyDescent="0.25">
      <c r="A38" s="1">
        <v>109</v>
      </c>
      <c r="B38" s="1" t="s">
        <v>224</v>
      </c>
      <c r="C38" s="1" t="s">
        <v>222</v>
      </c>
      <c r="D38" s="1" t="s">
        <v>105</v>
      </c>
      <c r="E38" s="1" t="s">
        <v>52</v>
      </c>
      <c r="F38" s="2">
        <v>46188</v>
      </c>
      <c r="G38" s="2">
        <v>46188</v>
      </c>
      <c r="H38" s="4">
        <v>1</v>
      </c>
      <c r="I38" s="2">
        <v>46188</v>
      </c>
      <c r="J38" s="1" t="s">
        <v>53</v>
      </c>
      <c r="K38" s="1">
        <v>108</v>
      </c>
      <c r="L38" s="1">
        <v>110</v>
      </c>
      <c r="M38" s="1" t="s">
        <v>225</v>
      </c>
      <c r="N38" s="3">
        <v>46188</v>
      </c>
      <c r="P38" s="1" t="s">
        <v>73</v>
      </c>
      <c r="Q38" s="1" t="s">
        <v>55</v>
      </c>
      <c r="R38" s="1" t="s">
        <v>158</v>
      </c>
      <c r="S38" s="3">
        <v>46175</v>
      </c>
      <c r="T38" s="3">
        <v>46175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110</v>
      </c>
      <c r="B39" s="1" t="s">
        <v>226</v>
      </c>
      <c r="C39" s="1" t="s">
        <v>222</v>
      </c>
      <c r="D39" s="1" t="s">
        <v>109</v>
      </c>
      <c r="E39" s="1" t="s">
        <v>116</v>
      </c>
      <c r="F39" s="2">
        <v>46189</v>
      </c>
      <c r="G39" s="2">
        <v>46190</v>
      </c>
      <c r="H39" s="4">
        <v>1</v>
      </c>
      <c r="I39" s="2">
        <v>46190</v>
      </c>
      <c r="J39" s="1" t="s">
        <v>53</v>
      </c>
      <c r="K39" s="1">
        <v>109</v>
      </c>
      <c r="L39" s="1">
        <v>111</v>
      </c>
      <c r="M39" s="1" t="s">
        <v>227</v>
      </c>
      <c r="N39" s="3">
        <v>46190</v>
      </c>
      <c r="P39" s="1" t="s">
        <v>73</v>
      </c>
      <c r="Q39" s="1" t="s">
        <v>55</v>
      </c>
      <c r="R39" s="1" t="s">
        <v>158</v>
      </c>
      <c r="S39" s="3">
        <v>46176</v>
      </c>
      <c r="T39" s="3">
        <v>46177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1</v>
      </c>
      <c r="AJ39" s="1">
        <v>0</v>
      </c>
      <c r="AK39" s="1">
        <v>0</v>
      </c>
      <c r="AL39" s="1">
        <v>0</v>
      </c>
      <c r="AM39" s="1">
        <v>0</v>
      </c>
    </row>
    <row r="40" spans="1:39" hidden="1" x14ac:dyDescent="0.25">
      <c r="A40" s="1">
        <v>111</v>
      </c>
      <c r="B40" s="1" t="s">
        <v>228</v>
      </c>
      <c r="C40" s="1" t="s">
        <v>222</v>
      </c>
      <c r="D40" s="1" t="s">
        <v>115</v>
      </c>
      <c r="E40" s="1" t="s">
        <v>52</v>
      </c>
      <c r="F40" s="2">
        <v>46191</v>
      </c>
      <c r="G40" s="2">
        <v>46191</v>
      </c>
      <c r="H40" s="4">
        <v>1</v>
      </c>
      <c r="I40" s="2">
        <v>46191</v>
      </c>
      <c r="J40" s="1" t="s">
        <v>53</v>
      </c>
      <c r="K40" s="1">
        <v>110</v>
      </c>
      <c r="M40" s="1" t="s">
        <v>187</v>
      </c>
      <c r="N40" s="3">
        <v>46191</v>
      </c>
      <c r="P40" s="1" t="s">
        <v>73</v>
      </c>
      <c r="Q40" s="1" t="s">
        <v>55</v>
      </c>
      <c r="R40" s="1" t="s">
        <v>158</v>
      </c>
      <c r="S40" s="3">
        <v>46178</v>
      </c>
      <c r="T40" s="3">
        <v>46178</v>
      </c>
      <c r="AB40" s="1">
        <v>1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</row>
    <row r="41" spans="1:39" x14ac:dyDescent="0.25">
      <c r="A41" s="1">
        <v>118</v>
      </c>
      <c r="B41" s="1" t="s">
        <v>233</v>
      </c>
      <c r="C41" s="1" t="s">
        <v>234</v>
      </c>
      <c r="D41" s="1" t="s">
        <v>101</v>
      </c>
      <c r="E41" s="1" t="s">
        <v>116</v>
      </c>
      <c r="F41" s="2">
        <v>46185</v>
      </c>
      <c r="G41" s="2">
        <v>46188</v>
      </c>
      <c r="H41" s="4">
        <v>1</v>
      </c>
      <c r="I41" s="2">
        <v>46188</v>
      </c>
      <c r="J41" s="1" t="s">
        <v>53</v>
      </c>
      <c r="K41" s="1">
        <v>129</v>
      </c>
      <c r="L41" s="1" t="s">
        <v>235</v>
      </c>
      <c r="M41" s="1" t="s">
        <v>220</v>
      </c>
      <c r="N41" s="3">
        <v>46182</v>
      </c>
      <c r="P41" s="1" t="s">
        <v>76</v>
      </c>
      <c r="Q41" s="1" t="s">
        <v>55</v>
      </c>
      <c r="R41" s="1" t="s">
        <v>158</v>
      </c>
      <c r="S41" s="3">
        <v>46163</v>
      </c>
      <c r="T41" s="3">
        <v>46169</v>
      </c>
      <c r="AB41" s="1">
        <v>1</v>
      </c>
      <c r="AC41" s="1">
        <v>1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</row>
    <row r="42" spans="1:39" hidden="1" x14ac:dyDescent="0.25">
      <c r="A42" s="1">
        <v>119</v>
      </c>
      <c r="B42" s="1" t="s">
        <v>236</v>
      </c>
      <c r="C42" s="1" t="s">
        <v>234</v>
      </c>
      <c r="D42" s="1" t="s">
        <v>105</v>
      </c>
      <c r="E42" s="1" t="s">
        <v>52</v>
      </c>
      <c r="F42" s="2">
        <v>46189</v>
      </c>
      <c r="G42" s="2">
        <v>46190</v>
      </c>
      <c r="H42" s="4">
        <v>1</v>
      </c>
      <c r="I42" s="2">
        <v>46190</v>
      </c>
      <c r="J42" s="1" t="s">
        <v>53</v>
      </c>
      <c r="K42" s="1">
        <v>118</v>
      </c>
      <c r="L42" s="1" t="s">
        <v>237</v>
      </c>
      <c r="M42" s="1" t="s">
        <v>183</v>
      </c>
      <c r="N42" s="3">
        <v>46183</v>
      </c>
      <c r="P42" s="1" t="s">
        <v>73</v>
      </c>
      <c r="Q42" s="1" t="s">
        <v>55</v>
      </c>
      <c r="R42" s="1" t="s">
        <v>158</v>
      </c>
      <c r="S42" s="3">
        <v>46170</v>
      </c>
      <c r="T42" s="3">
        <v>46170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123</v>
      </c>
      <c r="B43" s="1" t="s">
        <v>242</v>
      </c>
      <c r="C43" s="1" t="s">
        <v>243</v>
      </c>
      <c r="D43" s="1" t="s">
        <v>101</v>
      </c>
      <c r="E43" s="1" t="s">
        <v>116</v>
      </c>
      <c r="F43" s="2">
        <v>46185</v>
      </c>
      <c r="G43" s="2">
        <v>46188</v>
      </c>
      <c r="H43" s="4">
        <v>1</v>
      </c>
      <c r="I43" s="2">
        <v>46188</v>
      </c>
      <c r="J43" s="1" t="s">
        <v>53</v>
      </c>
      <c r="K43" s="1">
        <v>129</v>
      </c>
      <c r="L43" s="1" t="s">
        <v>244</v>
      </c>
      <c r="M43" s="1" t="s">
        <v>245</v>
      </c>
      <c r="N43" s="3">
        <v>46188</v>
      </c>
      <c r="P43" s="1" t="s">
        <v>76</v>
      </c>
      <c r="Q43" s="1" t="s">
        <v>55</v>
      </c>
      <c r="R43" s="1" t="s">
        <v>158</v>
      </c>
      <c r="S43" s="3">
        <v>46185</v>
      </c>
      <c r="T43" s="3">
        <v>46188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hidden="1" x14ac:dyDescent="0.25">
      <c r="A44" s="1">
        <v>124</v>
      </c>
      <c r="B44" s="1" t="s">
        <v>246</v>
      </c>
      <c r="C44" s="1" t="s">
        <v>243</v>
      </c>
      <c r="D44" s="1" t="s">
        <v>105</v>
      </c>
      <c r="E44" s="1" t="s">
        <v>52</v>
      </c>
      <c r="F44" s="2">
        <v>46190</v>
      </c>
      <c r="G44" s="2">
        <v>46190</v>
      </c>
      <c r="H44" s="4">
        <v>1</v>
      </c>
      <c r="I44" s="2">
        <v>46190</v>
      </c>
      <c r="J44" s="1" t="s">
        <v>53</v>
      </c>
      <c r="K44" s="1">
        <v>123</v>
      </c>
      <c r="L44" s="1" t="s">
        <v>247</v>
      </c>
      <c r="M44" s="1" t="s">
        <v>248</v>
      </c>
      <c r="N44" s="3">
        <v>46190</v>
      </c>
      <c r="P44" s="1" t="s">
        <v>73</v>
      </c>
      <c r="Q44" s="1" t="s">
        <v>55</v>
      </c>
      <c r="R44" s="1" t="s">
        <v>158</v>
      </c>
      <c r="S44" s="3">
        <v>46190</v>
      </c>
      <c r="T44" s="3">
        <v>46190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127</v>
      </c>
      <c r="B45" s="1" t="s">
        <v>252</v>
      </c>
      <c r="C45" s="1" t="s">
        <v>160</v>
      </c>
      <c r="D45" s="1" t="s">
        <v>253</v>
      </c>
      <c r="E45" s="1" t="s">
        <v>254</v>
      </c>
      <c r="F45" s="2">
        <v>46160</v>
      </c>
      <c r="G45" s="2">
        <v>46170</v>
      </c>
      <c r="H45" s="4">
        <v>1</v>
      </c>
      <c r="I45" s="2">
        <v>46170</v>
      </c>
      <c r="J45" s="1" t="s">
        <v>53</v>
      </c>
      <c r="M45" s="1" t="s">
        <v>157</v>
      </c>
      <c r="N45" s="3">
        <v>46178</v>
      </c>
      <c r="P45" s="1" t="s">
        <v>136</v>
      </c>
      <c r="Q45" s="1" t="s">
        <v>55</v>
      </c>
      <c r="R45" s="1" t="s">
        <v>158</v>
      </c>
      <c r="S45" s="3">
        <v>46156</v>
      </c>
      <c r="T45" s="3">
        <v>46167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128</v>
      </c>
      <c r="B46" s="1" t="s">
        <v>255</v>
      </c>
      <c r="C46" s="1" t="s">
        <v>256</v>
      </c>
      <c r="D46" s="1" t="s">
        <v>101</v>
      </c>
      <c r="E46" s="1" t="s">
        <v>257</v>
      </c>
      <c r="F46" s="2">
        <v>46160</v>
      </c>
      <c r="G46" s="2">
        <v>46164</v>
      </c>
      <c r="H46" s="4">
        <v>1</v>
      </c>
      <c r="I46" s="2">
        <v>46164</v>
      </c>
      <c r="J46" s="1" t="s">
        <v>53</v>
      </c>
      <c r="K46" s="1" t="s">
        <v>165</v>
      </c>
      <c r="L46" s="1" t="s">
        <v>258</v>
      </c>
      <c r="M46" s="1" t="s">
        <v>157</v>
      </c>
      <c r="N46" s="3">
        <v>46174</v>
      </c>
      <c r="P46" s="1" t="s">
        <v>136</v>
      </c>
      <c r="Q46" s="1" t="s">
        <v>55</v>
      </c>
      <c r="R46" s="1" t="s">
        <v>158</v>
      </c>
      <c r="S46" s="3">
        <v>46156</v>
      </c>
      <c r="T46" s="3">
        <v>46161</v>
      </c>
      <c r="AB46" s="1">
        <v>1</v>
      </c>
      <c r="AC46" s="1">
        <v>1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</row>
    <row r="47" spans="1:39" hidden="1" x14ac:dyDescent="0.25">
      <c r="A47" s="1">
        <v>129</v>
      </c>
      <c r="B47" s="1" t="s">
        <v>259</v>
      </c>
      <c r="C47" s="1" t="s">
        <v>256</v>
      </c>
      <c r="D47" s="1" t="s">
        <v>105</v>
      </c>
      <c r="E47" s="1" t="s">
        <v>52</v>
      </c>
      <c r="F47" s="2">
        <v>46167</v>
      </c>
      <c r="G47" s="2">
        <v>46167</v>
      </c>
      <c r="H47" s="4">
        <v>1</v>
      </c>
      <c r="I47" s="2">
        <v>46167</v>
      </c>
      <c r="J47" s="1" t="s">
        <v>53</v>
      </c>
      <c r="K47" s="1">
        <v>128</v>
      </c>
      <c r="L47" s="1" t="s">
        <v>260</v>
      </c>
      <c r="M47" s="1" t="s">
        <v>172</v>
      </c>
      <c r="N47" s="3">
        <v>46175</v>
      </c>
      <c r="P47" s="1" t="s">
        <v>119</v>
      </c>
      <c r="Q47" s="1" t="s">
        <v>55</v>
      </c>
      <c r="R47" s="1" t="s">
        <v>158</v>
      </c>
      <c r="S47" s="3">
        <v>46162</v>
      </c>
      <c r="T47" s="3">
        <v>46162</v>
      </c>
      <c r="AB47" s="1">
        <v>1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hidden="1" x14ac:dyDescent="0.25">
      <c r="A48" s="1">
        <v>130</v>
      </c>
      <c r="B48" s="1" t="s">
        <v>261</v>
      </c>
      <c r="C48" s="1" t="s">
        <v>256</v>
      </c>
      <c r="D48" s="1" t="s">
        <v>109</v>
      </c>
      <c r="E48" s="1" t="s">
        <v>116</v>
      </c>
      <c r="F48" s="2">
        <v>46168</v>
      </c>
      <c r="G48" s="2">
        <v>46169</v>
      </c>
      <c r="H48" s="4">
        <v>1</v>
      </c>
      <c r="I48" s="2">
        <v>46169</v>
      </c>
      <c r="J48" s="1" t="s">
        <v>53</v>
      </c>
      <c r="K48" s="1">
        <v>129</v>
      </c>
      <c r="L48" s="1" t="s">
        <v>262</v>
      </c>
      <c r="M48" s="1" t="s">
        <v>220</v>
      </c>
      <c r="N48" s="3">
        <v>46177</v>
      </c>
      <c r="P48" s="1" t="s">
        <v>119</v>
      </c>
      <c r="Q48" s="1" t="s">
        <v>55</v>
      </c>
      <c r="R48" s="1" t="s">
        <v>158</v>
      </c>
      <c r="S48" s="3">
        <v>46163</v>
      </c>
      <c r="T48" s="3">
        <v>46164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131</v>
      </c>
      <c r="B49" s="1" t="s">
        <v>263</v>
      </c>
      <c r="C49" s="1" t="s">
        <v>256</v>
      </c>
      <c r="D49" s="1" t="s">
        <v>115</v>
      </c>
      <c r="E49" s="1" t="s">
        <v>52</v>
      </c>
      <c r="F49" s="2">
        <v>46170</v>
      </c>
      <c r="G49" s="2">
        <v>46170</v>
      </c>
      <c r="H49" s="4">
        <v>1</v>
      </c>
      <c r="I49" s="2">
        <v>46170</v>
      </c>
      <c r="J49" s="1" t="s">
        <v>53</v>
      </c>
      <c r="K49" s="1">
        <v>130</v>
      </c>
      <c r="M49" s="1" t="s">
        <v>66</v>
      </c>
      <c r="N49" s="3">
        <v>46178</v>
      </c>
      <c r="P49" s="1" t="s">
        <v>76</v>
      </c>
      <c r="Q49" s="1" t="s">
        <v>55</v>
      </c>
      <c r="R49" s="1" t="s">
        <v>158</v>
      </c>
      <c r="S49" s="3">
        <v>46167</v>
      </c>
      <c r="T49" s="3">
        <v>46167</v>
      </c>
      <c r="AB49" s="1">
        <v>1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</row>
    <row r="50" spans="1:39" x14ac:dyDescent="0.25">
      <c r="A50" s="1">
        <v>133</v>
      </c>
      <c r="B50" s="1" t="s">
        <v>266</v>
      </c>
      <c r="C50" s="1" t="s">
        <v>267</v>
      </c>
      <c r="D50" s="1" t="s">
        <v>101</v>
      </c>
      <c r="E50" s="1" t="s">
        <v>102</v>
      </c>
      <c r="F50" s="2">
        <v>46190</v>
      </c>
      <c r="G50" s="2">
        <v>46192</v>
      </c>
      <c r="H50" s="4">
        <v>1</v>
      </c>
      <c r="I50" s="2">
        <v>46192</v>
      </c>
      <c r="J50" s="1" t="s">
        <v>53</v>
      </c>
      <c r="K50" s="1" t="s">
        <v>268</v>
      </c>
      <c r="L50" s="1">
        <v>134</v>
      </c>
      <c r="M50" s="1" t="s">
        <v>183</v>
      </c>
      <c r="N50" s="3">
        <v>46185</v>
      </c>
      <c r="P50" s="1" t="s">
        <v>73</v>
      </c>
      <c r="Q50" s="1" t="s">
        <v>55</v>
      </c>
      <c r="R50" s="1" t="s">
        <v>158</v>
      </c>
      <c r="S50" s="3">
        <v>46170</v>
      </c>
      <c r="T50" s="3">
        <v>46174</v>
      </c>
      <c r="AB50" s="1">
        <v>1</v>
      </c>
      <c r="AC50" s="1">
        <v>1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</row>
    <row r="51" spans="1:39" x14ac:dyDescent="0.25">
      <c r="A51" s="1">
        <v>138</v>
      </c>
      <c r="B51" s="1" t="s">
        <v>274</v>
      </c>
      <c r="C51" s="1" t="s">
        <v>275</v>
      </c>
      <c r="D51" s="1" t="s">
        <v>101</v>
      </c>
      <c r="E51" s="1" t="s">
        <v>102</v>
      </c>
      <c r="F51" s="2">
        <v>46190</v>
      </c>
      <c r="G51" s="2">
        <v>46192</v>
      </c>
      <c r="H51" s="4">
        <v>1</v>
      </c>
      <c r="I51" s="2">
        <v>46192</v>
      </c>
      <c r="J51" s="1" t="s">
        <v>53</v>
      </c>
      <c r="K51" s="1" t="s">
        <v>268</v>
      </c>
      <c r="L51" s="1">
        <v>139</v>
      </c>
      <c r="M51" s="1" t="s">
        <v>183</v>
      </c>
      <c r="N51" s="3">
        <v>46185</v>
      </c>
      <c r="P51" s="1" t="s">
        <v>73</v>
      </c>
      <c r="Q51" s="1" t="s">
        <v>55</v>
      </c>
      <c r="R51" s="1" t="s">
        <v>158</v>
      </c>
      <c r="S51" s="3">
        <v>46170</v>
      </c>
      <c r="T51" s="3">
        <v>46174</v>
      </c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x14ac:dyDescent="0.25">
      <c r="A52" s="1">
        <v>143</v>
      </c>
      <c r="B52" s="1" t="s">
        <v>281</v>
      </c>
      <c r="C52" s="1" t="s">
        <v>282</v>
      </c>
      <c r="D52" s="1" t="s">
        <v>101</v>
      </c>
      <c r="E52" s="1" t="s">
        <v>102</v>
      </c>
      <c r="F52" s="2">
        <v>46190</v>
      </c>
      <c r="G52" s="2">
        <v>46192</v>
      </c>
      <c r="H52" s="4">
        <v>1</v>
      </c>
      <c r="I52" s="2">
        <v>46192</v>
      </c>
      <c r="J52" s="1" t="s">
        <v>53</v>
      </c>
      <c r="K52" s="1" t="s">
        <v>268</v>
      </c>
      <c r="L52" s="1">
        <v>144</v>
      </c>
      <c r="M52" s="1" t="s">
        <v>248</v>
      </c>
      <c r="N52" s="3">
        <v>46192</v>
      </c>
      <c r="P52" s="1" t="s">
        <v>73</v>
      </c>
      <c r="Q52" s="1" t="s">
        <v>55</v>
      </c>
      <c r="R52" s="1" t="s">
        <v>158</v>
      </c>
      <c r="S52" s="3">
        <v>46190</v>
      </c>
      <c r="T52" s="3">
        <v>46192</v>
      </c>
      <c r="AB52" s="1">
        <v>1</v>
      </c>
      <c r="AC52" s="1">
        <v>1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</row>
    <row r="53" spans="1:39" x14ac:dyDescent="0.25">
      <c r="A53" s="1">
        <v>159</v>
      </c>
      <c r="B53" s="1" t="s">
        <v>295</v>
      </c>
      <c r="C53" s="1" t="s">
        <v>296</v>
      </c>
      <c r="D53" s="1" t="s">
        <v>101</v>
      </c>
      <c r="E53" s="1" t="s">
        <v>297</v>
      </c>
      <c r="F53" s="2">
        <v>46188</v>
      </c>
      <c r="G53" s="2">
        <v>46196</v>
      </c>
      <c r="H53" s="4">
        <v>1</v>
      </c>
      <c r="I53" s="2">
        <v>46196</v>
      </c>
      <c r="J53" s="1" t="s">
        <v>53</v>
      </c>
      <c r="L53" s="1">
        <v>160</v>
      </c>
      <c r="M53" s="1" t="s">
        <v>172</v>
      </c>
      <c r="N53" s="3">
        <v>46177</v>
      </c>
      <c r="P53" s="1" t="s">
        <v>73</v>
      </c>
      <c r="Q53" s="1" t="s">
        <v>55</v>
      </c>
      <c r="R53" s="1" t="s">
        <v>290</v>
      </c>
      <c r="S53" s="3">
        <v>46162</v>
      </c>
      <c r="T53" s="3">
        <v>46164</v>
      </c>
      <c r="AB53" s="1">
        <v>1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</row>
    <row r="54" spans="1:39" x14ac:dyDescent="0.25">
      <c r="A54" s="1">
        <v>179</v>
      </c>
      <c r="B54" s="1" t="s">
        <v>305</v>
      </c>
      <c r="C54" s="1" t="s">
        <v>306</v>
      </c>
      <c r="D54" s="1" t="s">
        <v>101</v>
      </c>
      <c r="E54" s="1" t="s">
        <v>116</v>
      </c>
      <c r="F54" s="2">
        <v>46195</v>
      </c>
      <c r="G54" s="2">
        <v>46198</v>
      </c>
      <c r="H54" s="4">
        <v>1</v>
      </c>
      <c r="I54" s="2">
        <v>46198</v>
      </c>
      <c r="J54" s="1" t="s">
        <v>53</v>
      </c>
      <c r="K54" s="1">
        <v>185</v>
      </c>
      <c r="L54" s="1">
        <v>180</v>
      </c>
      <c r="M54" s="1" t="s">
        <v>304</v>
      </c>
      <c r="N54" s="3">
        <v>46196</v>
      </c>
      <c r="P54" s="1" t="s">
        <v>180</v>
      </c>
      <c r="Q54" s="1" t="s">
        <v>55</v>
      </c>
      <c r="R54" s="1" t="s">
        <v>290</v>
      </c>
      <c r="S54" s="3">
        <v>46181</v>
      </c>
      <c r="T54" s="3">
        <v>46183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184</v>
      </c>
      <c r="B55" s="1" t="s">
        <v>315</v>
      </c>
      <c r="C55" s="1" t="s">
        <v>316</v>
      </c>
      <c r="D55" s="1" t="s">
        <v>101</v>
      </c>
      <c r="E55" s="1" t="s">
        <v>102</v>
      </c>
      <c r="F55" s="2">
        <v>46202</v>
      </c>
      <c r="G55" s="2">
        <v>46204</v>
      </c>
      <c r="H55" s="4">
        <v>1</v>
      </c>
      <c r="I55" s="2">
        <v>46204</v>
      </c>
      <c r="J55" s="1" t="s">
        <v>53</v>
      </c>
      <c r="K55" s="1" t="s">
        <v>317</v>
      </c>
      <c r="L55" s="1" t="s">
        <v>318</v>
      </c>
      <c r="M55" s="1" t="s">
        <v>172</v>
      </c>
      <c r="N55" s="3">
        <v>46177</v>
      </c>
      <c r="P55" s="1" t="s">
        <v>314</v>
      </c>
      <c r="Q55" s="1" t="s">
        <v>55</v>
      </c>
      <c r="R55" s="1" t="s">
        <v>290</v>
      </c>
      <c r="S55" s="3">
        <v>46162</v>
      </c>
      <c r="T55" s="3">
        <v>46164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 x14ac:dyDescent="0.25">
      <c r="A56" s="1">
        <v>189</v>
      </c>
      <c r="B56" s="1" t="s">
        <v>325</v>
      </c>
      <c r="C56" s="1" t="s">
        <v>326</v>
      </c>
      <c r="D56" s="1" t="s">
        <v>101</v>
      </c>
      <c r="E56" s="1" t="s">
        <v>102</v>
      </c>
      <c r="F56" s="2">
        <v>46181</v>
      </c>
      <c r="G56" s="2">
        <v>46185</v>
      </c>
      <c r="H56" s="4">
        <v>1</v>
      </c>
      <c r="I56" s="2">
        <v>46185</v>
      </c>
      <c r="J56" s="1" t="s">
        <v>53</v>
      </c>
      <c r="K56" s="1" t="s">
        <v>327</v>
      </c>
      <c r="L56" s="1">
        <v>190</v>
      </c>
      <c r="M56" s="1" t="s">
        <v>149</v>
      </c>
      <c r="N56" s="3">
        <v>46192</v>
      </c>
      <c r="P56" s="1" t="s">
        <v>76</v>
      </c>
      <c r="Q56" s="1" t="s">
        <v>55</v>
      </c>
      <c r="R56" s="1" t="s">
        <v>290</v>
      </c>
      <c r="S56" s="3">
        <v>46157</v>
      </c>
      <c r="T56" s="3">
        <v>46170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 x14ac:dyDescent="0.25">
      <c r="A57" s="1">
        <v>199</v>
      </c>
      <c r="B57" s="1" t="s">
        <v>335</v>
      </c>
      <c r="C57" s="1" t="s">
        <v>336</v>
      </c>
      <c r="D57" s="1" t="s">
        <v>101</v>
      </c>
      <c r="E57" s="1" t="s">
        <v>168</v>
      </c>
      <c r="F57" s="2">
        <v>46196</v>
      </c>
      <c r="G57" s="2">
        <v>46199</v>
      </c>
      <c r="H57" s="4">
        <v>1</v>
      </c>
      <c r="I57" s="2">
        <v>46199</v>
      </c>
      <c r="J57" s="1" t="s">
        <v>53</v>
      </c>
      <c r="K57" s="1">
        <v>160</v>
      </c>
      <c r="L57" s="1">
        <v>200</v>
      </c>
      <c r="M57" s="1" t="s">
        <v>66</v>
      </c>
      <c r="N57" s="3">
        <v>46182</v>
      </c>
      <c r="P57" s="1" t="s">
        <v>180</v>
      </c>
      <c r="Q57" s="1" t="s">
        <v>55</v>
      </c>
      <c r="R57" s="1" t="s">
        <v>290</v>
      </c>
      <c r="S57" s="3">
        <v>46167</v>
      </c>
      <c r="T57" s="3">
        <v>46169</v>
      </c>
      <c r="AB57" s="1">
        <v>1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</row>
    <row r="58" spans="1:39" x14ac:dyDescent="0.25">
      <c r="A58" s="1">
        <v>204</v>
      </c>
      <c r="B58" s="1" t="s">
        <v>342</v>
      </c>
      <c r="C58" s="1" t="s">
        <v>343</v>
      </c>
      <c r="D58" s="1" t="s">
        <v>101</v>
      </c>
      <c r="E58" s="1" t="s">
        <v>168</v>
      </c>
      <c r="F58" s="2">
        <v>46196</v>
      </c>
      <c r="G58" s="2">
        <v>46199</v>
      </c>
      <c r="H58" s="4">
        <v>1</v>
      </c>
      <c r="I58" s="2">
        <v>46199</v>
      </c>
      <c r="J58" s="1" t="s">
        <v>53</v>
      </c>
      <c r="K58" s="1">
        <v>160</v>
      </c>
      <c r="L58" s="1">
        <v>205</v>
      </c>
      <c r="M58" s="1" t="s">
        <v>66</v>
      </c>
      <c r="N58" s="3">
        <v>46182</v>
      </c>
      <c r="P58" s="1" t="s">
        <v>180</v>
      </c>
      <c r="Q58" s="1" t="s">
        <v>55</v>
      </c>
      <c r="R58" s="1" t="s">
        <v>290</v>
      </c>
      <c r="S58" s="3">
        <v>46167</v>
      </c>
      <c r="T58" s="3">
        <v>46169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229</v>
      </c>
      <c r="B59" s="1" t="s">
        <v>356</v>
      </c>
      <c r="C59" s="1" t="s">
        <v>357</v>
      </c>
      <c r="D59" s="1" t="s">
        <v>101</v>
      </c>
      <c r="E59" s="1" t="s">
        <v>102</v>
      </c>
      <c r="F59" s="2">
        <v>46202</v>
      </c>
      <c r="G59" s="2">
        <v>46204</v>
      </c>
      <c r="H59" s="4">
        <v>1</v>
      </c>
      <c r="I59" s="2">
        <v>46204</v>
      </c>
      <c r="J59" s="1" t="s">
        <v>53</v>
      </c>
      <c r="K59" s="1" t="s">
        <v>358</v>
      </c>
      <c r="L59" s="1">
        <v>230</v>
      </c>
      <c r="M59" s="1" t="s">
        <v>66</v>
      </c>
      <c r="N59" s="3">
        <v>46182</v>
      </c>
      <c r="P59" s="1" t="s">
        <v>180</v>
      </c>
      <c r="Q59" s="1" t="s">
        <v>55</v>
      </c>
      <c r="R59" s="1" t="s">
        <v>290</v>
      </c>
      <c r="S59" s="3">
        <v>46167</v>
      </c>
      <c r="T59" s="3">
        <v>46169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250</v>
      </c>
      <c r="B60" s="1" t="s">
        <v>380</v>
      </c>
      <c r="C60" s="1" t="s">
        <v>381</v>
      </c>
      <c r="D60" s="1" t="s">
        <v>101</v>
      </c>
      <c r="E60" s="1" t="s">
        <v>102</v>
      </c>
      <c r="F60" s="2">
        <v>46209</v>
      </c>
      <c r="G60" s="2">
        <v>46211</v>
      </c>
      <c r="H60" s="4">
        <v>1</v>
      </c>
      <c r="I60" s="2">
        <v>46211</v>
      </c>
      <c r="J60" s="1" t="s">
        <v>53</v>
      </c>
      <c r="K60" s="1">
        <v>255</v>
      </c>
      <c r="L60" s="1">
        <v>251</v>
      </c>
      <c r="M60" s="1" t="s">
        <v>311</v>
      </c>
      <c r="N60" s="3">
        <v>46204</v>
      </c>
      <c r="P60" s="1" t="s">
        <v>67</v>
      </c>
      <c r="Q60" s="1" t="s">
        <v>55</v>
      </c>
      <c r="R60" s="1" t="s">
        <v>365</v>
      </c>
      <c r="S60" s="3">
        <v>46192</v>
      </c>
      <c r="T60" s="3">
        <v>46196</v>
      </c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 x14ac:dyDescent="0.25">
      <c r="A61" s="1">
        <v>260</v>
      </c>
      <c r="B61" s="1" t="s">
        <v>391</v>
      </c>
      <c r="C61" s="1" t="s">
        <v>392</v>
      </c>
      <c r="D61" s="1" t="s">
        <v>101</v>
      </c>
      <c r="E61" s="1" t="s">
        <v>116</v>
      </c>
      <c r="F61" s="2">
        <v>46191</v>
      </c>
      <c r="G61" s="2">
        <v>46192</v>
      </c>
      <c r="H61" s="4">
        <v>1</v>
      </c>
      <c r="I61" s="2">
        <v>46192</v>
      </c>
      <c r="J61" s="1" t="s">
        <v>53</v>
      </c>
      <c r="K61" s="1" t="s">
        <v>393</v>
      </c>
      <c r="L61" s="1" t="s">
        <v>394</v>
      </c>
      <c r="M61" s="1" t="s">
        <v>153</v>
      </c>
      <c r="N61" s="3">
        <v>46188</v>
      </c>
      <c r="P61" s="1" t="s">
        <v>73</v>
      </c>
      <c r="Q61" s="1" t="s">
        <v>55</v>
      </c>
      <c r="R61" s="1" t="s">
        <v>365</v>
      </c>
      <c r="S61" s="3">
        <v>46171</v>
      </c>
      <c r="T61" s="3">
        <v>46175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x14ac:dyDescent="0.25">
      <c r="A62" s="1">
        <v>265</v>
      </c>
      <c r="B62" s="1" t="s">
        <v>400</v>
      </c>
      <c r="C62" s="1" t="s">
        <v>401</v>
      </c>
      <c r="D62" s="1" t="s">
        <v>101</v>
      </c>
      <c r="E62" s="1" t="s">
        <v>102</v>
      </c>
      <c r="F62" s="2">
        <v>46203</v>
      </c>
      <c r="G62" s="2">
        <v>46205</v>
      </c>
      <c r="H62" s="4">
        <v>1</v>
      </c>
      <c r="I62" s="2">
        <v>46205</v>
      </c>
      <c r="J62" s="1" t="s">
        <v>53</v>
      </c>
      <c r="K62" s="1">
        <v>245</v>
      </c>
      <c r="L62" s="1">
        <v>266</v>
      </c>
      <c r="M62" s="1" t="s">
        <v>251</v>
      </c>
      <c r="N62" s="3">
        <v>46202</v>
      </c>
      <c r="P62" s="1" t="s">
        <v>67</v>
      </c>
      <c r="Q62" s="1" t="s">
        <v>55</v>
      </c>
      <c r="R62" s="1" t="s">
        <v>365</v>
      </c>
      <c r="S62" s="3">
        <v>46188</v>
      </c>
      <c r="T62" s="3">
        <v>46192</v>
      </c>
      <c r="AB62" s="1">
        <v>1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</row>
    <row r="63" spans="1:39" x14ac:dyDescent="0.25">
      <c r="A63" s="1">
        <v>270</v>
      </c>
      <c r="B63" s="1" t="s">
        <v>408</v>
      </c>
      <c r="C63" s="1" t="s">
        <v>409</v>
      </c>
      <c r="D63" s="1" t="s">
        <v>101</v>
      </c>
      <c r="E63" s="1" t="s">
        <v>102</v>
      </c>
      <c r="F63" s="2">
        <v>46209</v>
      </c>
      <c r="G63" s="2">
        <v>46211</v>
      </c>
      <c r="H63" s="4">
        <v>1</v>
      </c>
      <c r="I63" s="2">
        <v>46211</v>
      </c>
      <c r="J63" s="1" t="s">
        <v>53</v>
      </c>
      <c r="K63" s="1">
        <v>245</v>
      </c>
      <c r="L63" s="1">
        <v>271</v>
      </c>
      <c r="M63" s="1" t="s">
        <v>251</v>
      </c>
      <c r="N63" s="3">
        <v>46202</v>
      </c>
      <c r="P63" s="1" t="s">
        <v>67</v>
      </c>
      <c r="Q63" s="1" t="s">
        <v>55</v>
      </c>
      <c r="R63" s="1" t="s">
        <v>365</v>
      </c>
      <c r="S63" s="3">
        <v>46188</v>
      </c>
      <c r="T63" s="3">
        <v>46192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x14ac:dyDescent="0.25">
      <c r="A64" s="1">
        <v>275</v>
      </c>
      <c r="B64" s="1" t="s">
        <v>415</v>
      </c>
      <c r="C64" s="1" t="s">
        <v>416</v>
      </c>
      <c r="D64" s="1" t="s">
        <v>101</v>
      </c>
      <c r="E64" s="1" t="s">
        <v>102</v>
      </c>
      <c r="F64" s="2">
        <v>46209</v>
      </c>
      <c r="G64" s="2">
        <v>46211</v>
      </c>
      <c r="H64" s="4">
        <v>1</v>
      </c>
      <c r="I64" s="2">
        <v>46211</v>
      </c>
      <c r="J64" s="1" t="s">
        <v>53</v>
      </c>
      <c r="K64" s="1">
        <v>245</v>
      </c>
      <c r="L64" s="1">
        <v>276</v>
      </c>
      <c r="M64" s="1" t="s">
        <v>251</v>
      </c>
      <c r="N64" s="3">
        <v>46202</v>
      </c>
      <c r="P64" s="1" t="s">
        <v>67</v>
      </c>
      <c r="Q64" s="1" t="s">
        <v>55</v>
      </c>
      <c r="R64" s="1" t="s">
        <v>365</v>
      </c>
      <c r="S64" s="3">
        <v>46188</v>
      </c>
      <c r="T64" s="3">
        <v>46192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 x14ac:dyDescent="0.25">
      <c r="A65" s="1">
        <v>280</v>
      </c>
      <c r="B65" s="1" t="s">
        <v>422</v>
      </c>
      <c r="C65" s="1" t="s">
        <v>423</v>
      </c>
      <c r="D65" s="1" t="s">
        <v>101</v>
      </c>
      <c r="E65" s="1" t="s">
        <v>102</v>
      </c>
      <c r="F65" s="2">
        <v>46209</v>
      </c>
      <c r="G65" s="2">
        <v>46211</v>
      </c>
      <c r="H65" s="4">
        <v>1</v>
      </c>
      <c r="I65" s="2">
        <v>46211</v>
      </c>
      <c r="J65" s="1" t="s">
        <v>53</v>
      </c>
      <c r="K65" s="1">
        <v>245</v>
      </c>
      <c r="L65" s="1">
        <v>281</v>
      </c>
      <c r="M65" s="1" t="s">
        <v>251</v>
      </c>
      <c r="N65" s="3">
        <v>46202</v>
      </c>
      <c r="P65" s="1" t="s">
        <v>67</v>
      </c>
      <c r="Q65" s="1" t="s">
        <v>55</v>
      </c>
      <c r="R65" s="1" t="s">
        <v>365</v>
      </c>
      <c r="S65" s="3">
        <v>46188</v>
      </c>
      <c r="T65" s="3">
        <v>46192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</row>
    <row r="66" spans="1:39" x14ac:dyDescent="0.25">
      <c r="A66" s="1">
        <v>290</v>
      </c>
      <c r="B66" s="1" t="s">
        <v>429</v>
      </c>
      <c r="C66" s="1" t="s">
        <v>430</v>
      </c>
      <c r="D66" s="1" t="s">
        <v>101</v>
      </c>
      <c r="E66" s="1" t="s">
        <v>168</v>
      </c>
      <c r="F66" s="2">
        <v>46206</v>
      </c>
      <c r="G66" s="2">
        <v>46211</v>
      </c>
      <c r="H66" s="4">
        <v>1</v>
      </c>
      <c r="I66" s="2">
        <v>46211</v>
      </c>
      <c r="J66" s="1" t="s">
        <v>53</v>
      </c>
      <c r="K66" s="1" t="s">
        <v>431</v>
      </c>
      <c r="L66" s="1">
        <v>291</v>
      </c>
      <c r="M66" s="1" t="s">
        <v>251</v>
      </c>
      <c r="N66" s="3">
        <v>46202</v>
      </c>
      <c r="P66" s="1" t="s">
        <v>67</v>
      </c>
      <c r="Q66" s="1" t="s">
        <v>55</v>
      </c>
      <c r="R66" s="1" t="s">
        <v>365</v>
      </c>
      <c r="S66" s="3">
        <v>46188</v>
      </c>
      <c r="T66" s="3">
        <v>46192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 x14ac:dyDescent="0.25">
      <c r="A67" s="1">
        <v>306</v>
      </c>
      <c r="B67" s="1" t="s">
        <v>451</v>
      </c>
      <c r="C67" s="1" t="s">
        <v>452</v>
      </c>
      <c r="D67" s="1" t="s">
        <v>101</v>
      </c>
      <c r="E67" s="1" t="s">
        <v>102</v>
      </c>
      <c r="F67" s="2">
        <v>46175</v>
      </c>
      <c r="G67" s="2">
        <v>46181</v>
      </c>
      <c r="H67" s="4">
        <v>1</v>
      </c>
      <c r="I67" s="2">
        <v>46181</v>
      </c>
      <c r="J67" s="1" t="s">
        <v>53</v>
      </c>
      <c r="K67" s="1" t="s">
        <v>453</v>
      </c>
      <c r="L67" s="1" t="s">
        <v>454</v>
      </c>
      <c r="M67" s="1" t="s">
        <v>172</v>
      </c>
      <c r="N67" s="3">
        <v>46177</v>
      </c>
      <c r="P67" s="1" t="s">
        <v>119</v>
      </c>
      <c r="Q67" s="1" t="s">
        <v>55</v>
      </c>
      <c r="R67" s="1" t="s">
        <v>438</v>
      </c>
      <c r="S67" s="3">
        <v>46163</v>
      </c>
      <c r="T67" s="3">
        <v>46167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</row>
    <row r="68" spans="1:39" hidden="1" x14ac:dyDescent="0.25">
      <c r="A68" s="1">
        <v>307</v>
      </c>
      <c r="B68" s="1" t="s">
        <v>455</v>
      </c>
      <c r="C68" s="1" t="s">
        <v>452</v>
      </c>
      <c r="D68" s="1" t="s">
        <v>105</v>
      </c>
      <c r="E68" s="1" t="s">
        <v>116</v>
      </c>
      <c r="F68" s="2">
        <v>46182</v>
      </c>
      <c r="G68" s="2">
        <v>46183</v>
      </c>
      <c r="H68" s="4">
        <v>1</v>
      </c>
      <c r="I68" s="2">
        <v>46183</v>
      </c>
      <c r="J68" s="1" t="s">
        <v>53</v>
      </c>
      <c r="K68" s="1">
        <v>306</v>
      </c>
      <c r="L68" s="1">
        <v>308</v>
      </c>
      <c r="M68" s="1" t="s">
        <v>66</v>
      </c>
      <c r="N68" s="3">
        <v>46178</v>
      </c>
      <c r="P68" s="1" t="s">
        <v>76</v>
      </c>
      <c r="Q68" s="1" t="s">
        <v>55</v>
      </c>
      <c r="R68" s="1" t="s">
        <v>438</v>
      </c>
      <c r="S68" s="3">
        <v>46168</v>
      </c>
      <c r="T68" s="3">
        <v>46168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316</v>
      </c>
      <c r="B69" s="1" t="s">
        <v>462</v>
      </c>
      <c r="C69" s="1" t="s">
        <v>463</v>
      </c>
      <c r="D69" s="1" t="s">
        <v>101</v>
      </c>
      <c r="E69" s="1" t="s">
        <v>102</v>
      </c>
      <c r="F69" s="2">
        <v>46170</v>
      </c>
      <c r="G69" s="2">
        <v>46174</v>
      </c>
      <c r="H69" s="4">
        <v>1</v>
      </c>
      <c r="I69" s="2">
        <v>46174</v>
      </c>
      <c r="J69" s="1" t="s">
        <v>53</v>
      </c>
      <c r="K69" s="1">
        <v>78</v>
      </c>
      <c r="L69" s="1" t="s">
        <v>464</v>
      </c>
      <c r="M69" s="1" t="s">
        <v>135</v>
      </c>
      <c r="N69" s="3">
        <v>46174</v>
      </c>
      <c r="P69" s="1" t="s">
        <v>136</v>
      </c>
      <c r="Q69" s="1" t="s">
        <v>55</v>
      </c>
      <c r="R69" s="1" t="s">
        <v>438</v>
      </c>
      <c r="S69" s="3">
        <v>46160</v>
      </c>
      <c r="T69" s="3">
        <v>46162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hidden="1" x14ac:dyDescent="0.25">
      <c r="A70" s="1">
        <v>317</v>
      </c>
      <c r="B70" s="1" t="s">
        <v>465</v>
      </c>
      <c r="C70" s="1" t="s">
        <v>463</v>
      </c>
      <c r="D70" s="1" t="s">
        <v>105</v>
      </c>
      <c r="E70" s="1" t="s">
        <v>52</v>
      </c>
      <c r="F70" s="2">
        <v>46175</v>
      </c>
      <c r="G70" s="2">
        <v>46175</v>
      </c>
      <c r="H70" s="4">
        <v>1</v>
      </c>
      <c r="I70" s="2">
        <v>46175</v>
      </c>
      <c r="J70" s="1" t="s">
        <v>53</v>
      </c>
      <c r="K70" s="1">
        <v>316</v>
      </c>
      <c r="L70" s="1">
        <v>318</v>
      </c>
      <c r="M70" s="1" t="s">
        <v>172</v>
      </c>
      <c r="N70" s="3">
        <v>46175</v>
      </c>
      <c r="P70" s="1" t="s">
        <v>119</v>
      </c>
      <c r="Q70" s="1" t="s">
        <v>55</v>
      </c>
      <c r="R70" s="1" t="s">
        <v>438</v>
      </c>
      <c r="S70" s="3">
        <v>46163</v>
      </c>
      <c r="T70" s="3">
        <v>46163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321</v>
      </c>
      <c r="B71" s="1" t="s">
        <v>472</v>
      </c>
      <c r="C71" s="1" t="s">
        <v>473</v>
      </c>
      <c r="D71" s="1" t="s">
        <v>101</v>
      </c>
      <c r="E71" s="1" t="s">
        <v>116</v>
      </c>
      <c r="F71" s="2">
        <v>46210</v>
      </c>
      <c r="G71" s="2">
        <v>46211</v>
      </c>
      <c r="H71" s="4">
        <v>1</v>
      </c>
      <c r="I71" s="2">
        <v>46211</v>
      </c>
      <c r="J71" s="1" t="s">
        <v>53</v>
      </c>
      <c r="K71" s="1">
        <v>347</v>
      </c>
      <c r="L71" s="1" t="s">
        <v>474</v>
      </c>
      <c r="M71" s="1" t="s">
        <v>193</v>
      </c>
      <c r="N71" s="3">
        <v>46199</v>
      </c>
      <c r="P71" s="1" t="s">
        <v>194</v>
      </c>
      <c r="Q71" s="1" t="s">
        <v>55</v>
      </c>
      <c r="R71" s="1" t="s">
        <v>438</v>
      </c>
      <c r="S71" s="3">
        <v>46199</v>
      </c>
      <c r="T71" s="3">
        <v>46199</v>
      </c>
      <c r="AB71" s="1">
        <v>1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</row>
    <row r="72" spans="1:39" x14ac:dyDescent="0.25">
      <c r="A72" s="1">
        <v>326</v>
      </c>
      <c r="B72" s="1" t="s">
        <v>483</v>
      </c>
      <c r="C72" s="1" t="s">
        <v>484</v>
      </c>
      <c r="D72" s="1" t="s">
        <v>101</v>
      </c>
      <c r="E72" s="1" t="s">
        <v>102</v>
      </c>
      <c r="F72" s="2">
        <v>46209</v>
      </c>
      <c r="G72" s="2">
        <v>46211</v>
      </c>
      <c r="H72" s="4">
        <v>1</v>
      </c>
      <c r="I72" s="2">
        <v>46211</v>
      </c>
      <c r="J72" s="1" t="s">
        <v>53</v>
      </c>
      <c r="K72" s="1" t="s">
        <v>485</v>
      </c>
      <c r="L72" s="1">
        <v>327</v>
      </c>
      <c r="M72" s="1" t="s">
        <v>311</v>
      </c>
      <c r="N72" s="3">
        <v>46204</v>
      </c>
      <c r="P72" s="1" t="s">
        <v>194</v>
      </c>
      <c r="Q72" s="1" t="s">
        <v>55</v>
      </c>
      <c r="R72" s="1" t="s">
        <v>438</v>
      </c>
      <c r="S72" s="3">
        <v>46202</v>
      </c>
      <c r="T72" s="3">
        <v>46204</v>
      </c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</row>
    <row r="73" spans="1:39" x14ac:dyDescent="0.25">
      <c r="A73" s="1">
        <v>336</v>
      </c>
      <c r="B73" s="1" t="s">
        <v>493</v>
      </c>
      <c r="C73" s="1" t="s">
        <v>494</v>
      </c>
      <c r="D73" s="1" t="s">
        <v>101</v>
      </c>
      <c r="E73" s="1" t="s">
        <v>102</v>
      </c>
      <c r="F73" s="2">
        <v>46204</v>
      </c>
      <c r="G73" s="2">
        <v>46206</v>
      </c>
      <c r="H73" s="4">
        <v>1</v>
      </c>
      <c r="I73" s="2">
        <v>46206</v>
      </c>
      <c r="J73" s="1" t="s">
        <v>53</v>
      </c>
      <c r="L73" s="1" t="s">
        <v>495</v>
      </c>
      <c r="M73" s="1" t="s">
        <v>248</v>
      </c>
      <c r="N73" s="3">
        <v>46195</v>
      </c>
      <c r="P73" s="1" t="s">
        <v>180</v>
      </c>
      <c r="Q73" s="1" t="s">
        <v>55</v>
      </c>
      <c r="R73" s="1" t="s">
        <v>438</v>
      </c>
      <c r="S73" s="3">
        <v>46178</v>
      </c>
      <c r="T73" s="3">
        <v>46184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 x14ac:dyDescent="0.25">
      <c r="A74" s="1">
        <v>341</v>
      </c>
      <c r="B74" s="1" t="s">
        <v>503</v>
      </c>
      <c r="C74" s="1" t="s">
        <v>504</v>
      </c>
      <c r="D74" s="1" t="s">
        <v>101</v>
      </c>
      <c r="E74" s="1" t="s">
        <v>102</v>
      </c>
      <c r="F74" s="2">
        <v>46204</v>
      </c>
      <c r="G74" s="2">
        <v>46206</v>
      </c>
      <c r="H74" s="4">
        <v>1</v>
      </c>
      <c r="I74" s="2">
        <v>46206</v>
      </c>
      <c r="J74" s="1" t="s">
        <v>53</v>
      </c>
      <c r="L74" s="1" t="s">
        <v>505</v>
      </c>
      <c r="M74" s="1" t="s">
        <v>248</v>
      </c>
      <c r="N74" s="3">
        <v>46196</v>
      </c>
      <c r="P74" s="1" t="s">
        <v>180</v>
      </c>
      <c r="Q74" s="1" t="s">
        <v>55</v>
      </c>
      <c r="R74" s="1" t="s">
        <v>438</v>
      </c>
      <c r="S74" s="3">
        <v>46178</v>
      </c>
      <c r="T74" s="3">
        <v>46184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x14ac:dyDescent="0.25">
      <c r="A75" s="1">
        <v>346</v>
      </c>
      <c r="B75" s="1" t="s">
        <v>513</v>
      </c>
      <c r="C75" s="1" t="s">
        <v>514</v>
      </c>
      <c r="D75" s="1" t="s">
        <v>101</v>
      </c>
      <c r="E75" s="1" t="s">
        <v>515</v>
      </c>
      <c r="F75" s="2">
        <v>46202</v>
      </c>
      <c r="G75" s="2">
        <v>46211</v>
      </c>
      <c r="H75" s="4">
        <v>1</v>
      </c>
      <c r="I75" s="2">
        <v>46211</v>
      </c>
      <c r="J75" s="1" t="s">
        <v>53</v>
      </c>
      <c r="L75" s="1">
        <v>347</v>
      </c>
      <c r="M75" s="1" t="s">
        <v>304</v>
      </c>
      <c r="N75" s="3">
        <v>46197</v>
      </c>
      <c r="P75" s="1" t="s">
        <v>67</v>
      </c>
      <c r="Q75" s="1" t="s">
        <v>55</v>
      </c>
      <c r="R75" s="1" t="s">
        <v>438</v>
      </c>
      <c r="S75" s="3">
        <v>46192</v>
      </c>
      <c r="T75" s="3">
        <v>46197</v>
      </c>
      <c r="AB75" s="1">
        <v>1</v>
      </c>
      <c r="AC75" s="1">
        <v>1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</row>
    <row r="76" spans="1:39" x14ac:dyDescent="0.25">
      <c r="A76" s="1">
        <v>351</v>
      </c>
      <c r="B76" s="1" t="s">
        <v>524</v>
      </c>
      <c r="C76" s="1" t="s">
        <v>525</v>
      </c>
      <c r="D76" s="1" t="s">
        <v>101</v>
      </c>
      <c r="E76" s="1" t="s">
        <v>515</v>
      </c>
      <c r="F76" s="2">
        <v>46202</v>
      </c>
      <c r="G76" s="2">
        <v>46211</v>
      </c>
      <c r="H76" s="4">
        <v>1</v>
      </c>
      <c r="I76" s="2">
        <v>46211</v>
      </c>
      <c r="J76" s="1" t="s">
        <v>53</v>
      </c>
      <c r="K76" s="1" t="s">
        <v>526</v>
      </c>
      <c r="L76" s="1">
        <v>352</v>
      </c>
      <c r="M76" s="1" t="s">
        <v>304</v>
      </c>
      <c r="N76" s="3">
        <v>46197</v>
      </c>
      <c r="P76" s="1" t="s">
        <v>73</v>
      </c>
      <c r="Q76" s="1" t="s">
        <v>55</v>
      </c>
      <c r="R76" s="1" t="s">
        <v>438</v>
      </c>
      <c r="S76" s="3">
        <v>46192</v>
      </c>
      <c r="T76" s="3">
        <v>46197</v>
      </c>
      <c r="AB76" s="1">
        <v>1</v>
      </c>
      <c r="AC76" s="1">
        <v>1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</row>
    <row r="77" spans="1:39" x14ac:dyDescent="0.25">
      <c r="A77" s="1">
        <v>356</v>
      </c>
      <c r="B77" s="1" t="s">
        <v>534</v>
      </c>
      <c r="C77" s="1" t="s">
        <v>535</v>
      </c>
      <c r="D77" s="1" t="s">
        <v>101</v>
      </c>
      <c r="E77" s="1" t="s">
        <v>168</v>
      </c>
      <c r="F77" s="2">
        <v>46202</v>
      </c>
      <c r="G77" s="2">
        <v>46205</v>
      </c>
      <c r="H77" s="4">
        <v>1</v>
      </c>
      <c r="I77" s="2">
        <v>46205</v>
      </c>
      <c r="J77" s="1" t="s">
        <v>53</v>
      </c>
      <c r="K77" s="1" t="s">
        <v>526</v>
      </c>
      <c r="L77" s="1">
        <v>357</v>
      </c>
      <c r="M77" s="1" t="s">
        <v>304</v>
      </c>
      <c r="N77" s="3">
        <v>46197</v>
      </c>
      <c r="P77" s="1" t="s">
        <v>73</v>
      </c>
      <c r="Q77" s="1" t="s">
        <v>55</v>
      </c>
      <c r="R77" s="1" t="s">
        <v>438</v>
      </c>
      <c r="S77" s="3">
        <v>46192</v>
      </c>
      <c r="T77" s="3">
        <v>46197</v>
      </c>
      <c r="AB77" s="1">
        <v>1</v>
      </c>
      <c r="AC77" s="1">
        <v>1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</row>
    <row r="78" spans="1:39" x14ac:dyDescent="0.25">
      <c r="A78" s="1">
        <v>361</v>
      </c>
      <c r="B78" s="1" t="s">
        <v>543</v>
      </c>
      <c r="C78" s="1" t="s">
        <v>544</v>
      </c>
      <c r="D78" s="1" t="s">
        <v>101</v>
      </c>
      <c r="E78" s="1" t="s">
        <v>168</v>
      </c>
      <c r="F78" s="2">
        <v>46202</v>
      </c>
      <c r="G78" s="2">
        <v>46205</v>
      </c>
      <c r="H78" s="4">
        <v>1</v>
      </c>
      <c r="I78" s="2">
        <v>46205</v>
      </c>
      <c r="J78" s="1" t="s">
        <v>53</v>
      </c>
      <c r="K78" s="1" t="s">
        <v>526</v>
      </c>
      <c r="L78" s="1">
        <v>362</v>
      </c>
      <c r="M78" s="1" t="s">
        <v>304</v>
      </c>
      <c r="N78" s="3">
        <v>46197</v>
      </c>
      <c r="P78" s="1" t="s">
        <v>73</v>
      </c>
      <c r="Q78" s="1" t="s">
        <v>55</v>
      </c>
      <c r="R78" s="1" t="s">
        <v>438</v>
      </c>
      <c r="S78" s="3">
        <v>46192</v>
      </c>
      <c r="T78" s="3">
        <v>46197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x14ac:dyDescent="0.25">
      <c r="A79" s="1">
        <v>366</v>
      </c>
      <c r="B79" s="1" t="s">
        <v>552</v>
      </c>
      <c r="C79" s="1" t="s">
        <v>553</v>
      </c>
      <c r="D79" s="1" t="s">
        <v>101</v>
      </c>
      <c r="E79" s="1" t="s">
        <v>102</v>
      </c>
      <c r="F79" s="2">
        <v>46196</v>
      </c>
      <c r="G79" s="2">
        <v>46198</v>
      </c>
      <c r="H79" s="4">
        <v>1</v>
      </c>
      <c r="I79" s="2">
        <v>46198</v>
      </c>
      <c r="J79" s="1" t="s">
        <v>53</v>
      </c>
      <c r="K79" s="1">
        <v>306</v>
      </c>
      <c r="L79" s="1" t="s">
        <v>554</v>
      </c>
      <c r="M79" s="1" t="s">
        <v>66</v>
      </c>
      <c r="N79" s="3">
        <v>46182</v>
      </c>
      <c r="P79" s="1" t="s">
        <v>73</v>
      </c>
      <c r="Q79" s="1" t="s">
        <v>55</v>
      </c>
      <c r="R79" s="1" t="s">
        <v>438</v>
      </c>
      <c r="S79" s="3">
        <v>46168</v>
      </c>
      <c r="T79" s="3">
        <v>46170</v>
      </c>
      <c r="AB79" s="1">
        <v>1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</row>
    <row r="80" spans="1:39" x14ac:dyDescent="0.25">
      <c r="A80" s="1">
        <v>386</v>
      </c>
      <c r="B80" s="1" t="s">
        <v>560</v>
      </c>
      <c r="C80" s="1" t="s">
        <v>561</v>
      </c>
      <c r="D80" s="1" t="s">
        <v>101</v>
      </c>
      <c r="E80" s="1" t="s">
        <v>168</v>
      </c>
      <c r="F80" s="2">
        <v>46195</v>
      </c>
      <c r="G80" s="2">
        <v>46198</v>
      </c>
      <c r="H80" s="4">
        <v>1</v>
      </c>
      <c r="I80" s="2">
        <v>46198</v>
      </c>
      <c r="J80" s="1" t="s">
        <v>53</v>
      </c>
      <c r="K80" s="1" t="s">
        <v>526</v>
      </c>
      <c r="L80" s="1">
        <v>387</v>
      </c>
      <c r="M80" s="1" t="s">
        <v>183</v>
      </c>
      <c r="N80" s="3">
        <v>46189</v>
      </c>
      <c r="P80" s="1" t="s">
        <v>180</v>
      </c>
      <c r="Q80" s="1" t="s">
        <v>55</v>
      </c>
      <c r="R80" s="1" t="s">
        <v>438</v>
      </c>
      <c r="S80" s="3">
        <v>46171</v>
      </c>
      <c r="T80" s="3">
        <v>46177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 x14ac:dyDescent="0.25">
      <c r="A81" s="1">
        <v>417</v>
      </c>
      <c r="B81" s="1" t="s">
        <v>574</v>
      </c>
      <c r="C81" s="1" t="s">
        <v>575</v>
      </c>
      <c r="D81" s="1" t="s">
        <v>101</v>
      </c>
      <c r="E81" s="1" t="s">
        <v>168</v>
      </c>
      <c r="F81" s="2">
        <v>46189</v>
      </c>
      <c r="G81" s="2">
        <v>46192</v>
      </c>
      <c r="H81" s="4">
        <v>1</v>
      </c>
      <c r="I81" s="2">
        <v>46192</v>
      </c>
      <c r="J81" s="1" t="s">
        <v>53</v>
      </c>
      <c r="K81" s="1">
        <v>452</v>
      </c>
      <c r="L81" s="1" t="s">
        <v>576</v>
      </c>
      <c r="M81" s="1" t="s">
        <v>66</v>
      </c>
      <c r="N81" s="3">
        <v>46182</v>
      </c>
      <c r="P81" s="1" t="s">
        <v>73</v>
      </c>
      <c r="Q81" s="1" t="s">
        <v>55</v>
      </c>
      <c r="R81" s="1" t="s">
        <v>569</v>
      </c>
      <c r="S81" s="3">
        <v>46162</v>
      </c>
      <c r="T81" s="3">
        <v>46164</v>
      </c>
      <c r="AB81" s="1">
        <v>1</v>
      </c>
      <c r="AC81" s="1">
        <v>1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</row>
    <row r="82" spans="1:39" hidden="1" x14ac:dyDescent="0.25">
      <c r="A82" s="1">
        <v>418</v>
      </c>
      <c r="B82" s="1" t="s">
        <v>577</v>
      </c>
      <c r="C82" s="1" t="s">
        <v>575</v>
      </c>
      <c r="D82" s="1" t="s">
        <v>105</v>
      </c>
      <c r="E82" s="1" t="s">
        <v>223</v>
      </c>
      <c r="F82" s="2">
        <v>46197</v>
      </c>
      <c r="G82" s="2">
        <v>46204</v>
      </c>
      <c r="H82" s="4">
        <v>1</v>
      </c>
      <c r="I82" s="2">
        <v>46204</v>
      </c>
      <c r="J82" s="1" t="s">
        <v>53</v>
      </c>
      <c r="K82" s="1">
        <v>417</v>
      </c>
      <c r="L82" s="1" t="s">
        <v>578</v>
      </c>
      <c r="M82" s="1" t="s">
        <v>183</v>
      </c>
      <c r="N82" s="3">
        <v>46183</v>
      </c>
      <c r="P82" s="1" t="s">
        <v>180</v>
      </c>
      <c r="Q82" s="1" t="s">
        <v>55</v>
      </c>
      <c r="R82" s="1" t="s">
        <v>569</v>
      </c>
      <c r="S82" s="3">
        <v>46167</v>
      </c>
      <c r="T82" s="3">
        <v>46167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x14ac:dyDescent="0.25">
      <c r="A83" s="1">
        <v>422</v>
      </c>
      <c r="B83" s="1" t="s">
        <v>584</v>
      </c>
      <c r="C83" s="1" t="s">
        <v>585</v>
      </c>
      <c r="D83" s="1" t="s">
        <v>101</v>
      </c>
      <c r="E83" s="1" t="s">
        <v>168</v>
      </c>
      <c r="F83" s="2">
        <v>46188</v>
      </c>
      <c r="G83" s="2">
        <v>46191</v>
      </c>
      <c r="H83" s="4">
        <v>1</v>
      </c>
      <c r="I83" s="2">
        <v>46191</v>
      </c>
      <c r="J83" s="1" t="s">
        <v>53</v>
      </c>
      <c r="L83" s="1">
        <v>423</v>
      </c>
      <c r="M83" s="1" t="s">
        <v>193</v>
      </c>
      <c r="N83" s="3">
        <v>46202</v>
      </c>
      <c r="P83" s="1" t="s">
        <v>73</v>
      </c>
      <c r="Q83" s="1" t="s">
        <v>55</v>
      </c>
      <c r="R83" s="1" t="s">
        <v>569</v>
      </c>
      <c r="S83" s="3">
        <v>46192</v>
      </c>
      <c r="T83" s="3">
        <v>46196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 x14ac:dyDescent="0.25">
      <c r="A84" s="1">
        <v>427</v>
      </c>
      <c r="B84" s="1" t="s">
        <v>591</v>
      </c>
      <c r="C84" s="1" t="s">
        <v>592</v>
      </c>
      <c r="D84" s="1" t="s">
        <v>101</v>
      </c>
      <c r="E84" s="1" t="s">
        <v>168</v>
      </c>
      <c r="F84" s="2">
        <v>46199</v>
      </c>
      <c r="G84" s="2">
        <v>46204</v>
      </c>
      <c r="H84" s="4">
        <v>1</v>
      </c>
      <c r="I84" s="2">
        <v>46204</v>
      </c>
      <c r="J84" s="1" t="s">
        <v>53</v>
      </c>
      <c r="K84" s="1" t="s">
        <v>593</v>
      </c>
      <c r="L84" s="1" t="s">
        <v>594</v>
      </c>
      <c r="M84" s="1" t="s">
        <v>193</v>
      </c>
      <c r="N84" s="3">
        <v>46204</v>
      </c>
      <c r="P84" s="1" t="s">
        <v>76</v>
      </c>
      <c r="Q84" s="1" t="s">
        <v>55</v>
      </c>
      <c r="R84" s="1" t="s">
        <v>569</v>
      </c>
      <c r="S84" s="3">
        <v>46199</v>
      </c>
      <c r="T84" s="3">
        <v>46204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442</v>
      </c>
      <c r="B85" s="1" t="s">
        <v>600</v>
      </c>
      <c r="C85" s="1" t="s">
        <v>601</v>
      </c>
      <c r="D85" s="1" t="s">
        <v>101</v>
      </c>
      <c r="E85" s="1" t="s">
        <v>515</v>
      </c>
      <c r="F85" s="2">
        <v>46199</v>
      </c>
      <c r="G85" s="2">
        <v>46210</v>
      </c>
      <c r="H85" s="4">
        <v>1</v>
      </c>
      <c r="I85" s="2">
        <v>46210</v>
      </c>
      <c r="J85" s="1" t="s">
        <v>53</v>
      </c>
      <c r="K85" s="1" t="s">
        <v>602</v>
      </c>
      <c r="L85" s="1">
        <v>443</v>
      </c>
      <c r="M85" s="1" t="s">
        <v>251</v>
      </c>
      <c r="N85" s="3">
        <v>46196</v>
      </c>
      <c r="P85" s="1" t="s">
        <v>180</v>
      </c>
      <c r="Q85" s="1" t="s">
        <v>55</v>
      </c>
      <c r="R85" s="1" t="s">
        <v>569</v>
      </c>
      <c r="S85" s="3">
        <v>46204</v>
      </c>
      <c r="T85" s="3">
        <v>46204</v>
      </c>
      <c r="AB85" s="1">
        <v>1</v>
      </c>
      <c r="AC85" s="1">
        <v>1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1</v>
      </c>
    </row>
    <row r="86" spans="1:39" x14ac:dyDescent="0.25">
      <c r="A86" s="1">
        <v>447</v>
      </c>
      <c r="B86" s="1" t="s">
        <v>609</v>
      </c>
      <c r="C86" s="1" t="s">
        <v>610</v>
      </c>
      <c r="D86" s="1" t="s">
        <v>101</v>
      </c>
      <c r="E86" s="1" t="s">
        <v>223</v>
      </c>
      <c r="F86" s="2">
        <v>46189</v>
      </c>
      <c r="G86" s="2">
        <v>46196</v>
      </c>
      <c r="H86" s="4">
        <v>1</v>
      </c>
      <c r="I86" s="2">
        <v>46196</v>
      </c>
      <c r="J86" s="1" t="s">
        <v>53</v>
      </c>
      <c r="K86" s="1" t="s">
        <v>611</v>
      </c>
      <c r="L86" s="1">
        <v>448</v>
      </c>
      <c r="M86" s="1" t="s">
        <v>172</v>
      </c>
      <c r="N86" s="3">
        <v>46181</v>
      </c>
      <c r="P86" s="1" t="s">
        <v>73</v>
      </c>
      <c r="Q86" s="1" t="s">
        <v>55</v>
      </c>
      <c r="R86" s="1" t="s">
        <v>569</v>
      </c>
      <c r="S86" s="3">
        <v>46157</v>
      </c>
      <c r="T86" s="3">
        <v>46163</v>
      </c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 x14ac:dyDescent="0.25">
      <c r="A87" s="1">
        <v>452</v>
      </c>
      <c r="B87" s="1" t="s">
        <v>619</v>
      </c>
      <c r="C87" s="1" t="s">
        <v>620</v>
      </c>
      <c r="D87" s="1" t="s">
        <v>101</v>
      </c>
      <c r="E87" s="1" t="s">
        <v>223</v>
      </c>
      <c r="F87" s="2">
        <v>46171</v>
      </c>
      <c r="G87" s="2">
        <v>46182</v>
      </c>
      <c r="H87" s="4">
        <v>1</v>
      </c>
      <c r="I87" s="2">
        <v>46182</v>
      </c>
      <c r="J87" s="1" t="s">
        <v>53</v>
      </c>
      <c r="K87" s="1" t="s">
        <v>611</v>
      </c>
      <c r="L87" s="1" t="s">
        <v>621</v>
      </c>
      <c r="M87" s="1" t="s">
        <v>172</v>
      </c>
      <c r="N87" s="3">
        <v>46177</v>
      </c>
      <c r="P87" s="1" t="s">
        <v>136</v>
      </c>
      <c r="Q87" s="1" t="s">
        <v>55</v>
      </c>
      <c r="R87" s="1" t="s">
        <v>569</v>
      </c>
      <c r="S87" s="3">
        <v>46157</v>
      </c>
      <c r="T87" s="3">
        <v>46161</v>
      </c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</row>
    <row r="88" spans="1:39" x14ac:dyDescent="0.25">
      <c r="A88" s="1">
        <v>457</v>
      </c>
      <c r="B88" s="1" t="s">
        <v>627</v>
      </c>
      <c r="C88" s="1" t="s">
        <v>628</v>
      </c>
      <c r="D88" s="1" t="s">
        <v>101</v>
      </c>
      <c r="E88" s="1" t="s">
        <v>223</v>
      </c>
      <c r="F88" s="2">
        <v>46176</v>
      </c>
      <c r="G88" s="2">
        <v>46185</v>
      </c>
      <c r="H88" s="4">
        <v>1</v>
      </c>
      <c r="I88" s="2">
        <v>46185</v>
      </c>
      <c r="J88" s="1" t="s">
        <v>53</v>
      </c>
      <c r="K88" s="1" t="s">
        <v>611</v>
      </c>
      <c r="L88" s="1">
        <v>458</v>
      </c>
      <c r="M88" s="1" t="s">
        <v>172</v>
      </c>
      <c r="N88" s="3">
        <v>46181</v>
      </c>
      <c r="P88" s="1" t="s">
        <v>119</v>
      </c>
      <c r="Q88" s="1" t="s">
        <v>55</v>
      </c>
      <c r="R88" s="1" t="s">
        <v>569</v>
      </c>
      <c r="S88" s="3">
        <v>46157</v>
      </c>
      <c r="T88" s="3">
        <v>46163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462</v>
      </c>
      <c r="B89" s="1" t="s">
        <v>634</v>
      </c>
      <c r="C89" s="1" t="s">
        <v>635</v>
      </c>
      <c r="D89" s="1" t="s">
        <v>101</v>
      </c>
      <c r="E89" s="1" t="s">
        <v>168</v>
      </c>
      <c r="F89" s="2">
        <v>46196</v>
      </c>
      <c r="G89" s="2">
        <v>46199</v>
      </c>
      <c r="H89" s="4">
        <v>1</v>
      </c>
      <c r="I89" s="2">
        <v>46199</v>
      </c>
      <c r="J89" s="1" t="s">
        <v>53</v>
      </c>
      <c r="K89" s="1">
        <v>417</v>
      </c>
      <c r="L89" s="1">
        <v>463</v>
      </c>
      <c r="M89" s="1" t="s">
        <v>183</v>
      </c>
      <c r="N89" s="3">
        <v>46196</v>
      </c>
      <c r="P89" s="1" t="s">
        <v>180</v>
      </c>
      <c r="Q89" s="1" t="s">
        <v>55</v>
      </c>
      <c r="R89" s="1" t="s">
        <v>569</v>
      </c>
      <c r="S89" s="3">
        <v>46167</v>
      </c>
      <c r="T89" s="3">
        <v>46178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467</v>
      </c>
      <c r="B90" s="1" t="s">
        <v>641</v>
      </c>
      <c r="C90" s="1" t="s">
        <v>642</v>
      </c>
      <c r="D90" s="1" t="s">
        <v>101</v>
      </c>
      <c r="E90" s="1" t="s">
        <v>168</v>
      </c>
      <c r="F90" s="2">
        <v>46196</v>
      </c>
      <c r="G90" s="2">
        <v>46199</v>
      </c>
      <c r="H90" s="4">
        <v>1</v>
      </c>
      <c r="I90" s="2">
        <v>46199</v>
      </c>
      <c r="J90" s="1" t="s">
        <v>53</v>
      </c>
      <c r="K90" s="1">
        <v>417</v>
      </c>
      <c r="L90" s="1">
        <v>468</v>
      </c>
      <c r="M90" s="1" t="s">
        <v>183</v>
      </c>
      <c r="N90" s="3">
        <v>46196</v>
      </c>
      <c r="P90" s="1" t="s">
        <v>180</v>
      </c>
      <c r="Q90" s="1" t="s">
        <v>55</v>
      </c>
      <c r="R90" s="1" t="s">
        <v>569</v>
      </c>
      <c r="S90" s="3">
        <v>46167</v>
      </c>
      <c r="T90" s="3">
        <v>46178</v>
      </c>
      <c r="AB90" s="1">
        <v>1</v>
      </c>
      <c r="AC90" s="1">
        <v>1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</row>
    <row r="91" spans="1:39" x14ac:dyDescent="0.25">
      <c r="A91" s="1">
        <v>472</v>
      </c>
      <c r="B91" s="1" t="s">
        <v>648</v>
      </c>
      <c r="C91" s="1" t="s">
        <v>649</v>
      </c>
      <c r="D91" s="1" t="s">
        <v>101</v>
      </c>
      <c r="E91" s="1" t="s">
        <v>168</v>
      </c>
      <c r="F91" s="2">
        <v>46196</v>
      </c>
      <c r="G91" s="2">
        <v>46199</v>
      </c>
      <c r="H91" s="4">
        <v>1</v>
      </c>
      <c r="I91" s="2">
        <v>46199</v>
      </c>
      <c r="J91" s="1" t="s">
        <v>53</v>
      </c>
      <c r="K91" s="1">
        <v>417</v>
      </c>
      <c r="L91" s="1">
        <v>473</v>
      </c>
      <c r="M91" s="1" t="s">
        <v>183</v>
      </c>
      <c r="N91" s="3">
        <v>46196</v>
      </c>
      <c r="P91" s="1" t="s">
        <v>180</v>
      </c>
      <c r="Q91" s="1" t="s">
        <v>55</v>
      </c>
      <c r="R91" s="1" t="s">
        <v>569</v>
      </c>
      <c r="S91" s="3">
        <v>46167</v>
      </c>
      <c r="T91" s="3">
        <v>46178</v>
      </c>
      <c r="AB91" s="1">
        <v>1</v>
      </c>
      <c r="AC91" s="1">
        <v>1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</row>
    <row r="92" spans="1:39" x14ac:dyDescent="0.25">
      <c r="A92" s="1">
        <v>482</v>
      </c>
      <c r="B92" s="1" t="s">
        <v>655</v>
      </c>
      <c r="C92" s="1" t="s">
        <v>656</v>
      </c>
      <c r="D92" s="1" t="s">
        <v>101</v>
      </c>
      <c r="E92" s="1" t="s">
        <v>168</v>
      </c>
      <c r="F92" s="2">
        <v>46204</v>
      </c>
      <c r="G92" s="2">
        <v>46209</v>
      </c>
      <c r="H92" s="4">
        <v>1</v>
      </c>
      <c r="I92" s="2">
        <v>46209</v>
      </c>
      <c r="J92" s="1" t="s">
        <v>53</v>
      </c>
      <c r="L92" s="1" t="s">
        <v>657</v>
      </c>
      <c r="M92" s="1" t="s">
        <v>308</v>
      </c>
      <c r="N92" s="3">
        <v>46199</v>
      </c>
      <c r="P92" s="1" t="s">
        <v>73</v>
      </c>
      <c r="Q92" s="1" t="s">
        <v>55</v>
      </c>
      <c r="R92" s="1" t="s">
        <v>569</v>
      </c>
      <c r="S92" s="3">
        <v>46181</v>
      </c>
      <c r="T92" s="3">
        <v>46183</v>
      </c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 x14ac:dyDescent="0.25">
      <c r="A93" s="1">
        <v>497</v>
      </c>
      <c r="B93" s="1" t="s">
        <v>663</v>
      </c>
      <c r="C93" s="1" t="s">
        <v>664</v>
      </c>
      <c r="D93" s="1" t="s">
        <v>101</v>
      </c>
      <c r="E93" s="1" t="s">
        <v>223</v>
      </c>
      <c r="F93" s="2">
        <v>46203</v>
      </c>
      <c r="G93" s="2">
        <v>46210</v>
      </c>
      <c r="H93" s="4">
        <v>1</v>
      </c>
      <c r="I93" s="2">
        <v>46210</v>
      </c>
      <c r="J93" s="1" t="s">
        <v>53</v>
      </c>
      <c r="K93" s="1" t="s">
        <v>665</v>
      </c>
      <c r="L93" s="1" t="s">
        <v>666</v>
      </c>
      <c r="M93" s="1" t="s">
        <v>193</v>
      </c>
      <c r="N93" s="3">
        <v>46202</v>
      </c>
      <c r="P93" s="1" t="s">
        <v>180</v>
      </c>
      <c r="Q93" s="1" t="s">
        <v>55</v>
      </c>
      <c r="R93" s="1" t="s">
        <v>569</v>
      </c>
      <c r="S93" s="3">
        <v>46202</v>
      </c>
      <c r="T93" s="3">
        <v>46203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507</v>
      </c>
      <c r="B94" s="1" t="s">
        <v>680</v>
      </c>
      <c r="C94" s="1" t="s">
        <v>681</v>
      </c>
      <c r="D94" s="1" t="s">
        <v>101</v>
      </c>
      <c r="E94" s="1" t="s">
        <v>682</v>
      </c>
      <c r="F94" s="2">
        <v>46191</v>
      </c>
      <c r="G94" s="2">
        <v>46203</v>
      </c>
      <c r="H94" s="4">
        <v>1</v>
      </c>
      <c r="I94" s="2">
        <v>46203</v>
      </c>
      <c r="J94" s="1" t="s">
        <v>53</v>
      </c>
      <c r="L94" s="1" t="s">
        <v>683</v>
      </c>
      <c r="M94" s="1" t="s">
        <v>308</v>
      </c>
      <c r="N94" s="3">
        <v>46205</v>
      </c>
      <c r="P94" s="1" t="s">
        <v>73</v>
      </c>
      <c r="Q94" s="1" t="s">
        <v>55</v>
      </c>
      <c r="R94" s="1" t="s">
        <v>569</v>
      </c>
      <c r="S94" s="3">
        <v>46189</v>
      </c>
      <c r="T94" s="3">
        <v>46202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hidden="1" x14ac:dyDescent="0.25">
      <c r="A95" s="1">
        <v>508</v>
      </c>
      <c r="B95" s="1" t="s">
        <v>684</v>
      </c>
      <c r="C95" s="1" t="s">
        <v>681</v>
      </c>
      <c r="D95" s="1" t="s">
        <v>105</v>
      </c>
      <c r="E95" s="1" t="s">
        <v>102</v>
      </c>
      <c r="F95" s="2">
        <v>46204</v>
      </c>
      <c r="G95" s="2">
        <v>46206</v>
      </c>
      <c r="H95" s="4">
        <v>1</v>
      </c>
      <c r="I95" s="2">
        <v>46206</v>
      </c>
      <c r="J95" s="1" t="s">
        <v>53</v>
      </c>
      <c r="K95" s="1">
        <v>507</v>
      </c>
      <c r="L95" s="1">
        <v>509</v>
      </c>
      <c r="M95" s="1" t="s">
        <v>385</v>
      </c>
      <c r="N95" s="3">
        <v>46206</v>
      </c>
      <c r="P95" s="1" t="s">
        <v>180</v>
      </c>
      <c r="Q95" s="1" t="s">
        <v>55</v>
      </c>
      <c r="R95" s="1" t="s">
        <v>569</v>
      </c>
      <c r="S95" s="3">
        <v>46203</v>
      </c>
      <c r="T95" s="3">
        <v>46203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512</v>
      </c>
      <c r="B96" s="1" t="s">
        <v>691</v>
      </c>
      <c r="C96" s="1" t="s">
        <v>692</v>
      </c>
      <c r="D96" s="1" t="s">
        <v>101</v>
      </c>
      <c r="E96" s="1" t="s">
        <v>682</v>
      </c>
      <c r="F96" s="2">
        <v>46191</v>
      </c>
      <c r="G96" s="2">
        <v>46203</v>
      </c>
      <c r="H96" s="4">
        <v>1</v>
      </c>
      <c r="I96" s="2">
        <v>46203</v>
      </c>
      <c r="J96" s="1" t="s">
        <v>53</v>
      </c>
      <c r="K96" s="1" t="s">
        <v>693</v>
      </c>
      <c r="L96" s="1">
        <v>513</v>
      </c>
      <c r="M96" s="1" t="s">
        <v>308</v>
      </c>
      <c r="N96" s="3">
        <v>46205</v>
      </c>
      <c r="P96" s="1" t="s">
        <v>73</v>
      </c>
      <c r="Q96" s="1" t="s">
        <v>55</v>
      </c>
      <c r="R96" s="1" t="s">
        <v>569</v>
      </c>
      <c r="S96" s="3">
        <v>46189</v>
      </c>
      <c r="T96" s="3">
        <v>46202</v>
      </c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 hidden="1" x14ac:dyDescent="0.25">
      <c r="A97" s="1">
        <v>513</v>
      </c>
      <c r="B97" s="1" t="s">
        <v>694</v>
      </c>
      <c r="C97" s="1" t="s">
        <v>692</v>
      </c>
      <c r="D97" s="1" t="s">
        <v>105</v>
      </c>
      <c r="E97" s="1" t="s">
        <v>102</v>
      </c>
      <c r="F97" s="2">
        <v>46204</v>
      </c>
      <c r="G97" s="2">
        <v>46206</v>
      </c>
      <c r="H97" s="4">
        <v>1</v>
      </c>
      <c r="I97" s="2">
        <v>46206</v>
      </c>
      <c r="J97" s="1" t="s">
        <v>53</v>
      </c>
      <c r="K97" s="1">
        <v>512</v>
      </c>
      <c r="L97" s="1">
        <v>514</v>
      </c>
      <c r="M97" s="1" t="s">
        <v>385</v>
      </c>
      <c r="N97" s="3">
        <v>46206</v>
      </c>
      <c r="P97" s="1" t="s">
        <v>180</v>
      </c>
      <c r="Q97" s="1" t="s">
        <v>55</v>
      </c>
      <c r="R97" s="1" t="s">
        <v>569</v>
      </c>
      <c r="S97" s="3">
        <v>46203</v>
      </c>
      <c r="T97" s="3">
        <v>46203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x14ac:dyDescent="0.25">
      <c r="A98" s="1">
        <v>517</v>
      </c>
      <c r="B98" s="1" t="s">
        <v>699</v>
      </c>
      <c r="C98" s="1" t="s">
        <v>700</v>
      </c>
      <c r="D98" s="1" t="s">
        <v>101</v>
      </c>
      <c r="E98" s="1" t="s">
        <v>682</v>
      </c>
      <c r="F98" s="2">
        <v>46191</v>
      </c>
      <c r="G98" s="2">
        <v>46203</v>
      </c>
      <c r="H98" s="4">
        <v>1</v>
      </c>
      <c r="I98" s="2">
        <v>46203</v>
      </c>
      <c r="J98" s="1" t="s">
        <v>53</v>
      </c>
      <c r="K98" s="1" t="s">
        <v>693</v>
      </c>
      <c r="L98" s="1">
        <v>518</v>
      </c>
      <c r="M98" s="1" t="s">
        <v>308</v>
      </c>
      <c r="N98" s="3">
        <v>46205</v>
      </c>
      <c r="P98" s="1" t="s">
        <v>73</v>
      </c>
      <c r="Q98" s="1" t="s">
        <v>55</v>
      </c>
      <c r="R98" s="1" t="s">
        <v>569</v>
      </c>
      <c r="S98" s="3">
        <v>46189</v>
      </c>
      <c r="T98" s="3">
        <v>46202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 hidden="1" x14ac:dyDescent="0.25">
      <c r="A99" s="1">
        <v>518</v>
      </c>
      <c r="B99" s="1" t="s">
        <v>701</v>
      </c>
      <c r="C99" s="1" t="s">
        <v>700</v>
      </c>
      <c r="D99" s="1" t="s">
        <v>105</v>
      </c>
      <c r="E99" s="1" t="s">
        <v>102</v>
      </c>
      <c r="F99" s="2">
        <v>46204</v>
      </c>
      <c r="G99" s="2">
        <v>46206</v>
      </c>
      <c r="H99" s="4">
        <v>1</v>
      </c>
      <c r="I99" s="2">
        <v>46206</v>
      </c>
      <c r="J99" s="1" t="s">
        <v>53</v>
      </c>
      <c r="K99" s="1">
        <v>517</v>
      </c>
      <c r="L99" s="1">
        <v>519</v>
      </c>
      <c r="M99" s="1" t="s">
        <v>385</v>
      </c>
      <c r="N99" s="3">
        <v>46206</v>
      </c>
      <c r="P99" s="1" t="s">
        <v>180</v>
      </c>
      <c r="Q99" s="1" t="s">
        <v>55</v>
      </c>
      <c r="R99" s="1" t="s">
        <v>569</v>
      </c>
      <c r="S99" s="3">
        <v>46203</v>
      </c>
      <c r="T99" s="3">
        <v>46203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x14ac:dyDescent="0.25">
      <c r="A100" s="1">
        <v>522</v>
      </c>
      <c r="B100" s="1" t="s">
        <v>706</v>
      </c>
      <c r="C100" s="1" t="s">
        <v>707</v>
      </c>
      <c r="D100" s="1" t="s">
        <v>101</v>
      </c>
      <c r="E100" s="1" t="s">
        <v>682</v>
      </c>
      <c r="F100" s="2">
        <v>46191</v>
      </c>
      <c r="G100" s="2">
        <v>46203</v>
      </c>
      <c r="H100" s="4">
        <v>1</v>
      </c>
      <c r="I100" s="2">
        <v>46203</v>
      </c>
      <c r="J100" s="1" t="s">
        <v>53</v>
      </c>
      <c r="K100" s="1" t="s">
        <v>693</v>
      </c>
      <c r="L100" s="1">
        <v>523</v>
      </c>
      <c r="M100" s="1" t="s">
        <v>308</v>
      </c>
      <c r="N100" s="3">
        <v>46205</v>
      </c>
      <c r="P100" s="1" t="s">
        <v>73</v>
      </c>
      <c r="Q100" s="1" t="s">
        <v>55</v>
      </c>
      <c r="R100" s="1" t="s">
        <v>569</v>
      </c>
      <c r="S100" s="3">
        <v>46189</v>
      </c>
      <c r="T100" s="3">
        <v>46202</v>
      </c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 hidden="1" x14ac:dyDescent="0.25">
      <c r="A101" s="1">
        <v>523</v>
      </c>
      <c r="B101" s="1" t="s">
        <v>708</v>
      </c>
      <c r="C101" s="1" t="s">
        <v>707</v>
      </c>
      <c r="D101" s="1" t="s">
        <v>105</v>
      </c>
      <c r="E101" s="1" t="s">
        <v>102</v>
      </c>
      <c r="F101" s="2">
        <v>46204</v>
      </c>
      <c r="G101" s="2">
        <v>46206</v>
      </c>
      <c r="H101" s="4">
        <v>1</v>
      </c>
      <c r="I101" s="2">
        <v>46206</v>
      </c>
      <c r="J101" s="1" t="s">
        <v>53</v>
      </c>
      <c r="K101" s="1">
        <v>522</v>
      </c>
      <c r="L101" s="1">
        <v>524</v>
      </c>
      <c r="M101" s="1" t="s">
        <v>385</v>
      </c>
      <c r="N101" s="3">
        <v>46206</v>
      </c>
      <c r="P101" s="1" t="s">
        <v>180</v>
      </c>
      <c r="Q101" s="1" t="s">
        <v>55</v>
      </c>
      <c r="R101" s="1" t="s">
        <v>569</v>
      </c>
      <c r="S101" s="3">
        <v>46203</v>
      </c>
      <c r="T101" s="3">
        <v>46203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</row>
    <row r="102" spans="1:39" x14ac:dyDescent="0.25">
      <c r="A102" s="1">
        <v>527</v>
      </c>
      <c r="B102" s="1" t="s">
        <v>713</v>
      </c>
      <c r="C102" s="1" t="s">
        <v>714</v>
      </c>
      <c r="D102" s="1" t="s">
        <v>101</v>
      </c>
      <c r="E102" s="1" t="s">
        <v>682</v>
      </c>
      <c r="F102" s="2">
        <v>46191</v>
      </c>
      <c r="G102" s="2">
        <v>46203</v>
      </c>
      <c r="H102" s="4">
        <v>1</v>
      </c>
      <c r="I102" s="2">
        <v>46203</v>
      </c>
      <c r="J102" s="1" t="s">
        <v>53</v>
      </c>
      <c r="K102" s="1" t="s">
        <v>693</v>
      </c>
      <c r="L102" s="1">
        <v>528</v>
      </c>
      <c r="M102" s="1" t="s">
        <v>308</v>
      </c>
      <c r="N102" s="3">
        <v>46205</v>
      </c>
      <c r="P102" s="1" t="s">
        <v>73</v>
      </c>
      <c r="Q102" s="1" t="s">
        <v>55</v>
      </c>
      <c r="R102" s="1" t="s">
        <v>569</v>
      </c>
      <c r="S102" s="3">
        <v>46189</v>
      </c>
      <c r="T102" s="3">
        <v>46202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 hidden="1" x14ac:dyDescent="0.25">
      <c r="A103" s="1">
        <v>528</v>
      </c>
      <c r="B103" s="1" t="s">
        <v>715</v>
      </c>
      <c r="C103" s="1" t="s">
        <v>714</v>
      </c>
      <c r="D103" s="1" t="s">
        <v>105</v>
      </c>
      <c r="E103" s="1" t="s">
        <v>102</v>
      </c>
      <c r="F103" s="2">
        <v>46204</v>
      </c>
      <c r="G103" s="2">
        <v>46206</v>
      </c>
      <c r="H103" s="4">
        <v>1</v>
      </c>
      <c r="I103" s="2">
        <v>46206</v>
      </c>
      <c r="J103" s="1" t="s">
        <v>53</v>
      </c>
      <c r="K103" s="1">
        <v>527</v>
      </c>
      <c r="L103" s="1">
        <v>529</v>
      </c>
      <c r="M103" s="1" t="s">
        <v>385</v>
      </c>
      <c r="N103" s="3">
        <v>46206</v>
      </c>
      <c r="P103" s="1" t="s">
        <v>180</v>
      </c>
      <c r="Q103" s="1" t="s">
        <v>55</v>
      </c>
      <c r="R103" s="1" t="s">
        <v>569</v>
      </c>
      <c r="S103" s="3">
        <v>46203</v>
      </c>
      <c r="T103" s="3">
        <v>46203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532</v>
      </c>
      <c r="B104" s="1" t="s">
        <v>720</v>
      </c>
      <c r="C104" s="1" t="s">
        <v>721</v>
      </c>
      <c r="D104" s="1" t="s">
        <v>101</v>
      </c>
      <c r="E104" s="1" t="s">
        <v>682</v>
      </c>
      <c r="F104" s="2">
        <v>46191</v>
      </c>
      <c r="G104" s="2">
        <v>46203</v>
      </c>
      <c r="H104" s="4">
        <v>1</v>
      </c>
      <c r="I104" s="2">
        <v>46203</v>
      </c>
      <c r="J104" s="1" t="s">
        <v>53</v>
      </c>
      <c r="K104" s="1" t="s">
        <v>693</v>
      </c>
      <c r="L104" s="1">
        <v>533</v>
      </c>
      <c r="M104" s="1" t="s">
        <v>308</v>
      </c>
      <c r="N104" s="3">
        <v>46205</v>
      </c>
      <c r="P104" s="1" t="s">
        <v>73</v>
      </c>
      <c r="Q104" s="1" t="s">
        <v>55</v>
      </c>
      <c r="R104" s="1" t="s">
        <v>569</v>
      </c>
      <c r="S104" s="3">
        <v>46189</v>
      </c>
      <c r="T104" s="3">
        <v>46202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hidden="1" x14ac:dyDescent="0.25">
      <c r="A105" s="1">
        <v>533</v>
      </c>
      <c r="B105" s="1" t="s">
        <v>722</v>
      </c>
      <c r="C105" s="1" t="s">
        <v>721</v>
      </c>
      <c r="D105" s="1" t="s">
        <v>105</v>
      </c>
      <c r="E105" s="1" t="s">
        <v>102</v>
      </c>
      <c r="F105" s="2">
        <v>46204</v>
      </c>
      <c r="G105" s="2">
        <v>46206</v>
      </c>
      <c r="H105" s="4">
        <v>1</v>
      </c>
      <c r="I105" s="2">
        <v>46206</v>
      </c>
      <c r="J105" s="1" t="s">
        <v>53</v>
      </c>
      <c r="K105" s="1">
        <v>532</v>
      </c>
      <c r="L105" s="1">
        <v>534</v>
      </c>
      <c r="M105" s="1" t="s">
        <v>385</v>
      </c>
      <c r="N105" s="3">
        <v>46206</v>
      </c>
      <c r="P105" s="1" t="s">
        <v>180</v>
      </c>
      <c r="Q105" s="1" t="s">
        <v>55</v>
      </c>
      <c r="R105" s="1" t="s">
        <v>569</v>
      </c>
      <c r="S105" s="3">
        <v>46203</v>
      </c>
      <c r="T105" s="3">
        <v>46203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537</v>
      </c>
      <c r="B106" s="1" t="s">
        <v>727</v>
      </c>
      <c r="C106" s="1" t="s">
        <v>728</v>
      </c>
      <c r="D106" s="1" t="s">
        <v>101</v>
      </c>
      <c r="E106" s="1" t="s">
        <v>682</v>
      </c>
      <c r="F106" s="2">
        <v>46191</v>
      </c>
      <c r="G106" s="2">
        <v>46203</v>
      </c>
      <c r="H106" s="4">
        <v>1</v>
      </c>
      <c r="I106" s="2">
        <v>46203</v>
      </c>
      <c r="J106" s="1" t="s">
        <v>53</v>
      </c>
      <c r="K106" s="1" t="s">
        <v>693</v>
      </c>
      <c r="L106" s="1">
        <v>538</v>
      </c>
      <c r="M106" s="1" t="s">
        <v>308</v>
      </c>
      <c r="N106" s="3">
        <v>46205</v>
      </c>
      <c r="P106" s="1" t="s">
        <v>73</v>
      </c>
      <c r="Q106" s="1" t="s">
        <v>55</v>
      </c>
      <c r="R106" s="1" t="s">
        <v>569</v>
      </c>
      <c r="S106" s="3">
        <v>46189</v>
      </c>
      <c r="T106" s="3">
        <v>46202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 hidden="1" x14ac:dyDescent="0.25">
      <c r="A107" s="1">
        <v>538</v>
      </c>
      <c r="B107" s="1" t="s">
        <v>729</v>
      </c>
      <c r="C107" s="1" t="s">
        <v>728</v>
      </c>
      <c r="D107" s="1" t="s">
        <v>105</v>
      </c>
      <c r="E107" s="1" t="s">
        <v>102</v>
      </c>
      <c r="F107" s="2">
        <v>46204</v>
      </c>
      <c r="G107" s="2">
        <v>46206</v>
      </c>
      <c r="H107" s="4">
        <v>1</v>
      </c>
      <c r="I107" s="2">
        <v>46206</v>
      </c>
      <c r="J107" s="1" t="s">
        <v>53</v>
      </c>
      <c r="K107" s="1">
        <v>537</v>
      </c>
      <c r="L107" s="1">
        <v>539</v>
      </c>
      <c r="M107" s="1" t="s">
        <v>385</v>
      </c>
      <c r="N107" s="3">
        <v>46206</v>
      </c>
      <c r="P107" s="1" t="s">
        <v>180</v>
      </c>
      <c r="Q107" s="1" t="s">
        <v>55</v>
      </c>
      <c r="R107" s="1" t="s">
        <v>569</v>
      </c>
      <c r="S107" s="3">
        <v>46203</v>
      </c>
      <c r="T107" s="3">
        <v>46203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1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x14ac:dyDescent="0.25">
      <c r="A108" s="1">
        <v>542</v>
      </c>
      <c r="B108" s="1" t="s">
        <v>734</v>
      </c>
      <c r="C108" s="1" t="s">
        <v>735</v>
      </c>
      <c r="D108" s="1" t="s">
        <v>101</v>
      </c>
      <c r="E108" s="1" t="s">
        <v>682</v>
      </c>
      <c r="F108" s="2">
        <v>46191</v>
      </c>
      <c r="G108" s="2">
        <v>46203</v>
      </c>
      <c r="H108" s="4">
        <v>1</v>
      </c>
      <c r="I108" s="2">
        <v>46203</v>
      </c>
      <c r="J108" s="1" t="s">
        <v>53</v>
      </c>
      <c r="K108" s="1" t="s">
        <v>693</v>
      </c>
      <c r="L108" s="1">
        <v>543</v>
      </c>
      <c r="M108" s="1" t="s">
        <v>308</v>
      </c>
      <c r="N108" s="3">
        <v>46205</v>
      </c>
      <c r="P108" s="1" t="s">
        <v>73</v>
      </c>
      <c r="Q108" s="1" t="s">
        <v>55</v>
      </c>
      <c r="R108" s="1" t="s">
        <v>569</v>
      </c>
      <c r="S108" s="3">
        <v>46189</v>
      </c>
      <c r="T108" s="3">
        <v>46202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 hidden="1" x14ac:dyDescent="0.25">
      <c r="A109" s="1">
        <v>543</v>
      </c>
      <c r="B109" s="1" t="s">
        <v>736</v>
      </c>
      <c r="C109" s="1" t="s">
        <v>735</v>
      </c>
      <c r="D109" s="1" t="s">
        <v>105</v>
      </c>
      <c r="E109" s="1" t="s">
        <v>102</v>
      </c>
      <c r="F109" s="2">
        <v>46204</v>
      </c>
      <c r="G109" s="2">
        <v>46206</v>
      </c>
      <c r="H109" s="4">
        <v>1</v>
      </c>
      <c r="I109" s="2">
        <v>46206</v>
      </c>
      <c r="J109" s="1" t="s">
        <v>53</v>
      </c>
      <c r="K109" s="1">
        <v>542</v>
      </c>
      <c r="L109" s="1">
        <v>544</v>
      </c>
      <c r="M109" s="1" t="s">
        <v>385</v>
      </c>
      <c r="N109" s="3">
        <v>46206</v>
      </c>
      <c r="P109" s="1" t="s">
        <v>180</v>
      </c>
      <c r="Q109" s="1" t="s">
        <v>55</v>
      </c>
      <c r="R109" s="1" t="s">
        <v>569</v>
      </c>
      <c r="S109" s="3">
        <v>46203</v>
      </c>
      <c r="T109" s="3">
        <v>46203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x14ac:dyDescent="0.25">
      <c r="A110" s="1">
        <v>547</v>
      </c>
      <c r="B110" s="1" t="s">
        <v>741</v>
      </c>
      <c r="C110" s="1" t="s">
        <v>742</v>
      </c>
      <c r="D110" s="1" t="s">
        <v>101</v>
      </c>
      <c r="E110" s="1" t="s">
        <v>682</v>
      </c>
      <c r="F110" s="2">
        <v>46191</v>
      </c>
      <c r="G110" s="2">
        <v>46203</v>
      </c>
      <c r="H110" s="4">
        <v>1</v>
      </c>
      <c r="I110" s="2">
        <v>46203</v>
      </c>
      <c r="J110" s="1" t="s">
        <v>53</v>
      </c>
      <c r="K110" s="1" t="s">
        <v>693</v>
      </c>
      <c r="L110" s="1">
        <v>548</v>
      </c>
      <c r="M110" s="1" t="s">
        <v>308</v>
      </c>
      <c r="N110" s="3">
        <v>46205</v>
      </c>
      <c r="P110" s="1" t="s">
        <v>73</v>
      </c>
      <c r="Q110" s="1" t="s">
        <v>55</v>
      </c>
      <c r="R110" s="1" t="s">
        <v>569</v>
      </c>
      <c r="S110" s="3">
        <v>46189</v>
      </c>
      <c r="T110" s="3">
        <v>46202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</row>
    <row r="111" spans="1:39" hidden="1" x14ac:dyDescent="0.25">
      <c r="A111" s="1">
        <v>548</v>
      </c>
      <c r="B111" s="1" t="s">
        <v>743</v>
      </c>
      <c r="C111" s="1" t="s">
        <v>742</v>
      </c>
      <c r="D111" s="1" t="s">
        <v>105</v>
      </c>
      <c r="E111" s="1" t="s">
        <v>102</v>
      </c>
      <c r="F111" s="2">
        <v>46204</v>
      </c>
      <c r="G111" s="2">
        <v>46206</v>
      </c>
      <c r="H111" s="4">
        <v>1</v>
      </c>
      <c r="I111" s="2">
        <v>46206</v>
      </c>
      <c r="J111" s="1" t="s">
        <v>53</v>
      </c>
      <c r="K111" s="1">
        <v>547</v>
      </c>
      <c r="L111" s="1">
        <v>549</v>
      </c>
      <c r="M111" s="1" t="s">
        <v>385</v>
      </c>
      <c r="N111" s="3">
        <v>46206</v>
      </c>
      <c r="P111" s="1" t="s">
        <v>180</v>
      </c>
      <c r="Q111" s="1" t="s">
        <v>55</v>
      </c>
      <c r="R111" s="1" t="s">
        <v>569</v>
      </c>
      <c r="S111" s="3">
        <v>46203</v>
      </c>
      <c r="T111" s="3">
        <v>46203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x14ac:dyDescent="0.25">
      <c r="A112" s="1">
        <v>552</v>
      </c>
      <c r="B112" s="1" t="s">
        <v>748</v>
      </c>
      <c r="C112" s="1" t="s">
        <v>749</v>
      </c>
      <c r="D112" s="1" t="s">
        <v>101</v>
      </c>
      <c r="E112" s="1" t="s">
        <v>682</v>
      </c>
      <c r="F112" s="2">
        <v>46191</v>
      </c>
      <c r="G112" s="2">
        <v>46203</v>
      </c>
      <c r="H112" s="4">
        <v>1</v>
      </c>
      <c r="I112" s="2">
        <v>46203</v>
      </c>
      <c r="J112" s="1" t="s">
        <v>53</v>
      </c>
      <c r="K112" s="1" t="s">
        <v>693</v>
      </c>
      <c r="L112" s="1">
        <v>553</v>
      </c>
      <c r="M112" s="1" t="s">
        <v>308</v>
      </c>
      <c r="N112" s="3">
        <v>46205</v>
      </c>
      <c r="P112" s="1" t="s">
        <v>73</v>
      </c>
      <c r="Q112" s="1" t="s">
        <v>55</v>
      </c>
      <c r="R112" s="1" t="s">
        <v>569</v>
      </c>
      <c r="S112" s="3">
        <v>46189</v>
      </c>
      <c r="T112" s="3">
        <v>46202</v>
      </c>
      <c r="AB112" s="1">
        <v>1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</row>
    <row r="113" spans="1:39" hidden="1" x14ac:dyDescent="0.25">
      <c r="A113" s="1">
        <v>553</v>
      </c>
      <c r="B113" s="1" t="s">
        <v>750</v>
      </c>
      <c r="C113" s="1" t="s">
        <v>749</v>
      </c>
      <c r="D113" s="1" t="s">
        <v>105</v>
      </c>
      <c r="E113" s="1" t="s">
        <v>102</v>
      </c>
      <c r="F113" s="2">
        <v>46204</v>
      </c>
      <c r="G113" s="2">
        <v>46206</v>
      </c>
      <c r="H113" s="4">
        <v>1</v>
      </c>
      <c r="I113" s="2">
        <v>46206</v>
      </c>
      <c r="J113" s="1" t="s">
        <v>53</v>
      </c>
      <c r="K113" s="1">
        <v>552</v>
      </c>
      <c r="L113" s="1">
        <v>554</v>
      </c>
      <c r="M113" s="1" t="s">
        <v>385</v>
      </c>
      <c r="N113" s="3">
        <v>46206</v>
      </c>
      <c r="P113" s="1" t="s">
        <v>180</v>
      </c>
      <c r="Q113" s="1" t="s">
        <v>55</v>
      </c>
      <c r="R113" s="1" t="s">
        <v>569</v>
      </c>
      <c r="S113" s="3">
        <v>46203</v>
      </c>
      <c r="T113" s="3">
        <v>46203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557</v>
      </c>
      <c r="B114" s="1" t="s">
        <v>755</v>
      </c>
      <c r="C114" s="1" t="s">
        <v>756</v>
      </c>
      <c r="D114" s="1" t="s">
        <v>101</v>
      </c>
      <c r="E114" s="1" t="s">
        <v>682</v>
      </c>
      <c r="F114" s="2">
        <v>46191</v>
      </c>
      <c r="G114" s="2">
        <v>46203</v>
      </c>
      <c r="H114" s="4">
        <v>1</v>
      </c>
      <c r="I114" s="2">
        <v>46203</v>
      </c>
      <c r="J114" s="1" t="s">
        <v>53</v>
      </c>
      <c r="K114" s="1" t="s">
        <v>693</v>
      </c>
      <c r="L114" s="1">
        <v>558</v>
      </c>
      <c r="M114" s="1" t="s">
        <v>308</v>
      </c>
      <c r="N114" s="3">
        <v>46205</v>
      </c>
      <c r="P114" s="1" t="s">
        <v>73</v>
      </c>
      <c r="Q114" s="1" t="s">
        <v>55</v>
      </c>
      <c r="R114" s="1" t="s">
        <v>569</v>
      </c>
      <c r="S114" s="3">
        <v>46189</v>
      </c>
      <c r="T114" s="3">
        <v>46202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hidden="1" x14ac:dyDescent="0.25">
      <c r="A115" s="1">
        <v>558</v>
      </c>
      <c r="B115" s="1" t="s">
        <v>757</v>
      </c>
      <c r="C115" s="1" t="s">
        <v>756</v>
      </c>
      <c r="D115" s="1" t="s">
        <v>105</v>
      </c>
      <c r="E115" s="1" t="s">
        <v>102</v>
      </c>
      <c r="F115" s="2">
        <v>46204</v>
      </c>
      <c r="G115" s="2">
        <v>46206</v>
      </c>
      <c r="H115" s="4">
        <v>1</v>
      </c>
      <c r="I115" s="2">
        <v>46206</v>
      </c>
      <c r="J115" s="1" t="s">
        <v>53</v>
      </c>
      <c r="K115" s="1">
        <v>557</v>
      </c>
      <c r="L115" s="1">
        <v>559</v>
      </c>
      <c r="M115" s="1" t="s">
        <v>385</v>
      </c>
      <c r="N115" s="3">
        <v>46206</v>
      </c>
      <c r="P115" s="1" t="s">
        <v>180</v>
      </c>
      <c r="Q115" s="1" t="s">
        <v>55</v>
      </c>
      <c r="R115" s="1" t="s">
        <v>569</v>
      </c>
      <c r="S115" s="3">
        <v>46203</v>
      </c>
      <c r="T115" s="3">
        <v>46203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x14ac:dyDescent="0.25">
      <c r="A116" s="1">
        <v>562</v>
      </c>
      <c r="B116" s="1" t="s">
        <v>762</v>
      </c>
      <c r="C116" s="1" t="s">
        <v>763</v>
      </c>
      <c r="D116" s="1" t="s">
        <v>101</v>
      </c>
      <c r="E116" s="1" t="s">
        <v>682</v>
      </c>
      <c r="F116" s="2">
        <v>46191</v>
      </c>
      <c r="G116" s="2">
        <v>46203</v>
      </c>
      <c r="H116" s="4">
        <v>1</v>
      </c>
      <c r="I116" s="2">
        <v>46203</v>
      </c>
      <c r="J116" s="1" t="s">
        <v>53</v>
      </c>
      <c r="K116" s="1" t="s">
        <v>693</v>
      </c>
      <c r="L116" s="1">
        <v>563</v>
      </c>
      <c r="M116" s="1" t="s">
        <v>308</v>
      </c>
      <c r="N116" s="3">
        <v>46205</v>
      </c>
      <c r="P116" s="1" t="s">
        <v>73</v>
      </c>
      <c r="Q116" s="1" t="s">
        <v>55</v>
      </c>
      <c r="R116" s="1" t="s">
        <v>569</v>
      </c>
      <c r="S116" s="3">
        <v>46189</v>
      </c>
      <c r="T116" s="3">
        <v>46202</v>
      </c>
      <c r="AB116" s="1">
        <v>1</v>
      </c>
      <c r="AC116" s="1">
        <v>1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</row>
    <row r="117" spans="1:39" hidden="1" x14ac:dyDescent="0.25">
      <c r="A117" s="1">
        <v>563</v>
      </c>
      <c r="B117" s="1" t="s">
        <v>764</v>
      </c>
      <c r="C117" s="1" t="s">
        <v>763</v>
      </c>
      <c r="D117" s="1" t="s">
        <v>105</v>
      </c>
      <c r="E117" s="1" t="s">
        <v>102</v>
      </c>
      <c r="F117" s="2">
        <v>46204</v>
      </c>
      <c r="G117" s="2">
        <v>46206</v>
      </c>
      <c r="H117" s="4">
        <v>1</v>
      </c>
      <c r="I117" s="2">
        <v>46206</v>
      </c>
      <c r="J117" s="1" t="s">
        <v>53</v>
      </c>
      <c r="K117" s="1">
        <v>562</v>
      </c>
      <c r="L117" s="1">
        <v>564</v>
      </c>
      <c r="M117" s="1" t="s">
        <v>385</v>
      </c>
      <c r="N117" s="3">
        <v>46206</v>
      </c>
      <c r="P117" s="1" t="s">
        <v>180</v>
      </c>
      <c r="Q117" s="1" t="s">
        <v>55</v>
      </c>
      <c r="R117" s="1" t="s">
        <v>569</v>
      </c>
      <c r="S117" s="3">
        <v>46203</v>
      </c>
      <c r="T117" s="3">
        <v>46203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</row>
    <row r="118" spans="1:39" x14ac:dyDescent="0.25">
      <c r="A118" s="1">
        <v>567</v>
      </c>
      <c r="B118" s="1" t="s">
        <v>769</v>
      </c>
      <c r="C118" s="1" t="s">
        <v>770</v>
      </c>
      <c r="D118" s="1" t="s">
        <v>101</v>
      </c>
      <c r="E118" s="1" t="s">
        <v>682</v>
      </c>
      <c r="F118" s="2">
        <v>46191</v>
      </c>
      <c r="G118" s="2">
        <v>46203</v>
      </c>
      <c r="H118" s="4">
        <v>1</v>
      </c>
      <c r="I118" s="2">
        <v>46203</v>
      </c>
      <c r="J118" s="1" t="s">
        <v>53</v>
      </c>
      <c r="K118" s="1" t="s">
        <v>693</v>
      </c>
      <c r="L118" s="1">
        <v>568</v>
      </c>
      <c r="M118" s="1" t="s">
        <v>308</v>
      </c>
      <c r="N118" s="3">
        <v>46205</v>
      </c>
      <c r="P118" s="1" t="s">
        <v>73</v>
      </c>
      <c r="Q118" s="1" t="s">
        <v>55</v>
      </c>
      <c r="R118" s="1" t="s">
        <v>569</v>
      </c>
      <c r="S118" s="3">
        <v>46189</v>
      </c>
      <c r="T118" s="3">
        <v>46202</v>
      </c>
      <c r="AB118" s="1">
        <v>1</v>
      </c>
      <c r="AC118" s="1">
        <v>1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</row>
    <row r="119" spans="1:39" hidden="1" x14ac:dyDescent="0.25">
      <c r="A119" s="1">
        <v>568</v>
      </c>
      <c r="B119" s="1" t="s">
        <v>771</v>
      </c>
      <c r="C119" s="1" t="s">
        <v>770</v>
      </c>
      <c r="D119" s="1" t="s">
        <v>105</v>
      </c>
      <c r="E119" s="1" t="s">
        <v>102</v>
      </c>
      <c r="F119" s="2">
        <v>46204</v>
      </c>
      <c r="G119" s="2">
        <v>46206</v>
      </c>
      <c r="H119" s="4">
        <v>1</v>
      </c>
      <c r="I119" s="2">
        <v>46206</v>
      </c>
      <c r="J119" s="1" t="s">
        <v>53</v>
      </c>
      <c r="K119" s="1">
        <v>567</v>
      </c>
      <c r="L119" s="1">
        <v>569</v>
      </c>
      <c r="M119" s="1" t="s">
        <v>385</v>
      </c>
      <c r="N119" s="3">
        <v>46206</v>
      </c>
      <c r="P119" s="1" t="s">
        <v>180</v>
      </c>
      <c r="Q119" s="1" t="s">
        <v>55</v>
      </c>
      <c r="R119" s="1" t="s">
        <v>569</v>
      </c>
      <c r="S119" s="3">
        <v>46203</v>
      </c>
      <c r="T119" s="3">
        <v>46203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572</v>
      </c>
      <c r="B120" s="1" t="s">
        <v>776</v>
      </c>
      <c r="C120" s="1" t="s">
        <v>777</v>
      </c>
      <c r="D120" s="1" t="s">
        <v>101</v>
      </c>
      <c r="E120" s="1" t="s">
        <v>682</v>
      </c>
      <c r="F120" s="2">
        <v>46191</v>
      </c>
      <c r="G120" s="2">
        <v>46203</v>
      </c>
      <c r="H120" s="4">
        <v>1</v>
      </c>
      <c r="I120" s="2">
        <v>46203</v>
      </c>
      <c r="J120" s="1" t="s">
        <v>53</v>
      </c>
      <c r="K120" s="1" t="s">
        <v>693</v>
      </c>
      <c r="L120" s="1">
        <v>573</v>
      </c>
      <c r="M120" s="1" t="s">
        <v>308</v>
      </c>
      <c r="N120" s="3">
        <v>46205</v>
      </c>
      <c r="P120" s="1" t="s">
        <v>73</v>
      </c>
      <c r="Q120" s="1" t="s">
        <v>55</v>
      </c>
      <c r="R120" s="1" t="s">
        <v>569</v>
      </c>
      <c r="S120" s="3">
        <v>46189</v>
      </c>
      <c r="T120" s="3">
        <v>46202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hidden="1" x14ac:dyDescent="0.25">
      <c r="A121" s="1">
        <v>573</v>
      </c>
      <c r="B121" s="1" t="s">
        <v>778</v>
      </c>
      <c r="C121" s="1" t="s">
        <v>777</v>
      </c>
      <c r="D121" s="1" t="s">
        <v>105</v>
      </c>
      <c r="E121" s="1" t="s">
        <v>102</v>
      </c>
      <c r="F121" s="2">
        <v>46204</v>
      </c>
      <c r="G121" s="2">
        <v>46206</v>
      </c>
      <c r="H121" s="4">
        <v>1</v>
      </c>
      <c r="I121" s="2">
        <v>46206</v>
      </c>
      <c r="J121" s="1" t="s">
        <v>53</v>
      </c>
      <c r="K121" s="1">
        <v>572</v>
      </c>
      <c r="L121" s="1">
        <v>574</v>
      </c>
      <c r="M121" s="1" t="s">
        <v>385</v>
      </c>
      <c r="N121" s="3">
        <v>46206</v>
      </c>
      <c r="P121" s="1" t="s">
        <v>180</v>
      </c>
      <c r="Q121" s="1" t="s">
        <v>55</v>
      </c>
      <c r="R121" s="1" t="s">
        <v>569</v>
      </c>
      <c r="S121" s="3">
        <v>46203</v>
      </c>
      <c r="T121" s="3">
        <v>46203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x14ac:dyDescent="0.25">
      <c r="A122" s="1">
        <v>577</v>
      </c>
      <c r="B122" s="1" t="s">
        <v>783</v>
      </c>
      <c r="C122" s="1" t="s">
        <v>784</v>
      </c>
      <c r="D122" s="1" t="s">
        <v>101</v>
      </c>
      <c r="E122" s="1" t="s">
        <v>682</v>
      </c>
      <c r="F122" s="2">
        <v>46191</v>
      </c>
      <c r="G122" s="2">
        <v>46203</v>
      </c>
      <c r="H122" s="4">
        <v>1</v>
      </c>
      <c r="I122" s="2">
        <v>46203</v>
      </c>
      <c r="J122" s="1" t="s">
        <v>53</v>
      </c>
      <c r="K122" s="1" t="s">
        <v>693</v>
      </c>
      <c r="L122" s="1">
        <v>578</v>
      </c>
      <c r="M122" s="1" t="s">
        <v>308</v>
      </c>
      <c r="N122" s="3">
        <v>46205</v>
      </c>
      <c r="P122" s="1" t="s">
        <v>73</v>
      </c>
      <c r="Q122" s="1" t="s">
        <v>55</v>
      </c>
      <c r="R122" s="1" t="s">
        <v>569</v>
      </c>
      <c r="S122" s="3">
        <v>46189</v>
      </c>
      <c r="T122" s="3">
        <v>46202</v>
      </c>
      <c r="AB122" s="1">
        <v>1</v>
      </c>
      <c r="AC122" s="1">
        <v>1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1</v>
      </c>
    </row>
    <row r="123" spans="1:39" hidden="1" x14ac:dyDescent="0.25">
      <c r="A123" s="1">
        <v>578</v>
      </c>
      <c r="B123" s="1" t="s">
        <v>785</v>
      </c>
      <c r="C123" s="1" t="s">
        <v>784</v>
      </c>
      <c r="D123" s="1" t="s">
        <v>105</v>
      </c>
      <c r="E123" s="1" t="s">
        <v>102</v>
      </c>
      <c r="F123" s="2">
        <v>46204</v>
      </c>
      <c r="G123" s="2">
        <v>46206</v>
      </c>
      <c r="H123" s="4">
        <v>1</v>
      </c>
      <c r="I123" s="2">
        <v>46206</v>
      </c>
      <c r="J123" s="1" t="s">
        <v>53</v>
      </c>
      <c r="K123" s="1">
        <v>577</v>
      </c>
      <c r="L123" s="1">
        <v>579</v>
      </c>
      <c r="M123" s="1" t="s">
        <v>385</v>
      </c>
      <c r="N123" s="3">
        <v>46206</v>
      </c>
      <c r="P123" s="1" t="s">
        <v>180</v>
      </c>
      <c r="Q123" s="1" t="s">
        <v>55</v>
      </c>
      <c r="R123" s="1" t="s">
        <v>569</v>
      </c>
      <c r="S123" s="3">
        <v>46203</v>
      </c>
      <c r="T123" s="3">
        <v>46203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582</v>
      </c>
      <c r="B124" s="1" t="s">
        <v>790</v>
      </c>
      <c r="C124" s="1" t="s">
        <v>791</v>
      </c>
      <c r="D124" s="1" t="s">
        <v>101</v>
      </c>
      <c r="E124" s="1" t="s">
        <v>682</v>
      </c>
      <c r="F124" s="2">
        <v>46191</v>
      </c>
      <c r="G124" s="2">
        <v>46203</v>
      </c>
      <c r="H124" s="4">
        <v>1</v>
      </c>
      <c r="I124" s="2">
        <v>46203</v>
      </c>
      <c r="J124" s="1" t="s">
        <v>53</v>
      </c>
      <c r="K124" s="1" t="s">
        <v>693</v>
      </c>
      <c r="L124" s="1">
        <v>583</v>
      </c>
      <c r="M124" s="1" t="s">
        <v>308</v>
      </c>
      <c r="N124" s="3">
        <v>46205</v>
      </c>
      <c r="P124" s="1" t="s">
        <v>73</v>
      </c>
      <c r="Q124" s="1" t="s">
        <v>55</v>
      </c>
      <c r="R124" s="1" t="s">
        <v>569</v>
      </c>
      <c r="S124" s="3">
        <v>46189</v>
      </c>
      <c r="T124" s="3">
        <v>46202</v>
      </c>
      <c r="AB124" s="1">
        <v>1</v>
      </c>
      <c r="AC124" s="1">
        <v>1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</v>
      </c>
    </row>
    <row r="125" spans="1:39" hidden="1" x14ac:dyDescent="0.25">
      <c r="A125" s="1">
        <v>583</v>
      </c>
      <c r="B125" s="1" t="s">
        <v>792</v>
      </c>
      <c r="C125" s="1" t="s">
        <v>791</v>
      </c>
      <c r="D125" s="1" t="s">
        <v>105</v>
      </c>
      <c r="E125" s="1" t="s">
        <v>102</v>
      </c>
      <c r="F125" s="2">
        <v>46204</v>
      </c>
      <c r="G125" s="2">
        <v>46206</v>
      </c>
      <c r="H125" s="4">
        <v>1</v>
      </c>
      <c r="I125" s="2">
        <v>46206</v>
      </c>
      <c r="J125" s="1" t="s">
        <v>53</v>
      </c>
      <c r="K125" s="1">
        <v>582</v>
      </c>
      <c r="L125" s="1">
        <v>584</v>
      </c>
      <c r="M125" s="1" t="s">
        <v>385</v>
      </c>
      <c r="N125" s="3">
        <v>46206</v>
      </c>
      <c r="P125" s="1" t="s">
        <v>180</v>
      </c>
      <c r="Q125" s="1" t="s">
        <v>55</v>
      </c>
      <c r="R125" s="1" t="s">
        <v>569</v>
      </c>
      <c r="S125" s="3">
        <v>46203</v>
      </c>
      <c r="T125" s="3">
        <v>46203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</row>
    <row r="126" spans="1:39" x14ac:dyDescent="0.25">
      <c r="A126" s="1">
        <v>587</v>
      </c>
      <c r="B126" s="1" t="s">
        <v>797</v>
      </c>
      <c r="C126" s="1" t="s">
        <v>798</v>
      </c>
      <c r="D126" s="1" t="s">
        <v>101</v>
      </c>
      <c r="E126" s="1" t="s">
        <v>682</v>
      </c>
      <c r="F126" s="2">
        <v>46191</v>
      </c>
      <c r="G126" s="2">
        <v>46203</v>
      </c>
      <c r="H126" s="4">
        <v>1</v>
      </c>
      <c r="I126" s="2">
        <v>46203</v>
      </c>
      <c r="J126" s="1" t="s">
        <v>53</v>
      </c>
      <c r="K126" s="1" t="s">
        <v>693</v>
      </c>
      <c r="L126" s="1">
        <v>588</v>
      </c>
      <c r="M126" s="1" t="s">
        <v>304</v>
      </c>
      <c r="N126" s="3">
        <v>46202</v>
      </c>
      <c r="P126" s="1" t="s">
        <v>73</v>
      </c>
      <c r="Q126" s="1" t="s">
        <v>55</v>
      </c>
      <c r="R126" s="1" t="s">
        <v>569</v>
      </c>
      <c r="S126" s="3">
        <v>46192</v>
      </c>
      <c r="T126" s="3">
        <v>46202</v>
      </c>
      <c r="AB126" s="1">
        <v>1</v>
      </c>
      <c r="AC126" s="1">
        <v>1</v>
      </c>
      <c r="AD126" s="1">
        <v>1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</v>
      </c>
    </row>
    <row r="127" spans="1:39" hidden="1" x14ac:dyDescent="0.25">
      <c r="A127" s="1">
        <v>588</v>
      </c>
      <c r="B127" s="1" t="s">
        <v>799</v>
      </c>
      <c r="C127" s="1" t="s">
        <v>798</v>
      </c>
      <c r="D127" s="1" t="s">
        <v>105</v>
      </c>
      <c r="E127" s="1" t="s">
        <v>102</v>
      </c>
      <c r="F127" s="2">
        <v>46204</v>
      </c>
      <c r="G127" s="2">
        <v>46206</v>
      </c>
      <c r="H127" s="4">
        <v>1</v>
      </c>
      <c r="I127" s="2">
        <v>46206</v>
      </c>
      <c r="J127" s="1" t="s">
        <v>53</v>
      </c>
      <c r="K127" s="1">
        <v>587</v>
      </c>
      <c r="L127" s="1">
        <v>589</v>
      </c>
      <c r="M127" s="1" t="s">
        <v>196</v>
      </c>
      <c r="N127" s="3">
        <v>46203</v>
      </c>
      <c r="P127" s="1" t="s">
        <v>180</v>
      </c>
      <c r="Q127" s="1" t="s">
        <v>55</v>
      </c>
      <c r="R127" s="1" t="s">
        <v>569</v>
      </c>
      <c r="S127" s="3">
        <v>46203</v>
      </c>
      <c r="T127" s="3">
        <v>46203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592</v>
      </c>
      <c r="B128" s="1" t="s">
        <v>804</v>
      </c>
      <c r="C128" s="1" t="s">
        <v>805</v>
      </c>
      <c r="D128" s="1" t="s">
        <v>101</v>
      </c>
      <c r="E128" s="1" t="s">
        <v>682</v>
      </c>
      <c r="F128" s="2">
        <v>46191</v>
      </c>
      <c r="G128" s="2">
        <v>46203</v>
      </c>
      <c r="H128" s="4">
        <v>1</v>
      </c>
      <c r="I128" s="2">
        <v>46203</v>
      </c>
      <c r="J128" s="1" t="s">
        <v>53</v>
      </c>
      <c r="K128" s="1" t="s">
        <v>693</v>
      </c>
      <c r="L128" s="1">
        <v>593</v>
      </c>
      <c r="M128" s="1" t="s">
        <v>284</v>
      </c>
      <c r="N128" s="3">
        <v>46203</v>
      </c>
      <c r="P128" s="1" t="s">
        <v>73</v>
      </c>
      <c r="Q128" s="1" t="s">
        <v>55</v>
      </c>
      <c r="R128" s="1" t="s">
        <v>569</v>
      </c>
      <c r="S128" s="3">
        <v>46195</v>
      </c>
      <c r="T128" s="3">
        <v>46203</v>
      </c>
      <c r="AB128" s="1">
        <v>1</v>
      </c>
      <c r="AC128" s="1">
        <v>1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</row>
    <row r="129" spans="1:39" hidden="1" x14ac:dyDescent="0.25">
      <c r="A129" s="1">
        <v>593</v>
      </c>
      <c r="B129" s="1" t="s">
        <v>806</v>
      </c>
      <c r="C129" s="1" t="s">
        <v>805</v>
      </c>
      <c r="D129" s="1" t="s">
        <v>105</v>
      </c>
      <c r="E129" s="1" t="s">
        <v>102</v>
      </c>
      <c r="F129" s="2">
        <v>46204</v>
      </c>
      <c r="G129" s="2">
        <v>46206</v>
      </c>
      <c r="H129" s="4">
        <v>1</v>
      </c>
      <c r="I129" s="2">
        <v>46206</v>
      </c>
      <c r="J129" s="1" t="s">
        <v>53</v>
      </c>
      <c r="K129" s="1">
        <v>592</v>
      </c>
      <c r="L129" s="1">
        <v>594</v>
      </c>
      <c r="M129" s="1" t="s">
        <v>404</v>
      </c>
      <c r="N129" s="3">
        <v>46204</v>
      </c>
      <c r="P129" s="1" t="s">
        <v>180</v>
      </c>
      <c r="Q129" s="1" t="s">
        <v>55</v>
      </c>
      <c r="R129" s="1" t="s">
        <v>569</v>
      </c>
      <c r="S129" s="3">
        <v>46204</v>
      </c>
      <c r="T129" s="3">
        <v>46204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597</v>
      </c>
      <c r="B130" s="1" t="s">
        <v>811</v>
      </c>
      <c r="C130" s="1" t="s">
        <v>812</v>
      </c>
      <c r="D130" s="1" t="s">
        <v>101</v>
      </c>
      <c r="E130" s="1" t="s">
        <v>682</v>
      </c>
      <c r="F130" s="2">
        <v>46191</v>
      </c>
      <c r="G130" s="2">
        <v>46203</v>
      </c>
      <c r="H130" s="4">
        <v>1</v>
      </c>
      <c r="I130" s="2">
        <v>46203</v>
      </c>
      <c r="J130" s="1" t="s">
        <v>53</v>
      </c>
      <c r="K130" s="1" t="s">
        <v>693</v>
      </c>
      <c r="L130" s="1">
        <v>598</v>
      </c>
      <c r="M130" s="1" t="s">
        <v>284</v>
      </c>
      <c r="N130" s="3">
        <v>46203</v>
      </c>
      <c r="P130" s="1" t="s">
        <v>73</v>
      </c>
      <c r="Q130" s="1" t="s">
        <v>55</v>
      </c>
      <c r="R130" s="1" t="s">
        <v>569</v>
      </c>
      <c r="S130" s="3">
        <v>46195</v>
      </c>
      <c r="T130" s="3">
        <v>46203</v>
      </c>
      <c r="AB130" s="1">
        <v>1</v>
      </c>
      <c r="AC130" s="1">
        <v>1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</row>
    <row r="131" spans="1:39" hidden="1" x14ac:dyDescent="0.25">
      <c r="A131" s="1">
        <v>598</v>
      </c>
      <c r="B131" s="1" t="s">
        <v>813</v>
      </c>
      <c r="C131" s="1" t="s">
        <v>812</v>
      </c>
      <c r="D131" s="1" t="s">
        <v>105</v>
      </c>
      <c r="E131" s="1" t="s">
        <v>102</v>
      </c>
      <c r="F131" s="2">
        <v>46204</v>
      </c>
      <c r="G131" s="2">
        <v>46206</v>
      </c>
      <c r="H131" s="4">
        <v>1</v>
      </c>
      <c r="I131" s="2">
        <v>46206</v>
      </c>
      <c r="J131" s="1" t="s">
        <v>53</v>
      </c>
      <c r="K131" s="1">
        <v>597</v>
      </c>
      <c r="L131" s="1">
        <v>599</v>
      </c>
      <c r="M131" s="1" t="s">
        <v>404</v>
      </c>
      <c r="N131" s="3">
        <v>46204</v>
      </c>
      <c r="P131" s="1" t="s">
        <v>180</v>
      </c>
      <c r="Q131" s="1" t="s">
        <v>55</v>
      </c>
      <c r="R131" s="1" t="s">
        <v>569</v>
      </c>
      <c r="S131" s="3">
        <v>46204</v>
      </c>
      <c r="T131" s="3">
        <v>46204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 x14ac:dyDescent="0.25">
      <c r="A132" s="1">
        <v>602</v>
      </c>
      <c r="B132" s="1" t="s">
        <v>818</v>
      </c>
      <c r="C132" s="1" t="s">
        <v>819</v>
      </c>
      <c r="D132" s="1" t="s">
        <v>101</v>
      </c>
      <c r="E132" s="1" t="s">
        <v>682</v>
      </c>
      <c r="F132" s="2">
        <v>46191</v>
      </c>
      <c r="G132" s="2">
        <v>46203</v>
      </c>
      <c r="H132" s="4">
        <v>1</v>
      </c>
      <c r="I132" s="2">
        <v>46203</v>
      </c>
      <c r="J132" s="1" t="s">
        <v>53</v>
      </c>
      <c r="K132" s="1" t="s">
        <v>693</v>
      </c>
      <c r="L132" s="1">
        <v>603</v>
      </c>
      <c r="M132" s="1" t="s">
        <v>304</v>
      </c>
      <c r="N132" s="3">
        <v>46202</v>
      </c>
      <c r="P132" s="1" t="s">
        <v>73</v>
      </c>
      <c r="Q132" s="1" t="s">
        <v>55</v>
      </c>
      <c r="R132" s="1" t="s">
        <v>569</v>
      </c>
      <c r="S132" s="3">
        <v>46192</v>
      </c>
      <c r="T132" s="3">
        <v>46202</v>
      </c>
      <c r="AB132" s="1">
        <v>1</v>
      </c>
      <c r="AC132" s="1">
        <v>1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</v>
      </c>
    </row>
    <row r="133" spans="1:39" hidden="1" x14ac:dyDescent="0.25">
      <c r="A133" s="1">
        <v>603</v>
      </c>
      <c r="B133" s="1" t="s">
        <v>820</v>
      </c>
      <c r="C133" s="1" t="s">
        <v>819</v>
      </c>
      <c r="D133" s="1" t="s">
        <v>105</v>
      </c>
      <c r="E133" s="1" t="s">
        <v>102</v>
      </c>
      <c r="F133" s="2">
        <v>46204</v>
      </c>
      <c r="G133" s="2">
        <v>46206</v>
      </c>
      <c r="H133" s="4">
        <v>1</v>
      </c>
      <c r="I133" s="2">
        <v>46206</v>
      </c>
      <c r="J133" s="1" t="s">
        <v>53</v>
      </c>
      <c r="K133" s="1">
        <v>602</v>
      </c>
      <c r="L133" s="1">
        <v>604</v>
      </c>
      <c r="M133" s="1" t="s">
        <v>196</v>
      </c>
      <c r="N133" s="3">
        <v>46203</v>
      </c>
      <c r="P133" s="1" t="s">
        <v>180</v>
      </c>
      <c r="Q133" s="1" t="s">
        <v>55</v>
      </c>
      <c r="R133" s="1" t="s">
        <v>569</v>
      </c>
      <c r="S133" s="3">
        <v>46203</v>
      </c>
      <c r="T133" s="3">
        <v>46203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x14ac:dyDescent="0.25">
      <c r="A134" s="1">
        <v>607</v>
      </c>
      <c r="B134" s="1" t="s">
        <v>825</v>
      </c>
      <c r="C134" s="1" t="s">
        <v>826</v>
      </c>
      <c r="D134" s="1" t="s">
        <v>101</v>
      </c>
      <c r="E134" s="1" t="s">
        <v>223</v>
      </c>
      <c r="F134" s="2">
        <v>46192</v>
      </c>
      <c r="G134" s="2">
        <v>46199</v>
      </c>
      <c r="H134" s="4">
        <v>1</v>
      </c>
      <c r="I134" s="2">
        <v>46199</v>
      </c>
      <c r="J134" s="1" t="s">
        <v>53</v>
      </c>
      <c r="K134" s="1" t="s">
        <v>693</v>
      </c>
      <c r="L134" s="1">
        <v>608</v>
      </c>
      <c r="M134" s="1" t="s">
        <v>304</v>
      </c>
      <c r="N134" s="3">
        <v>46202</v>
      </c>
      <c r="P134" s="1" t="s">
        <v>73</v>
      </c>
      <c r="Q134" s="1" t="s">
        <v>55</v>
      </c>
      <c r="R134" s="1" t="s">
        <v>569</v>
      </c>
      <c r="S134" s="3">
        <v>46192</v>
      </c>
      <c r="T134" s="3">
        <v>46202</v>
      </c>
      <c r="AB134" s="1">
        <v>1</v>
      </c>
      <c r="AC134" s="1">
        <v>1</v>
      </c>
      <c r="AD134" s="1">
        <v>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</row>
    <row r="135" spans="1:39" hidden="1" x14ac:dyDescent="0.25">
      <c r="A135" s="1">
        <v>608</v>
      </c>
      <c r="B135" s="1" t="s">
        <v>827</v>
      </c>
      <c r="C135" s="1" t="s">
        <v>826</v>
      </c>
      <c r="D135" s="1" t="s">
        <v>105</v>
      </c>
      <c r="E135" s="1" t="s">
        <v>116</v>
      </c>
      <c r="F135" s="2">
        <v>46202</v>
      </c>
      <c r="G135" s="2">
        <v>46203</v>
      </c>
      <c r="H135" s="4">
        <v>1</v>
      </c>
      <c r="I135" s="2">
        <v>46203</v>
      </c>
      <c r="J135" s="1" t="s">
        <v>53</v>
      </c>
      <c r="K135" s="1">
        <v>607</v>
      </c>
      <c r="L135" s="1">
        <v>609</v>
      </c>
      <c r="M135" s="1" t="s">
        <v>196</v>
      </c>
      <c r="N135" s="3">
        <v>46203</v>
      </c>
      <c r="P135" s="1" t="s">
        <v>180</v>
      </c>
      <c r="Q135" s="1" t="s">
        <v>55</v>
      </c>
      <c r="R135" s="1" t="s">
        <v>569</v>
      </c>
      <c r="S135" s="3">
        <v>46203</v>
      </c>
      <c r="T135" s="3">
        <v>46203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</row>
    <row r="136" spans="1:39" x14ac:dyDescent="0.25">
      <c r="A136" s="1">
        <v>612</v>
      </c>
      <c r="B136" s="1" t="s">
        <v>832</v>
      </c>
      <c r="C136" s="1" t="s">
        <v>833</v>
      </c>
      <c r="D136" s="1" t="s">
        <v>101</v>
      </c>
      <c r="E136" s="1" t="s">
        <v>297</v>
      </c>
      <c r="F136" s="2">
        <v>46191</v>
      </c>
      <c r="G136" s="2">
        <v>46199</v>
      </c>
      <c r="H136" s="4">
        <v>1</v>
      </c>
      <c r="I136" s="2">
        <v>46199</v>
      </c>
      <c r="J136" s="1" t="s">
        <v>53</v>
      </c>
      <c r="K136" s="1" t="s">
        <v>693</v>
      </c>
      <c r="L136" s="1">
        <v>613</v>
      </c>
      <c r="M136" s="1" t="s">
        <v>304</v>
      </c>
      <c r="N136" s="3">
        <v>46202</v>
      </c>
      <c r="P136" s="1" t="s">
        <v>73</v>
      </c>
      <c r="Q136" s="1" t="s">
        <v>55</v>
      </c>
      <c r="R136" s="1" t="s">
        <v>569</v>
      </c>
      <c r="S136" s="3">
        <v>46192</v>
      </c>
      <c r="T136" s="3">
        <v>46202</v>
      </c>
      <c r="AB136" s="1">
        <v>1</v>
      </c>
      <c r="AC136" s="1">
        <v>1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1</v>
      </c>
    </row>
    <row r="137" spans="1:39" x14ac:dyDescent="0.25">
      <c r="A137" s="1">
        <v>617</v>
      </c>
      <c r="B137" s="1" t="s">
        <v>839</v>
      </c>
      <c r="C137" s="1" t="s">
        <v>840</v>
      </c>
      <c r="D137" s="1" t="s">
        <v>101</v>
      </c>
      <c r="E137" s="1" t="s">
        <v>515</v>
      </c>
      <c r="F137" s="2">
        <v>46192</v>
      </c>
      <c r="G137" s="2">
        <v>46203</v>
      </c>
      <c r="H137" s="4">
        <v>1</v>
      </c>
      <c r="I137" s="2">
        <v>46203</v>
      </c>
      <c r="J137" s="1" t="s">
        <v>53</v>
      </c>
      <c r="K137" s="1" t="s">
        <v>693</v>
      </c>
      <c r="L137" s="1">
        <v>618</v>
      </c>
      <c r="M137" s="1" t="s">
        <v>304</v>
      </c>
      <c r="N137" s="3">
        <v>46202</v>
      </c>
      <c r="P137" s="1" t="s">
        <v>73</v>
      </c>
      <c r="Q137" s="1" t="s">
        <v>55</v>
      </c>
      <c r="R137" s="1" t="s">
        <v>569</v>
      </c>
      <c r="S137" s="3">
        <v>46192</v>
      </c>
      <c r="T137" s="3">
        <v>46202</v>
      </c>
      <c r="AB137" s="1">
        <v>1</v>
      </c>
      <c r="AC137" s="1">
        <v>1</v>
      </c>
      <c r="AD137" s="1">
        <v>1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1</v>
      </c>
    </row>
    <row r="138" spans="1:39" x14ac:dyDescent="0.25">
      <c r="A138" s="1">
        <v>622</v>
      </c>
      <c r="B138" s="1" t="s">
        <v>846</v>
      </c>
      <c r="C138" s="1" t="s">
        <v>847</v>
      </c>
      <c r="D138" s="1" t="s">
        <v>101</v>
      </c>
      <c r="E138" s="1" t="s">
        <v>848</v>
      </c>
      <c r="F138" s="2">
        <v>46203</v>
      </c>
      <c r="G138" s="2">
        <v>46211</v>
      </c>
      <c r="H138" s="4">
        <v>1</v>
      </c>
      <c r="I138" s="2">
        <v>46211</v>
      </c>
      <c r="J138" s="1" t="s">
        <v>53</v>
      </c>
      <c r="K138" s="1">
        <v>482</v>
      </c>
      <c r="L138" s="1">
        <v>623</v>
      </c>
      <c r="M138" s="1" t="s">
        <v>196</v>
      </c>
      <c r="N138" s="3">
        <v>46209</v>
      </c>
      <c r="P138" s="1" t="s">
        <v>180</v>
      </c>
      <c r="Q138" s="1" t="s">
        <v>55</v>
      </c>
      <c r="R138" s="1" t="s">
        <v>569</v>
      </c>
      <c r="S138" s="3">
        <v>46203</v>
      </c>
      <c r="T138" s="3">
        <v>46209</v>
      </c>
      <c r="AB138" s="1">
        <v>1</v>
      </c>
      <c r="AC138" s="1">
        <v>1</v>
      </c>
      <c r="AD138" s="1">
        <v>1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1</v>
      </c>
    </row>
    <row r="139" spans="1:39" x14ac:dyDescent="0.25">
      <c r="A139" s="1">
        <v>627</v>
      </c>
      <c r="B139" s="1" t="s">
        <v>855</v>
      </c>
      <c r="C139" s="1" t="s">
        <v>856</v>
      </c>
      <c r="D139" s="1" t="s">
        <v>101</v>
      </c>
      <c r="E139" s="1" t="s">
        <v>297</v>
      </c>
      <c r="F139" s="2">
        <v>46189</v>
      </c>
      <c r="G139" s="2">
        <v>46197</v>
      </c>
      <c r="H139" s="4">
        <v>1</v>
      </c>
      <c r="I139" s="2">
        <v>46197</v>
      </c>
      <c r="J139" s="1" t="s">
        <v>53</v>
      </c>
      <c r="L139" s="1">
        <v>628</v>
      </c>
      <c r="M139" s="1" t="s">
        <v>227</v>
      </c>
      <c r="N139" s="3">
        <v>46192</v>
      </c>
      <c r="P139" s="1" t="s">
        <v>73</v>
      </c>
      <c r="Q139" s="1" t="s">
        <v>55</v>
      </c>
      <c r="R139" s="1" t="s">
        <v>569</v>
      </c>
      <c r="S139" s="3">
        <v>46189</v>
      </c>
      <c r="T139" s="3">
        <v>46192</v>
      </c>
      <c r="AB139" s="1">
        <v>1</v>
      </c>
      <c r="AC139" s="1">
        <v>1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1</v>
      </c>
    </row>
    <row r="140" spans="1:39" x14ac:dyDescent="0.25">
      <c r="A140" s="1">
        <v>632</v>
      </c>
      <c r="B140" s="1" t="s">
        <v>862</v>
      </c>
      <c r="C140" s="1" t="s">
        <v>863</v>
      </c>
      <c r="D140" s="1" t="s">
        <v>101</v>
      </c>
      <c r="E140" s="1" t="s">
        <v>515</v>
      </c>
      <c r="F140" s="2">
        <v>46202</v>
      </c>
      <c r="G140" s="2">
        <v>46211</v>
      </c>
      <c r="H140" s="4">
        <v>1</v>
      </c>
      <c r="I140" s="2">
        <v>46211</v>
      </c>
      <c r="J140" s="1" t="s">
        <v>53</v>
      </c>
      <c r="L140" s="1">
        <v>633</v>
      </c>
      <c r="M140" s="1" t="s">
        <v>196</v>
      </c>
      <c r="N140" s="3">
        <v>46205</v>
      </c>
      <c r="P140" s="1" t="s">
        <v>73</v>
      </c>
      <c r="Q140" s="1" t="s">
        <v>55</v>
      </c>
      <c r="R140" s="1" t="s">
        <v>569</v>
      </c>
      <c r="S140" s="3">
        <v>46197</v>
      </c>
      <c r="T140" s="3">
        <v>46199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</row>
    <row r="141" spans="1:39" x14ac:dyDescent="0.25">
      <c r="A141" s="1">
        <v>638</v>
      </c>
      <c r="B141" s="1" t="s">
        <v>873</v>
      </c>
      <c r="C141" s="1" t="s">
        <v>874</v>
      </c>
      <c r="D141" s="1" t="s">
        <v>101</v>
      </c>
      <c r="E141" s="1" t="s">
        <v>223</v>
      </c>
      <c r="F141" s="2">
        <v>46205</v>
      </c>
      <c r="G141" s="2">
        <v>46216</v>
      </c>
      <c r="H141" s="4">
        <v>1</v>
      </c>
      <c r="I141" s="2">
        <v>46216</v>
      </c>
      <c r="J141" s="1" t="s">
        <v>53</v>
      </c>
      <c r="K141" s="1" t="s">
        <v>875</v>
      </c>
      <c r="L141" s="1" t="s">
        <v>876</v>
      </c>
      <c r="M141" s="1" t="s">
        <v>227</v>
      </c>
      <c r="N141" s="3">
        <v>46198</v>
      </c>
      <c r="P141" s="1" t="s">
        <v>180</v>
      </c>
      <c r="Q141" s="1" t="s">
        <v>55</v>
      </c>
      <c r="R141" s="1" t="s">
        <v>869</v>
      </c>
      <c r="S141" s="3">
        <v>46176</v>
      </c>
      <c r="T141" s="3">
        <v>46185</v>
      </c>
      <c r="AB141" s="1">
        <v>1</v>
      </c>
      <c r="AC141" s="1">
        <v>1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51"/>
  <sheetViews>
    <sheetView tabSelected="1" workbookViewId="0">
      <selection activeCell="D260" sqref="D260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0.7109375" style="1" bestFit="1" customWidth="1"/>
    <col min="5" max="5" width="12.7109375" style="1" bestFit="1" customWidth="1"/>
    <col min="6" max="6" width="10.7109375" style="2" bestFit="1" customWidth="1"/>
    <col min="7" max="7" width="13" style="2" bestFit="1" customWidth="1"/>
    <col min="8" max="8" width="16" style="4" bestFit="1" customWidth="1"/>
    <col min="9" max="9" width="16.85546875" style="1" bestFit="1" customWidth="1"/>
    <col min="10" max="10" width="12.42578125" style="1" bestFit="1" customWidth="1"/>
    <col min="11" max="11" width="18.42578125" style="1" bestFit="1" customWidth="1"/>
    <col min="12" max="12" width="37.5703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5</v>
      </c>
      <c r="B2" s="1" t="s">
        <v>62</v>
      </c>
      <c r="C2" s="1" t="s">
        <v>63</v>
      </c>
      <c r="D2" s="1" t="s">
        <v>64</v>
      </c>
      <c r="E2" s="1" t="s">
        <v>52</v>
      </c>
      <c r="F2" s="2">
        <v>46203</v>
      </c>
      <c r="G2" s="2">
        <v>46203</v>
      </c>
      <c r="H2" s="4">
        <v>0.7</v>
      </c>
      <c r="J2" s="1" t="s">
        <v>41</v>
      </c>
      <c r="L2" s="1" t="s">
        <v>65</v>
      </c>
      <c r="M2" s="1" t="s">
        <v>66</v>
      </c>
      <c r="N2" s="3">
        <v>46178</v>
      </c>
      <c r="P2" s="1" t="s">
        <v>67</v>
      </c>
      <c r="Q2" s="1" t="s">
        <v>55</v>
      </c>
      <c r="R2" s="1" t="s">
        <v>61</v>
      </c>
      <c r="S2" s="3">
        <v>46178</v>
      </c>
      <c r="T2" s="3">
        <v>46178</v>
      </c>
      <c r="AB2" s="1">
        <v>0.7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82</v>
      </c>
      <c r="B3" s="1" t="s">
        <v>173</v>
      </c>
      <c r="C3" s="1" t="s">
        <v>160</v>
      </c>
      <c r="D3" s="1" t="s">
        <v>174</v>
      </c>
      <c r="E3" s="1" t="s">
        <v>175</v>
      </c>
      <c r="F3" s="2">
        <v>46182</v>
      </c>
      <c r="G3" s="2">
        <v>46190</v>
      </c>
      <c r="H3" s="4">
        <v>0.5</v>
      </c>
      <c r="J3" s="1" t="s">
        <v>41</v>
      </c>
      <c r="M3" s="1" t="s">
        <v>172</v>
      </c>
      <c r="N3" s="3">
        <v>46183</v>
      </c>
      <c r="P3" s="1" t="s">
        <v>76</v>
      </c>
      <c r="Q3" s="1" t="s">
        <v>55</v>
      </c>
      <c r="R3" s="1" t="s">
        <v>158</v>
      </c>
      <c r="S3" s="3">
        <v>46168</v>
      </c>
      <c r="T3" s="3">
        <v>46176</v>
      </c>
      <c r="AB3" s="1">
        <v>0.5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84</v>
      </c>
      <c r="B4" s="1" t="s">
        <v>179</v>
      </c>
      <c r="C4" s="1" t="s">
        <v>177</v>
      </c>
      <c r="D4" s="1" t="s">
        <v>105</v>
      </c>
      <c r="E4" s="1" t="s">
        <v>52</v>
      </c>
      <c r="F4" s="2">
        <v>46188</v>
      </c>
      <c r="G4" s="2">
        <v>46188</v>
      </c>
      <c r="H4" s="4">
        <v>0</v>
      </c>
      <c r="J4" s="1" t="s">
        <v>41</v>
      </c>
      <c r="K4" s="1">
        <v>83</v>
      </c>
      <c r="L4" s="1">
        <v>85</v>
      </c>
      <c r="M4" s="1" t="s">
        <v>66</v>
      </c>
      <c r="N4" s="3">
        <v>46178</v>
      </c>
      <c r="P4" s="1" t="s">
        <v>180</v>
      </c>
      <c r="Q4" s="1" t="s">
        <v>55</v>
      </c>
      <c r="R4" s="1" t="s">
        <v>158</v>
      </c>
      <c r="S4" s="3">
        <v>46171</v>
      </c>
      <c r="T4" s="3">
        <v>46171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85</v>
      </c>
      <c r="B5" s="1" t="s">
        <v>181</v>
      </c>
      <c r="C5" s="1" t="s">
        <v>177</v>
      </c>
      <c r="D5" s="1" t="s">
        <v>109</v>
      </c>
      <c r="E5" s="1" t="s">
        <v>52</v>
      </c>
      <c r="F5" s="2">
        <v>46189</v>
      </c>
      <c r="G5" s="2">
        <v>46189</v>
      </c>
      <c r="H5" s="4">
        <v>0</v>
      </c>
      <c r="J5" s="1" t="s">
        <v>41</v>
      </c>
      <c r="K5" s="1">
        <v>84</v>
      </c>
      <c r="L5" s="1">
        <v>86</v>
      </c>
      <c r="M5" s="1" t="s">
        <v>149</v>
      </c>
      <c r="N5" s="3">
        <v>46182</v>
      </c>
      <c r="P5" s="1" t="s">
        <v>180</v>
      </c>
      <c r="Q5" s="1" t="s">
        <v>55</v>
      </c>
      <c r="R5" s="1" t="s">
        <v>158</v>
      </c>
      <c r="S5" s="3">
        <v>46174</v>
      </c>
      <c r="T5" s="3">
        <v>46175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</row>
    <row r="6" spans="1:39" x14ac:dyDescent="0.25">
      <c r="A6" s="1">
        <v>86</v>
      </c>
      <c r="B6" s="1" t="s">
        <v>182</v>
      </c>
      <c r="C6" s="1" t="s">
        <v>177</v>
      </c>
      <c r="D6" s="1" t="s">
        <v>115</v>
      </c>
      <c r="E6" s="1" t="s">
        <v>52</v>
      </c>
      <c r="F6" s="2">
        <v>46190</v>
      </c>
      <c r="G6" s="2">
        <v>46190</v>
      </c>
      <c r="H6" s="4">
        <v>0</v>
      </c>
      <c r="J6" s="1" t="s">
        <v>41</v>
      </c>
      <c r="K6" s="1">
        <v>85</v>
      </c>
      <c r="M6" s="1" t="s">
        <v>183</v>
      </c>
      <c r="N6" s="3">
        <v>46183</v>
      </c>
      <c r="P6" s="1" t="s">
        <v>67</v>
      </c>
      <c r="Q6" s="1" t="s">
        <v>55</v>
      </c>
      <c r="R6" s="1" t="s">
        <v>158</v>
      </c>
      <c r="S6" s="3">
        <v>46176</v>
      </c>
      <c r="T6" s="3">
        <v>46176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</row>
    <row r="7" spans="1:39" x14ac:dyDescent="0.25">
      <c r="A7" s="1">
        <v>117</v>
      </c>
      <c r="B7" s="1" t="s">
        <v>229</v>
      </c>
      <c r="C7" s="1" t="s">
        <v>160</v>
      </c>
      <c r="D7" s="1" t="s">
        <v>230</v>
      </c>
      <c r="E7" s="1" t="s">
        <v>231</v>
      </c>
      <c r="F7" s="2">
        <v>46185</v>
      </c>
      <c r="G7" s="2">
        <v>46211</v>
      </c>
      <c r="H7" s="4">
        <v>0.67</v>
      </c>
      <c r="J7" s="1" t="s">
        <v>232</v>
      </c>
      <c r="M7" s="1" t="s">
        <v>220</v>
      </c>
      <c r="N7" s="3">
        <v>46188</v>
      </c>
      <c r="P7" s="1" t="s">
        <v>76</v>
      </c>
      <c r="Q7" s="1" t="s">
        <v>55</v>
      </c>
      <c r="R7" s="1" t="s">
        <v>158</v>
      </c>
      <c r="S7" s="3">
        <v>46163</v>
      </c>
      <c r="T7" s="3">
        <v>46175</v>
      </c>
      <c r="AB7" s="1">
        <v>0.67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120</v>
      </c>
      <c r="B8" s="1" t="s">
        <v>238</v>
      </c>
      <c r="C8" s="1" t="s">
        <v>234</v>
      </c>
      <c r="D8" s="1" t="s">
        <v>109</v>
      </c>
      <c r="E8" s="1" t="s">
        <v>116</v>
      </c>
      <c r="F8" s="2">
        <v>46209</v>
      </c>
      <c r="G8" s="2">
        <v>46210</v>
      </c>
      <c r="H8" s="4">
        <v>0.5</v>
      </c>
      <c r="J8" s="1" t="s">
        <v>232</v>
      </c>
      <c r="K8" s="1">
        <v>119</v>
      </c>
      <c r="L8" s="1">
        <v>121</v>
      </c>
      <c r="M8" s="1" t="s">
        <v>153</v>
      </c>
      <c r="N8" s="3">
        <v>46185</v>
      </c>
      <c r="P8" s="1" t="s">
        <v>73</v>
      </c>
      <c r="Q8" s="1" t="s">
        <v>55</v>
      </c>
      <c r="R8" s="1" t="s">
        <v>158</v>
      </c>
      <c r="S8" s="3">
        <v>46171</v>
      </c>
      <c r="T8" s="3">
        <v>46174</v>
      </c>
      <c r="AB8" s="1">
        <v>0.5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121</v>
      </c>
      <c r="B9" s="1" t="s">
        <v>239</v>
      </c>
      <c r="C9" s="1" t="s">
        <v>234</v>
      </c>
      <c r="D9" s="1" t="s">
        <v>115</v>
      </c>
      <c r="E9" s="1" t="s">
        <v>52</v>
      </c>
      <c r="F9" s="2">
        <v>46211</v>
      </c>
      <c r="G9" s="2">
        <v>46211</v>
      </c>
      <c r="H9" s="4">
        <v>0</v>
      </c>
      <c r="J9" s="1" t="s">
        <v>83</v>
      </c>
      <c r="K9" s="1">
        <v>120</v>
      </c>
      <c r="M9" s="1" t="s">
        <v>225</v>
      </c>
      <c r="N9" s="3">
        <v>46188</v>
      </c>
      <c r="P9" s="1" t="s">
        <v>180</v>
      </c>
      <c r="Q9" s="1" t="s">
        <v>55</v>
      </c>
      <c r="R9" s="1" t="s">
        <v>158</v>
      </c>
      <c r="S9" s="3">
        <v>46175</v>
      </c>
      <c r="T9" s="3">
        <v>46175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122</v>
      </c>
      <c r="B10" s="1" t="s">
        <v>240</v>
      </c>
      <c r="C10" s="1" t="s">
        <v>160</v>
      </c>
      <c r="D10" s="1" t="s">
        <v>241</v>
      </c>
      <c r="E10" s="1" t="s">
        <v>231</v>
      </c>
      <c r="F10" s="2">
        <v>46185</v>
      </c>
      <c r="G10" s="2">
        <v>46211</v>
      </c>
      <c r="H10" s="4">
        <v>0.67</v>
      </c>
      <c r="J10" s="1" t="s">
        <v>232</v>
      </c>
      <c r="M10" s="1" t="s">
        <v>220</v>
      </c>
      <c r="N10" s="3">
        <v>46188</v>
      </c>
      <c r="P10" s="1" t="s">
        <v>76</v>
      </c>
      <c r="Q10" s="1" t="s">
        <v>55</v>
      </c>
      <c r="R10" s="1" t="s">
        <v>158</v>
      </c>
      <c r="S10" s="3">
        <v>46163</v>
      </c>
      <c r="T10" s="3">
        <v>46175</v>
      </c>
      <c r="U10" s="1" t="s">
        <v>77</v>
      </c>
      <c r="AB10" s="1">
        <v>0.67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125</v>
      </c>
      <c r="B11" s="1" t="s">
        <v>249</v>
      </c>
      <c r="C11" s="1" t="s">
        <v>243</v>
      </c>
      <c r="D11" s="1" t="s">
        <v>109</v>
      </c>
      <c r="E11" s="1" t="s">
        <v>116</v>
      </c>
      <c r="F11" s="2">
        <v>46209</v>
      </c>
      <c r="G11" s="2">
        <v>46210</v>
      </c>
      <c r="H11" s="4">
        <v>0.5</v>
      </c>
      <c r="J11" s="1" t="s">
        <v>232</v>
      </c>
      <c r="K11" s="1">
        <v>124</v>
      </c>
      <c r="L11" s="1">
        <v>126</v>
      </c>
      <c r="M11" s="1" t="s">
        <v>187</v>
      </c>
      <c r="N11" s="3">
        <v>46192</v>
      </c>
      <c r="P11" s="1" t="s">
        <v>73</v>
      </c>
      <c r="Q11" s="1" t="s">
        <v>55</v>
      </c>
      <c r="R11" s="1" t="s">
        <v>158</v>
      </c>
      <c r="S11" s="3">
        <v>46191</v>
      </c>
      <c r="T11" s="3">
        <v>46192</v>
      </c>
      <c r="AB11" s="1">
        <v>0.5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126</v>
      </c>
      <c r="B12" s="1" t="s">
        <v>250</v>
      </c>
      <c r="C12" s="1" t="s">
        <v>243</v>
      </c>
      <c r="D12" s="1" t="s">
        <v>115</v>
      </c>
      <c r="E12" s="1" t="s">
        <v>52</v>
      </c>
      <c r="F12" s="2">
        <v>46211</v>
      </c>
      <c r="G12" s="2">
        <v>46211</v>
      </c>
      <c r="H12" s="4">
        <v>0</v>
      </c>
      <c r="J12" s="1" t="s">
        <v>83</v>
      </c>
      <c r="K12" s="1">
        <v>125</v>
      </c>
      <c r="M12" s="1" t="s">
        <v>251</v>
      </c>
      <c r="N12" s="3">
        <v>46196</v>
      </c>
      <c r="P12" s="1" t="s">
        <v>180</v>
      </c>
      <c r="Q12" s="1" t="s">
        <v>55</v>
      </c>
      <c r="R12" s="1" t="s">
        <v>158</v>
      </c>
      <c r="S12" s="3">
        <v>46196</v>
      </c>
      <c r="T12" s="3">
        <v>46196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132</v>
      </c>
      <c r="B13" s="1" t="s">
        <v>264</v>
      </c>
      <c r="C13" s="1" t="s">
        <v>160</v>
      </c>
      <c r="D13" s="1" t="s">
        <v>265</v>
      </c>
      <c r="E13" s="1" t="s">
        <v>175</v>
      </c>
      <c r="F13" s="2">
        <v>46190</v>
      </c>
      <c r="G13" s="2">
        <v>46198</v>
      </c>
      <c r="H13" s="4">
        <v>0.5</v>
      </c>
      <c r="J13" s="1" t="s">
        <v>41</v>
      </c>
      <c r="M13" s="1" t="s">
        <v>183</v>
      </c>
      <c r="N13" s="3">
        <v>46191</v>
      </c>
      <c r="P13" s="1" t="s">
        <v>73</v>
      </c>
      <c r="Q13" s="1" t="s">
        <v>55</v>
      </c>
      <c r="R13" s="1" t="s">
        <v>158</v>
      </c>
      <c r="S13" s="3">
        <v>46170</v>
      </c>
      <c r="T13" s="3">
        <v>46178</v>
      </c>
      <c r="AB13" s="1">
        <v>0.5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134</v>
      </c>
      <c r="B14" s="1" t="s">
        <v>269</v>
      </c>
      <c r="C14" s="1" t="s">
        <v>267</v>
      </c>
      <c r="D14" s="1" t="s">
        <v>105</v>
      </c>
      <c r="E14" s="1" t="s">
        <v>52</v>
      </c>
      <c r="F14" s="2">
        <v>46195</v>
      </c>
      <c r="G14" s="2">
        <v>46195</v>
      </c>
      <c r="H14" s="4">
        <v>0.5</v>
      </c>
      <c r="J14" s="1" t="s">
        <v>41</v>
      </c>
      <c r="K14" s="1">
        <v>133</v>
      </c>
      <c r="L14" s="1">
        <v>135</v>
      </c>
      <c r="M14" s="1" t="s">
        <v>225</v>
      </c>
      <c r="N14" s="3">
        <v>46188</v>
      </c>
      <c r="P14" s="1" t="s">
        <v>180</v>
      </c>
      <c r="Q14" s="1" t="s">
        <v>55</v>
      </c>
      <c r="R14" s="1" t="s">
        <v>158</v>
      </c>
      <c r="S14" s="3">
        <v>46175</v>
      </c>
      <c r="T14" s="3">
        <v>46175</v>
      </c>
      <c r="AB14" s="1">
        <v>0.5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135</v>
      </c>
      <c r="B15" s="1" t="s">
        <v>270</v>
      </c>
      <c r="C15" s="1" t="s">
        <v>267</v>
      </c>
      <c r="D15" s="1" t="s">
        <v>109</v>
      </c>
      <c r="E15" s="1" t="s">
        <v>116</v>
      </c>
      <c r="F15" s="2">
        <v>46196</v>
      </c>
      <c r="G15" s="2">
        <v>46197</v>
      </c>
      <c r="H15" s="4">
        <v>0</v>
      </c>
      <c r="J15" s="1" t="s">
        <v>41</v>
      </c>
      <c r="K15" s="1">
        <v>134</v>
      </c>
      <c r="L15" s="1">
        <v>136</v>
      </c>
      <c r="M15" s="1" t="s">
        <v>227</v>
      </c>
      <c r="N15" s="3">
        <v>46190</v>
      </c>
      <c r="P15" s="1" t="s">
        <v>180</v>
      </c>
      <c r="Q15" s="1" t="s">
        <v>55</v>
      </c>
      <c r="R15" s="1" t="s">
        <v>158</v>
      </c>
      <c r="S15" s="3">
        <v>46176</v>
      </c>
      <c r="T15" s="3">
        <v>46177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</row>
    <row r="16" spans="1:39" x14ac:dyDescent="0.25">
      <c r="A16" s="1">
        <v>136</v>
      </c>
      <c r="B16" s="1" t="s">
        <v>271</v>
      </c>
      <c r="C16" s="1" t="s">
        <v>267</v>
      </c>
      <c r="D16" s="1" t="s">
        <v>115</v>
      </c>
      <c r="E16" s="1" t="s">
        <v>52</v>
      </c>
      <c r="F16" s="2">
        <v>46198</v>
      </c>
      <c r="G16" s="2">
        <v>46198</v>
      </c>
      <c r="H16" s="4">
        <v>0</v>
      </c>
      <c r="J16" s="1" t="s">
        <v>41</v>
      </c>
      <c r="K16" s="1">
        <v>135</v>
      </c>
      <c r="M16" s="1" t="s">
        <v>187</v>
      </c>
      <c r="N16" s="3">
        <v>46191</v>
      </c>
      <c r="P16" s="1" t="s">
        <v>180</v>
      </c>
      <c r="Q16" s="1" t="s">
        <v>55</v>
      </c>
      <c r="R16" s="1" t="s">
        <v>158</v>
      </c>
      <c r="S16" s="3">
        <v>46178</v>
      </c>
      <c r="T16" s="3">
        <v>46178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</row>
    <row r="17" spans="1:39" x14ac:dyDescent="0.25">
      <c r="A17" s="1">
        <v>137</v>
      </c>
      <c r="B17" s="1" t="s">
        <v>272</v>
      </c>
      <c r="C17" s="1" t="s">
        <v>160</v>
      </c>
      <c r="D17" s="1" t="s">
        <v>273</v>
      </c>
      <c r="E17" s="1" t="s">
        <v>175</v>
      </c>
      <c r="F17" s="2">
        <v>46190</v>
      </c>
      <c r="G17" s="2">
        <v>46198</v>
      </c>
      <c r="H17" s="4">
        <v>0.5</v>
      </c>
      <c r="J17" s="1" t="s">
        <v>41</v>
      </c>
      <c r="M17" s="1" t="s">
        <v>183</v>
      </c>
      <c r="N17" s="3">
        <v>46191</v>
      </c>
      <c r="P17" s="1" t="s">
        <v>73</v>
      </c>
      <c r="Q17" s="1" t="s">
        <v>55</v>
      </c>
      <c r="R17" s="1" t="s">
        <v>158</v>
      </c>
      <c r="S17" s="3">
        <v>46170</v>
      </c>
      <c r="T17" s="3">
        <v>46178</v>
      </c>
      <c r="AB17" s="1">
        <v>0.5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139</v>
      </c>
      <c r="B18" s="1" t="s">
        <v>276</v>
      </c>
      <c r="C18" s="1" t="s">
        <v>275</v>
      </c>
      <c r="D18" s="1" t="s">
        <v>105</v>
      </c>
      <c r="E18" s="1" t="s">
        <v>52</v>
      </c>
      <c r="F18" s="2">
        <v>46195</v>
      </c>
      <c r="G18" s="2">
        <v>46195</v>
      </c>
      <c r="H18" s="4">
        <v>0.5</v>
      </c>
      <c r="J18" s="1" t="s">
        <v>41</v>
      </c>
      <c r="K18" s="1">
        <v>138</v>
      </c>
      <c r="L18" s="1">
        <v>140</v>
      </c>
      <c r="M18" s="1" t="s">
        <v>225</v>
      </c>
      <c r="N18" s="3">
        <v>46188</v>
      </c>
      <c r="P18" s="1" t="s">
        <v>180</v>
      </c>
      <c r="Q18" s="1" t="s">
        <v>55</v>
      </c>
      <c r="R18" s="1" t="s">
        <v>158</v>
      </c>
      <c r="S18" s="3">
        <v>46175</v>
      </c>
      <c r="T18" s="3">
        <v>46175</v>
      </c>
      <c r="AB18" s="1">
        <v>0.5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140</v>
      </c>
      <c r="B19" s="1" t="s">
        <v>277</v>
      </c>
      <c r="C19" s="1" t="s">
        <v>275</v>
      </c>
      <c r="D19" s="1" t="s">
        <v>109</v>
      </c>
      <c r="E19" s="1" t="s">
        <v>116</v>
      </c>
      <c r="F19" s="2">
        <v>46196</v>
      </c>
      <c r="G19" s="2">
        <v>46197</v>
      </c>
      <c r="H19" s="4">
        <v>0</v>
      </c>
      <c r="J19" s="1" t="s">
        <v>41</v>
      </c>
      <c r="K19" s="1">
        <v>139</v>
      </c>
      <c r="L19" s="1">
        <v>141</v>
      </c>
      <c r="M19" s="1" t="s">
        <v>227</v>
      </c>
      <c r="N19" s="3">
        <v>46190</v>
      </c>
      <c r="P19" s="1" t="s">
        <v>180</v>
      </c>
      <c r="Q19" s="1" t="s">
        <v>55</v>
      </c>
      <c r="R19" s="1" t="s">
        <v>158</v>
      </c>
      <c r="S19" s="3">
        <v>46176</v>
      </c>
      <c r="T19" s="3">
        <v>46177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</row>
    <row r="20" spans="1:39" x14ac:dyDescent="0.25">
      <c r="A20" s="1">
        <v>141</v>
      </c>
      <c r="B20" s="1" t="s">
        <v>278</v>
      </c>
      <c r="C20" s="1" t="s">
        <v>275</v>
      </c>
      <c r="D20" s="1" t="s">
        <v>115</v>
      </c>
      <c r="E20" s="1" t="s">
        <v>52</v>
      </c>
      <c r="F20" s="2">
        <v>46198</v>
      </c>
      <c r="G20" s="2">
        <v>46198</v>
      </c>
      <c r="H20" s="4">
        <v>0</v>
      </c>
      <c r="J20" s="1" t="s">
        <v>41</v>
      </c>
      <c r="K20" s="1">
        <v>140</v>
      </c>
      <c r="M20" s="1" t="s">
        <v>187</v>
      </c>
      <c r="N20" s="3">
        <v>46191</v>
      </c>
      <c r="P20" s="1" t="s">
        <v>180</v>
      </c>
      <c r="Q20" s="1" t="s">
        <v>55</v>
      </c>
      <c r="R20" s="1" t="s">
        <v>158</v>
      </c>
      <c r="S20" s="3">
        <v>46178</v>
      </c>
      <c r="T20" s="3">
        <v>46178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0</v>
      </c>
    </row>
    <row r="21" spans="1:39" x14ac:dyDescent="0.25">
      <c r="A21" s="1">
        <v>142</v>
      </c>
      <c r="B21" s="1" t="s">
        <v>279</v>
      </c>
      <c r="C21" s="1" t="s">
        <v>160</v>
      </c>
      <c r="D21" s="1" t="s">
        <v>280</v>
      </c>
      <c r="E21" s="1" t="s">
        <v>175</v>
      </c>
      <c r="F21" s="2">
        <v>46190</v>
      </c>
      <c r="G21" s="2">
        <v>46198</v>
      </c>
      <c r="H21" s="4">
        <v>0.5</v>
      </c>
      <c r="J21" s="1" t="s">
        <v>41</v>
      </c>
      <c r="M21" s="1" t="s">
        <v>183</v>
      </c>
      <c r="N21" s="3">
        <v>46191</v>
      </c>
      <c r="P21" s="1" t="s">
        <v>73</v>
      </c>
      <c r="Q21" s="1" t="s">
        <v>55</v>
      </c>
      <c r="R21" s="1" t="s">
        <v>158</v>
      </c>
      <c r="S21" s="3">
        <v>46170</v>
      </c>
      <c r="T21" s="3">
        <v>46178</v>
      </c>
      <c r="U21" s="1" t="s">
        <v>77</v>
      </c>
      <c r="AB21" s="1">
        <v>0.5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x14ac:dyDescent="0.25">
      <c r="A22" s="1">
        <v>144</v>
      </c>
      <c r="B22" s="1" t="s">
        <v>283</v>
      </c>
      <c r="C22" s="1" t="s">
        <v>282</v>
      </c>
      <c r="D22" s="1" t="s">
        <v>105</v>
      </c>
      <c r="E22" s="1" t="s">
        <v>52</v>
      </c>
      <c r="F22" s="2">
        <v>46195</v>
      </c>
      <c r="G22" s="2">
        <v>46195</v>
      </c>
      <c r="H22" s="4">
        <v>0.5</v>
      </c>
      <c r="J22" s="1" t="s">
        <v>41</v>
      </c>
      <c r="K22" s="1">
        <v>143</v>
      </c>
      <c r="L22" s="1">
        <v>145</v>
      </c>
      <c r="M22" s="1" t="s">
        <v>284</v>
      </c>
      <c r="N22" s="3">
        <v>46195</v>
      </c>
      <c r="P22" s="1" t="s">
        <v>180</v>
      </c>
      <c r="Q22" s="1" t="s">
        <v>55</v>
      </c>
      <c r="R22" s="1" t="s">
        <v>158</v>
      </c>
      <c r="S22" s="3">
        <v>46195</v>
      </c>
      <c r="T22" s="3">
        <v>46195</v>
      </c>
      <c r="AB22" s="1">
        <v>0.5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145</v>
      </c>
      <c r="B23" s="1" t="s">
        <v>285</v>
      </c>
      <c r="C23" s="1" t="s">
        <v>282</v>
      </c>
      <c r="D23" s="1" t="s">
        <v>109</v>
      </c>
      <c r="E23" s="1" t="s">
        <v>116</v>
      </c>
      <c r="F23" s="2">
        <v>46196</v>
      </c>
      <c r="G23" s="2">
        <v>46197</v>
      </c>
      <c r="H23" s="4">
        <v>0</v>
      </c>
      <c r="J23" s="1" t="s">
        <v>41</v>
      </c>
      <c r="K23" s="1">
        <v>144</v>
      </c>
      <c r="L23" s="1">
        <v>146</v>
      </c>
      <c r="M23" s="1" t="s">
        <v>251</v>
      </c>
      <c r="N23" s="3">
        <v>46197</v>
      </c>
      <c r="P23" s="1" t="s">
        <v>180</v>
      </c>
      <c r="Q23" s="1" t="s">
        <v>55</v>
      </c>
      <c r="R23" s="1" t="s">
        <v>158</v>
      </c>
      <c r="S23" s="3">
        <v>46196</v>
      </c>
      <c r="T23" s="3">
        <v>46197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0</v>
      </c>
      <c r="AL23" s="1">
        <v>0</v>
      </c>
      <c r="AM23" s="1">
        <v>0</v>
      </c>
    </row>
    <row r="24" spans="1:39" x14ac:dyDescent="0.25">
      <c r="A24" s="1">
        <v>146</v>
      </c>
      <c r="B24" s="1" t="s">
        <v>286</v>
      </c>
      <c r="C24" s="1" t="s">
        <v>282</v>
      </c>
      <c r="D24" s="1" t="s">
        <v>115</v>
      </c>
      <c r="E24" s="1" t="s">
        <v>52</v>
      </c>
      <c r="F24" s="2">
        <v>46198</v>
      </c>
      <c r="G24" s="2">
        <v>46198</v>
      </c>
      <c r="H24" s="4">
        <v>0</v>
      </c>
      <c r="J24" s="1" t="s">
        <v>41</v>
      </c>
      <c r="K24" s="1">
        <v>145</v>
      </c>
      <c r="M24" s="1" t="s">
        <v>191</v>
      </c>
      <c r="N24" s="3">
        <v>46198</v>
      </c>
      <c r="P24" s="1" t="s">
        <v>180</v>
      </c>
      <c r="Q24" s="1" t="s">
        <v>55</v>
      </c>
      <c r="R24" s="1" t="s">
        <v>158</v>
      </c>
      <c r="S24" s="3">
        <v>46198</v>
      </c>
      <c r="T24" s="3">
        <v>46198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</row>
    <row r="25" spans="1:39" x14ac:dyDescent="0.25">
      <c r="A25" s="1">
        <v>147</v>
      </c>
      <c r="B25" s="1" t="s">
        <v>287</v>
      </c>
      <c r="C25" s="1" t="s">
        <v>50</v>
      </c>
      <c r="D25" s="1" t="s">
        <v>288</v>
      </c>
      <c r="E25" s="1" t="s">
        <v>289</v>
      </c>
      <c r="F25" s="2">
        <v>46181</v>
      </c>
      <c r="G25" s="2">
        <v>46210</v>
      </c>
      <c r="H25" s="4">
        <v>0.48</v>
      </c>
      <c r="J25" s="1" t="s">
        <v>41</v>
      </c>
      <c r="M25" s="1" t="s">
        <v>172</v>
      </c>
      <c r="N25" s="3">
        <v>46202</v>
      </c>
      <c r="P25" s="1" t="s">
        <v>76</v>
      </c>
      <c r="Q25" s="1" t="s">
        <v>55</v>
      </c>
      <c r="R25" s="1" t="s">
        <v>290</v>
      </c>
      <c r="S25" s="3">
        <v>46147</v>
      </c>
      <c r="T25" s="3">
        <v>46189</v>
      </c>
      <c r="AB25" s="1">
        <v>0.48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158</v>
      </c>
      <c r="B26" s="1" t="s">
        <v>291</v>
      </c>
      <c r="C26" s="1" t="s">
        <v>292</v>
      </c>
      <c r="D26" s="1" t="s">
        <v>293</v>
      </c>
      <c r="E26" s="1" t="s">
        <v>294</v>
      </c>
      <c r="F26" s="2">
        <v>46188</v>
      </c>
      <c r="G26" s="2">
        <v>46202</v>
      </c>
      <c r="H26" s="4">
        <v>0.64</v>
      </c>
      <c r="J26" s="1" t="s">
        <v>41</v>
      </c>
      <c r="M26" s="1" t="s">
        <v>172</v>
      </c>
      <c r="N26" s="3">
        <v>46183</v>
      </c>
      <c r="P26" s="1" t="s">
        <v>73</v>
      </c>
      <c r="Q26" s="1" t="s">
        <v>55</v>
      </c>
      <c r="R26" s="1" t="s">
        <v>290</v>
      </c>
      <c r="S26" s="3">
        <v>46162</v>
      </c>
      <c r="T26" s="3">
        <v>46170</v>
      </c>
      <c r="AB26" s="1">
        <v>0.64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160</v>
      </c>
      <c r="B27" s="1" t="s">
        <v>298</v>
      </c>
      <c r="C27" s="1" t="s">
        <v>296</v>
      </c>
      <c r="D27" s="1" t="s">
        <v>105</v>
      </c>
      <c r="E27" s="1" t="s">
        <v>52</v>
      </c>
      <c r="F27" s="2">
        <v>46197</v>
      </c>
      <c r="G27" s="2">
        <v>46197</v>
      </c>
      <c r="H27" s="4">
        <v>0</v>
      </c>
      <c r="J27" s="1" t="s">
        <v>41</v>
      </c>
      <c r="K27" s="1">
        <v>159</v>
      </c>
      <c r="L27" s="1" t="s">
        <v>299</v>
      </c>
      <c r="M27" s="1" t="s">
        <v>66</v>
      </c>
      <c r="N27" s="3">
        <v>46178</v>
      </c>
      <c r="P27" s="1" t="s">
        <v>180</v>
      </c>
      <c r="Q27" s="1" t="s">
        <v>55</v>
      </c>
      <c r="R27" s="1" t="s">
        <v>290</v>
      </c>
      <c r="S27" s="3">
        <v>46167</v>
      </c>
      <c r="T27" s="3">
        <v>46167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1">
        <v>161</v>
      </c>
      <c r="B28" s="1" t="s">
        <v>300</v>
      </c>
      <c r="C28" s="1" t="s">
        <v>296</v>
      </c>
      <c r="D28" s="1" t="s">
        <v>109</v>
      </c>
      <c r="E28" s="1" t="s">
        <v>116</v>
      </c>
      <c r="F28" s="2">
        <v>46198</v>
      </c>
      <c r="G28" s="2">
        <v>46199</v>
      </c>
      <c r="H28" s="4">
        <v>0</v>
      </c>
      <c r="J28" s="1" t="s">
        <v>41</v>
      </c>
      <c r="K28" s="1">
        <v>160</v>
      </c>
      <c r="L28" s="1">
        <v>162</v>
      </c>
      <c r="M28" s="1" t="s">
        <v>149</v>
      </c>
      <c r="N28" s="3">
        <v>46182</v>
      </c>
      <c r="P28" s="1" t="s">
        <v>180</v>
      </c>
      <c r="Q28" s="1" t="s">
        <v>55</v>
      </c>
      <c r="R28" s="1" t="s">
        <v>290</v>
      </c>
      <c r="S28" s="3">
        <v>46168</v>
      </c>
      <c r="T28" s="3">
        <v>46169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0</v>
      </c>
      <c r="AM28" s="1">
        <v>0</v>
      </c>
    </row>
    <row r="29" spans="1:39" x14ac:dyDescent="0.25">
      <c r="A29" s="1">
        <v>162</v>
      </c>
      <c r="B29" s="1" t="s">
        <v>301</v>
      </c>
      <c r="C29" s="1" t="s">
        <v>296</v>
      </c>
      <c r="D29" s="1" t="s">
        <v>115</v>
      </c>
      <c r="E29" s="1" t="s">
        <v>52</v>
      </c>
      <c r="F29" s="2">
        <v>46202</v>
      </c>
      <c r="G29" s="2">
        <v>46202</v>
      </c>
      <c r="H29" s="4">
        <v>0</v>
      </c>
      <c r="J29" s="1" t="s">
        <v>41</v>
      </c>
      <c r="K29" s="1">
        <v>161</v>
      </c>
      <c r="M29" s="1" t="s">
        <v>183</v>
      </c>
      <c r="N29" s="3">
        <v>46183</v>
      </c>
      <c r="P29" s="1" t="s">
        <v>180</v>
      </c>
      <c r="Q29" s="1" t="s">
        <v>55</v>
      </c>
      <c r="R29" s="1" t="s">
        <v>290</v>
      </c>
      <c r="S29" s="3">
        <v>46170</v>
      </c>
      <c r="T29" s="3">
        <v>46170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</v>
      </c>
      <c r="AM29" s="1">
        <v>0</v>
      </c>
    </row>
    <row r="30" spans="1:39" x14ac:dyDescent="0.25">
      <c r="A30" s="1">
        <v>178</v>
      </c>
      <c r="B30" s="1" t="s">
        <v>302</v>
      </c>
      <c r="C30" s="1" t="s">
        <v>292</v>
      </c>
      <c r="D30" s="1" t="s">
        <v>303</v>
      </c>
      <c r="E30" s="1" t="s">
        <v>162</v>
      </c>
      <c r="F30" s="2">
        <v>46195</v>
      </c>
      <c r="G30" s="2">
        <v>46204</v>
      </c>
      <c r="H30" s="4">
        <v>0.33</v>
      </c>
      <c r="J30" s="1" t="s">
        <v>41</v>
      </c>
      <c r="M30" s="1" t="s">
        <v>304</v>
      </c>
      <c r="N30" s="3">
        <v>46202</v>
      </c>
      <c r="P30" s="1" t="s">
        <v>180</v>
      </c>
      <c r="Q30" s="1" t="s">
        <v>55</v>
      </c>
      <c r="R30" s="1" t="s">
        <v>290</v>
      </c>
      <c r="S30" s="3">
        <v>46181</v>
      </c>
      <c r="T30" s="3">
        <v>46189</v>
      </c>
      <c r="AB30" s="1">
        <v>0.33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x14ac:dyDescent="0.25">
      <c r="A31" s="1">
        <v>180</v>
      </c>
      <c r="B31" s="1" t="s">
        <v>307</v>
      </c>
      <c r="C31" s="1" t="s">
        <v>306</v>
      </c>
      <c r="D31" s="1" t="s">
        <v>105</v>
      </c>
      <c r="E31" s="1" t="s">
        <v>52</v>
      </c>
      <c r="F31" s="2">
        <v>46199</v>
      </c>
      <c r="G31" s="2">
        <v>46199</v>
      </c>
      <c r="H31" s="4">
        <v>0</v>
      </c>
      <c r="J31" s="1" t="s">
        <v>41</v>
      </c>
      <c r="K31" s="1">
        <v>179</v>
      </c>
      <c r="L31" s="1">
        <v>181</v>
      </c>
      <c r="M31" s="1" t="s">
        <v>308</v>
      </c>
      <c r="N31" s="3">
        <v>46197</v>
      </c>
      <c r="P31" s="1" t="s">
        <v>180</v>
      </c>
      <c r="Q31" s="1" t="s">
        <v>55</v>
      </c>
      <c r="R31" s="1" t="s">
        <v>290</v>
      </c>
      <c r="S31" s="3">
        <v>46184</v>
      </c>
      <c r="T31" s="3">
        <v>46184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181</v>
      </c>
      <c r="B32" s="1" t="s">
        <v>309</v>
      </c>
      <c r="C32" s="1" t="s">
        <v>306</v>
      </c>
      <c r="D32" s="1" t="s">
        <v>109</v>
      </c>
      <c r="E32" s="1" t="s">
        <v>116</v>
      </c>
      <c r="F32" s="2">
        <v>46202</v>
      </c>
      <c r="G32" s="2">
        <v>46203</v>
      </c>
      <c r="H32" s="4">
        <v>0</v>
      </c>
      <c r="J32" s="1" t="s">
        <v>41</v>
      </c>
      <c r="K32" s="1">
        <v>180</v>
      </c>
      <c r="L32" s="1">
        <v>182</v>
      </c>
      <c r="M32" s="1" t="s">
        <v>191</v>
      </c>
      <c r="N32" s="3">
        <v>46199</v>
      </c>
      <c r="P32" s="1" t="s">
        <v>67</v>
      </c>
      <c r="Q32" s="1" t="s">
        <v>55</v>
      </c>
      <c r="R32" s="1" t="s">
        <v>290</v>
      </c>
      <c r="S32" s="3">
        <v>46185</v>
      </c>
      <c r="T32" s="3">
        <v>46188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  <c r="AK32" s="1">
        <v>0</v>
      </c>
      <c r="AL32" s="1">
        <v>0</v>
      </c>
      <c r="AM32" s="1">
        <v>0</v>
      </c>
    </row>
    <row r="33" spans="1:39" x14ac:dyDescent="0.25">
      <c r="A33" s="1">
        <v>182</v>
      </c>
      <c r="B33" s="1" t="s">
        <v>310</v>
      </c>
      <c r="C33" s="1" t="s">
        <v>306</v>
      </c>
      <c r="D33" s="1" t="s">
        <v>115</v>
      </c>
      <c r="E33" s="1" t="s">
        <v>52</v>
      </c>
      <c r="F33" s="2">
        <v>46204</v>
      </c>
      <c r="G33" s="2">
        <v>46204</v>
      </c>
      <c r="H33" s="4">
        <v>0</v>
      </c>
      <c r="J33" s="1" t="s">
        <v>41</v>
      </c>
      <c r="K33" s="1">
        <v>181</v>
      </c>
      <c r="M33" s="1" t="s">
        <v>311</v>
      </c>
      <c r="N33" s="3">
        <v>46202</v>
      </c>
      <c r="P33" s="1" t="s">
        <v>67</v>
      </c>
      <c r="Q33" s="1" t="s">
        <v>55</v>
      </c>
      <c r="R33" s="1" t="s">
        <v>290</v>
      </c>
      <c r="S33" s="3">
        <v>46189</v>
      </c>
      <c r="T33" s="3">
        <v>46189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</row>
    <row r="34" spans="1:39" x14ac:dyDescent="0.25">
      <c r="A34" s="1">
        <v>183</v>
      </c>
      <c r="B34" s="1" t="s">
        <v>312</v>
      </c>
      <c r="C34" s="1" t="s">
        <v>292</v>
      </c>
      <c r="D34" s="1" t="s">
        <v>313</v>
      </c>
      <c r="E34" s="1" t="s">
        <v>175</v>
      </c>
      <c r="F34" s="2">
        <v>46202</v>
      </c>
      <c r="G34" s="2">
        <v>46210</v>
      </c>
      <c r="H34" s="4">
        <v>0.43</v>
      </c>
      <c r="J34" s="1" t="s">
        <v>41</v>
      </c>
      <c r="M34" s="1" t="s">
        <v>172</v>
      </c>
      <c r="N34" s="3">
        <v>46183</v>
      </c>
      <c r="P34" s="1" t="s">
        <v>314</v>
      </c>
      <c r="Q34" s="1" t="s">
        <v>55</v>
      </c>
      <c r="R34" s="1" t="s">
        <v>290</v>
      </c>
      <c r="S34" s="3">
        <v>46162</v>
      </c>
      <c r="T34" s="3">
        <v>46170</v>
      </c>
      <c r="AB34" s="1">
        <v>0.43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1">
        <v>185</v>
      </c>
      <c r="B35" s="1" t="s">
        <v>319</v>
      </c>
      <c r="C35" s="1" t="s">
        <v>316</v>
      </c>
      <c r="D35" s="1" t="s">
        <v>105</v>
      </c>
      <c r="E35" s="1" t="s">
        <v>52</v>
      </c>
      <c r="F35" s="2">
        <v>46205</v>
      </c>
      <c r="G35" s="2">
        <v>46205</v>
      </c>
      <c r="H35" s="4">
        <v>0</v>
      </c>
      <c r="J35" s="1" t="s">
        <v>41</v>
      </c>
      <c r="K35" s="1">
        <v>184</v>
      </c>
      <c r="L35" s="1" t="s">
        <v>320</v>
      </c>
      <c r="M35" s="1" t="s">
        <v>66</v>
      </c>
      <c r="N35" s="3">
        <v>46178</v>
      </c>
      <c r="P35" s="1" t="s">
        <v>314</v>
      </c>
      <c r="Q35" s="1" t="s">
        <v>55</v>
      </c>
      <c r="R35" s="1" t="s">
        <v>290</v>
      </c>
      <c r="S35" s="3">
        <v>46167</v>
      </c>
      <c r="T35" s="3">
        <v>46167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186</v>
      </c>
      <c r="B36" s="1" t="s">
        <v>321</v>
      </c>
      <c r="C36" s="1" t="s">
        <v>316</v>
      </c>
      <c r="D36" s="1" t="s">
        <v>109</v>
      </c>
      <c r="E36" s="1" t="s">
        <v>116</v>
      </c>
      <c r="F36" s="2">
        <v>46206</v>
      </c>
      <c r="G36" s="2">
        <v>46209</v>
      </c>
      <c r="H36" s="4">
        <v>0</v>
      </c>
      <c r="J36" s="1" t="s">
        <v>41</v>
      </c>
      <c r="K36" s="1">
        <v>185</v>
      </c>
      <c r="L36" s="1">
        <v>187</v>
      </c>
      <c r="M36" s="1" t="s">
        <v>149</v>
      </c>
      <c r="N36" s="3">
        <v>46182</v>
      </c>
      <c r="P36" s="1" t="s">
        <v>314</v>
      </c>
      <c r="Q36" s="1" t="s">
        <v>55</v>
      </c>
      <c r="R36" s="1" t="s">
        <v>290</v>
      </c>
      <c r="S36" s="3">
        <v>46168</v>
      </c>
      <c r="T36" s="3">
        <v>46169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</row>
    <row r="37" spans="1:39" x14ac:dyDescent="0.25">
      <c r="A37" s="1">
        <v>187</v>
      </c>
      <c r="B37" s="1" t="s">
        <v>322</v>
      </c>
      <c r="C37" s="1" t="s">
        <v>316</v>
      </c>
      <c r="D37" s="1" t="s">
        <v>115</v>
      </c>
      <c r="E37" s="1" t="s">
        <v>52</v>
      </c>
      <c r="F37" s="2">
        <v>46210</v>
      </c>
      <c r="G37" s="2">
        <v>46210</v>
      </c>
      <c r="H37" s="4">
        <v>0</v>
      </c>
      <c r="J37" s="1" t="s">
        <v>232</v>
      </c>
      <c r="K37" s="1">
        <v>186</v>
      </c>
      <c r="M37" s="1" t="s">
        <v>183</v>
      </c>
      <c r="N37" s="3">
        <v>46183</v>
      </c>
      <c r="P37" s="1" t="s">
        <v>314</v>
      </c>
      <c r="Q37" s="1" t="s">
        <v>55</v>
      </c>
      <c r="R37" s="1" t="s">
        <v>290</v>
      </c>
      <c r="S37" s="3">
        <v>46170</v>
      </c>
      <c r="T37" s="3">
        <v>46170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x14ac:dyDescent="0.25">
      <c r="A38" s="1">
        <v>188</v>
      </c>
      <c r="B38" s="1" t="s">
        <v>323</v>
      </c>
      <c r="C38" s="1" t="s">
        <v>292</v>
      </c>
      <c r="D38" s="1" t="s">
        <v>324</v>
      </c>
      <c r="E38" s="1" t="s">
        <v>186</v>
      </c>
      <c r="F38" s="2">
        <v>46181</v>
      </c>
      <c r="G38" s="2">
        <v>46192</v>
      </c>
      <c r="H38" s="4">
        <v>0.38</v>
      </c>
      <c r="J38" s="1" t="s">
        <v>41</v>
      </c>
      <c r="M38" s="1" t="s">
        <v>149</v>
      </c>
      <c r="N38" s="3">
        <v>46198</v>
      </c>
      <c r="P38" s="1" t="s">
        <v>76</v>
      </c>
      <c r="Q38" s="1" t="s">
        <v>55</v>
      </c>
      <c r="R38" s="1" t="s">
        <v>290</v>
      </c>
      <c r="S38" s="3">
        <v>46157</v>
      </c>
      <c r="T38" s="3">
        <v>46176</v>
      </c>
      <c r="AB38" s="1">
        <v>0.38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x14ac:dyDescent="0.25">
      <c r="A39" s="1">
        <v>190</v>
      </c>
      <c r="B39" s="1" t="s">
        <v>328</v>
      </c>
      <c r="C39" s="1" t="s">
        <v>326</v>
      </c>
      <c r="D39" s="1" t="s">
        <v>105</v>
      </c>
      <c r="E39" s="1" t="s">
        <v>116</v>
      </c>
      <c r="F39" s="2">
        <v>46188</v>
      </c>
      <c r="G39" s="2">
        <v>46189</v>
      </c>
      <c r="H39" s="4">
        <v>0</v>
      </c>
      <c r="J39" s="1" t="s">
        <v>41</v>
      </c>
      <c r="K39" s="1">
        <v>189</v>
      </c>
      <c r="L39" s="1" t="s">
        <v>329</v>
      </c>
      <c r="M39" s="1" t="s">
        <v>284</v>
      </c>
      <c r="N39" s="3">
        <v>46195</v>
      </c>
      <c r="P39" s="1" t="s">
        <v>76</v>
      </c>
      <c r="Q39" s="1" t="s">
        <v>55</v>
      </c>
      <c r="R39" s="1" t="s">
        <v>290</v>
      </c>
      <c r="S39" s="3">
        <v>46171</v>
      </c>
      <c r="T39" s="3">
        <v>46171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191</v>
      </c>
      <c r="B40" s="1" t="s">
        <v>330</v>
      </c>
      <c r="C40" s="1" t="s">
        <v>326</v>
      </c>
      <c r="D40" s="1" t="s">
        <v>109</v>
      </c>
      <c r="E40" s="1" t="s">
        <v>116</v>
      </c>
      <c r="F40" s="2">
        <v>46190</v>
      </c>
      <c r="G40" s="2">
        <v>46191</v>
      </c>
      <c r="H40" s="4">
        <v>0</v>
      </c>
      <c r="J40" s="1" t="s">
        <v>41</v>
      </c>
      <c r="K40" s="1">
        <v>190</v>
      </c>
      <c r="L40" s="1">
        <v>192</v>
      </c>
      <c r="M40" s="1" t="s">
        <v>251</v>
      </c>
      <c r="N40" s="3">
        <v>46197</v>
      </c>
      <c r="P40" s="1" t="s">
        <v>76</v>
      </c>
      <c r="Q40" s="1" t="s">
        <v>55</v>
      </c>
      <c r="R40" s="1" t="s">
        <v>290</v>
      </c>
      <c r="S40" s="3">
        <v>46174</v>
      </c>
      <c r="T40" s="3">
        <v>46175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0</v>
      </c>
      <c r="AM40" s="1">
        <v>0</v>
      </c>
    </row>
    <row r="41" spans="1:39" x14ac:dyDescent="0.25">
      <c r="A41" s="1">
        <v>192</v>
      </c>
      <c r="B41" s="1" t="s">
        <v>331</v>
      </c>
      <c r="C41" s="1" t="s">
        <v>326</v>
      </c>
      <c r="D41" s="1" t="s">
        <v>115</v>
      </c>
      <c r="E41" s="1" t="s">
        <v>52</v>
      </c>
      <c r="F41" s="2">
        <v>46192</v>
      </c>
      <c r="G41" s="2">
        <v>46192</v>
      </c>
      <c r="H41" s="4">
        <v>0</v>
      </c>
      <c r="J41" s="1" t="s">
        <v>41</v>
      </c>
      <c r="K41" s="1">
        <v>191</v>
      </c>
      <c r="M41" s="1" t="s">
        <v>191</v>
      </c>
      <c r="N41" s="3">
        <v>46198</v>
      </c>
      <c r="P41" s="1" t="s">
        <v>76</v>
      </c>
      <c r="Q41" s="1" t="s">
        <v>55</v>
      </c>
      <c r="R41" s="1" t="s">
        <v>290</v>
      </c>
      <c r="S41" s="3">
        <v>46176</v>
      </c>
      <c r="T41" s="3">
        <v>46176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</row>
    <row r="42" spans="1:39" x14ac:dyDescent="0.25">
      <c r="A42" s="1">
        <v>198</v>
      </c>
      <c r="B42" s="1" t="s">
        <v>332</v>
      </c>
      <c r="C42" s="1" t="s">
        <v>292</v>
      </c>
      <c r="D42" s="1" t="s">
        <v>333</v>
      </c>
      <c r="E42" s="1" t="s">
        <v>334</v>
      </c>
      <c r="F42" s="2">
        <v>46196</v>
      </c>
      <c r="G42" s="2">
        <v>46205</v>
      </c>
      <c r="H42" s="4">
        <v>0.56000000000000005</v>
      </c>
      <c r="J42" s="1" t="s">
        <v>41</v>
      </c>
      <c r="L42" s="1">
        <v>154</v>
      </c>
      <c r="M42" s="1" t="s">
        <v>66</v>
      </c>
      <c r="N42" s="3">
        <v>46188</v>
      </c>
      <c r="P42" s="1" t="s">
        <v>180</v>
      </c>
      <c r="Q42" s="1" t="s">
        <v>55</v>
      </c>
      <c r="R42" s="1" t="s">
        <v>290</v>
      </c>
      <c r="S42" s="3">
        <v>46167</v>
      </c>
      <c r="T42" s="3">
        <v>46175</v>
      </c>
      <c r="AB42" s="1">
        <v>0.56000000000000005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200</v>
      </c>
      <c r="B43" s="1" t="s">
        <v>337</v>
      </c>
      <c r="C43" s="1" t="s">
        <v>336</v>
      </c>
      <c r="D43" s="1" t="s">
        <v>105</v>
      </c>
      <c r="E43" s="1" t="s">
        <v>52</v>
      </c>
      <c r="F43" s="2">
        <v>46199</v>
      </c>
      <c r="G43" s="2">
        <v>46202</v>
      </c>
      <c r="H43" s="4">
        <v>0.5</v>
      </c>
      <c r="J43" s="1" t="s">
        <v>41</v>
      </c>
      <c r="K43" s="1">
        <v>199</v>
      </c>
      <c r="L43" s="1">
        <v>201</v>
      </c>
      <c r="M43" s="1" t="s">
        <v>183</v>
      </c>
      <c r="N43" s="3">
        <v>46183</v>
      </c>
      <c r="P43" s="1" t="s">
        <v>180</v>
      </c>
      <c r="Q43" s="1" t="s">
        <v>55</v>
      </c>
      <c r="R43" s="1" t="s">
        <v>290</v>
      </c>
      <c r="S43" s="3">
        <v>46170</v>
      </c>
      <c r="T43" s="3">
        <v>46170</v>
      </c>
      <c r="AB43" s="1">
        <v>0.5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</row>
    <row r="44" spans="1:39" x14ac:dyDescent="0.25">
      <c r="A44" s="1">
        <v>201</v>
      </c>
      <c r="B44" s="1" t="s">
        <v>338</v>
      </c>
      <c r="C44" s="1" t="s">
        <v>336</v>
      </c>
      <c r="D44" s="1" t="s">
        <v>109</v>
      </c>
      <c r="E44" s="1" t="s">
        <v>116</v>
      </c>
      <c r="F44" s="2">
        <v>46202</v>
      </c>
      <c r="G44" s="2">
        <v>46204</v>
      </c>
      <c r="H44" s="4">
        <v>0</v>
      </c>
      <c r="J44" s="1" t="s">
        <v>41</v>
      </c>
      <c r="K44" s="1">
        <v>200</v>
      </c>
      <c r="L44" s="1">
        <v>202</v>
      </c>
      <c r="M44" s="1" t="s">
        <v>153</v>
      </c>
      <c r="N44" s="3">
        <v>46185</v>
      </c>
      <c r="P44" s="1" t="s">
        <v>67</v>
      </c>
      <c r="Q44" s="1" t="s">
        <v>55</v>
      </c>
      <c r="R44" s="1" t="s">
        <v>290</v>
      </c>
      <c r="S44" s="3">
        <v>46171</v>
      </c>
      <c r="T44" s="3">
        <v>46174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</row>
    <row r="45" spans="1:39" x14ac:dyDescent="0.25">
      <c r="A45" s="1">
        <v>202</v>
      </c>
      <c r="B45" s="1" t="s">
        <v>339</v>
      </c>
      <c r="C45" s="1" t="s">
        <v>336</v>
      </c>
      <c r="D45" s="1" t="s">
        <v>115</v>
      </c>
      <c r="E45" s="1" t="s">
        <v>52</v>
      </c>
      <c r="F45" s="2">
        <v>46204</v>
      </c>
      <c r="G45" s="2">
        <v>46205</v>
      </c>
      <c r="H45" s="4">
        <v>0</v>
      </c>
      <c r="J45" s="1" t="s">
        <v>41</v>
      </c>
      <c r="K45" s="1">
        <v>201</v>
      </c>
      <c r="M45" s="1" t="s">
        <v>225</v>
      </c>
      <c r="N45" s="3">
        <v>46188</v>
      </c>
      <c r="P45" s="1" t="s">
        <v>67</v>
      </c>
      <c r="Q45" s="1" t="s">
        <v>55</v>
      </c>
      <c r="R45" s="1" t="s">
        <v>290</v>
      </c>
      <c r="S45" s="3">
        <v>46175</v>
      </c>
      <c r="T45" s="3">
        <v>46175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</row>
    <row r="46" spans="1:39" x14ac:dyDescent="0.25">
      <c r="A46" s="1">
        <v>203</v>
      </c>
      <c r="B46" s="1" t="s">
        <v>340</v>
      </c>
      <c r="C46" s="1" t="s">
        <v>292</v>
      </c>
      <c r="D46" s="1" t="s">
        <v>341</v>
      </c>
      <c r="E46" s="1" t="s">
        <v>334</v>
      </c>
      <c r="F46" s="2">
        <v>46196</v>
      </c>
      <c r="G46" s="2">
        <v>46205</v>
      </c>
      <c r="H46" s="4">
        <v>0.56000000000000005</v>
      </c>
      <c r="J46" s="1" t="s">
        <v>41</v>
      </c>
      <c r="M46" s="1" t="s">
        <v>66</v>
      </c>
      <c r="N46" s="3">
        <v>46188</v>
      </c>
      <c r="P46" s="1" t="s">
        <v>180</v>
      </c>
      <c r="Q46" s="1" t="s">
        <v>55</v>
      </c>
      <c r="R46" s="1" t="s">
        <v>290</v>
      </c>
      <c r="S46" s="3">
        <v>46167</v>
      </c>
      <c r="T46" s="3">
        <v>46175</v>
      </c>
      <c r="AB46" s="1">
        <v>0.56000000000000005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205</v>
      </c>
      <c r="B47" s="1" t="s">
        <v>344</v>
      </c>
      <c r="C47" s="1" t="s">
        <v>343</v>
      </c>
      <c r="D47" s="1" t="s">
        <v>105</v>
      </c>
      <c r="E47" s="1" t="s">
        <v>52</v>
      </c>
      <c r="F47" s="2">
        <v>46199</v>
      </c>
      <c r="G47" s="2">
        <v>46202</v>
      </c>
      <c r="H47" s="4">
        <v>0.5</v>
      </c>
      <c r="J47" s="1" t="s">
        <v>41</v>
      </c>
      <c r="K47" s="1">
        <v>204</v>
      </c>
      <c r="L47" s="1">
        <v>206</v>
      </c>
      <c r="M47" s="1" t="s">
        <v>183</v>
      </c>
      <c r="N47" s="3">
        <v>46183</v>
      </c>
      <c r="P47" s="1" t="s">
        <v>180</v>
      </c>
      <c r="Q47" s="1" t="s">
        <v>55</v>
      </c>
      <c r="R47" s="1" t="s">
        <v>290</v>
      </c>
      <c r="S47" s="3">
        <v>46170</v>
      </c>
      <c r="T47" s="3">
        <v>46170</v>
      </c>
      <c r="AB47" s="1">
        <v>0.5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206</v>
      </c>
      <c r="B48" s="1" t="s">
        <v>345</v>
      </c>
      <c r="C48" s="1" t="s">
        <v>343</v>
      </c>
      <c r="D48" s="1" t="s">
        <v>109</v>
      </c>
      <c r="E48" s="1" t="s">
        <v>116</v>
      </c>
      <c r="F48" s="2">
        <v>46202</v>
      </c>
      <c r="G48" s="2">
        <v>46204</v>
      </c>
      <c r="H48" s="4">
        <v>0</v>
      </c>
      <c r="J48" s="1" t="s">
        <v>41</v>
      </c>
      <c r="K48" s="1">
        <v>205</v>
      </c>
      <c r="L48" s="1">
        <v>207</v>
      </c>
      <c r="M48" s="1" t="s">
        <v>153</v>
      </c>
      <c r="N48" s="3">
        <v>46185</v>
      </c>
      <c r="P48" s="1" t="s">
        <v>67</v>
      </c>
      <c r="Q48" s="1" t="s">
        <v>55</v>
      </c>
      <c r="R48" s="1" t="s">
        <v>290</v>
      </c>
      <c r="S48" s="3">
        <v>46171</v>
      </c>
      <c r="T48" s="3">
        <v>46174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s="1">
        <v>0</v>
      </c>
      <c r="AM48" s="1">
        <v>0</v>
      </c>
    </row>
    <row r="49" spans="1:39" x14ac:dyDescent="0.25">
      <c r="A49" s="1">
        <v>207</v>
      </c>
      <c r="B49" s="1" t="s">
        <v>346</v>
      </c>
      <c r="C49" s="1" t="s">
        <v>343</v>
      </c>
      <c r="D49" s="1" t="s">
        <v>115</v>
      </c>
      <c r="E49" s="1" t="s">
        <v>52</v>
      </c>
      <c r="F49" s="2">
        <v>46204</v>
      </c>
      <c r="G49" s="2">
        <v>46205</v>
      </c>
      <c r="H49" s="4">
        <v>0</v>
      </c>
      <c r="J49" s="1" t="s">
        <v>41</v>
      </c>
      <c r="K49" s="1">
        <v>206</v>
      </c>
      <c r="M49" s="1" t="s">
        <v>225</v>
      </c>
      <c r="N49" s="3">
        <v>46188</v>
      </c>
      <c r="P49" s="1" t="s">
        <v>67</v>
      </c>
      <c r="Q49" s="1" t="s">
        <v>55</v>
      </c>
      <c r="R49" s="1" t="s">
        <v>290</v>
      </c>
      <c r="S49" s="3">
        <v>46175</v>
      </c>
      <c r="T49" s="3">
        <v>46175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</v>
      </c>
      <c r="AM49" s="1">
        <v>0</v>
      </c>
    </row>
    <row r="50" spans="1:39" x14ac:dyDescent="0.25">
      <c r="A50" s="1">
        <v>208</v>
      </c>
      <c r="B50" s="1" t="s">
        <v>347</v>
      </c>
      <c r="C50" s="1" t="s">
        <v>292</v>
      </c>
      <c r="D50" s="1" t="s">
        <v>348</v>
      </c>
      <c r="E50" s="1" t="s">
        <v>334</v>
      </c>
      <c r="F50" s="2">
        <v>46196</v>
      </c>
      <c r="G50" s="2">
        <v>46205</v>
      </c>
      <c r="H50" s="4">
        <v>0.44</v>
      </c>
      <c r="J50" s="1" t="s">
        <v>41</v>
      </c>
      <c r="M50" s="1" t="s">
        <v>66</v>
      </c>
      <c r="N50" s="3">
        <v>46188</v>
      </c>
      <c r="P50" s="1" t="s">
        <v>180</v>
      </c>
      <c r="Q50" s="1" t="s">
        <v>55</v>
      </c>
      <c r="R50" s="1" t="s">
        <v>290</v>
      </c>
      <c r="S50" s="3">
        <v>46167</v>
      </c>
      <c r="T50" s="3">
        <v>46175</v>
      </c>
      <c r="AB50" s="1">
        <v>0.44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209</v>
      </c>
      <c r="B51" s="1" t="s">
        <v>349</v>
      </c>
      <c r="C51" s="1" t="s">
        <v>350</v>
      </c>
      <c r="D51" s="1" t="s">
        <v>101</v>
      </c>
      <c r="E51" s="1" t="s">
        <v>168</v>
      </c>
      <c r="F51" s="2">
        <v>46196</v>
      </c>
      <c r="G51" s="2">
        <v>46199</v>
      </c>
      <c r="H51" s="4">
        <v>0.75</v>
      </c>
      <c r="J51" s="1" t="s">
        <v>41</v>
      </c>
      <c r="K51" s="1">
        <v>160</v>
      </c>
      <c r="L51" s="1">
        <v>210</v>
      </c>
      <c r="M51" s="1" t="s">
        <v>66</v>
      </c>
      <c r="N51" s="3">
        <v>46182</v>
      </c>
      <c r="P51" s="1" t="s">
        <v>180</v>
      </c>
      <c r="Q51" s="1" t="s">
        <v>44</v>
      </c>
      <c r="R51" s="1" t="s">
        <v>290</v>
      </c>
      <c r="S51" s="3">
        <v>46167</v>
      </c>
      <c r="T51" s="3">
        <v>46169</v>
      </c>
      <c r="AB51" s="1">
        <v>0.75</v>
      </c>
      <c r="AC51" s="1">
        <v>1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210</v>
      </c>
      <c r="B52" s="1" t="s">
        <v>351</v>
      </c>
      <c r="C52" s="1" t="s">
        <v>350</v>
      </c>
      <c r="D52" s="1" t="s">
        <v>105</v>
      </c>
      <c r="E52" s="1" t="s">
        <v>52</v>
      </c>
      <c r="F52" s="2">
        <v>46199</v>
      </c>
      <c r="G52" s="2">
        <v>46202</v>
      </c>
      <c r="H52" s="4">
        <v>0.5</v>
      </c>
      <c r="J52" s="1" t="s">
        <v>41</v>
      </c>
      <c r="K52" s="1">
        <v>209</v>
      </c>
      <c r="L52" s="1">
        <v>211</v>
      </c>
      <c r="M52" s="1" t="s">
        <v>183</v>
      </c>
      <c r="N52" s="3">
        <v>46183</v>
      </c>
      <c r="P52" s="1" t="s">
        <v>180</v>
      </c>
      <c r="Q52" s="1" t="s">
        <v>55</v>
      </c>
      <c r="R52" s="1" t="s">
        <v>290</v>
      </c>
      <c r="S52" s="3">
        <v>46170</v>
      </c>
      <c r="T52" s="3">
        <v>46170</v>
      </c>
      <c r="AB52" s="1">
        <v>0.5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x14ac:dyDescent="0.25">
      <c r="A53" s="1">
        <v>211</v>
      </c>
      <c r="B53" s="1" t="s">
        <v>352</v>
      </c>
      <c r="C53" s="1" t="s">
        <v>350</v>
      </c>
      <c r="D53" s="1" t="s">
        <v>109</v>
      </c>
      <c r="E53" s="1" t="s">
        <v>116</v>
      </c>
      <c r="F53" s="2">
        <v>46202</v>
      </c>
      <c r="G53" s="2">
        <v>46204</v>
      </c>
      <c r="H53" s="4">
        <v>0</v>
      </c>
      <c r="J53" s="1" t="s">
        <v>41</v>
      </c>
      <c r="K53" s="1">
        <v>210</v>
      </c>
      <c r="L53" s="1">
        <v>212</v>
      </c>
      <c r="M53" s="1" t="s">
        <v>153</v>
      </c>
      <c r="N53" s="3">
        <v>46185</v>
      </c>
      <c r="P53" s="1" t="s">
        <v>67</v>
      </c>
      <c r="Q53" s="1" t="s">
        <v>55</v>
      </c>
      <c r="R53" s="1" t="s">
        <v>290</v>
      </c>
      <c r="S53" s="3">
        <v>46171</v>
      </c>
      <c r="T53" s="3">
        <v>46174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0</v>
      </c>
      <c r="AM53" s="1">
        <v>0</v>
      </c>
    </row>
    <row r="54" spans="1:39" x14ac:dyDescent="0.25">
      <c r="A54" s="1">
        <v>212</v>
      </c>
      <c r="B54" s="1" t="s">
        <v>353</v>
      </c>
      <c r="C54" s="1" t="s">
        <v>350</v>
      </c>
      <c r="D54" s="1" t="s">
        <v>115</v>
      </c>
      <c r="E54" s="1" t="s">
        <v>52</v>
      </c>
      <c r="F54" s="2">
        <v>46204</v>
      </c>
      <c r="G54" s="2">
        <v>46205</v>
      </c>
      <c r="H54" s="4">
        <v>0</v>
      </c>
      <c r="J54" s="1" t="s">
        <v>41</v>
      </c>
      <c r="K54" s="1">
        <v>211</v>
      </c>
      <c r="M54" s="1" t="s">
        <v>225</v>
      </c>
      <c r="N54" s="3">
        <v>46188</v>
      </c>
      <c r="P54" s="1" t="s">
        <v>67</v>
      </c>
      <c r="Q54" s="1" t="s">
        <v>55</v>
      </c>
      <c r="R54" s="1" t="s">
        <v>290</v>
      </c>
      <c r="S54" s="3">
        <v>46175</v>
      </c>
      <c r="T54" s="3">
        <v>46175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0</v>
      </c>
    </row>
    <row r="55" spans="1:39" x14ac:dyDescent="0.25">
      <c r="A55" s="1">
        <v>228</v>
      </c>
      <c r="B55" s="1" t="s">
        <v>354</v>
      </c>
      <c r="C55" s="1" t="s">
        <v>292</v>
      </c>
      <c r="D55" s="1" t="s">
        <v>355</v>
      </c>
      <c r="E55" s="1" t="s">
        <v>175</v>
      </c>
      <c r="F55" s="2">
        <v>46202</v>
      </c>
      <c r="G55" s="2">
        <v>46210</v>
      </c>
      <c r="H55" s="4">
        <v>0.43</v>
      </c>
      <c r="J55" s="1" t="s">
        <v>41</v>
      </c>
      <c r="M55" s="1" t="s">
        <v>66</v>
      </c>
      <c r="N55" s="3">
        <v>46188</v>
      </c>
      <c r="P55" s="1" t="s">
        <v>180</v>
      </c>
      <c r="Q55" s="1" t="s">
        <v>55</v>
      </c>
      <c r="R55" s="1" t="s">
        <v>290</v>
      </c>
      <c r="S55" s="3">
        <v>46167</v>
      </c>
      <c r="T55" s="3">
        <v>46175</v>
      </c>
      <c r="AB55" s="1">
        <v>0.43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230</v>
      </c>
      <c r="B56" s="1" t="s">
        <v>359</v>
      </c>
      <c r="C56" s="1" t="s">
        <v>357</v>
      </c>
      <c r="D56" s="1" t="s">
        <v>105</v>
      </c>
      <c r="E56" s="1" t="s">
        <v>52</v>
      </c>
      <c r="F56" s="2">
        <v>46205</v>
      </c>
      <c r="G56" s="2">
        <v>46205</v>
      </c>
      <c r="H56" s="4">
        <v>0</v>
      </c>
      <c r="J56" s="1" t="s">
        <v>41</v>
      </c>
      <c r="K56" s="1">
        <v>229</v>
      </c>
      <c r="L56" s="1">
        <v>231</v>
      </c>
      <c r="M56" s="1" t="s">
        <v>183</v>
      </c>
      <c r="N56" s="3">
        <v>46183</v>
      </c>
      <c r="P56" s="1" t="s">
        <v>67</v>
      </c>
      <c r="Q56" s="1" t="s">
        <v>55</v>
      </c>
      <c r="R56" s="1" t="s">
        <v>290</v>
      </c>
      <c r="S56" s="3">
        <v>46170</v>
      </c>
      <c r="T56" s="3">
        <v>46170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231</v>
      </c>
      <c r="B57" s="1" t="s">
        <v>360</v>
      </c>
      <c r="C57" s="1" t="s">
        <v>357</v>
      </c>
      <c r="D57" s="1" t="s">
        <v>109</v>
      </c>
      <c r="E57" s="1" t="s">
        <v>116</v>
      </c>
      <c r="F57" s="2">
        <v>46206</v>
      </c>
      <c r="G57" s="2">
        <v>46209</v>
      </c>
      <c r="H57" s="4">
        <v>0</v>
      </c>
      <c r="J57" s="1" t="s">
        <v>41</v>
      </c>
      <c r="K57" s="1">
        <v>230</v>
      </c>
      <c r="L57" s="1">
        <v>232</v>
      </c>
      <c r="M57" s="1" t="s">
        <v>153</v>
      </c>
      <c r="N57" s="3">
        <v>46185</v>
      </c>
      <c r="P57" s="1" t="s">
        <v>67</v>
      </c>
      <c r="Q57" s="1" t="s">
        <v>55</v>
      </c>
      <c r="R57" s="1" t="s">
        <v>290</v>
      </c>
      <c r="S57" s="3">
        <v>46171</v>
      </c>
      <c r="T57" s="3">
        <v>46174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</row>
    <row r="58" spans="1:39" x14ac:dyDescent="0.25">
      <c r="A58" s="1">
        <v>232</v>
      </c>
      <c r="B58" s="1" t="s">
        <v>361</v>
      </c>
      <c r="C58" s="1" t="s">
        <v>357</v>
      </c>
      <c r="D58" s="1" t="s">
        <v>115</v>
      </c>
      <c r="E58" s="1" t="s">
        <v>52</v>
      </c>
      <c r="F58" s="2">
        <v>46210</v>
      </c>
      <c r="G58" s="2">
        <v>46210</v>
      </c>
      <c r="H58" s="4">
        <v>0</v>
      </c>
      <c r="J58" s="1" t="s">
        <v>232</v>
      </c>
      <c r="K58" s="1">
        <v>231</v>
      </c>
      <c r="M58" s="1" t="s">
        <v>225</v>
      </c>
      <c r="N58" s="3">
        <v>46188</v>
      </c>
      <c r="P58" s="1" t="s">
        <v>67</v>
      </c>
      <c r="Q58" s="1" t="s">
        <v>55</v>
      </c>
      <c r="R58" s="1" t="s">
        <v>290</v>
      </c>
      <c r="S58" s="3">
        <v>46175</v>
      </c>
      <c r="T58" s="3">
        <v>46175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1">
        <v>244</v>
      </c>
      <c r="B59" s="1" t="s">
        <v>366</v>
      </c>
      <c r="C59" s="1" t="s">
        <v>367</v>
      </c>
      <c r="D59" s="1" t="s">
        <v>368</v>
      </c>
      <c r="E59" s="1" t="s">
        <v>369</v>
      </c>
      <c r="F59" s="2">
        <v>46192</v>
      </c>
      <c r="G59" s="2">
        <v>46199</v>
      </c>
      <c r="H59" s="4">
        <v>0</v>
      </c>
      <c r="J59" s="1" t="s">
        <v>41</v>
      </c>
      <c r="M59" s="1" t="s">
        <v>153</v>
      </c>
      <c r="N59" s="3">
        <v>46196</v>
      </c>
      <c r="P59" s="1" t="s">
        <v>180</v>
      </c>
      <c r="Q59" s="1" t="s">
        <v>55</v>
      </c>
      <c r="R59" s="1" t="s">
        <v>365</v>
      </c>
      <c r="S59" s="3">
        <v>46176</v>
      </c>
      <c r="T59" s="3">
        <v>46188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x14ac:dyDescent="0.25">
      <c r="A60" s="1">
        <v>245</v>
      </c>
      <c r="B60" s="1" t="s">
        <v>370</v>
      </c>
      <c r="C60" s="1" t="s">
        <v>371</v>
      </c>
      <c r="D60" s="1" t="s">
        <v>101</v>
      </c>
      <c r="E60" s="1" t="s">
        <v>102</v>
      </c>
      <c r="F60" s="2">
        <v>46192</v>
      </c>
      <c r="G60" s="2">
        <v>46196</v>
      </c>
      <c r="H60" s="4">
        <v>0</v>
      </c>
      <c r="J60" s="1" t="s">
        <v>41</v>
      </c>
      <c r="K60" s="1" t="s">
        <v>372</v>
      </c>
      <c r="L60" s="1" t="s">
        <v>373</v>
      </c>
      <c r="M60" s="1" t="s">
        <v>153</v>
      </c>
      <c r="N60" s="3">
        <v>46190</v>
      </c>
      <c r="P60" s="1" t="s">
        <v>180</v>
      </c>
      <c r="Q60" s="1" t="s">
        <v>55</v>
      </c>
      <c r="R60" s="1" t="s">
        <v>365</v>
      </c>
      <c r="S60" s="3">
        <v>46176</v>
      </c>
      <c r="T60" s="3">
        <v>46182</v>
      </c>
      <c r="AB60" s="1">
        <v>0</v>
      </c>
      <c r="AC60" s="1">
        <v>1</v>
      </c>
      <c r="AD60" s="1">
        <v>0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246</v>
      </c>
      <c r="B61" s="1" t="s">
        <v>374</v>
      </c>
      <c r="C61" s="1" t="s">
        <v>371</v>
      </c>
      <c r="D61" s="1" t="s">
        <v>105</v>
      </c>
      <c r="E61" s="1" t="s">
        <v>52</v>
      </c>
      <c r="F61" s="2">
        <v>46197</v>
      </c>
      <c r="G61" s="2">
        <v>46197</v>
      </c>
      <c r="H61" s="4">
        <v>0</v>
      </c>
      <c r="J61" s="1" t="s">
        <v>41</v>
      </c>
      <c r="K61" s="1">
        <v>245</v>
      </c>
      <c r="L61" s="1" t="s">
        <v>375</v>
      </c>
      <c r="M61" s="1" t="s">
        <v>187</v>
      </c>
      <c r="N61" s="3">
        <v>46191</v>
      </c>
      <c r="P61" s="1" t="s">
        <v>67</v>
      </c>
      <c r="Q61" s="1" t="s">
        <v>55</v>
      </c>
      <c r="R61" s="1" t="s">
        <v>365</v>
      </c>
      <c r="S61" s="3">
        <v>46183</v>
      </c>
      <c r="T61" s="3">
        <v>46183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247</v>
      </c>
      <c r="B62" s="1" t="s">
        <v>376</v>
      </c>
      <c r="C62" s="1" t="s">
        <v>371</v>
      </c>
      <c r="D62" s="1" t="s">
        <v>109</v>
      </c>
      <c r="E62" s="1" t="s">
        <v>52</v>
      </c>
      <c r="F62" s="2">
        <v>46198</v>
      </c>
      <c r="G62" s="2">
        <v>46198</v>
      </c>
      <c r="H62" s="4">
        <v>0</v>
      </c>
      <c r="J62" s="1" t="s">
        <v>41</v>
      </c>
      <c r="K62" s="1">
        <v>246</v>
      </c>
      <c r="L62" s="1">
        <v>248</v>
      </c>
      <c r="M62" s="1" t="s">
        <v>304</v>
      </c>
      <c r="N62" s="3">
        <v>46195</v>
      </c>
      <c r="P62" s="1" t="s">
        <v>67</v>
      </c>
      <c r="Q62" s="1" t="s">
        <v>55</v>
      </c>
      <c r="R62" s="1" t="s">
        <v>365</v>
      </c>
      <c r="S62" s="3">
        <v>46184</v>
      </c>
      <c r="T62" s="3">
        <v>46185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</row>
    <row r="63" spans="1:39" x14ac:dyDescent="0.25">
      <c r="A63" s="1">
        <v>248</v>
      </c>
      <c r="B63" s="1" t="s">
        <v>377</v>
      </c>
      <c r="C63" s="1" t="s">
        <v>371</v>
      </c>
      <c r="D63" s="1" t="s">
        <v>115</v>
      </c>
      <c r="E63" s="1" t="s">
        <v>52</v>
      </c>
      <c r="F63" s="2">
        <v>46199</v>
      </c>
      <c r="G63" s="2">
        <v>46199</v>
      </c>
      <c r="H63" s="4">
        <v>0</v>
      </c>
      <c r="J63" s="1" t="s">
        <v>41</v>
      </c>
      <c r="K63" s="1">
        <v>247</v>
      </c>
      <c r="M63" s="1" t="s">
        <v>251</v>
      </c>
      <c r="N63" s="3">
        <v>46196</v>
      </c>
      <c r="P63" s="1" t="s">
        <v>67</v>
      </c>
      <c r="Q63" s="1" t="s">
        <v>55</v>
      </c>
      <c r="R63" s="1" t="s">
        <v>365</v>
      </c>
      <c r="S63" s="3">
        <v>46188</v>
      </c>
      <c r="T63" s="3">
        <v>46188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</row>
    <row r="64" spans="1:39" x14ac:dyDescent="0.25">
      <c r="A64" s="1">
        <v>259</v>
      </c>
      <c r="B64" s="1" t="s">
        <v>388</v>
      </c>
      <c r="C64" s="1" t="s">
        <v>367</v>
      </c>
      <c r="D64" s="1" t="s">
        <v>389</v>
      </c>
      <c r="E64" s="1" t="s">
        <v>390</v>
      </c>
      <c r="F64" s="2">
        <v>46191</v>
      </c>
      <c r="G64" s="2">
        <v>46197</v>
      </c>
      <c r="H64" s="4">
        <v>0.4</v>
      </c>
      <c r="J64" s="1" t="s">
        <v>41</v>
      </c>
      <c r="M64" s="1" t="s">
        <v>153</v>
      </c>
      <c r="N64" s="3">
        <v>46192</v>
      </c>
      <c r="P64" s="1" t="s">
        <v>73</v>
      </c>
      <c r="Q64" s="1" t="s">
        <v>55</v>
      </c>
      <c r="R64" s="1" t="s">
        <v>365</v>
      </c>
      <c r="S64" s="3">
        <v>46171</v>
      </c>
      <c r="T64" s="3">
        <v>46181</v>
      </c>
      <c r="AB64" s="1">
        <v>0.4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1">
        <v>261</v>
      </c>
      <c r="B65" s="1" t="s">
        <v>395</v>
      </c>
      <c r="C65" s="1" t="s">
        <v>392</v>
      </c>
      <c r="D65" s="1" t="s">
        <v>105</v>
      </c>
      <c r="E65" s="1" t="s">
        <v>52</v>
      </c>
      <c r="F65" s="2">
        <v>46195</v>
      </c>
      <c r="G65" s="2">
        <v>46195</v>
      </c>
      <c r="H65" s="4">
        <v>0</v>
      </c>
      <c r="J65" s="1" t="s">
        <v>41</v>
      </c>
      <c r="K65" s="1">
        <v>260</v>
      </c>
      <c r="L65" s="1">
        <v>262</v>
      </c>
      <c r="M65" s="1" t="s">
        <v>227</v>
      </c>
      <c r="N65" s="3">
        <v>46189</v>
      </c>
      <c r="P65" s="1" t="s">
        <v>180</v>
      </c>
      <c r="Q65" s="1" t="s">
        <v>55</v>
      </c>
      <c r="R65" s="1" t="s">
        <v>365</v>
      </c>
      <c r="S65" s="3">
        <v>46176</v>
      </c>
      <c r="T65" s="3">
        <v>46176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262</v>
      </c>
      <c r="B66" s="1" t="s">
        <v>396</v>
      </c>
      <c r="C66" s="1" t="s">
        <v>392</v>
      </c>
      <c r="D66" s="1" t="s">
        <v>109</v>
      </c>
      <c r="E66" s="1" t="s">
        <v>52</v>
      </c>
      <c r="F66" s="2">
        <v>46196</v>
      </c>
      <c r="G66" s="2">
        <v>46196</v>
      </c>
      <c r="H66" s="4">
        <v>0</v>
      </c>
      <c r="J66" s="1" t="s">
        <v>41</v>
      </c>
      <c r="K66" s="1">
        <v>261</v>
      </c>
      <c r="L66" s="1">
        <v>263</v>
      </c>
      <c r="M66" s="1" t="s">
        <v>248</v>
      </c>
      <c r="N66" s="3">
        <v>46191</v>
      </c>
      <c r="P66" s="1" t="s">
        <v>180</v>
      </c>
      <c r="Q66" s="1" t="s">
        <v>55</v>
      </c>
      <c r="R66" s="1" t="s">
        <v>365</v>
      </c>
      <c r="S66" s="3">
        <v>46177</v>
      </c>
      <c r="T66" s="3">
        <v>46178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</row>
    <row r="67" spans="1:39" x14ac:dyDescent="0.25">
      <c r="A67" s="1">
        <v>263</v>
      </c>
      <c r="B67" s="1" t="s">
        <v>397</v>
      </c>
      <c r="C67" s="1" t="s">
        <v>392</v>
      </c>
      <c r="D67" s="1" t="s">
        <v>115</v>
      </c>
      <c r="E67" s="1" t="s">
        <v>52</v>
      </c>
      <c r="F67" s="2">
        <v>46197</v>
      </c>
      <c r="G67" s="2">
        <v>46197</v>
      </c>
      <c r="H67" s="4">
        <v>0</v>
      </c>
      <c r="J67" s="1" t="s">
        <v>41</v>
      </c>
      <c r="K67" s="1">
        <v>262</v>
      </c>
      <c r="M67" s="1" t="s">
        <v>304</v>
      </c>
      <c r="N67" s="3">
        <v>46192</v>
      </c>
      <c r="P67" s="1" t="s">
        <v>180</v>
      </c>
      <c r="Q67" s="1" t="s">
        <v>55</v>
      </c>
      <c r="R67" s="1" t="s">
        <v>365</v>
      </c>
      <c r="S67" s="3">
        <v>46181</v>
      </c>
      <c r="T67" s="3">
        <v>46181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0</v>
      </c>
    </row>
    <row r="68" spans="1:39" x14ac:dyDescent="0.25">
      <c r="A68" s="1">
        <v>264</v>
      </c>
      <c r="B68" s="1" t="s">
        <v>398</v>
      </c>
      <c r="C68" s="1" t="s">
        <v>367</v>
      </c>
      <c r="D68" s="1" t="s">
        <v>399</v>
      </c>
      <c r="E68" s="1" t="s">
        <v>369</v>
      </c>
      <c r="F68" s="2">
        <v>46203</v>
      </c>
      <c r="G68" s="2">
        <v>46210</v>
      </c>
      <c r="H68" s="4">
        <v>0.5</v>
      </c>
      <c r="J68" s="1" t="s">
        <v>41</v>
      </c>
      <c r="M68" s="1" t="s">
        <v>251</v>
      </c>
      <c r="N68" s="3">
        <v>46206</v>
      </c>
      <c r="P68" s="1" t="s">
        <v>67</v>
      </c>
      <c r="Q68" s="1" t="s">
        <v>55</v>
      </c>
      <c r="R68" s="1" t="s">
        <v>365</v>
      </c>
      <c r="S68" s="3">
        <v>46188</v>
      </c>
      <c r="T68" s="3">
        <v>46198</v>
      </c>
      <c r="AB68" s="1">
        <v>0.5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266</v>
      </c>
      <c r="B69" s="1" t="s">
        <v>402</v>
      </c>
      <c r="C69" s="1" t="s">
        <v>401</v>
      </c>
      <c r="D69" s="1" t="s">
        <v>105</v>
      </c>
      <c r="E69" s="1" t="s">
        <v>52</v>
      </c>
      <c r="F69" s="2">
        <v>46206</v>
      </c>
      <c r="G69" s="2">
        <v>46206</v>
      </c>
      <c r="H69" s="4">
        <v>0</v>
      </c>
      <c r="J69" s="1" t="s">
        <v>41</v>
      </c>
      <c r="K69" s="1">
        <v>265</v>
      </c>
      <c r="L69" s="1">
        <v>267</v>
      </c>
      <c r="M69" s="1" t="s">
        <v>196</v>
      </c>
      <c r="N69" s="3">
        <v>46203</v>
      </c>
      <c r="P69" s="1" t="s">
        <v>67</v>
      </c>
      <c r="Q69" s="1" t="s">
        <v>55</v>
      </c>
      <c r="R69" s="1" t="s">
        <v>365</v>
      </c>
      <c r="S69" s="3">
        <v>46195</v>
      </c>
      <c r="T69" s="3">
        <v>46195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x14ac:dyDescent="0.25">
      <c r="A70" s="1">
        <v>267</v>
      </c>
      <c r="B70" s="1" t="s">
        <v>403</v>
      </c>
      <c r="C70" s="1" t="s">
        <v>401</v>
      </c>
      <c r="D70" s="1" t="s">
        <v>109</v>
      </c>
      <c r="E70" s="1" t="s">
        <v>52</v>
      </c>
      <c r="F70" s="2">
        <v>46209</v>
      </c>
      <c r="G70" s="2">
        <v>46209</v>
      </c>
      <c r="H70" s="4">
        <v>0</v>
      </c>
      <c r="J70" s="1" t="s">
        <v>41</v>
      </c>
      <c r="K70" s="1">
        <v>266</v>
      </c>
      <c r="L70" s="1">
        <v>268</v>
      </c>
      <c r="M70" s="1" t="s">
        <v>404</v>
      </c>
      <c r="N70" s="3">
        <v>46205</v>
      </c>
      <c r="P70" s="1" t="s">
        <v>194</v>
      </c>
      <c r="Q70" s="1" t="s">
        <v>55</v>
      </c>
      <c r="R70" s="1" t="s">
        <v>365</v>
      </c>
      <c r="S70" s="3">
        <v>46196</v>
      </c>
      <c r="T70" s="3">
        <v>46197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0</v>
      </c>
      <c r="AL70" s="1">
        <v>0</v>
      </c>
      <c r="AM70" s="1">
        <v>0</v>
      </c>
    </row>
    <row r="71" spans="1:39" x14ac:dyDescent="0.25">
      <c r="A71" s="1">
        <v>268</v>
      </c>
      <c r="B71" s="1" t="s">
        <v>405</v>
      </c>
      <c r="C71" s="1" t="s">
        <v>401</v>
      </c>
      <c r="D71" s="1" t="s">
        <v>115</v>
      </c>
      <c r="E71" s="1" t="s">
        <v>52</v>
      </c>
      <c r="F71" s="2">
        <v>46210</v>
      </c>
      <c r="G71" s="2">
        <v>46210</v>
      </c>
      <c r="H71" s="4">
        <v>0</v>
      </c>
      <c r="J71" s="1" t="s">
        <v>232</v>
      </c>
      <c r="K71" s="1">
        <v>267</v>
      </c>
      <c r="M71" s="1" t="s">
        <v>385</v>
      </c>
      <c r="N71" s="3">
        <v>46206</v>
      </c>
      <c r="P71" s="1" t="s">
        <v>194</v>
      </c>
      <c r="Q71" s="1" t="s">
        <v>55</v>
      </c>
      <c r="R71" s="1" t="s">
        <v>365</v>
      </c>
      <c r="S71" s="3">
        <v>46198</v>
      </c>
      <c r="T71" s="3">
        <v>46198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301</v>
      </c>
      <c r="B72" s="1" t="s">
        <v>442</v>
      </c>
      <c r="C72" s="1" t="s">
        <v>443</v>
      </c>
      <c r="D72" s="1" t="s">
        <v>101</v>
      </c>
      <c r="E72" s="1" t="s">
        <v>102</v>
      </c>
      <c r="F72" s="2">
        <v>46209</v>
      </c>
      <c r="G72" s="2">
        <v>46211</v>
      </c>
      <c r="H72" s="4">
        <v>0</v>
      </c>
      <c r="J72" s="1" t="s">
        <v>41</v>
      </c>
      <c r="K72" s="1" t="s">
        <v>444</v>
      </c>
      <c r="L72" s="1">
        <v>302</v>
      </c>
      <c r="M72" s="1" t="s">
        <v>245</v>
      </c>
      <c r="N72" s="3">
        <v>46191</v>
      </c>
      <c r="P72" s="1" t="s">
        <v>180</v>
      </c>
      <c r="Q72" s="1" t="s">
        <v>55</v>
      </c>
      <c r="R72" s="1" t="s">
        <v>438</v>
      </c>
      <c r="S72" s="3">
        <v>46185</v>
      </c>
      <c r="T72" s="3">
        <v>46191</v>
      </c>
      <c r="AB72" s="1">
        <v>0</v>
      </c>
      <c r="AC72" s="1">
        <v>1</v>
      </c>
      <c r="AD72" s="1">
        <v>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305</v>
      </c>
      <c r="B73" s="1" t="s">
        <v>448</v>
      </c>
      <c r="C73" s="1" t="s">
        <v>440</v>
      </c>
      <c r="D73" s="1" t="s">
        <v>449</v>
      </c>
      <c r="E73" s="1" t="s">
        <v>450</v>
      </c>
      <c r="F73" s="2">
        <v>46175</v>
      </c>
      <c r="G73" s="2">
        <v>46210</v>
      </c>
      <c r="H73" s="4">
        <v>0.79</v>
      </c>
      <c r="J73" s="1" t="s">
        <v>41</v>
      </c>
      <c r="M73" s="1" t="s">
        <v>172</v>
      </c>
      <c r="N73" s="3">
        <v>46183</v>
      </c>
      <c r="P73" s="1" t="s">
        <v>119</v>
      </c>
      <c r="Q73" s="1" t="s">
        <v>55</v>
      </c>
      <c r="R73" s="1" t="s">
        <v>438</v>
      </c>
      <c r="S73" s="3">
        <v>46163</v>
      </c>
      <c r="T73" s="3">
        <v>46171</v>
      </c>
      <c r="AB73" s="1">
        <v>0.79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308</v>
      </c>
      <c r="B74" s="1" t="s">
        <v>456</v>
      </c>
      <c r="C74" s="1" t="s">
        <v>452</v>
      </c>
      <c r="D74" s="1" t="s">
        <v>109</v>
      </c>
      <c r="E74" s="1" t="s">
        <v>52</v>
      </c>
      <c r="F74" s="2">
        <v>46209</v>
      </c>
      <c r="G74" s="2">
        <v>46210</v>
      </c>
      <c r="H74" s="4">
        <v>0.5</v>
      </c>
      <c r="J74" s="1" t="s">
        <v>232</v>
      </c>
      <c r="K74" s="1">
        <v>307</v>
      </c>
      <c r="L74" s="1" t="s">
        <v>457</v>
      </c>
      <c r="M74" s="1" t="s">
        <v>149</v>
      </c>
      <c r="N74" s="3">
        <v>46182</v>
      </c>
      <c r="P74" s="1" t="s">
        <v>76</v>
      </c>
      <c r="Q74" s="1" t="s">
        <v>55</v>
      </c>
      <c r="R74" s="1" t="s">
        <v>438</v>
      </c>
      <c r="S74" s="3">
        <v>46169</v>
      </c>
      <c r="T74" s="3">
        <v>46170</v>
      </c>
      <c r="AB74" s="1">
        <v>0.5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x14ac:dyDescent="0.25">
      <c r="A75" s="1">
        <v>309</v>
      </c>
      <c r="B75" s="1" t="s">
        <v>458</v>
      </c>
      <c r="C75" s="1" t="s">
        <v>452</v>
      </c>
      <c r="D75" s="1" t="s">
        <v>115</v>
      </c>
      <c r="E75" s="1" t="s">
        <v>52</v>
      </c>
      <c r="F75" s="2">
        <v>46209</v>
      </c>
      <c r="G75" s="2">
        <v>46210</v>
      </c>
      <c r="H75" s="4">
        <v>0</v>
      </c>
      <c r="J75" s="1" t="s">
        <v>41</v>
      </c>
      <c r="K75" s="1" t="s">
        <v>459</v>
      </c>
      <c r="M75" s="1" t="s">
        <v>183</v>
      </c>
      <c r="N75" s="3">
        <v>46183</v>
      </c>
      <c r="P75" s="1" t="s">
        <v>76</v>
      </c>
      <c r="Q75" s="1" t="s">
        <v>55</v>
      </c>
      <c r="R75" s="1" t="s">
        <v>438</v>
      </c>
      <c r="S75" s="3">
        <v>46171</v>
      </c>
      <c r="T75" s="3">
        <v>46171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</row>
    <row r="76" spans="1:39" x14ac:dyDescent="0.25">
      <c r="A76" s="1">
        <v>315</v>
      </c>
      <c r="B76" s="1" t="s">
        <v>460</v>
      </c>
      <c r="C76" s="1" t="s">
        <v>440</v>
      </c>
      <c r="D76" s="1" t="s">
        <v>461</v>
      </c>
      <c r="E76" s="1" t="s">
        <v>390</v>
      </c>
      <c r="F76" s="2">
        <v>46170</v>
      </c>
      <c r="G76" s="2">
        <v>46176</v>
      </c>
      <c r="H76" s="4">
        <v>0.75</v>
      </c>
      <c r="J76" s="1" t="s">
        <v>41</v>
      </c>
      <c r="M76" s="1" t="s">
        <v>135</v>
      </c>
      <c r="N76" s="3">
        <v>46178</v>
      </c>
      <c r="P76" s="1" t="s">
        <v>136</v>
      </c>
      <c r="Q76" s="1" t="s">
        <v>55</v>
      </c>
      <c r="R76" s="1" t="s">
        <v>438</v>
      </c>
      <c r="S76" s="3">
        <v>46160</v>
      </c>
      <c r="T76" s="3">
        <v>46168</v>
      </c>
      <c r="AB76" s="1">
        <v>0.75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318</v>
      </c>
      <c r="B77" s="1" t="s">
        <v>466</v>
      </c>
      <c r="C77" s="1" t="s">
        <v>463</v>
      </c>
      <c r="D77" s="1" t="s">
        <v>109</v>
      </c>
      <c r="E77" s="1" t="s">
        <v>52</v>
      </c>
      <c r="F77" s="2">
        <v>46176</v>
      </c>
      <c r="G77" s="2">
        <v>46176</v>
      </c>
      <c r="H77" s="4">
        <v>0.5</v>
      </c>
      <c r="J77" s="1" t="s">
        <v>41</v>
      </c>
      <c r="K77" s="1">
        <v>317</v>
      </c>
      <c r="L77" s="1" t="s">
        <v>467</v>
      </c>
      <c r="M77" s="1" t="s">
        <v>220</v>
      </c>
      <c r="N77" s="3">
        <v>46177</v>
      </c>
      <c r="P77" s="1" t="s">
        <v>119</v>
      </c>
      <c r="Q77" s="1" t="s">
        <v>55</v>
      </c>
      <c r="R77" s="1" t="s">
        <v>438</v>
      </c>
      <c r="S77" s="3">
        <v>46164</v>
      </c>
      <c r="T77" s="3">
        <v>46167</v>
      </c>
      <c r="AB77" s="1">
        <v>0.5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s="1">
        <v>0</v>
      </c>
      <c r="AM77" s="1">
        <v>0</v>
      </c>
    </row>
    <row r="78" spans="1:39" x14ac:dyDescent="0.25">
      <c r="A78" s="1">
        <v>319</v>
      </c>
      <c r="B78" s="1" t="s">
        <v>468</v>
      </c>
      <c r="C78" s="1" t="s">
        <v>463</v>
      </c>
      <c r="D78" s="1" t="s">
        <v>115</v>
      </c>
      <c r="E78" s="1" t="s">
        <v>52</v>
      </c>
      <c r="F78" s="2">
        <v>46176</v>
      </c>
      <c r="G78" s="2">
        <v>46176</v>
      </c>
      <c r="H78" s="4">
        <v>0</v>
      </c>
      <c r="J78" s="1" t="s">
        <v>41</v>
      </c>
      <c r="K78" s="1" t="s">
        <v>469</v>
      </c>
      <c r="M78" s="1" t="s">
        <v>66</v>
      </c>
      <c r="N78" s="3">
        <v>46178</v>
      </c>
      <c r="P78" s="1" t="s">
        <v>119</v>
      </c>
      <c r="Q78" s="1" t="s">
        <v>55</v>
      </c>
      <c r="R78" s="1" t="s">
        <v>438</v>
      </c>
      <c r="S78" s="3">
        <v>46168</v>
      </c>
      <c r="T78" s="3">
        <v>46168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</row>
    <row r="79" spans="1:39" x14ac:dyDescent="0.25">
      <c r="A79" s="1">
        <v>335</v>
      </c>
      <c r="B79" s="1" t="s">
        <v>491</v>
      </c>
      <c r="C79" s="1" t="s">
        <v>440</v>
      </c>
      <c r="D79" s="1" t="s">
        <v>492</v>
      </c>
      <c r="E79" s="1" t="s">
        <v>390</v>
      </c>
      <c r="F79" s="2">
        <v>46204</v>
      </c>
      <c r="G79" s="2">
        <v>46210</v>
      </c>
      <c r="H79" s="4">
        <v>0.5</v>
      </c>
      <c r="J79" s="1" t="s">
        <v>41</v>
      </c>
      <c r="M79" s="1" t="s">
        <v>248</v>
      </c>
      <c r="N79" s="3">
        <v>46199</v>
      </c>
      <c r="P79" s="1" t="s">
        <v>180</v>
      </c>
      <c r="Q79" s="1" t="s">
        <v>55</v>
      </c>
      <c r="R79" s="1" t="s">
        <v>438</v>
      </c>
      <c r="S79" s="3">
        <v>46178</v>
      </c>
      <c r="T79" s="3">
        <v>46190</v>
      </c>
      <c r="AB79" s="1">
        <v>0.5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337</v>
      </c>
      <c r="B80" s="1" t="s">
        <v>496</v>
      </c>
      <c r="C80" s="1" t="s">
        <v>494</v>
      </c>
      <c r="D80" s="1" t="s">
        <v>105</v>
      </c>
      <c r="E80" s="1" t="s">
        <v>52</v>
      </c>
      <c r="F80" s="2">
        <v>46209</v>
      </c>
      <c r="G80" s="2">
        <v>46209</v>
      </c>
      <c r="H80" s="4">
        <v>0</v>
      </c>
      <c r="J80" s="1" t="s">
        <v>41</v>
      </c>
      <c r="K80" s="1">
        <v>336</v>
      </c>
      <c r="L80" s="1">
        <v>338</v>
      </c>
      <c r="M80" s="1" t="s">
        <v>251</v>
      </c>
      <c r="N80" s="3">
        <v>46196</v>
      </c>
      <c r="P80" s="1" t="s">
        <v>180</v>
      </c>
      <c r="Q80" s="1" t="s">
        <v>55</v>
      </c>
      <c r="R80" s="1" t="s">
        <v>438</v>
      </c>
      <c r="S80" s="3">
        <v>46185</v>
      </c>
      <c r="T80" s="3">
        <v>46185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338</v>
      </c>
      <c r="B81" s="1" t="s">
        <v>497</v>
      </c>
      <c r="C81" s="1" t="s">
        <v>494</v>
      </c>
      <c r="D81" s="1" t="s">
        <v>109</v>
      </c>
      <c r="E81" s="1" t="s">
        <v>52</v>
      </c>
      <c r="F81" s="2">
        <v>46210</v>
      </c>
      <c r="G81" s="2">
        <v>46210</v>
      </c>
      <c r="H81" s="4">
        <v>0</v>
      </c>
      <c r="J81" s="1" t="s">
        <v>232</v>
      </c>
      <c r="K81" s="1">
        <v>337</v>
      </c>
      <c r="L81" s="1" t="s">
        <v>498</v>
      </c>
      <c r="M81" s="1" t="s">
        <v>308</v>
      </c>
      <c r="N81" s="3">
        <v>46198</v>
      </c>
      <c r="P81" s="1" t="s">
        <v>180</v>
      </c>
      <c r="Q81" s="1" t="s">
        <v>55</v>
      </c>
      <c r="R81" s="1" t="s">
        <v>438</v>
      </c>
      <c r="S81" s="3">
        <v>46188</v>
      </c>
      <c r="T81" s="3">
        <v>46189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</row>
    <row r="82" spans="1:39" x14ac:dyDescent="0.25">
      <c r="A82" s="1">
        <v>339</v>
      </c>
      <c r="B82" s="1" t="s">
        <v>499</v>
      </c>
      <c r="C82" s="1" t="s">
        <v>494</v>
      </c>
      <c r="D82" s="1" t="s">
        <v>115</v>
      </c>
      <c r="E82" s="1" t="s">
        <v>52</v>
      </c>
      <c r="F82" s="2">
        <v>46210</v>
      </c>
      <c r="G82" s="2">
        <v>46210</v>
      </c>
      <c r="H82" s="4">
        <v>0</v>
      </c>
      <c r="J82" s="1" t="s">
        <v>232</v>
      </c>
      <c r="K82" s="1" t="s">
        <v>500</v>
      </c>
      <c r="M82" s="1" t="s">
        <v>193</v>
      </c>
      <c r="N82" s="3">
        <v>46199</v>
      </c>
      <c r="P82" s="1" t="s">
        <v>180</v>
      </c>
      <c r="Q82" s="1" t="s">
        <v>55</v>
      </c>
      <c r="R82" s="1" t="s">
        <v>438</v>
      </c>
      <c r="S82" s="3">
        <v>46190</v>
      </c>
      <c r="T82" s="3">
        <v>46190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x14ac:dyDescent="0.25">
      <c r="A83" s="1">
        <v>340</v>
      </c>
      <c r="B83" s="1" t="s">
        <v>501</v>
      </c>
      <c r="C83" s="1" t="s">
        <v>440</v>
      </c>
      <c r="D83" s="1" t="s">
        <v>502</v>
      </c>
      <c r="E83" s="1" t="s">
        <v>390</v>
      </c>
      <c r="F83" s="2">
        <v>46204</v>
      </c>
      <c r="G83" s="2">
        <v>46210</v>
      </c>
      <c r="H83" s="4">
        <v>0.5</v>
      </c>
      <c r="J83" s="1" t="s">
        <v>41</v>
      </c>
      <c r="M83" s="1" t="s">
        <v>248</v>
      </c>
      <c r="N83" s="3">
        <v>46202</v>
      </c>
      <c r="P83" s="1" t="s">
        <v>180</v>
      </c>
      <c r="Q83" s="1" t="s">
        <v>55</v>
      </c>
      <c r="R83" s="1" t="s">
        <v>438</v>
      </c>
      <c r="S83" s="3">
        <v>46178</v>
      </c>
      <c r="T83" s="3">
        <v>46190</v>
      </c>
      <c r="AB83" s="1">
        <v>0.5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342</v>
      </c>
      <c r="B84" s="1" t="s">
        <v>506</v>
      </c>
      <c r="C84" s="1" t="s">
        <v>504</v>
      </c>
      <c r="D84" s="1" t="s">
        <v>105</v>
      </c>
      <c r="E84" s="1" t="s">
        <v>52</v>
      </c>
      <c r="F84" s="2">
        <v>46209</v>
      </c>
      <c r="G84" s="2">
        <v>46209</v>
      </c>
      <c r="H84" s="4">
        <v>0</v>
      </c>
      <c r="J84" s="1" t="s">
        <v>41</v>
      </c>
      <c r="K84" s="1">
        <v>341</v>
      </c>
      <c r="L84" s="1">
        <v>343</v>
      </c>
      <c r="M84" s="1" t="s">
        <v>308</v>
      </c>
      <c r="N84" s="3">
        <v>46197</v>
      </c>
      <c r="P84" s="1" t="s">
        <v>180</v>
      </c>
      <c r="Q84" s="1" t="s">
        <v>55</v>
      </c>
      <c r="R84" s="1" t="s">
        <v>438</v>
      </c>
      <c r="S84" s="3">
        <v>46185</v>
      </c>
      <c r="T84" s="3">
        <v>46185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</row>
    <row r="85" spans="1:39" x14ac:dyDescent="0.25">
      <c r="A85" s="1">
        <v>343</v>
      </c>
      <c r="B85" s="1" t="s">
        <v>507</v>
      </c>
      <c r="C85" s="1" t="s">
        <v>504</v>
      </c>
      <c r="D85" s="1" t="s">
        <v>109</v>
      </c>
      <c r="E85" s="1" t="s">
        <v>52</v>
      </c>
      <c r="F85" s="2">
        <v>46210</v>
      </c>
      <c r="G85" s="2">
        <v>46210</v>
      </c>
      <c r="H85" s="4">
        <v>0</v>
      </c>
      <c r="J85" s="1" t="s">
        <v>232</v>
      </c>
      <c r="K85" s="1">
        <v>342</v>
      </c>
      <c r="L85" s="1" t="s">
        <v>508</v>
      </c>
      <c r="M85" s="1" t="s">
        <v>191</v>
      </c>
      <c r="N85" s="3">
        <v>46199</v>
      </c>
      <c r="P85" s="1" t="s">
        <v>180</v>
      </c>
      <c r="Q85" s="1" t="s">
        <v>55</v>
      </c>
      <c r="R85" s="1" t="s">
        <v>438</v>
      </c>
      <c r="S85" s="3">
        <v>46188</v>
      </c>
      <c r="T85" s="3">
        <v>46189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344</v>
      </c>
      <c r="B86" s="1" t="s">
        <v>509</v>
      </c>
      <c r="C86" s="1" t="s">
        <v>504</v>
      </c>
      <c r="D86" s="1" t="s">
        <v>115</v>
      </c>
      <c r="E86" s="1" t="s">
        <v>52</v>
      </c>
      <c r="F86" s="2">
        <v>46210</v>
      </c>
      <c r="G86" s="2">
        <v>46210</v>
      </c>
      <c r="H86" s="4">
        <v>0</v>
      </c>
      <c r="J86" s="1" t="s">
        <v>232</v>
      </c>
      <c r="K86" s="1" t="s">
        <v>510</v>
      </c>
      <c r="M86" s="1" t="s">
        <v>311</v>
      </c>
      <c r="N86" s="3">
        <v>46202</v>
      </c>
      <c r="P86" s="1" t="s">
        <v>180</v>
      </c>
      <c r="Q86" s="1" t="s">
        <v>55</v>
      </c>
      <c r="R86" s="1" t="s">
        <v>438</v>
      </c>
      <c r="S86" s="3">
        <v>46190</v>
      </c>
      <c r="T86" s="3">
        <v>46190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</row>
    <row r="87" spans="1:39" x14ac:dyDescent="0.25">
      <c r="A87" s="1">
        <v>355</v>
      </c>
      <c r="B87" s="1" t="s">
        <v>532</v>
      </c>
      <c r="C87" s="1" t="s">
        <v>440</v>
      </c>
      <c r="D87" s="1" t="s">
        <v>533</v>
      </c>
      <c r="E87" s="1" t="s">
        <v>369</v>
      </c>
      <c r="F87" s="2">
        <v>46202</v>
      </c>
      <c r="G87" s="2">
        <v>46209</v>
      </c>
      <c r="H87" s="4">
        <v>0.56999999999999995</v>
      </c>
      <c r="J87" s="1" t="s">
        <v>41</v>
      </c>
      <c r="M87" s="1" t="s">
        <v>304</v>
      </c>
      <c r="N87" s="3">
        <v>46203</v>
      </c>
      <c r="P87" s="1" t="s">
        <v>73</v>
      </c>
      <c r="Q87" s="1" t="s">
        <v>55</v>
      </c>
      <c r="R87" s="1" t="s">
        <v>438</v>
      </c>
      <c r="S87" s="3">
        <v>46192</v>
      </c>
      <c r="T87" s="3">
        <v>46203</v>
      </c>
      <c r="AB87" s="1">
        <v>0.56999999999999995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x14ac:dyDescent="0.25">
      <c r="A88" s="1">
        <v>357</v>
      </c>
      <c r="B88" s="1" t="s">
        <v>536</v>
      </c>
      <c r="C88" s="1" t="s">
        <v>535</v>
      </c>
      <c r="D88" s="1" t="s">
        <v>105</v>
      </c>
      <c r="E88" s="1" t="s">
        <v>52</v>
      </c>
      <c r="F88" s="2">
        <v>46206</v>
      </c>
      <c r="G88" s="2">
        <v>46206</v>
      </c>
      <c r="H88" s="4">
        <v>0</v>
      </c>
      <c r="J88" s="1" t="s">
        <v>41</v>
      </c>
      <c r="K88" s="1">
        <v>356</v>
      </c>
      <c r="L88" s="1">
        <v>358</v>
      </c>
      <c r="M88" s="1" t="s">
        <v>191</v>
      </c>
      <c r="N88" s="3">
        <v>46198</v>
      </c>
      <c r="P88" s="1" t="s">
        <v>180</v>
      </c>
      <c r="Q88" s="1" t="s">
        <v>55</v>
      </c>
      <c r="R88" s="1" t="s">
        <v>438</v>
      </c>
      <c r="S88" s="3">
        <v>46198</v>
      </c>
      <c r="T88" s="3">
        <v>46198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25">
      <c r="A89" s="1">
        <v>358</v>
      </c>
      <c r="B89" s="1" t="s">
        <v>537</v>
      </c>
      <c r="C89" s="1" t="s">
        <v>535</v>
      </c>
      <c r="D89" s="1" t="s">
        <v>109</v>
      </c>
      <c r="E89" s="1" t="s">
        <v>52</v>
      </c>
      <c r="F89" s="2">
        <v>46209</v>
      </c>
      <c r="G89" s="2">
        <v>46209</v>
      </c>
      <c r="H89" s="4">
        <v>0</v>
      </c>
      <c r="J89" s="1" t="s">
        <v>41</v>
      </c>
      <c r="K89" s="1">
        <v>357</v>
      </c>
      <c r="L89" s="1" t="s">
        <v>538</v>
      </c>
      <c r="M89" s="1" t="s">
        <v>193</v>
      </c>
      <c r="N89" s="3">
        <v>46202</v>
      </c>
      <c r="P89" s="1" t="s">
        <v>180</v>
      </c>
      <c r="Q89" s="1" t="s">
        <v>55</v>
      </c>
      <c r="R89" s="1" t="s">
        <v>438</v>
      </c>
      <c r="S89" s="3">
        <v>46199</v>
      </c>
      <c r="T89" s="3">
        <v>46202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  <c r="AK89" s="1">
        <v>0</v>
      </c>
      <c r="AL89" s="1">
        <v>0</v>
      </c>
      <c r="AM89" s="1">
        <v>0</v>
      </c>
    </row>
    <row r="90" spans="1:39" x14ac:dyDescent="0.25">
      <c r="A90" s="1">
        <v>359</v>
      </c>
      <c r="B90" s="1" t="s">
        <v>539</v>
      </c>
      <c r="C90" s="1" t="s">
        <v>535</v>
      </c>
      <c r="D90" s="1" t="s">
        <v>115</v>
      </c>
      <c r="E90" s="1" t="s">
        <v>52</v>
      </c>
      <c r="F90" s="2">
        <v>46209</v>
      </c>
      <c r="G90" s="2">
        <v>46209</v>
      </c>
      <c r="H90" s="4">
        <v>0</v>
      </c>
      <c r="J90" s="1" t="s">
        <v>41</v>
      </c>
      <c r="K90" s="1" t="s">
        <v>540</v>
      </c>
      <c r="M90" s="1" t="s">
        <v>196</v>
      </c>
      <c r="N90" s="3">
        <v>46203</v>
      </c>
      <c r="P90" s="1" t="s">
        <v>180</v>
      </c>
      <c r="Q90" s="1" t="s">
        <v>55</v>
      </c>
      <c r="R90" s="1" t="s">
        <v>438</v>
      </c>
      <c r="S90" s="3">
        <v>46203</v>
      </c>
      <c r="T90" s="3">
        <v>46203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</v>
      </c>
      <c r="AM90" s="1">
        <v>0</v>
      </c>
    </row>
    <row r="91" spans="1:39" x14ac:dyDescent="0.25">
      <c r="A91" s="1">
        <v>360</v>
      </c>
      <c r="B91" s="1" t="s">
        <v>541</v>
      </c>
      <c r="C91" s="1" t="s">
        <v>440</v>
      </c>
      <c r="D91" s="1" t="s">
        <v>542</v>
      </c>
      <c r="E91" s="1" t="s">
        <v>369</v>
      </c>
      <c r="F91" s="2">
        <v>46202</v>
      </c>
      <c r="G91" s="2">
        <v>46209</v>
      </c>
      <c r="H91" s="4">
        <v>0.56999999999999995</v>
      </c>
      <c r="J91" s="1" t="s">
        <v>41</v>
      </c>
      <c r="M91" s="1" t="s">
        <v>304</v>
      </c>
      <c r="N91" s="3">
        <v>46203</v>
      </c>
      <c r="P91" s="1" t="s">
        <v>73</v>
      </c>
      <c r="Q91" s="1" t="s">
        <v>55</v>
      </c>
      <c r="R91" s="1" t="s">
        <v>438</v>
      </c>
      <c r="S91" s="3">
        <v>46192</v>
      </c>
      <c r="T91" s="3">
        <v>46203</v>
      </c>
      <c r="U91" s="1" t="s">
        <v>77</v>
      </c>
      <c r="AB91" s="1">
        <v>0.56999999999999995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362</v>
      </c>
      <c r="B92" s="1" t="s">
        <v>545</v>
      </c>
      <c r="C92" s="1" t="s">
        <v>544</v>
      </c>
      <c r="D92" s="1" t="s">
        <v>105</v>
      </c>
      <c r="E92" s="1" t="s">
        <v>52</v>
      </c>
      <c r="F92" s="2">
        <v>46206</v>
      </c>
      <c r="G92" s="2">
        <v>46206</v>
      </c>
      <c r="H92" s="4">
        <v>0</v>
      </c>
      <c r="J92" s="1" t="s">
        <v>41</v>
      </c>
      <c r="K92" s="1">
        <v>361</v>
      </c>
      <c r="L92" s="1">
        <v>363</v>
      </c>
      <c r="M92" s="1" t="s">
        <v>191</v>
      </c>
      <c r="N92" s="3">
        <v>46198</v>
      </c>
      <c r="P92" s="1" t="s">
        <v>180</v>
      </c>
      <c r="Q92" s="1" t="s">
        <v>55</v>
      </c>
      <c r="R92" s="1" t="s">
        <v>438</v>
      </c>
      <c r="S92" s="3">
        <v>46198</v>
      </c>
      <c r="T92" s="3">
        <v>46198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x14ac:dyDescent="0.25">
      <c r="A93" s="1">
        <v>363</v>
      </c>
      <c r="B93" s="1" t="s">
        <v>546</v>
      </c>
      <c r="C93" s="1" t="s">
        <v>544</v>
      </c>
      <c r="D93" s="1" t="s">
        <v>109</v>
      </c>
      <c r="E93" s="1" t="s">
        <v>52</v>
      </c>
      <c r="F93" s="2">
        <v>46209</v>
      </c>
      <c r="G93" s="2">
        <v>46209</v>
      </c>
      <c r="H93" s="4">
        <v>0</v>
      </c>
      <c r="J93" s="1" t="s">
        <v>41</v>
      </c>
      <c r="K93" s="1">
        <v>362</v>
      </c>
      <c r="L93" s="1" t="s">
        <v>547</v>
      </c>
      <c r="M93" s="1" t="s">
        <v>193</v>
      </c>
      <c r="N93" s="3">
        <v>46202</v>
      </c>
      <c r="P93" s="1" t="s">
        <v>180</v>
      </c>
      <c r="Q93" s="1" t="s">
        <v>55</v>
      </c>
      <c r="R93" s="1" t="s">
        <v>438</v>
      </c>
      <c r="S93" s="3">
        <v>46199</v>
      </c>
      <c r="T93" s="3">
        <v>46202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0</v>
      </c>
      <c r="AL93" s="1">
        <v>0</v>
      </c>
      <c r="AM93" s="1">
        <v>0</v>
      </c>
    </row>
    <row r="94" spans="1:39" x14ac:dyDescent="0.25">
      <c r="A94" s="1">
        <v>364</v>
      </c>
      <c r="B94" s="1" t="s">
        <v>548</v>
      </c>
      <c r="C94" s="1" t="s">
        <v>544</v>
      </c>
      <c r="D94" s="1" t="s">
        <v>115</v>
      </c>
      <c r="E94" s="1" t="s">
        <v>52</v>
      </c>
      <c r="F94" s="2">
        <v>46209</v>
      </c>
      <c r="G94" s="2">
        <v>46209</v>
      </c>
      <c r="H94" s="4">
        <v>0</v>
      </c>
      <c r="J94" s="1" t="s">
        <v>41</v>
      </c>
      <c r="K94" s="1" t="s">
        <v>549</v>
      </c>
      <c r="M94" s="1" t="s">
        <v>196</v>
      </c>
      <c r="N94" s="3">
        <v>46203</v>
      </c>
      <c r="P94" s="1" t="s">
        <v>180</v>
      </c>
      <c r="Q94" s="1" t="s">
        <v>55</v>
      </c>
      <c r="R94" s="1" t="s">
        <v>438</v>
      </c>
      <c r="S94" s="3">
        <v>46203</v>
      </c>
      <c r="T94" s="3">
        <v>46203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</row>
    <row r="95" spans="1:39" x14ac:dyDescent="0.25">
      <c r="A95" s="1">
        <v>365</v>
      </c>
      <c r="B95" s="1" t="s">
        <v>550</v>
      </c>
      <c r="C95" s="1" t="s">
        <v>440</v>
      </c>
      <c r="D95" s="1" t="s">
        <v>551</v>
      </c>
      <c r="E95" s="1" t="s">
        <v>369</v>
      </c>
      <c r="F95" s="2">
        <v>46196</v>
      </c>
      <c r="G95" s="2">
        <v>46203</v>
      </c>
      <c r="H95" s="4">
        <v>0.57999999999999996</v>
      </c>
      <c r="J95" s="1" t="s">
        <v>41</v>
      </c>
      <c r="M95" s="1" t="s">
        <v>66</v>
      </c>
      <c r="N95" s="3">
        <v>46188</v>
      </c>
      <c r="P95" s="1" t="s">
        <v>73</v>
      </c>
      <c r="Q95" s="1" t="s">
        <v>55</v>
      </c>
      <c r="R95" s="1" t="s">
        <v>438</v>
      </c>
      <c r="S95" s="3">
        <v>46168</v>
      </c>
      <c r="T95" s="3">
        <v>46176</v>
      </c>
      <c r="AB95" s="1">
        <v>0.57999999999999996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367</v>
      </c>
      <c r="B96" s="1" t="s">
        <v>555</v>
      </c>
      <c r="C96" s="1" t="s">
        <v>553</v>
      </c>
      <c r="D96" s="1" t="s">
        <v>105</v>
      </c>
      <c r="E96" s="1" t="s">
        <v>52</v>
      </c>
      <c r="F96" s="2">
        <v>46199</v>
      </c>
      <c r="G96" s="2">
        <v>46199</v>
      </c>
      <c r="H96" s="4">
        <v>0.5</v>
      </c>
      <c r="J96" s="1" t="s">
        <v>41</v>
      </c>
      <c r="K96" s="1">
        <v>366</v>
      </c>
      <c r="L96" s="1">
        <v>368</v>
      </c>
      <c r="M96" s="1" t="s">
        <v>183</v>
      </c>
      <c r="N96" s="3">
        <v>46183</v>
      </c>
      <c r="P96" s="1" t="s">
        <v>180</v>
      </c>
      <c r="Q96" s="1" t="s">
        <v>55</v>
      </c>
      <c r="R96" s="1" t="s">
        <v>438</v>
      </c>
      <c r="S96" s="3">
        <v>46171</v>
      </c>
      <c r="T96" s="3">
        <v>46171</v>
      </c>
      <c r="AB96" s="1">
        <v>0.5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</row>
    <row r="97" spans="1:39" x14ac:dyDescent="0.25">
      <c r="A97" s="1">
        <v>368</v>
      </c>
      <c r="B97" s="1" t="s">
        <v>556</v>
      </c>
      <c r="C97" s="1" t="s">
        <v>553</v>
      </c>
      <c r="D97" s="1" t="s">
        <v>109</v>
      </c>
      <c r="E97" s="1" t="s">
        <v>52</v>
      </c>
      <c r="F97" s="2">
        <v>46202</v>
      </c>
      <c r="G97" s="2">
        <v>46202</v>
      </c>
      <c r="H97" s="4">
        <v>0</v>
      </c>
      <c r="J97" s="1" t="s">
        <v>41</v>
      </c>
      <c r="K97" s="1">
        <v>367</v>
      </c>
      <c r="L97" s="1">
        <v>369</v>
      </c>
      <c r="M97" s="1" t="s">
        <v>153</v>
      </c>
      <c r="N97" s="3">
        <v>46185</v>
      </c>
      <c r="P97" s="1" t="s">
        <v>180</v>
      </c>
      <c r="Q97" s="1" t="s">
        <v>55</v>
      </c>
      <c r="R97" s="1" t="s">
        <v>438</v>
      </c>
      <c r="S97" s="3">
        <v>46174</v>
      </c>
      <c r="T97" s="3">
        <v>46175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  <c r="AK97" s="1">
        <v>0</v>
      </c>
      <c r="AL97" s="1">
        <v>0</v>
      </c>
      <c r="AM97" s="1">
        <v>0</v>
      </c>
    </row>
    <row r="98" spans="1:39" x14ac:dyDescent="0.25">
      <c r="A98" s="1">
        <v>369</v>
      </c>
      <c r="B98" s="1" t="s">
        <v>557</v>
      </c>
      <c r="C98" s="1" t="s">
        <v>553</v>
      </c>
      <c r="D98" s="1" t="s">
        <v>115</v>
      </c>
      <c r="E98" s="1" t="s">
        <v>52</v>
      </c>
      <c r="F98" s="2">
        <v>46203</v>
      </c>
      <c r="G98" s="2">
        <v>46203</v>
      </c>
      <c r="H98" s="4">
        <v>0</v>
      </c>
      <c r="J98" s="1" t="s">
        <v>41</v>
      </c>
      <c r="K98" s="1">
        <v>368</v>
      </c>
      <c r="M98" s="1" t="s">
        <v>225</v>
      </c>
      <c r="N98" s="3">
        <v>46188</v>
      </c>
      <c r="P98" s="1" t="s">
        <v>180</v>
      </c>
      <c r="Q98" s="1" t="s">
        <v>55</v>
      </c>
      <c r="R98" s="1" t="s">
        <v>438</v>
      </c>
      <c r="S98" s="3">
        <v>46176</v>
      </c>
      <c r="T98" s="3">
        <v>46176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</row>
    <row r="99" spans="1:39" x14ac:dyDescent="0.25">
      <c r="A99" s="1">
        <v>385</v>
      </c>
      <c r="B99" s="1" t="s">
        <v>558</v>
      </c>
      <c r="C99" s="1" t="s">
        <v>440</v>
      </c>
      <c r="D99" s="1" t="s">
        <v>559</v>
      </c>
      <c r="E99" s="1" t="s">
        <v>369</v>
      </c>
      <c r="F99" s="2">
        <v>46195</v>
      </c>
      <c r="G99" s="2">
        <v>46202</v>
      </c>
      <c r="H99" s="4">
        <v>0.64</v>
      </c>
      <c r="J99" s="1" t="s">
        <v>41</v>
      </c>
      <c r="M99" s="1" t="s">
        <v>183</v>
      </c>
      <c r="N99" s="3">
        <v>46195</v>
      </c>
      <c r="P99" s="1" t="s">
        <v>180</v>
      </c>
      <c r="Q99" s="1" t="s">
        <v>55</v>
      </c>
      <c r="R99" s="1" t="s">
        <v>438</v>
      </c>
      <c r="S99" s="3">
        <v>46171</v>
      </c>
      <c r="T99" s="3">
        <v>46183</v>
      </c>
      <c r="AB99" s="1">
        <v>0.64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x14ac:dyDescent="0.25">
      <c r="A100" s="1">
        <v>387</v>
      </c>
      <c r="B100" s="1" t="s">
        <v>562</v>
      </c>
      <c r="C100" s="1" t="s">
        <v>561</v>
      </c>
      <c r="D100" s="1" t="s">
        <v>105</v>
      </c>
      <c r="E100" s="1" t="s">
        <v>52</v>
      </c>
      <c r="F100" s="2">
        <v>46199</v>
      </c>
      <c r="G100" s="2">
        <v>46199</v>
      </c>
      <c r="H100" s="4">
        <v>0.5</v>
      </c>
      <c r="J100" s="1" t="s">
        <v>41</v>
      </c>
      <c r="K100" s="1">
        <v>386</v>
      </c>
      <c r="L100" s="1">
        <v>388</v>
      </c>
      <c r="M100" s="1" t="s">
        <v>248</v>
      </c>
      <c r="N100" s="3">
        <v>46190</v>
      </c>
      <c r="P100" s="1" t="s">
        <v>180</v>
      </c>
      <c r="Q100" s="1" t="s">
        <v>55</v>
      </c>
      <c r="R100" s="1" t="s">
        <v>438</v>
      </c>
      <c r="S100" s="3">
        <v>46178</v>
      </c>
      <c r="T100" s="3">
        <v>46178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388</v>
      </c>
      <c r="B101" s="1" t="s">
        <v>563</v>
      </c>
      <c r="C101" s="1" t="s">
        <v>561</v>
      </c>
      <c r="D101" s="1" t="s">
        <v>109</v>
      </c>
      <c r="E101" s="1" t="s">
        <v>52</v>
      </c>
      <c r="F101" s="2">
        <v>46202</v>
      </c>
      <c r="G101" s="2">
        <v>46202</v>
      </c>
      <c r="H101" s="4">
        <v>0</v>
      </c>
      <c r="J101" s="1" t="s">
        <v>41</v>
      </c>
      <c r="K101" s="1">
        <v>387</v>
      </c>
      <c r="L101" s="1" t="s">
        <v>564</v>
      </c>
      <c r="M101" s="1" t="s">
        <v>187</v>
      </c>
      <c r="N101" s="3">
        <v>46192</v>
      </c>
      <c r="P101" s="1" t="s">
        <v>67</v>
      </c>
      <c r="Q101" s="1" t="s">
        <v>55</v>
      </c>
      <c r="R101" s="1" t="s">
        <v>438</v>
      </c>
      <c r="S101" s="3">
        <v>46181</v>
      </c>
      <c r="T101" s="3">
        <v>46182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389</v>
      </c>
      <c r="B102" s="1" t="s">
        <v>565</v>
      </c>
      <c r="C102" s="1" t="s">
        <v>561</v>
      </c>
      <c r="D102" s="1" t="s">
        <v>115</v>
      </c>
      <c r="E102" s="1" t="s">
        <v>52</v>
      </c>
      <c r="F102" s="2">
        <v>46202</v>
      </c>
      <c r="G102" s="2">
        <v>46202</v>
      </c>
      <c r="H102" s="4">
        <v>0</v>
      </c>
      <c r="J102" s="1" t="s">
        <v>41</v>
      </c>
      <c r="K102" s="1" t="s">
        <v>566</v>
      </c>
      <c r="M102" s="1" t="s">
        <v>284</v>
      </c>
      <c r="N102" s="3">
        <v>46195</v>
      </c>
      <c r="P102" s="1" t="s">
        <v>67</v>
      </c>
      <c r="Q102" s="1" t="s">
        <v>55</v>
      </c>
      <c r="R102" s="1" t="s">
        <v>438</v>
      </c>
      <c r="S102" s="3">
        <v>46183</v>
      </c>
      <c r="T102" s="3">
        <v>46183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416</v>
      </c>
      <c r="B103" s="1" t="s">
        <v>570</v>
      </c>
      <c r="C103" s="1" t="s">
        <v>571</v>
      </c>
      <c r="D103" s="1" t="s">
        <v>572</v>
      </c>
      <c r="E103" s="1" t="s">
        <v>573</v>
      </c>
      <c r="F103" s="2">
        <v>46189</v>
      </c>
      <c r="G103" s="2">
        <v>46205</v>
      </c>
      <c r="H103" s="4">
        <v>0.88</v>
      </c>
      <c r="J103" s="1" t="s">
        <v>41</v>
      </c>
      <c r="M103" s="1" t="s">
        <v>66</v>
      </c>
      <c r="N103" s="3">
        <v>46188</v>
      </c>
      <c r="P103" s="1" t="s">
        <v>73</v>
      </c>
      <c r="Q103" s="1" t="s">
        <v>55</v>
      </c>
      <c r="R103" s="1" t="s">
        <v>569</v>
      </c>
      <c r="S103" s="3">
        <v>46162</v>
      </c>
      <c r="T103" s="3">
        <v>46170</v>
      </c>
      <c r="AB103" s="1">
        <v>0.88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419</v>
      </c>
      <c r="B104" s="1" t="s">
        <v>579</v>
      </c>
      <c r="C104" s="1" t="s">
        <v>575</v>
      </c>
      <c r="D104" s="1" t="s">
        <v>109</v>
      </c>
      <c r="E104" s="1" t="s">
        <v>52</v>
      </c>
      <c r="F104" s="2">
        <v>46204</v>
      </c>
      <c r="G104" s="2">
        <v>46204</v>
      </c>
      <c r="H104" s="4">
        <v>0.5</v>
      </c>
      <c r="J104" s="1" t="s">
        <v>41</v>
      </c>
      <c r="K104" s="1" t="s">
        <v>580</v>
      </c>
      <c r="L104" s="1">
        <v>420</v>
      </c>
      <c r="M104" s="1" t="s">
        <v>153</v>
      </c>
      <c r="N104" s="3">
        <v>46185</v>
      </c>
      <c r="P104" s="1" t="s">
        <v>180</v>
      </c>
      <c r="Q104" s="1" t="s">
        <v>55</v>
      </c>
      <c r="R104" s="1" t="s">
        <v>569</v>
      </c>
      <c r="S104" s="3">
        <v>46168</v>
      </c>
      <c r="T104" s="3">
        <v>46169</v>
      </c>
      <c r="AB104" s="1">
        <v>0.5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0</v>
      </c>
      <c r="AL104" s="1">
        <v>0</v>
      </c>
      <c r="AM104" s="1">
        <v>0</v>
      </c>
    </row>
    <row r="105" spans="1:39" x14ac:dyDescent="0.25">
      <c r="A105" s="1">
        <v>420</v>
      </c>
      <c r="B105" s="1" t="s">
        <v>581</v>
      </c>
      <c r="C105" s="1" t="s">
        <v>575</v>
      </c>
      <c r="D105" s="1" t="s">
        <v>115</v>
      </c>
      <c r="E105" s="1" t="s">
        <v>52</v>
      </c>
      <c r="F105" s="2">
        <v>46205</v>
      </c>
      <c r="G105" s="2">
        <v>46205</v>
      </c>
      <c r="H105" s="4">
        <v>0</v>
      </c>
      <c r="J105" s="1" t="s">
        <v>41</v>
      </c>
      <c r="K105" s="1">
        <v>419</v>
      </c>
      <c r="M105" s="1" t="s">
        <v>225</v>
      </c>
      <c r="N105" s="3">
        <v>46188</v>
      </c>
      <c r="P105" s="1" t="s">
        <v>180</v>
      </c>
      <c r="Q105" s="1" t="s">
        <v>55</v>
      </c>
      <c r="R105" s="1" t="s">
        <v>569</v>
      </c>
      <c r="S105" s="3">
        <v>46170</v>
      </c>
      <c r="T105" s="3">
        <v>46170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</row>
    <row r="106" spans="1:39" x14ac:dyDescent="0.25">
      <c r="A106" s="1">
        <v>421</v>
      </c>
      <c r="B106" s="1" t="s">
        <v>582</v>
      </c>
      <c r="C106" s="1" t="s">
        <v>571</v>
      </c>
      <c r="D106" s="1" t="s">
        <v>583</v>
      </c>
      <c r="E106" s="1" t="s">
        <v>162</v>
      </c>
      <c r="F106" s="2">
        <v>46188</v>
      </c>
      <c r="G106" s="2">
        <v>46197</v>
      </c>
      <c r="H106" s="4">
        <v>0.5</v>
      </c>
      <c r="J106" s="1" t="s">
        <v>41</v>
      </c>
      <c r="M106" s="1" t="s">
        <v>193</v>
      </c>
      <c r="N106" s="3">
        <v>46206</v>
      </c>
      <c r="P106" s="1" t="s">
        <v>73</v>
      </c>
      <c r="Q106" s="1" t="s">
        <v>55</v>
      </c>
      <c r="R106" s="1" t="s">
        <v>569</v>
      </c>
      <c r="S106" s="3">
        <v>46192</v>
      </c>
      <c r="T106" s="3">
        <v>46202</v>
      </c>
      <c r="AB106" s="1">
        <v>0.5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</row>
    <row r="107" spans="1:39" x14ac:dyDescent="0.25">
      <c r="A107" s="1">
        <v>423</v>
      </c>
      <c r="B107" s="1" t="s">
        <v>586</v>
      </c>
      <c r="C107" s="1" t="s">
        <v>585</v>
      </c>
      <c r="D107" s="1" t="s">
        <v>105</v>
      </c>
      <c r="E107" s="1" t="s">
        <v>52</v>
      </c>
      <c r="F107" s="2">
        <v>46192</v>
      </c>
      <c r="G107" s="2">
        <v>46192</v>
      </c>
      <c r="H107" s="4">
        <v>0</v>
      </c>
      <c r="J107" s="1" t="s">
        <v>41</v>
      </c>
      <c r="K107" s="1">
        <v>422</v>
      </c>
      <c r="L107" s="1">
        <v>424</v>
      </c>
      <c r="M107" s="1" t="s">
        <v>196</v>
      </c>
      <c r="N107" s="3">
        <v>46203</v>
      </c>
      <c r="P107" s="1" t="s">
        <v>73</v>
      </c>
      <c r="Q107" s="1" t="s">
        <v>55</v>
      </c>
      <c r="R107" s="1" t="s">
        <v>569</v>
      </c>
      <c r="S107" s="3">
        <v>46197</v>
      </c>
      <c r="T107" s="3">
        <v>46197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x14ac:dyDescent="0.25">
      <c r="A108" s="1">
        <v>424</v>
      </c>
      <c r="B108" s="1" t="s">
        <v>587</v>
      </c>
      <c r="C108" s="1" t="s">
        <v>585</v>
      </c>
      <c r="D108" s="1" t="s">
        <v>109</v>
      </c>
      <c r="E108" s="1" t="s">
        <v>116</v>
      </c>
      <c r="F108" s="2">
        <v>46195</v>
      </c>
      <c r="G108" s="2">
        <v>46196</v>
      </c>
      <c r="H108" s="4">
        <v>0</v>
      </c>
      <c r="J108" s="1" t="s">
        <v>41</v>
      </c>
      <c r="K108" s="1">
        <v>423</v>
      </c>
      <c r="L108" s="1">
        <v>425</v>
      </c>
      <c r="M108" s="1" t="s">
        <v>404</v>
      </c>
      <c r="N108" s="3">
        <v>46205</v>
      </c>
      <c r="P108" s="1" t="s">
        <v>180</v>
      </c>
      <c r="Q108" s="1" t="s">
        <v>55</v>
      </c>
      <c r="R108" s="1" t="s">
        <v>569</v>
      </c>
      <c r="S108" s="3">
        <v>46198</v>
      </c>
      <c r="T108" s="3">
        <v>46199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1</v>
      </c>
      <c r="AK108" s="1">
        <v>0</v>
      </c>
      <c r="AL108" s="1">
        <v>0</v>
      </c>
      <c r="AM108" s="1">
        <v>0</v>
      </c>
    </row>
    <row r="109" spans="1:39" x14ac:dyDescent="0.25">
      <c r="A109" s="1">
        <v>425</v>
      </c>
      <c r="B109" s="1" t="s">
        <v>588</v>
      </c>
      <c r="C109" s="1" t="s">
        <v>585</v>
      </c>
      <c r="D109" s="1" t="s">
        <v>115</v>
      </c>
      <c r="E109" s="1" t="s">
        <v>52</v>
      </c>
      <c r="F109" s="2">
        <v>46197</v>
      </c>
      <c r="G109" s="2">
        <v>46197</v>
      </c>
      <c r="H109" s="4">
        <v>0</v>
      </c>
      <c r="J109" s="1" t="s">
        <v>41</v>
      </c>
      <c r="K109" s="1">
        <v>424</v>
      </c>
      <c r="M109" s="1" t="s">
        <v>385</v>
      </c>
      <c r="N109" s="3">
        <v>46206</v>
      </c>
      <c r="P109" s="1" t="s">
        <v>180</v>
      </c>
      <c r="Q109" s="1" t="s">
        <v>55</v>
      </c>
      <c r="R109" s="1" t="s">
        <v>569</v>
      </c>
      <c r="S109" s="3">
        <v>46202</v>
      </c>
      <c r="T109" s="3">
        <v>46202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</row>
    <row r="110" spans="1:39" x14ac:dyDescent="0.25">
      <c r="A110" s="1">
        <v>426</v>
      </c>
      <c r="B110" s="1" t="s">
        <v>589</v>
      </c>
      <c r="C110" s="1" t="s">
        <v>571</v>
      </c>
      <c r="D110" s="1" t="s">
        <v>590</v>
      </c>
      <c r="E110" s="1" t="s">
        <v>162</v>
      </c>
      <c r="F110" s="2">
        <v>46199</v>
      </c>
      <c r="G110" s="2">
        <v>46210</v>
      </c>
      <c r="H110" s="4">
        <v>0.5</v>
      </c>
      <c r="J110" s="1" t="s">
        <v>41</v>
      </c>
      <c r="M110" s="1" t="s">
        <v>284</v>
      </c>
      <c r="N110" s="3">
        <v>46202</v>
      </c>
      <c r="P110" s="1" t="s">
        <v>76</v>
      </c>
      <c r="Q110" s="1" t="s">
        <v>55</v>
      </c>
      <c r="R110" s="1" t="s">
        <v>569</v>
      </c>
      <c r="S110" s="3">
        <v>46184</v>
      </c>
      <c r="T110" s="3">
        <v>46192</v>
      </c>
      <c r="U110" s="1" t="s">
        <v>77</v>
      </c>
      <c r="AB110" s="1">
        <v>0.5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428</v>
      </c>
      <c r="B111" s="1" t="s">
        <v>595</v>
      </c>
      <c r="C111" s="1" t="s">
        <v>592</v>
      </c>
      <c r="D111" s="1" t="s">
        <v>105</v>
      </c>
      <c r="E111" s="1" t="s">
        <v>52</v>
      </c>
      <c r="F111" s="2">
        <v>46205</v>
      </c>
      <c r="G111" s="2">
        <v>46205</v>
      </c>
      <c r="H111" s="4">
        <v>0</v>
      </c>
      <c r="J111" s="1" t="s">
        <v>41</v>
      </c>
      <c r="K111" s="1">
        <v>427</v>
      </c>
      <c r="L111" s="1">
        <v>429</v>
      </c>
      <c r="M111" s="1" t="s">
        <v>383</v>
      </c>
      <c r="N111" s="3">
        <v>46205</v>
      </c>
      <c r="P111" s="1" t="s">
        <v>73</v>
      </c>
      <c r="Q111" s="1" t="s">
        <v>55</v>
      </c>
      <c r="R111" s="1" t="s">
        <v>569</v>
      </c>
      <c r="S111" s="3">
        <v>46205</v>
      </c>
      <c r="T111" s="3">
        <v>46205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x14ac:dyDescent="0.25">
      <c r="A112" s="1">
        <v>429</v>
      </c>
      <c r="B112" s="1" t="s">
        <v>596</v>
      </c>
      <c r="C112" s="1" t="s">
        <v>592</v>
      </c>
      <c r="D112" s="1" t="s">
        <v>109</v>
      </c>
      <c r="E112" s="1" t="s">
        <v>116</v>
      </c>
      <c r="F112" s="2">
        <v>46206</v>
      </c>
      <c r="G112" s="2">
        <v>46209</v>
      </c>
      <c r="H112" s="4">
        <v>0</v>
      </c>
      <c r="J112" s="1" t="s">
        <v>41</v>
      </c>
      <c r="K112" s="1">
        <v>428</v>
      </c>
      <c r="L112" s="1">
        <v>430</v>
      </c>
      <c r="M112" s="1" t="s">
        <v>385</v>
      </c>
      <c r="N112" s="3">
        <v>46209</v>
      </c>
      <c r="P112" s="1" t="s">
        <v>73</v>
      </c>
      <c r="Q112" s="1" t="s">
        <v>55</v>
      </c>
      <c r="R112" s="1" t="s">
        <v>569</v>
      </c>
      <c r="S112" s="3">
        <v>46206</v>
      </c>
      <c r="T112" s="3">
        <v>46209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1">
        <v>0</v>
      </c>
      <c r="AM112" s="1">
        <v>0</v>
      </c>
    </row>
    <row r="113" spans="1:39" x14ac:dyDescent="0.25">
      <c r="A113" s="1">
        <v>430</v>
      </c>
      <c r="B113" s="1" t="s">
        <v>597</v>
      </c>
      <c r="C113" s="1" t="s">
        <v>592</v>
      </c>
      <c r="D113" s="1" t="s">
        <v>115</v>
      </c>
      <c r="E113" s="1" t="s">
        <v>52</v>
      </c>
      <c r="F113" s="2">
        <v>46210</v>
      </c>
      <c r="G113" s="2">
        <v>46210</v>
      </c>
      <c r="H113" s="4">
        <v>0</v>
      </c>
      <c r="J113" s="1" t="s">
        <v>232</v>
      </c>
      <c r="K113" s="1">
        <v>429</v>
      </c>
      <c r="M113" s="1" t="s">
        <v>387</v>
      </c>
      <c r="N113" s="3">
        <v>46210</v>
      </c>
      <c r="P113" s="1" t="s">
        <v>73</v>
      </c>
      <c r="Q113" s="1" t="s">
        <v>55</v>
      </c>
      <c r="R113" s="1" t="s">
        <v>569</v>
      </c>
      <c r="S113" s="3">
        <v>46210</v>
      </c>
      <c r="T113" s="3">
        <v>46210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443</v>
      </c>
      <c r="B114" s="1" t="s">
        <v>603</v>
      </c>
      <c r="C114" s="1" t="s">
        <v>601</v>
      </c>
      <c r="D114" s="1" t="s">
        <v>105</v>
      </c>
      <c r="E114" s="1" t="s">
        <v>52</v>
      </c>
      <c r="F114" s="2">
        <v>46211</v>
      </c>
      <c r="G114" s="2">
        <v>46211</v>
      </c>
      <c r="H114" s="4">
        <v>0</v>
      </c>
      <c r="J114" s="1" t="s">
        <v>83</v>
      </c>
      <c r="K114" s="1">
        <v>442</v>
      </c>
      <c r="L114" s="1">
        <v>444</v>
      </c>
      <c r="M114" s="1" t="s">
        <v>308</v>
      </c>
      <c r="N114" s="3">
        <v>46197</v>
      </c>
      <c r="P114" s="1" t="s">
        <v>67</v>
      </c>
      <c r="Q114" s="1" t="s">
        <v>55</v>
      </c>
      <c r="R114" s="1" t="s">
        <v>569</v>
      </c>
      <c r="S114" s="3">
        <v>46205</v>
      </c>
      <c r="T114" s="3">
        <v>46205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x14ac:dyDescent="0.25">
      <c r="A115" s="1">
        <v>446</v>
      </c>
      <c r="B115" s="1" t="s">
        <v>606</v>
      </c>
      <c r="C115" s="1" t="s">
        <v>571</v>
      </c>
      <c r="D115" s="1" t="s">
        <v>607</v>
      </c>
      <c r="E115" s="1" t="s">
        <v>608</v>
      </c>
      <c r="F115" s="2">
        <v>46189</v>
      </c>
      <c r="G115" s="2">
        <v>46204</v>
      </c>
      <c r="H115" s="4">
        <v>0.46</v>
      </c>
      <c r="J115" s="1" t="s">
        <v>41</v>
      </c>
      <c r="M115" s="1" t="s">
        <v>172</v>
      </c>
      <c r="N115" s="3">
        <v>46185</v>
      </c>
      <c r="P115" s="1" t="s">
        <v>73</v>
      </c>
      <c r="Q115" s="1" t="s">
        <v>55</v>
      </c>
      <c r="R115" s="1" t="s">
        <v>569</v>
      </c>
      <c r="S115" s="3">
        <v>46157</v>
      </c>
      <c r="T115" s="3">
        <v>46169</v>
      </c>
      <c r="AB115" s="1">
        <v>0.46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x14ac:dyDescent="0.25">
      <c r="A116" s="1">
        <v>448</v>
      </c>
      <c r="B116" s="1" t="s">
        <v>612</v>
      </c>
      <c r="C116" s="1" t="s">
        <v>610</v>
      </c>
      <c r="D116" s="1" t="s">
        <v>105</v>
      </c>
      <c r="E116" s="1" t="s">
        <v>168</v>
      </c>
      <c r="F116" s="2">
        <v>46197</v>
      </c>
      <c r="G116" s="2">
        <v>46202</v>
      </c>
      <c r="H116" s="4">
        <v>0</v>
      </c>
      <c r="J116" s="1" t="s">
        <v>41</v>
      </c>
      <c r="K116" s="1">
        <v>447</v>
      </c>
      <c r="L116" s="1">
        <v>449</v>
      </c>
      <c r="M116" s="1" t="s">
        <v>151</v>
      </c>
      <c r="N116" s="3">
        <v>46182</v>
      </c>
      <c r="P116" s="1" t="s">
        <v>180</v>
      </c>
      <c r="Q116" s="1" t="s">
        <v>55</v>
      </c>
      <c r="R116" s="1" t="s">
        <v>569</v>
      </c>
      <c r="S116" s="3">
        <v>46164</v>
      </c>
      <c r="T116" s="3">
        <v>46164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x14ac:dyDescent="0.25">
      <c r="A117" s="1">
        <v>449</v>
      </c>
      <c r="B117" s="1" t="s">
        <v>613</v>
      </c>
      <c r="C117" s="1" t="s">
        <v>610</v>
      </c>
      <c r="D117" s="1" t="s">
        <v>109</v>
      </c>
      <c r="E117" s="1" t="s">
        <v>116</v>
      </c>
      <c r="F117" s="2">
        <v>46203</v>
      </c>
      <c r="G117" s="2">
        <v>46204</v>
      </c>
      <c r="H117" s="4">
        <v>0</v>
      </c>
      <c r="J117" s="1" t="s">
        <v>41</v>
      </c>
      <c r="K117" s="1">
        <v>448</v>
      </c>
      <c r="L117" s="1" t="s">
        <v>614</v>
      </c>
      <c r="M117" s="1" t="s">
        <v>183</v>
      </c>
      <c r="N117" s="3">
        <v>46184</v>
      </c>
      <c r="P117" s="1" t="s">
        <v>180</v>
      </c>
      <c r="Q117" s="1" t="s">
        <v>55</v>
      </c>
      <c r="R117" s="1" t="s">
        <v>569</v>
      </c>
      <c r="S117" s="3">
        <v>46167</v>
      </c>
      <c r="T117" s="3">
        <v>46168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x14ac:dyDescent="0.25">
      <c r="A118" s="1">
        <v>450</v>
      </c>
      <c r="B118" s="1" t="s">
        <v>615</v>
      </c>
      <c r="C118" s="1" t="s">
        <v>610</v>
      </c>
      <c r="D118" s="1" t="s">
        <v>115</v>
      </c>
      <c r="E118" s="1" t="s">
        <v>52</v>
      </c>
      <c r="F118" s="2">
        <v>46204</v>
      </c>
      <c r="G118" s="2">
        <v>46204</v>
      </c>
      <c r="H118" s="4">
        <v>0</v>
      </c>
      <c r="J118" s="1" t="s">
        <v>41</v>
      </c>
      <c r="K118" s="1" t="s">
        <v>616</v>
      </c>
      <c r="M118" s="1" t="s">
        <v>245</v>
      </c>
      <c r="N118" s="3">
        <v>46185</v>
      </c>
      <c r="P118" s="1" t="s">
        <v>180</v>
      </c>
      <c r="Q118" s="1" t="s">
        <v>55</v>
      </c>
      <c r="R118" s="1" t="s">
        <v>569</v>
      </c>
      <c r="S118" s="3">
        <v>46169</v>
      </c>
      <c r="T118" s="3">
        <v>46169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x14ac:dyDescent="0.25">
      <c r="A119" s="1">
        <v>451</v>
      </c>
      <c r="B119" s="1" t="s">
        <v>617</v>
      </c>
      <c r="C119" s="1" t="s">
        <v>571</v>
      </c>
      <c r="D119" s="1" t="s">
        <v>618</v>
      </c>
      <c r="E119" s="1" t="s">
        <v>186</v>
      </c>
      <c r="F119" s="2">
        <v>46171</v>
      </c>
      <c r="G119" s="2">
        <v>46188</v>
      </c>
      <c r="H119" s="4">
        <v>0.6</v>
      </c>
      <c r="J119" s="1" t="s">
        <v>41</v>
      </c>
      <c r="M119" s="1" t="s">
        <v>172</v>
      </c>
      <c r="N119" s="3">
        <v>46183</v>
      </c>
      <c r="P119" s="1" t="s">
        <v>136</v>
      </c>
      <c r="Q119" s="1" t="s">
        <v>55</v>
      </c>
      <c r="R119" s="1" t="s">
        <v>569</v>
      </c>
      <c r="S119" s="3">
        <v>46157</v>
      </c>
      <c r="T119" s="3">
        <v>46167</v>
      </c>
      <c r="AB119" s="1">
        <v>0.6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453</v>
      </c>
      <c r="B120" s="1" t="s">
        <v>622</v>
      </c>
      <c r="C120" s="1" t="s">
        <v>620</v>
      </c>
      <c r="D120" s="1" t="s">
        <v>105</v>
      </c>
      <c r="E120" s="1" t="s">
        <v>52</v>
      </c>
      <c r="F120" s="2">
        <v>46183</v>
      </c>
      <c r="G120" s="2">
        <v>46183</v>
      </c>
      <c r="H120" s="4">
        <v>0</v>
      </c>
      <c r="J120" s="1" t="s">
        <v>41</v>
      </c>
      <c r="K120" s="1">
        <v>452</v>
      </c>
      <c r="L120" s="1">
        <v>454</v>
      </c>
      <c r="M120" s="1" t="s">
        <v>66</v>
      </c>
      <c r="N120" s="3">
        <v>46178</v>
      </c>
      <c r="P120" s="1" t="s">
        <v>76</v>
      </c>
      <c r="Q120" s="1" t="s">
        <v>55</v>
      </c>
      <c r="R120" s="1" t="s">
        <v>569</v>
      </c>
      <c r="S120" s="3">
        <v>46162</v>
      </c>
      <c r="T120" s="3">
        <v>46162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x14ac:dyDescent="0.25">
      <c r="A121" s="1">
        <v>454</v>
      </c>
      <c r="B121" s="1" t="s">
        <v>623</v>
      </c>
      <c r="C121" s="1" t="s">
        <v>620</v>
      </c>
      <c r="D121" s="1" t="s">
        <v>109</v>
      </c>
      <c r="E121" s="1" t="s">
        <v>116</v>
      </c>
      <c r="F121" s="2">
        <v>46184</v>
      </c>
      <c r="G121" s="2">
        <v>46185</v>
      </c>
      <c r="H121" s="4">
        <v>0</v>
      </c>
      <c r="J121" s="1" t="s">
        <v>41</v>
      </c>
      <c r="K121" s="1">
        <v>453</v>
      </c>
      <c r="L121" s="1">
        <v>455</v>
      </c>
      <c r="M121" s="1" t="s">
        <v>149</v>
      </c>
      <c r="N121" s="3">
        <v>46182</v>
      </c>
      <c r="P121" s="1" t="s">
        <v>76</v>
      </c>
      <c r="Q121" s="1" t="s">
        <v>55</v>
      </c>
      <c r="R121" s="1" t="s">
        <v>569</v>
      </c>
      <c r="S121" s="3">
        <v>46163</v>
      </c>
      <c r="T121" s="3">
        <v>46164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0</v>
      </c>
      <c r="AL121" s="1">
        <v>0</v>
      </c>
      <c r="AM121" s="1">
        <v>0</v>
      </c>
    </row>
    <row r="122" spans="1:39" x14ac:dyDescent="0.25">
      <c r="A122" s="1">
        <v>455</v>
      </c>
      <c r="B122" s="1" t="s">
        <v>624</v>
      </c>
      <c r="C122" s="1" t="s">
        <v>620</v>
      </c>
      <c r="D122" s="1" t="s">
        <v>115</v>
      </c>
      <c r="E122" s="1" t="s">
        <v>52</v>
      </c>
      <c r="F122" s="2">
        <v>46188</v>
      </c>
      <c r="G122" s="2">
        <v>46188</v>
      </c>
      <c r="H122" s="4">
        <v>0</v>
      </c>
      <c r="J122" s="1" t="s">
        <v>41</v>
      </c>
      <c r="K122" s="1">
        <v>454</v>
      </c>
      <c r="M122" s="1" t="s">
        <v>183</v>
      </c>
      <c r="N122" s="3">
        <v>46183</v>
      </c>
      <c r="P122" s="1" t="s">
        <v>73</v>
      </c>
      <c r="Q122" s="1" t="s">
        <v>55</v>
      </c>
      <c r="R122" s="1" t="s">
        <v>569</v>
      </c>
      <c r="S122" s="3">
        <v>46167</v>
      </c>
      <c r="T122" s="3">
        <v>46167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</row>
    <row r="123" spans="1:39" x14ac:dyDescent="0.25">
      <c r="A123" s="1">
        <v>456</v>
      </c>
      <c r="B123" s="1" t="s">
        <v>625</v>
      </c>
      <c r="C123" s="1" t="s">
        <v>571</v>
      </c>
      <c r="D123" s="1" t="s">
        <v>626</v>
      </c>
      <c r="E123" s="1" t="s">
        <v>186</v>
      </c>
      <c r="F123" s="2">
        <v>46176</v>
      </c>
      <c r="G123" s="2">
        <v>46191</v>
      </c>
      <c r="H123" s="4">
        <v>0.6</v>
      </c>
      <c r="J123" s="1" t="s">
        <v>41</v>
      </c>
      <c r="M123" s="1" t="s">
        <v>172</v>
      </c>
      <c r="N123" s="3">
        <v>46185</v>
      </c>
      <c r="P123" s="1" t="s">
        <v>119</v>
      </c>
      <c r="Q123" s="1" t="s">
        <v>55</v>
      </c>
      <c r="R123" s="1" t="s">
        <v>569</v>
      </c>
      <c r="S123" s="3">
        <v>46157</v>
      </c>
      <c r="T123" s="3">
        <v>46169</v>
      </c>
      <c r="AB123" s="1">
        <v>0.6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458</v>
      </c>
      <c r="B124" s="1" t="s">
        <v>629</v>
      </c>
      <c r="C124" s="1" t="s">
        <v>628</v>
      </c>
      <c r="D124" s="1" t="s">
        <v>105</v>
      </c>
      <c r="E124" s="1" t="s">
        <v>52</v>
      </c>
      <c r="F124" s="2">
        <v>46188</v>
      </c>
      <c r="G124" s="2">
        <v>46188</v>
      </c>
      <c r="H124" s="4">
        <v>0</v>
      </c>
      <c r="J124" s="1" t="s">
        <v>41</v>
      </c>
      <c r="K124" s="1">
        <v>457</v>
      </c>
      <c r="L124" s="1">
        <v>459</v>
      </c>
      <c r="M124" s="1" t="s">
        <v>151</v>
      </c>
      <c r="N124" s="3">
        <v>46182</v>
      </c>
      <c r="P124" s="1" t="s">
        <v>73</v>
      </c>
      <c r="Q124" s="1" t="s">
        <v>55</v>
      </c>
      <c r="R124" s="1" t="s">
        <v>569</v>
      </c>
      <c r="S124" s="3">
        <v>46164</v>
      </c>
      <c r="T124" s="3">
        <v>46164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1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459</v>
      </c>
      <c r="B125" s="1" t="s">
        <v>630</v>
      </c>
      <c r="C125" s="1" t="s">
        <v>628</v>
      </c>
      <c r="D125" s="1" t="s">
        <v>109</v>
      </c>
      <c r="E125" s="1" t="s">
        <v>116</v>
      </c>
      <c r="F125" s="2">
        <v>46189</v>
      </c>
      <c r="G125" s="2">
        <v>46190</v>
      </c>
      <c r="H125" s="4">
        <v>0</v>
      </c>
      <c r="J125" s="1" t="s">
        <v>41</v>
      </c>
      <c r="K125" s="1">
        <v>458</v>
      </c>
      <c r="L125" s="1">
        <v>460</v>
      </c>
      <c r="M125" s="1" t="s">
        <v>183</v>
      </c>
      <c r="N125" s="3">
        <v>46184</v>
      </c>
      <c r="P125" s="1" t="s">
        <v>73</v>
      </c>
      <c r="Q125" s="1" t="s">
        <v>55</v>
      </c>
      <c r="R125" s="1" t="s">
        <v>569</v>
      </c>
      <c r="S125" s="3">
        <v>46167</v>
      </c>
      <c r="T125" s="3">
        <v>46168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>
        <v>0</v>
      </c>
      <c r="AL125" s="1">
        <v>0</v>
      </c>
      <c r="AM125" s="1">
        <v>0</v>
      </c>
    </row>
    <row r="126" spans="1:39" x14ac:dyDescent="0.25">
      <c r="A126" s="1">
        <v>460</v>
      </c>
      <c r="B126" s="1" t="s">
        <v>631</v>
      </c>
      <c r="C126" s="1" t="s">
        <v>628</v>
      </c>
      <c r="D126" s="1" t="s">
        <v>115</v>
      </c>
      <c r="E126" s="1" t="s">
        <v>52</v>
      </c>
      <c r="F126" s="2">
        <v>46191</v>
      </c>
      <c r="G126" s="2">
        <v>46191</v>
      </c>
      <c r="H126" s="4">
        <v>0</v>
      </c>
      <c r="J126" s="1" t="s">
        <v>41</v>
      </c>
      <c r="K126" s="1">
        <v>459</v>
      </c>
      <c r="M126" s="1" t="s">
        <v>245</v>
      </c>
      <c r="N126" s="3">
        <v>46185</v>
      </c>
      <c r="P126" s="1" t="s">
        <v>73</v>
      </c>
      <c r="Q126" s="1" t="s">
        <v>55</v>
      </c>
      <c r="R126" s="1" t="s">
        <v>569</v>
      </c>
      <c r="S126" s="3">
        <v>46169</v>
      </c>
      <c r="T126" s="3">
        <v>46169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0</v>
      </c>
    </row>
    <row r="127" spans="1:39" x14ac:dyDescent="0.25">
      <c r="A127" s="1">
        <v>461</v>
      </c>
      <c r="B127" s="1" t="s">
        <v>632</v>
      </c>
      <c r="C127" s="1" t="s">
        <v>571</v>
      </c>
      <c r="D127" s="1" t="s">
        <v>633</v>
      </c>
      <c r="E127" s="1" t="s">
        <v>294</v>
      </c>
      <c r="F127" s="2">
        <v>46196</v>
      </c>
      <c r="G127" s="2">
        <v>46210</v>
      </c>
      <c r="H127" s="4">
        <v>0.36</v>
      </c>
      <c r="J127" s="1" t="s">
        <v>41</v>
      </c>
      <c r="M127" s="1" t="s">
        <v>183</v>
      </c>
      <c r="N127" s="3">
        <v>46202</v>
      </c>
      <c r="P127" s="1" t="s">
        <v>180</v>
      </c>
      <c r="Q127" s="1" t="s">
        <v>55</v>
      </c>
      <c r="R127" s="1" t="s">
        <v>569</v>
      </c>
      <c r="S127" s="3">
        <v>46167</v>
      </c>
      <c r="T127" s="3">
        <v>46184</v>
      </c>
      <c r="AB127" s="1">
        <v>0.36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463</v>
      </c>
      <c r="B128" s="1" t="s">
        <v>636</v>
      </c>
      <c r="C128" s="1" t="s">
        <v>635</v>
      </c>
      <c r="D128" s="1" t="s">
        <v>105</v>
      </c>
      <c r="E128" s="1" t="s">
        <v>168</v>
      </c>
      <c r="F128" s="2">
        <v>46202</v>
      </c>
      <c r="G128" s="2">
        <v>46205</v>
      </c>
      <c r="H128" s="4">
        <v>0</v>
      </c>
      <c r="J128" s="1" t="s">
        <v>41</v>
      </c>
      <c r="K128" s="1">
        <v>462</v>
      </c>
      <c r="L128" s="1">
        <v>464</v>
      </c>
      <c r="M128" s="1" t="s">
        <v>308</v>
      </c>
      <c r="N128" s="3">
        <v>46197</v>
      </c>
      <c r="P128" s="1" t="s">
        <v>180</v>
      </c>
      <c r="Q128" s="1" t="s">
        <v>55</v>
      </c>
      <c r="R128" s="1" t="s">
        <v>569</v>
      </c>
      <c r="S128" s="3">
        <v>46181</v>
      </c>
      <c r="T128" s="3">
        <v>46181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464</v>
      </c>
      <c r="B129" s="1" t="s">
        <v>637</v>
      </c>
      <c r="C129" s="1" t="s">
        <v>635</v>
      </c>
      <c r="D129" s="1" t="s">
        <v>109</v>
      </c>
      <c r="E129" s="1" t="s">
        <v>116</v>
      </c>
      <c r="F129" s="2">
        <v>46206</v>
      </c>
      <c r="G129" s="2">
        <v>46209</v>
      </c>
      <c r="H129" s="4">
        <v>0</v>
      </c>
      <c r="J129" s="1" t="s">
        <v>41</v>
      </c>
      <c r="K129" s="1">
        <v>463</v>
      </c>
      <c r="L129" s="1">
        <v>465</v>
      </c>
      <c r="M129" s="1" t="s">
        <v>191</v>
      </c>
      <c r="N129" s="3">
        <v>46199</v>
      </c>
      <c r="P129" s="1" t="s">
        <v>67</v>
      </c>
      <c r="Q129" s="1" t="s">
        <v>55</v>
      </c>
      <c r="R129" s="1" t="s">
        <v>569</v>
      </c>
      <c r="S129" s="3">
        <v>46182</v>
      </c>
      <c r="T129" s="3">
        <v>46183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0</v>
      </c>
      <c r="AL129" s="1">
        <v>0</v>
      </c>
      <c r="AM129" s="1">
        <v>0</v>
      </c>
    </row>
    <row r="130" spans="1:39" x14ac:dyDescent="0.25">
      <c r="A130" s="1">
        <v>465</v>
      </c>
      <c r="B130" s="1" t="s">
        <v>638</v>
      </c>
      <c r="C130" s="1" t="s">
        <v>635</v>
      </c>
      <c r="D130" s="1" t="s">
        <v>115</v>
      </c>
      <c r="E130" s="1" t="s">
        <v>52</v>
      </c>
      <c r="F130" s="2">
        <v>46210</v>
      </c>
      <c r="G130" s="2">
        <v>46210</v>
      </c>
      <c r="H130" s="4">
        <v>0</v>
      </c>
      <c r="J130" s="1" t="s">
        <v>232</v>
      </c>
      <c r="K130" s="1">
        <v>464</v>
      </c>
      <c r="M130" s="1" t="s">
        <v>311</v>
      </c>
      <c r="N130" s="3">
        <v>46202</v>
      </c>
      <c r="P130" s="1" t="s">
        <v>67</v>
      </c>
      <c r="Q130" s="1" t="s">
        <v>55</v>
      </c>
      <c r="R130" s="1" t="s">
        <v>569</v>
      </c>
      <c r="S130" s="3">
        <v>46184</v>
      </c>
      <c r="T130" s="3">
        <v>46184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x14ac:dyDescent="0.25">
      <c r="A131" s="1">
        <v>466</v>
      </c>
      <c r="B131" s="1" t="s">
        <v>639</v>
      </c>
      <c r="C131" s="1" t="s">
        <v>571</v>
      </c>
      <c r="D131" s="1" t="s">
        <v>640</v>
      </c>
      <c r="E131" s="1" t="s">
        <v>162</v>
      </c>
      <c r="F131" s="2">
        <v>46196</v>
      </c>
      <c r="G131" s="2">
        <v>46205</v>
      </c>
      <c r="H131" s="4">
        <v>0.5</v>
      </c>
      <c r="J131" s="1" t="s">
        <v>41</v>
      </c>
      <c r="M131" s="1" t="s">
        <v>183</v>
      </c>
      <c r="N131" s="3">
        <v>46202</v>
      </c>
      <c r="P131" s="1" t="s">
        <v>180</v>
      </c>
      <c r="Q131" s="1" t="s">
        <v>55</v>
      </c>
      <c r="R131" s="1" t="s">
        <v>569</v>
      </c>
      <c r="S131" s="3">
        <v>46167</v>
      </c>
      <c r="T131" s="3">
        <v>46184</v>
      </c>
      <c r="AB131" s="1">
        <v>0.5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 x14ac:dyDescent="0.25">
      <c r="A132" s="1">
        <v>468</v>
      </c>
      <c r="B132" s="1" t="s">
        <v>643</v>
      </c>
      <c r="C132" s="1" t="s">
        <v>642</v>
      </c>
      <c r="D132" s="1" t="s">
        <v>105</v>
      </c>
      <c r="E132" s="1" t="s">
        <v>52</v>
      </c>
      <c r="F132" s="2">
        <v>46202</v>
      </c>
      <c r="G132" s="2">
        <v>46202</v>
      </c>
      <c r="H132" s="4">
        <v>0</v>
      </c>
      <c r="J132" s="1" t="s">
        <v>41</v>
      </c>
      <c r="K132" s="1">
        <v>467</v>
      </c>
      <c r="L132" s="1">
        <v>469</v>
      </c>
      <c r="M132" s="1" t="s">
        <v>308</v>
      </c>
      <c r="N132" s="3">
        <v>46197</v>
      </c>
      <c r="P132" s="1" t="s">
        <v>180</v>
      </c>
      <c r="Q132" s="1" t="s">
        <v>55</v>
      </c>
      <c r="R132" s="1" t="s">
        <v>569</v>
      </c>
      <c r="S132" s="3">
        <v>46181</v>
      </c>
      <c r="T132" s="3">
        <v>46181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</row>
    <row r="133" spans="1:39" x14ac:dyDescent="0.25">
      <c r="A133" s="1">
        <v>469</v>
      </c>
      <c r="B133" s="1" t="s">
        <v>644</v>
      </c>
      <c r="C133" s="1" t="s">
        <v>642</v>
      </c>
      <c r="D133" s="1" t="s">
        <v>109</v>
      </c>
      <c r="E133" s="1" t="s">
        <v>116</v>
      </c>
      <c r="F133" s="2">
        <v>46203</v>
      </c>
      <c r="G133" s="2">
        <v>46204</v>
      </c>
      <c r="H133" s="4">
        <v>0</v>
      </c>
      <c r="J133" s="1" t="s">
        <v>41</v>
      </c>
      <c r="K133" s="1">
        <v>468</v>
      </c>
      <c r="L133" s="1">
        <v>470</v>
      </c>
      <c r="M133" s="1" t="s">
        <v>191</v>
      </c>
      <c r="N133" s="3">
        <v>46199</v>
      </c>
      <c r="P133" s="1" t="s">
        <v>180</v>
      </c>
      <c r="Q133" s="1" t="s">
        <v>55</v>
      </c>
      <c r="R133" s="1" t="s">
        <v>569</v>
      </c>
      <c r="S133" s="3">
        <v>46182</v>
      </c>
      <c r="T133" s="3">
        <v>46183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0</v>
      </c>
      <c r="AM133" s="1">
        <v>0</v>
      </c>
    </row>
    <row r="134" spans="1:39" x14ac:dyDescent="0.25">
      <c r="A134" s="1">
        <v>470</v>
      </c>
      <c r="B134" s="1" t="s">
        <v>645</v>
      </c>
      <c r="C134" s="1" t="s">
        <v>642</v>
      </c>
      <c r="D134" s="1" t="s">
        <v>115</v>
      </c>
      <c r="E134" s="1" t="s">
        <v>52</v>
      </c>
      <c r="F134" s="2">
        <v>46205</v>
      </c>
      <c r="G134" s="2">
        <v>46205</v>
      </c>
      <c r="H134" s="4">
        <v>0</v>
      </c>
      <c r="J134" s="1" t="s">
        <v>41</v>
      </c>
      <c r="K134" s="1">
        <v>469</v>
      </c>
      <c r="M134" s="1" t="s">
        <v>311</v>
      </c>
      <c r="N134" s="3">
        <v>46202</v>
      </c>
      <c r="P134" s="1" t="s">
        <v>67</v>
      </c>
      <c r="Q134" s="1" t="s">
        <v>55</v>
      </c>
      <c r="R134" s="1" t="s">
        <v>569</v>
      </c>
      <c r="S134" s="3">
        <v>46184</v>
      </c>
      <c r="T134" s="3">
        <v>46184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</v>
      </c>
      <c r="AM134" s="1">
        <v>0</v>
      </c>
    </row>
    <row r="135" spans="1:39" x14ac:dyDescent="0.25">
      <c r="A135" s="1">
        <v>471</v>
      </c>
      <c r="B135" s="1" t="s">
        <v>646</v>
      </c>
      <c r="C135" s="1" t="s">
        <v>571</v>
      </c>
      <c r="D135" s="1" t="s">
        <v>647</v>
      </c>
      <c r="E135" s="1" t="s">
        <v>162</v>
      </c>
      <c r="F135" s="2">
        <v>46196</v>
      </c>
      <c r="G135" s="2">
        <v>46205</v>
      </c>
      <c r="H135" s="4">
        <v>0.5</v>
      </c>
      <c r="J135" s="1" t="s">
        <v>41</v>
      </c>
      <c r="M135" s="1" t="s">
        <v>183</v>
      </c>
      <c r="N135" s="3">
        <v>46202</v>
      </c>
      <c r="P135" s="1" t="s">
        <v>180</v>
      </c>
      <c r="Q135" s="1" t="s">
        <v>55</v>
      </c>
      <c r="R135" s="1" t="s">
        <v>569</v>
      </c>
      <c r="S135" s="3">
        <v>46167</v>
      </c>
      <c r="T135" s="3">
        <v>46184</v>
      </c>
      <c r="AB135" s="1">
        <v>0.5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</row>
    <row r="136" spans="1:39" x14ac:dyDescent="0.25">
      <c r="A136" s="1">
        <v>473</v>
      </c>
      <c r="B136" s="1" t="s">
        <v>650</v>
      </c>
      <c r="C136" s="1" t="s">
        <v>649</v>
      </c>
      <c r="D136" s="1" t="s">
        <v>105</v>
      </c>
      <c r="E136" s="1" t="s">
        <v>52</v>
      </c>
      <c r="F136" s="2">
        <v>46202</v>
      </c>
      <c r="G136" s="2">
        <v>46202</v>
      </c>
      <c r="H136" s="4">
        <v>0</v>
      </c>
      <c r="J136" s="1" t="s">
        <v>41</v>
      </c>
      <c r="K136" s="1">
        <v>472</v>
      </c>
      <c r="L136" s="1">
        <v>474</v>
      </c>
      <c r="M136" s="1" t="s">
        <v>308</v>
      </c>
      <c r="N136" s="3">
        <v>46197</v>
      </c>
      <c r="P136" s="1" t="s">
        <v>180</v>
      </c>
      <c r="Q136" s="1" t="s">
        <v>55</v>
      </c>
      <c r="R136" s="1" t="s">
        <v>569</v>
      </c>
      <c r="S136" s="3">
        <v>46181</v>
      </c>
      <c r="T136" s="3">
        <v>46181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 x14ac:dyDescent="0.25">
      <c r="A137" s="1">
        <v>474</v>
      </c>
      <c r="B137" s="1" t="s">
        <v>651</v>
      </c>
      <c r="C137" s="1" t="s">
        <v>649</v>
      </c>
      <c r="D137" s="1" t="s">
        <v>109</v>
      </c>
      <c r="E137" s="1" t="s">
        <v>116</v>
      </c>
      <c r="F137" s="2">
        <v>46203</v>
      </c>
      <c r="G137" s="2">
        <v>46204</v>
      </c>
      <c r="H137" s="4">
        <v>0</v>
      </c>
      <c r="J137" s="1" t="s">
        <v>41</v>
      </c>
      <c r="K137" s="1">
        <v>473</v>
      </c>
      <c r="L137" s="1">
        <v>475</v>
      </c>
      <c r="M137" s="1" t="s">
        <v>191</v>
      </c>
      <c r="N137" s="3">
        <v>46199</v>
      </c>
      <c r="P137" s="1" t="s">
        <v>180</v>
      </c>
      <c r="Q137" s="1" t="s">
        <v>55</v>
      </c>
      <c r="R137" s="1" t="s">
        <v>569</v>
      </c>
      <c r="S137" s="3">
        <v>46182</v>
      </c>
      <c r="T137" s="3">
        <v>46183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</row>
    <row r="138" spans="1:39" x14ac:dyDescent="0.25">
      <c r="A138" s="1">
        <v>475</v>
      </c>
      <c r="B138" s="1" t="s">
        <v>652</v>
      </c>
      <c r="C138" s="1" t="s">
        <v>649</v>
      </c>
      <c r="D138" s="1" t="s">
        <v>115</v>
      </c>
      <c r="E138" s="1" t="s">
        <v>52</v>
      </c>
      <c r="F138" s="2">
        <v>46205</v>
      </c>
      <c r="G138" s="2">
        <v>46205</v>
      </c>
      <c r="H138" s="4">
        <v>0</v>
      </c>
      <c r="J138" s="1" t="s">
        <v>41</v>
      </c>
      <c r="K138" s="1">
        <v>474</v>
      </c>
      <c r="M138" s="1" t="s">
        <v>311</v>
      </c>
      <c r="N138" s="3">
        <v>46202</v>
      </c>
      <c r="P138" s="1" t="s">
        <v>67</v>
      </c>
      <c r="Q138" s="1" t="s">
        <v>55</v>
      </c>
      <c r="R138" s="1" t="s">
        <v>569</v>
      </c>
      <c r="S138" s="3">
        <v>46184</v>
      </c>
      <c r="T138" s="3">
        <v>46184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</row>
    <row r="139" spans="1:39" x14ac:dyDescent="0.25">
      <c r="A139" s="1">
        <v>483</v>
      </c>
      <c r="B139" s="1" t="s">
        <v>658</v>
      </c>
      <c r="C139" s="1" t="s">
        <v>656</v>
      </c>
      <c r="D139" s="1" t="s">
        <v>105</v>
      </c>
      <c r="E139" s="1" t="s">
        <v>52</v>
      </c>
      <c r="F139" s="2">
        <v>46210</v>
      </c>
      <c r="G139" s="2">
        <v>46210</v>
      </c>
      <c r="H139" s="4">
        <v>0</v>
      </c>
      <c r="J139" s="1" t="s">
        <v>232</v>
      </c>
      <c r="K139" s="1">
        <v>482</v>
      </c>
      <c r="L139" s="1">
        <v>484</v>
      </c>
      <c r="M139" s="1" t="s">
        <v>311</v>
      </c>
      <c r="N139" s="3">
        <v>46202</v>
      </c>
      <c r="P139" s="1" t="s">
        <v>180</v>
      </c>
      <c r="Q139" s="1" t="s">
        <v>55</v>
      </c>
      <c r="R139" s="1" t="s">
        <v>569</v>
      </c>
      <c r="S139" s="3">
        <v>46184</v>
      </c>
      <c r="T139" s="3">
        <v>46184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498</v>
      </c>
      <c r="B140" s="1" t="s">
        <v>667</v>
      </c>
      <c r="C140" s="1" t="s">
        <v>664</v>
      </c>
      <c r="D140" s="1" t="s">
        <v>105</v>
      </c>
      <c r="E140" s="1" t="s">
        <v>52</v>
      </c>
      <c r="F140" s="2">
        <v>46211</v>
      </c>
      <c r="G140" s="2">
        <v>46211</v>
      </c>
      <c r="H140" s="4">
        <v>0</v>
      </c>
      <c r="J140" s="1" t="s">
        <v>83</v>
      </c>
      <c r="K140" s="1">
        <v>497</v>
      </c>
      <c r="L140" s="1">
        <v>499</v>
      </c>
      <c r="M140" s="1" t="s">
        <v>196</v>
      </c>
      <c r="N140" s="3">
        <v>46203</v>
      </c>
      <c r="P140" s="1" t="s">
        <v>67</v>
      </c>
      <c r="Q140" s="1" t="s">
        <v>55</v>
      </c>
      <c r="R140" s="1" t="s">
        <v>569</v>
      </c>
      <c r="S140" s="3">
        <v>46204</v>
      </c>
      <c r="T140" s="3">
        <v>46204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</row>
    <row r="141" spans="1:39" x14ac:dyDescent="0.25">
      <c r="A141" s="1">
        <v>501</v>
      </c>
      <c r="B141" s="1" t="s">
        <v>670</v>
      </c>
      <c r="C141" s="1" t="s">
        <v>571</v>
      </c>
      <c r="D141" s="1" t="s">
        <v>671</v>
      </c>
      <c r="E141" s="1" t="s">
        <v>175</v>
      </c>
      <c r="F141" s="2">
        <v>46203</v>
      </c>
      <c r="G141" s="2">
        <v>46211</v>
      </c>
      <c r="H141" s="4">
        <v>0</v>
      </c>
      <c r="J141" s="1" t="s">
        <v>41</v>
      </c>
      <c r="M141" s="1" t="s">
        <v>308</v>
      </c>
      <c r="N141" s="3">
        <v>46204</v>
      </c>
      <c r="P141" s="1" t="s">
        <v>73</v>
      </c>
      <c r="Q141" s="1" t="s">
        <v>55</v>
      </c>
      <c r="R141" s="1" t="s">
        <v>569</v>
      </c>
      <c r="S141" s="3">
        <v>46189</v>
      </c>
      <c r="T141" s="3">
        <v>46197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502</v>
      </c>
      <c r="B142" s="1" t="s">
        <v>672</v>
      </c>
      <c r="C142" s="1" t="s">
        <v>673</v>
      </c>
      <c r="D142" s="1" t="s">
        <v>101</v>
      </c>
      <c r="E142" s="1" t="s">
        <v>168</v>
      </c>
      <c r="F142" s="2">
        <v>46203</v>
      </c>
      <c r="G142" s="2">
        <v>46206</v>
      </c>
      <c r="H142" s="4">
        <v>0</v>
      </c>
      <c r="J142" s="1" t="s">
        <v>41</v>
      </c>
      <c r="K142" s="1" t="s">
        <v>665</v>
      </c>
      <c r="L142" s="1">
        <v>503</v>
      </c>
      <c r="M142" s="1" t="s">
        <v>308</v>
      </c>
      <c r="N142" s="3">
        <v>46198</v>
      </c>
      <c r="P142" s="1" t="s">
        <v>73</v>
      </c>
      <c r="Q142" s="1" t="s">
        <v>55</v>
      </c>
      <c r="R142" s="1" t="s">
        <v>569</v>
      </c>
      <c r="S142" s="3">
        <v>46189</v>
      </c>
      <c r="T142" s="3">
        <v>46191</v>
      </c>
      <c r="AB142" s="1">
        <v>0</v>
      </c>
      <c r="AC142" s="1">
        <v>1</v>
      </c>
      <c r="AD142" s="1">
        <v>0</v>
      </c>
      <c r="AE142" s="1">
        <v>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</row>
    <row r="143" spans="1:39" x14ac:dyDescent="0.25">
      <c r="A143" s="1">
        <v>503</v>
      </c>
      <c r="B143" s="1" t="s">
        <v>674</v>
      </c>
      <c r="C143" s="1" t="s">
        <v>673</v>
      </c>
      <c r="D143" s="1" t="s">
        <v>105</v>
      </c>
      <c r="E143" s="1" t="s">
        <v>52</v>
      </c>
      <c r="F143" s="2">
        <v>46209</v>
      </c>
      <c r="G143" s="2">
        <v>46209</v>
      </c>
      <c r="H143" s="4">
        <v>0</v>
      </c>
      <c r="J143" s="1" t="s">
        <v>41</v>
      </c>
      <c r="K143" s="1">
        <v>502</v>
      </c>
      <c r="L143" s="1">
        <v>504</v>
      </c>
      <c r="M143" s="1" t="s">
        <v>193</v>
      </c>
      <c r="N143" s="3">
        <v>46199</v>
      </c>
      <c r="P143" s="1" t="s">
        <v>180</v>
      </c>
      <c r="Q143" s="1" t="s">
        <v>55</v>
      </c>
      <c r="R143" s="1" t="s">
        <v>569</v>
      </c>
      <c r="S143" s="3">
        <v>46192</v>
      </c>
      <c r="T143" s="3">
        <v>46192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</row>
    <row r="144" spans="1:39" x14ac:dyDescent="0.25">
      <c r="A144" s="1">
        <v>504</v>
      </c>
      <c r="B144" s="1" t="s">
        <v>675</v>
      </c>
      <c r="C144" s="1" t="s">
        <v>673</v>
      </c>
      <c r="D144" s="1" t="s">
        <v>109</v>
      </c>
      <c r="E144" s="1" t="s">
        <v>52</v>
      </c>
      <c r="F144" s="2">
        <v>46210</v>
      </c>
      <c r="G144" s="2">
        <v>46210</v>
      </c>
      <c r="H144" s="4">
        <v>0</v>
      </c>
      <c r="J144" s="1" t="s">
        <v>232</v>
      </c>
      <c r="K144" s="1">
        <v>503</v>
      </c>
      <c r="L144" s="1">
        <v>505</v>
      </c>
      <c r="M144" s="1" t="s">
        <v>311</v>
      </c>
      <c r="N144" s="3">
        <v>46203</v>
      </c>
      <c r="P144" s="1" t="s">
        <v>180</v>
      </c>
      <c r="Q144" s="1" t="s">
        <v>55</v>
      </c>
      <c r="R144" s="1" t="s">
        <v>569</v>
      </c>
      <c r="S144" s="3">
        <v>46195</v>
      </c>
      <c r="T144" s="3">
        <v>46196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505</v>
      </c>
      <c r="B145" s="1" t="s">
        <v>676</v>
      </c>
      <c r="C145" s="1" t="s">
        <v>673</v>
      </c>
      <c r="D145" s="1" t="s">
        <v>115</v>
      </c>
      <c r="E145" s="1" t="s">
        <v>52</v>
      </c>
      <c r="F145" s="2">
        <v>46211</v>
      </c>
      <c r="G145" s="2">
        <v>46211</v>
      </c>
      <c r="H145" s="4">
        <v>0</v>
      </c>
      <c r="J145" s="1" t="s">
        <v>83</v>
      </c>
      <c r="K145" s="1">
        <v>504</v>
      </c>
      <c r="M145" s="1" t="s">
        <v>404</v>
      </c>
      <c r="N145" s="3">
        <v>46204</v>
      </c>
      <c r="P145" s="1" t="s">
        <v>180</v>
      </c>
      <c r="Q145" s="1" t="s">
        <v>55</v>
      </c>
      <c r="R145" s="1" t="s">
        <v>569</v>
      </c>
      <c r="S145" s="3">
        <v>46197</v>
      </c>
      <c r="T145" s="3">
        <v>46197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x14ac:dyDescent="0.25">
      <c r="A146" s="1">
        <v>506</v>
      </c>
      <c r="B146" s="1" t="s">
        <v>677</v>
      </c>
      <c r="C146" s="1" t="s">
        <v>571</v>
      </c>
      <c r="D146" s="1" t="s">
        <v>678</v>
      </c>
      <c r="E146" s="1" t="s">
        <v>679</v>
      </c>
      <c r="F146" s="2">
        <v>46191</v>
      </c>
      <c r="G146" s="2">
        <v>46211</v>
      </c>
      <c r="H146" s="4">
        <v>0.8</v>
      </c>
      <c r="J146" s="1" t="s">
        <v>41</v>
      </c>
      <c r="M146" s="1" t="s">
        <v>308</v>
      </c>
      <c r="N146" s="3">
        <v>46211</v>
      </c>
      <c r="P146" s="1" t="s">
        <v>73</v>
      </c>
      <c r="Q146" s="1" t="s">
        <v>55</v>
      </c>
      <c r="R146" s="1" t="s">
        <v>569</v>
      </c>
      <c r="S146" s="3">
        <v>46189</v>
      </c>
      <c r="T146" s="3">
        <v>46206</v>
      </c>
      <c r="AB146" s="1">
        <v>0.8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509</v>
      </c>
      <c r="B147" s="1" t="s">
        <v>685</v>
      </c>
      <c r="C147" s="1" t="s">
        <v>681</v>
      </c>
      <c r="D147" s="1" t="s">
        <v>109</v>
      </c>
      <c r="E147" s="1" t="s">
        <v>116</v>
      </c>
      <c r="F147" s="2">
        <v>46209</v>
      </c>
      <c r="G147" s="2">
        <v>46210</v>
      </c>
      <c r="H147" s="4">
        <v>0</v>
      </c>
      <c r="J147" s="1" t="s">
        <v>41</v>
      </c>
      <c r="K147" s="1">
        <v>508</v>
      </c>
      <c r="L147" s="1">
        <v>510</v>
      </c>
      <c r="M147" s="1" t="s">
        <v>686</v>
      </c>
      <c r="N147" s="3">
        <v>46210</v>
      </c>
      <c r="P147" s="1" t="s">
        <v>67</v>
      </c>
      <c r="Q147" s="1" t="s">
        <v>55</v>
      </c>
      <c r="R147" s="1" t="s">
        <v>569</v>
      </c>
      <c r="S147" s="3">
        <v>46204</v>
      </c>
      <c r="T147" s="3">
        <v>46205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x14ac:dyDescent="0.25">
      <c r="A148" s="1">
        <v>510</v>
      </c>
      <c r="B148" s="1" t="s">
        <v>687</v>
      </c>
      <c r="C148" s="1" t="s">
        <v>681</v>
      </c>
      <c r="D148" s="1" t="s">
        <v>115</v>
      </c>
      <c r="E148" s="1" t="s">
        <v>52</v>
      </c>
      <c r="F148" s="2">
        <v>46211</v>
      </c>
      <c r="G148" s="2">
        <v>46211</v>
      </c>
      <c r="H148" s="4">
        <v>0</v>
      </c>
      <c r="J148" s="1" t="s">
        <v>83</v>
      </c>
      <c r="K148" s="1">
        <v>509</v>
      </c>
      <c r="M148" s="1" t="s">
        <v>688</v>
      </c>
      <c r="N148" s="3">
        <v>46211</v>
      </c>
      <c r="P148" s="1" t="s">
        <v>67</v>
      </c>
      <c r="Q148" s="1" t="s">
        <v>55</v>
      </c>
      <c r="R148" s="1" t="s">
        <v>569</v>
      </c>
      <c r="S148" s="3">
        <v>46206</v>
      </c>
      <c r="T148" s="3">
        <v>46206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</row>
    <row r="149" spans="1:39" x14ac:dyDescent="0.25">
      <c r="A149" s="1">
        <v>511</v>
      </c>
      <c r="B149" s="1" t="s">
        <v>689</v>
      </c>
      <c r="C149" s="1" t="s">
        <v>571</v>
      </c>
      <c r="D149" s="1" t="s">
        <v>690</v>
      </c>
      <c r="E149" s="1" t="s">
        <v>679</v>
      </c>
      <c r="F149" s="2">
        <v>46191</v>
      </c>
      <c r="G149" s="2">
        <v>46211</v>
      </c>
      <c r="H149" s="4">
        <v>0.8</v>
      </c>
      <c r="J149" s="1" t="s">
        <v>41</v>
      </c>
      <c r="M149" s="1" t="s">
        <v>308</v>
      </c>
      <c r="N149" s="3">
        <v>46211</v>
      </c>
      <c r="P149" s="1" t="s">
        <v>73</v>
      </c>
      <c r="Q149" s="1" t="s">
        <v>55</v>
      </c>
      <c r="R149" s="1" t="s">
        <v>569</v>
      </c>
      <c r="S149" s="3">
        <v>46189</v>
      </c>
      <c r="T149" s="3">
        <v>46206</v>
      </c>
      <c r="AB149" s="1">
        <v>0.8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514</v>
      </c>
      <c r="B150" s="1" t="s">
        <v>695</v>
      </c>
      <c r="C150" s="1" t="s">
        <v>692</v>
      </c>
      <c r="D150" s="1" t="s">
        <v>109</v>
      </c>
      <c r="E150" s="1" t="s">
        <v>116</v>
      </c>
      <c r="F150" s="2">
        <v>46209</v>
      </c>
      <c r="G150" s="2">
        <v>46210</v>
      </c>
      <c r="H150" s="4">
        <v>0</v>
      </c>
      <c r="J150" s="1" t="s">
        <v>41</v>
      </c>
      <c r="K150" s="1">
        <v>513</v>
      </c>
      <c r="L150" s="1">
        <v>515</v>
      </c>
      <c r="M150" s="1" t="s">
        <v>686</v>
      </c>
      <c r="N150" s="3">
        <v>46210</v>
      </c>
      <c r="P150" s="1" t="s">
        <v>67</v>
      </c>
      <c r="Q150" s="1" t="s">
        <v>55</v>
      </c>
      <c r="R150" s="1" t="s">
        <v>569</v>
      </c>
      <c r="S150" s="3">
        <v>46204</v>
      </c>
      <c r="T150" s="3">
        <v>46205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0</v>
      </c>
      <c r="AL150" s="1">
        <v>0</v>
      </c>
      <c r="AM150" s="1">
        <v>0</v>
      </c>
    </row>
    <row r="151" spans="1:39" x14ac:dyDescent="0.25">
      <c r="A151" s="1">
        <v>515</v>
      </c>
      <c r="B151" s="1" t="s">
        <v>696</v>
      </c>
      <c r="C151" s="1" t="s">
        <v>692</v>
      </c>
      <c r="D151" s="1" t="s">
        <v>115</v>
      </c>
      <c r="E151" s="1" t="s">
        <v>52</v>
      </c>
      <c r="F151" s="2">
        <v>46211</v>
      </c>
      <c r="G151" s="2">
        <v>46211</v>
      </c>
      <c r="H151" s="4">
        <v>0</v>
      </c>
      <c r="J151" s="1" t="s">
        <v>83</v>
      </c>
      <c r="K151" s="1">
        <v>514</v>
      </c>
      <c r="M151" s="1" t="s">
        <v>688</v>
      </c>
      <c r="N151" s="3">
        <v>46211</v>
      </c>
      <c r="P151" s="1" t="s">
        <v>67</v>
      </c>
      <c r="Q151" s="1" t="s">
        <v>55</v>
      </c>
      <c r="R151" s="1" t="s">
        <v>569</v>
      </c>
      <c r="S151" s="3">
        <v>46206</v>
      </c>
      <c r="T151" s="3">
        <v>46206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516</v>
      </c>
      <c r="B152" s="1" t="s">
        <v>697</v>
      </c>
      <c r="C152" s="1" t="s">
        <v>571</v>
      </c>
      <c r="D152" s="1" t="s">
        <v>698</v>
      </c>
      <c r="E152" s="1" t="s">
        <v>679</v>
      </c>
      <c r="F152" s="2">
        <v>46191</v>
      </c>
      <c r="G152" s="2">
        <v>46211</v>
      </c>
      <c r="H152" s="4">
        <v>0.8</v>
      </c>
      <c r="J152" s="1" t="s">
        <v>41</v>
      </c>
      <c r="M152" s="1" t="s">
        <v>308</v>
      </c>
      <c r="N152" s="3">
        <v>46211</v>
      </c>
      <c r="P152" s="1" t="s">
        <v>73</v>
      </c>
      <c r="Q152" s="1" t="s">
        <v>55</v>
      </c>
      <c r="R152" s="1" t="s">
        <v>569</v>
      </c>
      <c r="S152" s="3">
        <v>46189</v>
      </c>
      <c r="T152" s="3">
        <v>46206</v>
      </c>
      <c r="AB152" s="1">
        <v>0.8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</row>
    <row r="153" spans="1:39" x14ac:dyDescent="0.25">
      <c r="A153" s="1">
        <v>519</v>
      </c>
      <c r="B153" s="1" t="s">
        <v>702</v>
      </c>
      <c r="C153" s="1" t="s">
        <v>700</v>
      </c>
      <c r="D153" s="1" t="s">
        <v>109</v>
      </c>
      <c r="E153" s="1" t="s">
        <v>116</v>
      </c>
      <c r="F153" s="2">
        <v>46209</v>
      </c>
      <c r="G153" s="2">
        <v>46210</v>
      </c>
      <c r="H153" s="4">
        <v>0</v>
      </c>
      <c r="J153" s="1" t="s">
        <v>41</v>
      </c>
      <c r="K153" s="1">
        <v>518</v>
      </c>
      <c r="L153" s="1">
        <v>520</v>
      </c>
      <c r="M153" s="1" t="s">
        <v>686</v>
      </c>
      <c r="N153" s="3">
        <v>46210</v>
      </c>
      <c r="P153" s="1" t="s">
        <v>180</v>
      </c>
      <c r="Q153" s="1" t="s">
        <v>55</v>
      </c>
      <c r="R153" s="1" t="s">
        <v>569</v>
      </c>
      <c r="S153" s="3">
        <v>46204</v>
      </c>
      <c r="T153" s="3">
        <v>46205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0</v>
      </c>
      <c r="AL153" s="1">
        <v>0</v>
      </c>
      <c r="AM153" s="1">
        <v>0</v>
      </c>
    </row>
    <row r="154" spans="1:39" x14ac:dyDescent="0.25">
      <c r="A154" s="1">
        <v>520</v>
      </c>
      <c r="B154" s="1" t="s">
        <v>703</v>
      </c>
      <c r="C154" s="1" t="s">
        <v>700</v>
      </c>
      <c r="D154" s="1" t="s">
        <v>115</v>
      </c>
      <c r="E154" s="1" t="s">
        <v>52</v>
      </c>
      <c r="F154" s="2">
        <v>46211</v>
      </c>
      <c r="G154" s="2">
        <v>46211</v>
      </c>
      <c r="H154" s="4">
        <v>0</v>
      </c>
      <c r="J154" s="1" t="s">
        <v>83</v>
      </c>
      <c r="K154" s="1">
        <v>519</v>
      </c>
      <c r="M154" s="1" t="s">
        <v>688</v>
      </c>
      <c r="N154" s="3">
        <v>46211</v>
      </c>
      <c r="P154" s="1" t="s">
        <v>67</v>
      </c>
      <c r="Q154" s="1" t="s">
        <v>55</v>
      </c>
      <c r="R154" s="1" t="s">
        <v>569</v>
      </c>
      <c r="S154" s="3">
        <v>46206</v>
      </c>
      <c r="T154" s="3">
        <v>46206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521</v>
      </c>
      <c r="B155" s="1" t="s">
        <v>704</v>
      </c>
      <c r="C155" s="1" t="s">
        <v>571</v>
      </c>
      <c r="D155" s="1" t="s">
        <v>705</v>
      </c>
      <c r="E155" s="1" t="s">
        <v>679</v>
      </c>
      <c r="F155" s="2">
        <v>46191</v>
      </c>
      <c r="G155" s="2">
        <v>46211</v>
      </c>
      <c r="H155" s="4">
        <v>0.8</v>
      </c>
      <c r="J155" s="1" t="s">
        <v>41</v>
      </c>
      <c r="M155" s="1" t="s">
        <v>308</v>
      </c>
      <c r="N155" s="3">
        <v>46211</v>
      </c>
      <c r="P155" s="1" t="s">
        <v>73</v>
      </c>
      <c r="Q155" s="1" t="s">
        <v>55</v>
      </c>
      <c r="R155" s="1" t="s">
        <v>569</v>
      </c>
      <c r="S155" s="3">
        <v>46189</v>
      </c>
      <c r="T155" s="3">
        <v>46206</v>
      </c>
      <c r="AB155" s="1">
        <v>0.8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x14ac:dyDescent="0.25">
      <c r="A156" s="1">
        <v>524</v>
      </c>
      <c r="B156" s="1" t="s">
        <v>709</v>
      </c>
      <c r="C156" s="1" t="s">
        <v>707</v>
      </c>
      <c r="D156" s="1" t="s">
        <v>109</v>
      </c>
      <c r="E156" s="1" t="s">
        <v>116</v>
      </c>
      <c r="F156" s="2">
        <v>46209</v>
      </c>
      <c r="G156" s="2">
        <v>46210</v>
      </c>
      <c r="H156" s="4">
        <v>0</v>
      </c>
      <c r="J156" s="1" t="s">
        <v>41</v>
      </c>
      <c r="K156" s="1">
        <v>523</v>
      </c>
      <c r="L156" s="1">
        <v>525</v>
      </c>
      <c r="M156" s="1" t="s">
        <v>686</v>
      </c>
      <c r="N156" s="3">
        <v>46210</v>
      </c>
      <c r="P156" s="1" t="s">
        <v>67</v>
      </c>
      <c r="Q156" s="1" t="s">
        <v>55</v>
      </c>
      <c r="R156" s="1" t="s">
        <v>569</v>
      </c>
      <c r="S156" s="3">
        <v>46204</v>
      </c>
      <c r="T156" s="3">
        <v>46205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</v>
      </c>
      <c r="AK156" s="1">
        <v>0</v>
      </c>
      <c r="AL156" s="1">
        <v>0</v>
      </c>
      <c r="AM156" s="1">
        <v>0</v>
      </c>
    </row>
    <row r="157" spans="1:39" x14ac:dyDescent="0.25">
      <c r="A157" s="1">
        <v>525</v>
      </c>
      <c r="B157" s="1" t="s">
        <v>710</v>
      </c>
      <c r="C157" s="1" t="s">
        <v>707</v>
      </c>
      <c r="D157" s="1" t="s">
        <v>115</v>
      </c>
      <c r="E157" s="1" t="s">
        <v>52</v>
      </c>
      <c r="F157" s="2">
        <v>46211</v>
      </c>
      <c r="G157" s="2">
        <v>46211</v>
      </c>
      <c r="H157" s="4">
        <v>0</v>
      </c>
      <c r="J157" s="1" t="s">
        <v>83</v>
      </c>
      <c r="K157" s="1">
        <v>524</v>
      </c>
      <c r="M157" s="1" t="s">
        <v>688</v>
      </c>
      <c r="N157" s="3">
        <v>46211</v>
      </c>
      <c r="P157" s="1" t="s">
        <v>67</v>
      </c>
      <c r="Q157" s="1" t="s">
        <v>55</v>
      </c>
      <c r="R157" s="1" t="s">
        <v>569</v>
      </c>
      <c r="S157" s="3">
        <v>46206</v>
      </c>
      <c r="T157" s="3">
        <v>46206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x14ac:dyDescent="0.25">
      <c r="A158" s="1">
        <v>526</v>
      </c>
      <c r="B158" s="1" t="s">
        <v>711</v>
      </c>
      <c r="C158" s="1" t="s">
        <v>571</v>
      </c>
      <c r="D158" s="1" t="s">
        <v>712</v>
      </c>
      <c r="E158" s="1" t="s">
        <v>679</v>
      </c>
      <c r="F158" s="2">
        <v>46191</v>
      </c>
      <c r="G158" s="2">
        <v>46211</v>
      </c>
      <c r="H158" s="4">
        <v>0.8</v>
      </c>
      <c r="J158" s="1" t="s">
        <v>41</v>
      </c>
      <c r="M158" s="1" t="s">
        <v>308</v>
      </c>
      <c r="N158" s="3">
        <v>46211</v>
      </c>
      <c r="P158" s="1" t="s">
        <v>73</v>
      </c>
      <c r="Q158" s="1" t="s">
        <v>55</v>
      </c>
      <c r="R158" s="1" t="s">
        <v>569</v>
      </c>
      <c r="S158" s="3">
        <v>46189</v>
      </c>
      <c r="T158" s="3">
        <v>46206</v>
      </c>
      <c r="AB158" s="1">
        <v>0.8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x14ac:dyDescent="0.25">
      <c r="A159" s="1">
        <v>529</v>
      </c>
      <c r="B159" s="1" t="s">
        <v>716</v>
      </c>
      <c r="C159" s="1" t="s">
        <v>714</v>
      </c>
      <c r="D159" s="1" t="s">
        <v>109</v>
      </c>
      <c r="E159" s="1" t="s">
        <v>116</v>
      </c>
      <c r="F159" s="2">
        <v>46209</v>
      </c>
      <c r="G159" s="2">
        <v>46210</v>
      </c>
      <c r="H159" s="4">
        <v>0</v>
      </c>
      <c r="J159" s="1" t="s">
        <v>41</v>
      </c>
      <c r="K159" s="1">
        <v>528</v>
      </c>
      <c r="L159" s="1">
        <v>530</v>
      </c>
      <c r="M159" s="1" t="s">
        <v>686</v>
      </c>
      <c r="N159" s="3">
        <v>46210</v>
      </c>
      <c r="P159" s="1" t="s">
        <v>67</v>
      </c>
      <c r="Q159" s="1" t="s">
        <v>55</v>
      </c>
      <c r="R159" s="1" t="s">
        <v>569</v>
      </c>
      <c r="S159" s="3">
        <v>46204</v>
      </c>
      <c r="T159" s="3">
        <v>46205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1</v>
      </c>
      <c r="AK159" s="1">
        <v>0</v>
      </c>
      <c r="AL159" s="1">
        <v>0</v>
      </c>
      <c r="AM159" s="1">
        <v>0</v>
      </c>
    </row>
    <row r="160" spans="1:39" x14ac:dyDescent="0.25">
      <c r="A160" s="1">
        <v>530</v>
      </c>
      <c r="B160" s="1" t="s">
        <v>717</v>
      </c>
      <c r="C160" s="1" t="s">
        <v>714</v>
      </c>
      <c r="D160" s="1" t="s">
        <v>115</v>
      </c>
      <c r="E160" s="1" t="s">
        <v>52</v>
      </c>
      <c r="F160" s="2">
        <v>46211</v>
      </c>
      <c r="G160" s="2">
        <v>46211</v>
      </c>
      <c r="H160" s="4">
        <v>0</v>
      </c>
      <c r="J160" s="1" t="s">
        <v>83</v>
      </c>
      <c r="K160" s="1">
        <v>529</v>
      </c>
      <c r="M160" s="1" t="s">
        <v>688</v>
      </c>
      <c r="N160" s="3">
        <v>46211</v>
      </c>
      <c r="P160" s="1" t="s">
        <v>67</v>
      </c>
      <c r="Q160" s="1" t="s">
        <v>55</v>
      </c>
      <c r="R160" s="1" t="s">
        <v>569</v>
      </c>
      <c r="S160" s="3">
        <v>46206</v>
      </c>
      <c r="T160" s="3">
        <v>46206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x14ac:dyDescent="0.25">
      <c r="A161" s="1">
        <v>531</v>
      </c>
      <c r="B161" s="1" t="s">
        <v>718</v>
      </c>
      <c r="C161" s="1" t="s">
        <v>571</v>
      </c>
      <c r="D161" s="1" t="s">
        <v>719</v>
      </c>
      <c r="E161" s="1" t="s">
        <v>679</v>
      </c>
      <c r="F161" s="2">
        <v>46191</v>
      </c>
      <c r="G161" s="2">
        <v>46211</v>
      </c>
      <c r="H161" s="4">
        <v>0.8</v>
      </c>
      <c r="J161" s="1" t="s">
        <v>41</v>
      </c>
      <c r="M161" s="1" t="s">
        <v>308</v>
      </c>
      <c r="N161" s="3">
        <v>46211</v>
      </c>
      <c r="P161" s="1" t="s">
        <v>73</v>
      </c>
      <c r="Q161" s="1" t="s">
        <v>55</v>
      </c>
      <c r="R161" s="1" t="s">
        <v>569</v>
      </c>
      <c r="S161" s="3">
        <v>46189</v>
      </c>
      <c r="T161" s="3">
        <v>46206</v>
      </c>
      <c r="AB161" s="1">
        <v>0.8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x14ac:dyDescent="0.25">
      <c r="A162" s="1">
        <v>534</v>
      </c>
      <c r="B162" s="1" t="s">
        <v>723</v>
      </c>
      <c r="C162" s="1" t="s">
        <v>721</v>
      </c>
      <c r="D162" s="1" t="s">
        <v>109</v>
      </c>
      <c r="E162" s="1" t="s">
        <v>116</v>
      </c>
      <c r="F162" s="2">
        <v>46209</v>
      </c>
      <c r="G162" s="2">
        <v>46210</v>
      </c>
      <c r="H162" s="4">
        <v>0</v>
      </c>
      <c r="J162" s="1" t="s">
        <v>41</v>
      </c>
      <c r="K162" s="1">
        <v>533</v>
      </c>
      <c r="L162" s="1">
        <v>535</v>
      </c>
      <c r="M162" s="1" t="s">
        <v>686</v>
      </c>
      <c r="N162" s="3">
        <v>46210</v>
      </c>
      <c r="P162" s="1" t="s">
        <v>67</v>
      </c>
      <c r="Q162" s="1" t="s">
        <v>55</v>
      </c>
      <c r="R162" s="1" t="s">
        <v>569</v>
      </c>
      <c r="S162" s="3">
        <v>46204</v>
      </c>
      <c r="T162" s="3">
        <v>46205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1</v>
      </c>
      <c r="AK162" s="1">
        <v>0</v>
      </c>
      <c r="AL162" s="1">
        <v>0</v>
      </c>
      <c r="AM162" s="1">
        <v>0</v>
      </c>
    </row>
    <row r="163" spans="1:39" x14ac:dyDescent="0.25">
      <c r="A163" s="1">
        <v>535</v>
      </c>
      <c r="B163" s="1" t="s">
        <v>724</v>
      </c>
      <c r="C163" s="1" t="s">
        <v>721</v>
      </c>
      <c r="D163" s="1" t="s">
        <v>115</v>
      </c>
      <c r="E163" s="1" t="s">
        <v>52</v>
      </c>
      <c r="F163" s="2">
        <v>46211</v>
      </c>
      <c r="G163" s="2">
        <v>46211</v>
      </c>
      <c r="H163" s="4">
        <v>0</v>
      </c>
      <c r="J163" s="1" t="s">
        <v>83</v>
      </c>
      <c r="K163" s="1">
        <v>534</v>
      </c>
      <c r="M163" s="1" t="s">
        <v>688</v>
      </c>
      <c r="N163" s="3">
        <v>46211</v>
      </c>
      <c r="P163" s="1" t="s">
        <v>67</v>
      </c>
      <c r="Q163" s="1" t="s">
        <v>55</v>
      </c>
      <c r="R163" s="1" t="s">
        <v>569</v>
      </c>
      <c r="S163" s="3">
        <v>46206</v>
      </c>
      <c r="T163" s="3">
        <v>46206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x14ac:dyDescent="0.25">
      <c r="A164" s="1">
        <v>536</v>
      </c>
      <c r="B164" s="1" t="s">
        <v>725</v>
      </c>
      <c r="C164" s="1" t="s">
        <v>571</v>
      </c>
      <c r="D164" s="1" t="s">
        <v>726</v>
      </c>
      <c r="E164" s="1" t="s">
        <v>679</v>
      </c>
      <c r="F164" s="2">
        <v>46191</v>
      </c>
      <c r="G164" s="2">
        <v>46211</v>
      </c>
      <c r="H164" s="4">
        <v>0.8</v>
      </c>
      <c r="J164" s="1" t="s">
        <v>41</v>
      </c>
      <c r="M164" s="1" t="s">
        <v>308</v>
      </c>
      <c r="N164" s="3">
        <v>46211</v>
      </c>
      <c r="P164" s="1" t="s">
        <v>73</v>
      </c>
      <c r="Q164" s="1" t="s">
        <v>55</v>
      </c>
      <c r="R164" s="1" t="s">
        <v>569</v>
      </c>
      <c r="S164" s="3">
        <v>46189</v>
      </c>
      <c r="T164" s="3">
        <v>46206</v>
      </c>
      <c r="AB164" s="1">
        <v>0.8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539</v>
      </c>
      <c r="B165" s="1" t="s">
        <v>730</v>
      </c>
      <c r="C165" s="1" t="s">
        <v>728</v>
      </c>
      <c r="D165" s="1" t="s">
        <v>109</v>
      </c>
      <c r="E165" s="1" t="s">
        <v>116</v>
      </c>
      <c r="F165" s="2">
        <v>46209</v>
      </c>
      <c r="G165" s="2">
        <v>46210</v>
      </c>
      <c r="H165" s="4">
        <v>0</v>
      </c>
      <c r="J165" s="1" t="s">
        <v>41</v>
      </c>
      <c r="K165" s="1">
        <v>538</v>
      </c>
      <c r="L165" s="1">
        <v>540</v>
      </c>
      <c r="M165" s="1" t="s">
        <v>686</v>
      </c>
      <c r="N165" s="3">
        <v>46210</v>
      </c>
      <c r="P165" s="1" t="s">
        <v>67</v>
      </c>
      <c r="Q165" s="1" t="s">
        <v>55</v>
      </c>
      <c r="R165" s="1" t="s">
        <v>569</v>
      </c>
      <c r="S165" s="3">
        <v>46204</v>
      </c>
      <c r="T165" s="3">
        <v>46205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</v>
      </c>
      <c r="AK165" s="1">
        <v>0</v>
      </c>
      <c r="AL165" s="1">
        <v>0</v>
      </c>
      <c r="AM165" s="1">
        <v>0</v>
      </c>
    </row>
    <row r="166" spans="1:39" x14ac:dyDescent="0.25">
      <c r="A166" s="1">
        <v>540</v>
      </c>
      <c r="B166" s="1" t="s">
        <v>731</v>
      </c>
      <c r="C166" s="1" t="s">
        <v>728</v>
      </c>
      <c r="D166" s="1" t="s">
        <v>115</v>
      </c>
      <c r="E166" s="1" t="s">
        <v>52</v>
      </c>
      <c r="F166" s="2">
        <v>46211</v>
      </c>
      <c r="G166" s="2">
        <v>46211</v>
      </c>
      <c r="H166" s="4">
        <v>0</v>
      </c>
      <c r="J166" s="1" t="s">
        <v>83</v>
      </c>
      <c r="K166" s="1">
        <v>539</v>
      </c>
      <c r="M166" s="1" t="s">
        <v>688</v>
      </c>
      <c r="N166" s="3">
        <v>46211</v>
      </c>
      <c r="P166" s="1" t="s">
        <v>67</v>
      </c>
      <c r="Q166" s="1" t="s">
        <v>55</v>
      </c>
      <c r="R166" s="1" t="s">
        <v>569</v>
      </c>
      <c r="S166" s="3">
        <v>46206</v>
      </c>
      <c r="T166" s="3">
        <v>46206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x14ac:dyDescent="0.25">
      <c r="A167" s="1">
        <v>541</v>
      </c>
      <c r="B167" s="1" t="s">
        <v>732</v>
      </c>
      <c r="C167" s="1" t="s">
        <v>571</v>
      </c>
      <c r="D167" s="1" t="s">
        <v>733</v>
      </c>
      <c r="E167" s="1" t="s">
        <v>679</v>
      </c>
      <c r="F167" s="2">
        <v>46191</v>
      </c>
      <c r="G167" s="2">
        <v>46211</v>
      </c>
      <c r="H167" s="4">
        <v>0.8</v>
      </c>
      <c r="J167" s="1" t="s">
        <v>41</v>
      </c>
      <c r="M167" s="1" t="s">
        <v>308</v>
      </c>
      <c r="N167" s="3">
        <v>46211</v>
      </c>
      <c r="P167" s="1" t="s">
        <v>73</v>
      </c>
      <c r="Q167" s="1" t="s">
        <v>55</v>
      </c>
      <c r="R167" s="1" t="s">
        <v>569</v>
      </c>
      <c r="S167" s="3">
        <v>46189</v>
      </c>
      <c r="T167" s="3">
        <v>46206</v>
      </c>
      <c r="AB167" s="1">
        <v>0.8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x14ac:dyDescent="0.25">
      <c r="A168" s="1">
        <v>544</v>
      </c>
      <c r="B168" s="1" t="s">
        <v>737</v>
      </c>
      <c r="C168" s="1" t="s">
        <v>735</v>
      </c>
      <c r="D168" s="1" t="s">
        <v>109</v>
      </c>
      <c r="E168" s="1" t="s">
        <v>116</v>
      </c>
      <c r="F168" s="2">
        <v>46209</v>
      </c>
      <c r="G168" s="2">
        <v>46210</v>
      </c>
      <c r="H168" s="4">
        <v>0</v>
      </c>
      <c r="J168" s="1" t="s">
        <v>41</v>
      </c>
      <c r="K168" s="1">
        <v>543</v>
      </c>
      <c r="L168" s="1">
        <v>545</v>
      </c>
      <c r="M168" s="1" t="s">
        <v>686</v>
      </c>
      <c r="N168" s="3">
        <v>46210</v>
      </c>
      <c r="P168" s="1" t="s">
        <v>67</v>
      </c>
      <c r="Q168" s="1" t="s">
        <v>55</v>
      </c>
      <c r="R168" s="1" t="s">
        <v>569</v>
      </c>
      <c r="S168" s="3">
        <v>46204</v>
      </c>
      <c r="T168" s="3">
        <v>46205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</row>
    <row r="169" spans="1:39" x14ac:dyDescent="0.25">
      <c r="A169" s="1">
        <v>545</v>
      </c>
      <c r="B169" s="1" t="s">
        <v>738</v>
      </c>
      <c r="C169" s="1" t="s">
        <v>735</v>
      </c>
      <c r="D169" s="1" t="s">
        <v>115</v>
      </c>
      <c r="E169" s="1" t="s">
        <v>52</v>
      </c>
      <c r="F169" s="2">
        <v>46211</v>
      </c>
      <c r="G169" s="2">
        <v>46211</v>
      </c>
      <c r="H169" s="4">
        <v>0</v>
      </c>
      <c r="J169" s="1" t="s">
        <v>83</v>
      </c>
      <c r="K169" s="1">
        <v>544</v>
      </c>
      <c r="M169" s="1" t="s">
        <v>688</v>
      </c>
      <c r="N169" s="3">
        <v>46211</v>
      </c>
      <c r="P169" s="1" t="s">
        <v>67</v>
      </c>
      <c r="Q169" s="1" t="s">
        <v>55</v>
      </c>
      <c r="R169" s="1" t="s">
        <v>569</v>
      </c>
      <c r="S169" s="3">
        <v>46206</v>
      </c>
      <c r="T169" s="3">
        <v>46206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x14ac:dyDescent="0.25">
      <c r="A170" s="1">
        <v>546</v>
      </c>
      <c r="B170" s="1" t="s">
        <v>739</v>
      </c>
      <c r="C170" s="1" t="s">
        <v>571</v>
      </c>
      <c r="D170" s="1" t="s">
        <v>740</v>
      </c>
      <c r="E170" s="1" t="s">
        <v>679</v>
      </c>
      <c r="F170" s="2">
        <v>46191</v>
      </c>
      <c r="G170" s="2">
        <v>46211</v>
      </c>
      <c r="H170" s="4">
        <v>0.8</v>
      </c>
      <c r="J170" s="1" t="s">
        <v>41</v>
      </c>
      <c r="M170" s="1" t="s">
        <v>308</v>
      </c>
      <c r="N170" s="3">
        <v>46211</v>
      </c>
      <c r="P170" s="1" t="s">
        <v>73</v>
      </c>
      <c r="Q170" s="1" t="s">
        <v>55</v>
      </c>
      <c r="R170" s="1" t="s">
        <v>569</v>
      </c>
      <c r="S170" s="3">
        <v>46189</v>
      </c>
      <c r="T170" s="3">
        <v>46206</v>
      </c>
      <c r="AB170" s="1">
        <v>0.8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x14ac:dyDescent="0.25">
      <c r="A171" s="1">
        <v>549</v>
      </c>
      <c r="B171" s="1" t="s">
        <v>744</v>
      </c>
      <c r="C171" s="1" t="s">
        <v>742</v>
      </c>
      <c r="D171" s="1" t="s">
        <v>109</v>
      </c>
      <c r="E171" s="1" t="s">
        <v>116</v>
      </c>
      <c r="F171" s="2">
        <v>46209</v>
      </c>
      <c r="G171" s="2">
        <v>46210</v>
      </c>
      <c r="H171" s="4">
        <v>0</v>
      </c>
      <c r="J171" s="1" t="s">
        <v>41</v>
      </c>
      <c r="K171" s="1">
        <v>548</v>
      </c>
      <c r="L171" s="1">
        <v>550</v>
      </c>
      <c r="M171" s="1" t="s">
        <v>686</v>
      </c>
      <c r="N171" s="3">
        <v>46210</v>
      </c>
      <c r="P171" s="1" t="s">
        <v>67</v>
      </c>
      <c r="Q171" s="1" t="s">
        <v>55</v>
      </c>
      <c r="R171" s="1" t="s">
        <v>569</v>
      </c>
      <c r="S171" s="3">
        <v>46204</v>
      </c>
      <c r="T171" s="3">
        <v>46205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0</v>
      </c>
      <c r="AL171" s="1">
        <v>0</v>
      </c>
      <c r="AM171" s="1">
        <v>0</v>
      </c>
    </row>
    <row r="172" spans="1:39" x14ac:dyDescent="0.25">
      <c r="A172" s="1">
        <v>550</v>
      </c>
      <c r="B172" s="1" t="s">
        <v>745</v>
      </c>
      <c r="C172" s="1" t="s">
        <v>742</v>
      </c>
      <c r="D172" s="1" t="s">
        <v>115</v>
      </c>
      <c r="E172" s="1" t="s">
        <v>52</v>
      </c>
      <c r="F172" s="2">
        <v>46211</v>
      </c>
      <c r="G172" s="2">
        <v>46211</v>
      </c>
      <c r="H172" s="4">
        <v>0</v>
      </c>
      <c r="J172" s="1" t="s">
        <v>83</v>
      </c>
      <c r="K172" s="1">
        <v>549</v>
      </c>
      <c r="M172" s="1" t="s">
        <v>688</v>
      </c>
      <c r="N172" s="3">
        <v>46211</v>
      </c>
      <c r="P172" s="1" t="s">
        <v>67</v>
      </c>
      <c r="Q172" s="1" t="s">
        <v>55</v>
      </c>
      <c r="R172" s="1" t="s">
        <v>569</v>
      </c>
      <c r="S172" s="3">
        <v>46206</v>
      </c>
      <c r="T172" s="3">
        <v>46206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x14ac:dyDescent="0.25">
      <c r="A173" s="1">
        <v>551</v>
      </c>
      <c r="B173" s="1" t="s">
        <v>746</v>
      </c>
      <c r="C173" s="1" t="s">
        <v>571</v>
      </c>
      <c r="D173" s="1" t="s">
        <v>747</v>
      </c>
      <c r="E173" s="1" t="s">
        <v>679</v>
      </c>
      <c r="F173" s="2">
        <v>46191</v>
      </c>
      <c r="G173" s="2">
        <v>46211</v>
      </c>
      <c r="H173" s="4">
        <v>0.8</v>
      </c>
      <c r="J173" s="1" t="s">
        <v>41</v>
      </c>
      <c r="M173" s="1" t="s">
        <v>308</v>
      </c>
      <c r="N173" s="3">
        <v>46211</v>
      </c>
      <c r="P173" s="1" t="s">
        <v>73</v>
      </c>
      <c r="Q173" s="1" t="s">
        <v>55</v>
      </c>
      <c r="R173" s="1" t="s">
        <v>569</v>
      </c>
      <c r="S173" s="3">
        <v>46189</v>
      </c>
      <c r="T173" s="3">
        <v>46206</v>
      </c>
      <c r="AB173" s="1">
        <v>0.8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25">
      <c r="A174" s="1">
        <v>554</v>
      </c>
      <c r="B174" s="1" t="s">
        <v>751</v>
      </c>
      <c r="C174" s="1" t="s">
        <v>749</v>
      </c>
      <c r="D174" s="1" t="s">
        <v>109</v>
      </c>
      <c r="E174" s="1" t="s">
        <v>116</v>
      </c>
      <c r="F174" s="2">
        <v>46209</v>
      </c>
      <c r="G174" s="2">
        <v>46210</v>
      </c>
      <c r="H174" s="4">
        <v>0</v>
      </c>
      <c r="J174" s="1" t="s">
        <v>41</v>
      </c>
      <c r="K174" s="1">
        <v>553</v>
      </c>
      <c r="L174" s="1">
        <v>555</v>
      </c>
      <c r="M174" s="1" t="s">
        <v>686</v>
      </c>
      <c r="N174" s="3">
        <v>46210</v>
      </c>
      <c r="P174" s="1" t="s">
        <v>67</v>
      </c>
      <c r="Q174" s="1" t="s">
        <v>55</v>
      </c>
      <c r="R174" s="1" t="s">
        <v>569</v>
      </c>
      <c r="S174" s="3">
        <v>46204</v>
      </c>
      <c r="T174" s="3">
        <v>46205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1</v>
      </c>
      <c r="AK174" s="1">
        <v>0</v>
      </c>
      <c r="AL174" s="1">
        <v>0</v>
      </c>
      <c r="AM174" s="1">
        <v>0</v>
      </c>
    </row>
    <row r="175" spans="1:39" x14ac:dyDescent="0.25">
      <c r="A175" s="1">
        <v>555</v>
      </c>
      <c r="B175" s="1" t="s">
        <v>752</v>
      </c>
      <c r="C175" s="1" t="s">
        <v>749</v>
      </c>
      <c r="D175" s="1" t="s">
        <v>115</v>
      </c>
      <c r="E175" s="1" t="s">
        <v>52</v>
      </c>
      <c r="F175" s="2">
        <v>46211</v>
      </c>
      <c r="G175" s="2">
        <v>46211</v>
      </c>
      <c r="H175" s="4">
        <v>0</v>
      </c>
      <c r="J175" s="1" t="s">
        <v>83</v>
      </c>
      <c r="K175" s="1">
        <v>554</v>
      </c>
      <c r="M175" s="1" t="s">
        <v>688</v>
      </c>
      <c r="N175" s="3">
        <v>46211</v>
      </c>
      <c r="P175" s="1" t="s">
        <v>67</v>
      </c>
      <c r="Q175" s="1" t="s">
        <v>55</v>
      </c>
      <c r="R175" s="1" t="s">
        <v>569</v>
      </c>
      <c r="S175" s="3">
        <v>46206</v>
      </c>
      <c r="T175" s="3">
        <v>46206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x14ac:dyDescent="0.25">
      <c r="A176" s="1">
        <v>556</v>
      </c>
      <c r="B176" s="1" t="s">
        <v>753</v>
      </c>
      <c r="C176" s="1" t="s">
        <v>571</v>
      </c>
      <c r="D176" s="1" t="s">
        <v>754</v>
      </c>
      <c r="E176" s="1" t="s">
        <v>679</v>
      </c>
      <c r="F176" s="2">
        <v>46191</v>
      </c>
      <c r="G176" s="2">
        <v>46211</v>
      </c>
      <c r="H176" s="4">
        <v>0.8</v>
      </c>
      <c r="J176" s="1" t="s">
        <v>41</v>
      </c>
      <c r="M176" s="1" t="s">
        <v>308</v>
      </c>
      <c r="N176" s="3">
        <v>46211</v>
      </c>
      <c r="P176" s="1" t="s">
        <v>73</v>
      </c>
      <c r="Q176" s="1" t="s">
        <v>55</v>
      </c>
      <c r="R176" s="1" t="s">
        <v>569</v>
      </c>
      <c r="S176" s="3">
        <v>46189</v>
      </c>
      <c r="T176" s="3">
        <v>46206</v>
      </c>
      <c r="AB176" s="1">
        <v>0.8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</row>
    <row r="177" spans="1:39" x14ac:dyDescent="0.25">
      <c r="A177" s="1">
        <v>559</v>
      </c>
      <c r="B177" s="1" t="s">
        <v>758</v>
      </c>
      <c r="C177" s="1" t="s">
        <v>756</v>
      </c>
      <c r="D177" s="1" t="s">
        <v>109</v>
      </c>
      <c r="E177" s="1" t="s">
        <v>116</v>
      </c>
      <c r="F177" s="2">
        <v>46209</v>
      </c>
      <c r="G177" s="2">
        <v>46210</v>
      </c>
      <c r="H177" s="4">
        <v>0</v>
      </c>
      <c r="J177" s="1" t="s">
        <v>41</v>
      </c>
      <c r="K177" s="1">
        <v>558</v>
      </c>
      <c r="L177" s="1">
        <v>560</v>
      </c>
      <c r="M177" s="1" t="s">
        <v>686</v>
      </c>
      <c r="N177" s="3">
        <v>46210</v>
      </c>
      <c r="P177" s="1" t="s">
        <v>67</v>
      </c>
      <c r="Q177" s="1" t="s">
        <v>55</v>
      </c>
      <c r="R177" s="1" t="s">
        <v>569</v>
      </c>
      <c r="S177" s="3">
        <v>46204</v>
      </c>
      <c r="T177" s="3">
        <v>46205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1</v>
      </c>
      <c r="AK177" s="1">
        <v>0</v>
      </c>
      <c r="AL177" s="1">
        <v>0</v>
      </c>
      <c r="AM177" s="1">
        <v>0</v>
      </c>
    </row>
    <row r="178" spans="1:39" x14ac:dyDescent="0.25">
      <c r="A178" s="1">
        <v>560</v>
      </c>
      <c r="B178" s="1" t="s">
        <v>759</v>
      </c>
      <c r="C178" s="1" t="s">
        <v>756</v>
      </c>
      <c r="D178" s="1" t="s">
        <v>115</v>
      </c>
      <c r="E178" s="1" t="s">
        <v>52</v>
      </c>
      <c r="F178" s="2">
        <v>46211</v>
      </c>
      <c r="G178" s="2">
        <v>46211</v>
      </c>
      <c r="H178" s="4">
        <v>0</v>
      </c>
      <c r="J178" s="1" t="s">
        <v>83</v>
      </c>
      <c r="K178" s="1">
        <v>559</v>
      </c>
      <c r="M178" s="1" t="s">
        <v>688</v>
      </c>
      <c r="N178" s="3">
        <v>46211</v>
      </c>
      <c r="P178" s="1" t="s">
        <v>67</v>
      </c>
      <c r="Q178" s="1" t="s">
        <v>55</v>
      </c>
      <c r="R178" s="1" t="s">
        <v>569</v>
      </c>
      <c r="S178" s="3">
        <v>46206</v>
      </c>
      <c r="T178" s="3">
        <v>46206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x14ac:dyDescent="0.25">
      <c r="A179" s="1">
        <v>561</v>
      </c>
      <c r="B179" s="1" t="s">
        <v>760</v>
      </c>
      <c r="C179" s="1" t="s">
        <v>571</v>
      </c>
      <c r="D179" s="1" t="s">
        <v>761</v>
      </c>
      <c r="E179" s="1" t="s">
        <v>679</v>
      </c>
      <c r="F179" s="2">
        <v>46191</v>
      </c>
      <c r="G179" s="2">
        <v>46211</v>
      </c>
      <c r="H179" s="4">
        <v>0.8</v>
      </c>
      <c r="J179" s="1" t="s">
        <v>41</v>
      </c>
      <c r="M179" s="1" t="s">
        <v>308</v>
      </c>
      <c r="N179" s="3">
        <v>46211</v>
      </c>
      <c r="P179" s="1" t="s">
        <v>73</v>
      </c>
      <c r="Q179" s="1" t="s">
        <v>55</v>
      </c>
      <c r="R179" s="1" t="s">
        <v>569</v>
      </c>
      <c r="S179" s="3">
        <v>46189</v>
      </c>
      <c r="T179" s="3">
        <v>46206</v>
      </c>
      <c r="AB179" s="1">
        <v>0.8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564</v>
      </c>
      <c r="B180" s="1" t="s">
        <v>765</v>
      </c>
      <c r="C180" s="1" t="s">
        <v>763</v>
      </c>
      <c r="D180" s="1" t="s">
        <v>109</v>
      </c>
      <c r="E180" s="1" t="s">
        <v>116</v>
      </c>
      <c r="F180" s="2">
        <v>46209</v>
      </c>
      <c r="G180" s="2">
        <v>46210</v>
      </c>
      <c r="H180" s="4">
        <v>0</v>
      </c>
      <c r="J180" s="1" t="s">
        <v>41</v>
      </c>
      <c r="K180" s="1">
        <v>563</v>
      </c>
      <c r="L180" s="1">
        <v>565</v>
      </c>
      <c r="M180" s="1" t="s">
        <v>686</v>
      </c>
      <c r="N180" s="3">
        <v>46210</v>
      </c>
      <c r="P180" s="1" t="s">
        <v>67</v>
      </c>
      <c r="Q180" s="1" t="s">
        <v>55</v>
      </c>
      <c r="R180" s="1" t="s">
        <v>569</v>
      </c>
      <c r="S180" s="3">
        <v>46204</v>
      </c>
      <c r="T180" s="3">
        <v>46205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0</v>
      </c>
      <c r="AM180" s="1">
        <v>0</v>
      </c>
    </row>
    <row r="181" spans="1:39" x14ac:dyDescent="0.25">
      <c r="A181" s="1">
        <v>565</v>
      </c>
      <c r="B181" s="1" t="s">
        <v>766</v>
      </c>
      <c r="C181" s="1" t="s">
        <v>763</v>
      </c>
      <c r="D181" s="1" t="s">
        <v>115</v>
      </c>
      <c r="E181" s="1" t="s">
        <v>52</v>
      </c>
      <c r="F181" s="2">
        <v>46211</v>
      </c>
      <c r="G181" s="2">
        <v>46211</v>
      </c>
      <c r="H181" s="4">
        <v>0</v>
      </c>
      <c r="J181" s="1" t="s">
        <v>83</v>
      </c>
      <c r="K181" s="1">
        <v>564</v>
      </c>
      <c r="M181" s="1" t="s">
        <v>688</v>
      </c>
      <c r="N181" s="3">
        <v>46211</v>
      </c>
      <c r="P181" s="1" t="s">
        <v>67</v>
      </c>
      <c r="Q181" s="1" t="s">
        <v>55</v>
      </c>
      <c r="R181" s="1" t="s">
        <v>569</v>
      </c>
      <c r="S181" s="3">
        <v>46206</v>
      </c>
      <c r="T181" s="3">
        <v>46206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x14ac:dyDescent="0.25">
      <c r="A182" s="1">
        <v>566</v>
      </c>
      <c r="B182" s="1" t="s">
        <v>767</v>
      </c>
      <c r="C182" s="1" t="s">
        <v>571</v>
      </c>
      <c r="D182" s="1" t="s">
        <v>768</v>
      </c>
      <c r="E182" s="1" t="s">
        <v>679</v>
      </c>
      <c r="F182" s="2">
        <v>46191</v>
      </c>
      <c r="G182" s="2">
        <v>46211</v>
      </c>
      <c r="H182" s="4">
        <v>0.8</v>
      </c>
      <c r="J182" s="1" t="s">
        <v>41</v>
      </c>
      <c r="M182" s="1" t="s">
        <v>308</v>
      </c>
      <c r="N182" s="3">
        <v>46211</v>
      </c>
      <c r="P182" s="1" t="s">
        <v>73</v>
      </c>
      <c r="Q182" s="1" t="s">
        <v>55</v>
      </c>
      <c r="R182" s="1" t="s">
        <v>569</v>
      </c>
      <c r="S182" s="3">
        <v>46189</v>
      </c>
      <c r="T182" s="3">
        <v>46206</v>
      </c>
      <c r="AB182" s="1">
        <v>0.8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569</v>
      </c>
      <c r="B183" s="1" t="s">
        <v>772</v>
      </c>
      <c r="C183" s="1" t="s">
        <v>770</v>
      </c>
      <c r="D183" s="1" t="s">
        <v>109</v>
      </c>
      <c r="E183" s="1" t="s">
        <v>116</v>
      </c>
      <c r="F183" s="2">
        <v>46209</v>
      </c>
      <c r="G183" s="2">
        <v>46210</v>
      </c>
      <c r="H183" s="4">
        <v>0</v>
      </c>
      <c r="J183" s="1" t="s">
        <v>41</v>
      </c>
      <c r="K183" s="1">
        <v>568</v>
      </c>
      <c r="L183" s="1">
        <v>570</v>
      </c>
      <c r="M183" s="1" t="s">
        <v>686</v>
      </c>
      <c r="N183" s="3">
        <v>46210</v>
      </c>
      <c r="P183" s="1" t="s">
        <v>67</v>
      </c>
      <c r="Q183" s="1" t="s">
        <v>55</v>
      </c>
      <c r="R183" s="1" t="s">
        <v>569</v>
      </c>
      <c r="S183" s="3">
        <v>46204</v>
      </c>
      <c r="T183" s="3">
        <v>46205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1</v>
      </c>
      <c r="AK183" s="1">
        <v>0</v>
      </c>
      <c r="AL183" s="1">
        <v>0</v>
      </c>
      <c r="AM183" s="1">
        <v>0</v>
      </c>
    </row>
    <row r="184" spans="1:39" x14ac:dyDescent="0.25">
      <c r="A184" s="1">
        <v>570</v>
      </c>
      <c r="B184" s="1" t="s">
        <v>773</v>
      </c>
      <c r="C184" s="1" t="s">
        <v>770</v>
      </c>
      <c r="D184" s="1" t="s">
        <v>115</v>
      </c>
      <c r="E184" s="1" t="s">
        <v>52</v>
      </c>
      <c r="F184" s="2">
        <v>46211</v>
      </c>
      <c r="G184" s="2">
        <v>46211</v>
      </c>
      <c r="H184" s="4">
        <v>0</v>
      </c>
      <c r="J184" s="1" t="s">
        <v>83</v>
      </c>
      <c r="K184" s="1">
        <v>569</v>
      </c>
      <c r="M184" s="1" t="s">
        <v>688</v>
      </c>
      <c r="N184" s="3">
        <v>46211</v>
      </c>
      <c r="P184" s="1" t="s">
        <v>67</v>
      </c>
      <c r="Q184" s="1" t="s">
        <v>55</v>
      </c>
      <c r="R184" s="1" t="s">
        <v>569</v>
      </c>
      <c r="S184" s="3">
        <v>46206</v>
      </c>
      <c r="T184" s="3">
        <v>46206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571</v>
      </c>
      <c r="B185" s="1" t="s">
        <v>774</v>
      </c>
      <c r="C185" s="1" t="s">
        <v>571</v>
      </c>
      <c r="D185" s="1" t="s">
        <v>775</v>
      </c>
      <c r="E185" s="1" t="s">
        <v>679</v>
      </c>
      <c r="F185" s="2">
        <v>46191</v>
      </c>
      <c r="G185" s="2">
        <v>46211</v>
      </c>
      <c r="H185" s="4">
        <v>0.8</v>
      </c>
      <c r="J185" s="1" t="s">
        <v>41</v>
      </c>
      <c r="M185" s="1" t="s">
        <v>308</v>
      </c>
      <c r="N185" s="3">
        <v>46211</v>
      </c>
      <c r="P185" s="1" t="s">
        <v>73</v>
      </c>
      <c r="Q185" s="1" t="s">
        <v>55</v>
      </c>
      <c r="R185" s="1" t="s">
        <v>569</v>
      </c>
      <c r="S185" s="3">
        <v>46189</v>
      </c>
      <c r="T185" s="3">
        <v>46206</v>
      </c>
      <c r="AB185" s="1">
        <v>0.8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574</v>
      </c>
      <c r="B186" s="1" t="s">
        <v>779</v>
      </c>
      <c r="C186" s="1" t="s">
        <v>777</v>
      </c>
      <c r="D186" s="1" t="s">
        <v>109</v>
      </c>
      <c r="E186" s="1" t="s">
        <v>116</v>
      </c>
      <c r="F186" s="2">
        <v>46209</v>
      </c>
      <c r="G186" s="2">
        <v>46210</v>
      </c>
      <c r="H186" s="4">
        <v>0</v>
      </c>
      <c r="J186" s="1" t="s">
        <v>41</v>
      </c>
      <c r="K186" s="1">
        <v>573</v>
      </c>
      <c r="L186" s="1">
        <v>575</v>
      </c>
      <c r="M186" s="1" t="s">
        <v>686</v>
      </c>
      <c r="N186" s="3">
        <v>46210</v>
      </c>
      <c r="P186" s="1" t="s">
        <v>67</v>
      </c>
      <c r="Q186" s="1" t="s">
        <v>55</v>
      </c>
      <c r="R186" s="1" t="s">
        <v>569</v>
      </c>
      <c r="S186" s="3">
        <v>46204</v>
      </c>
      <c r="T186" s="3">
        <v>46205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s="1">
        <v>0</v>
      </c>
      <c r="AM186" s="1">
        <v>0</v>
      </c>
    </row>
    <row r="187" spans="1:39" x14ac:dyDescent="0.25">
      <c r="A187" s="1">
        <v>575</v>
      </c>
      <c r="B187" s="1" t="s">
        <v>780</v>
      </c>
      <c r="C187" s="1" t="s">
        <v>777</v>
      </c>
      <c r="D187" s="1" t="s">
        <v>115</v>
      </c>
      <c r="E187" s="1" t="s">
        <v>52</v>
      </c>
      <c r="F187" s="2">
        <v>46211</v>
      </c>
      <c r="G187" s="2">
        <v>46211</v>
      </c>
      <c r="H187" s="4">
        <v>0</v>
      </c>
      <c r="J187" s="1" t="s">
        <v>83</v>
      </c>
      <c r="K187" s="1">
        <v>574</v>
      </c>
      <c r="M187" s="1" t="s">
        <v>688</v>
      </c>
      <c r="N187" s="3">
        <v>46211</v>
      </c>
      <c r="P187" s="1" t="s">
        <v>67</v>
      </c>
      <c r="Q187" s="1" t="s">
        <v>55</v>
      </c>
      <c r="R187" s="1" t="s">
        <v>569</v>
      </c>
      <c r="S187" s="3">
        <v>46206</v>
      </c>
      <c r="T187" s="3">
        <v>46206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576</v>
      </c>
      <c r="B188" s="1" t="s">
        <v>781</v>
      </c>
      <c r="C188" s="1" t="s">
        <v>571</v>
      </c>
      <c r="D188" s="1" t="s">
        <v>782</v>
      </c>
      <c r="E188" s="1" t="s">
        <v>679</v>
      </c>
      <c r="F188" s="2">
        <v>46191</v>
      </c>
      <c r="G188" s="2">
        <v>46211</v>
      </c>
      <c r="H188" s="4">
        <v>0.8</v>
      </c>
      <c r="J188" s="1" t="s">
        <v>41</v>
      </c>
      <c r="M188" s="1" t="s">
        <v>308</v>
      </c>
      <c r="N188" s="3">
        <v>46211</v>
      </c>
      <c r="P188" s="1" t="s">
        <v>73</v>
      </c>
      <c r="Q188" s="1" t="s">
        <v>55</v>
      </c>
      <c r="R188" s="1" t="s">
        <v>569</v>
      </c>
      <c r="S188" s="3">
        <v>46189</v>
      </c>
      <c r="T188" s="3">
        <v>46206</v>
      </c>
      <c r="AB188" s="1">
        <v>0.8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579</v>
      </c>
      <c r="B189" s="1" t="s">
        <v>786</v>
      </c>
      <c r="C189" s="1" t="s">
        <v>784</v>
      </c>
      <c r="D189" s="1" t="s">
        <v>109</v>
      </c>
      <c r="E189" s="1" t="s">
        <v>116</v>
      </c>
      <c r="F189" s="2">
        <v>46209</v>
      </c>
      <c r="G189" s="2">
        <v>46210</v>
      </c>
      <c r="H189" s="4">
        <v>0</v>
      </c>
      <c r="J189" s="1" t="s">
        <v>41</v>
      </c>
      <c r="K189" s="1">
        <v>578</v>
      </c>
      <c r="L189" s="1">
        <v>580</v>
      </c>
      <c r="M189" s="1" t="s">
        <v>686</v>
      </c>
      <c r="N189" s="3">
        <v>46210</v>
      </c>
      <c r="P189" s="1" t="s">
        <v>67</v>
      </c>
      <c r="Q189" s="1" t="s">
        <v>55</v>
      </c>
      <c r="R189" s="1" t="s">
        <v>569</v>
      </c>
      <c r="S189" s="3">
        <v>46204</v>
      </c>
      <c r="T189" s="3">
        <v>46205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1</v>
      </c>
      <c r="AK189" s="1">
        <v>0</v>
      </c>
      <c r="AL189" s="1">
        <v>0</v>
      </c>
      <c r="AM189" s="1">
        <v>0</v>
      </c>
    </row>
    <row r="190" spans="1:39" x14ac:dyDescent="0.25">
      <c r="A190" s="1">
        <v>580</v>
      </c>
      <c r="B190" s="1" t="s">
        <v>787</v>
      </c>
      <c r="C190" s="1" t="s">
        <v>784</v>
      </c>
      <c r="D190" s="1" t="s">
        <v>115</v>
      </c>
      <c r="E190" s="1" t="s">
        <v>52</v>
      </c>
      <c r="F190" s="2">
        <v>46211</v>
      </c>
      <c r="G190" s="2">
        <v>46211</v>
      </c>
      <c r="H190" s="4">
        <v>0</v>
      </c>
      <c r="J190" s="1" t="s">
        <v>83</v>
      </c>
      <c r="K190" s="1">
        <v>579</v>
      </c>
      <c r="M190" s="1" t="s">
        <v>688</v>
      </c>
      <c r="N190" s="3">
        <v>46211</v>
      </c>
      <c r="P190" s="1" t="s">
        <v>67</v>
      </c>
      <c r="Q190" s="1" t="s">
        <v>55</v>
      </c>
      <c r="R190" s="1" t="s">
        <v>569</v>
      </c>
      <c r="S190" s="3">
        <v>46206</v>
      </c>
      <c r="T190" s="3">
        <v>46206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581</v>
      </c>
      <c r="B191" s="1" t="s">
        <v>788</v>
      </c>
      <c r="C191" s="1" t="s">
        <v>571</v>
      </c>
      <c r="D191" s="1" t="s">
        <v>789</v>
      </c>
      <c r="E191" s="1" t="s">
        <v>679</v>
      </c>
      <c r="F191" s="2">
        <v>46191</v>
      </c>
      <c r="G191" s="2">
        <v>46211</v>
      </c>
      <c r="H191" s="4">
        <v>0.8</v>
      </c>
      <c r="J191" s="1" t="s">
        <v>41</v>
      </c>
      <c r="M191" s="1" t="s">
        <v>308</v>
      </c>
      <c r="N191" s="3">
        <v>46211</v>
      </c>
      <c r="P191" s="1" t="s">
        <v>73</v>
      </c>
      <c r="Q191" s="1" t="s">
        <v>55</v>
      </c>
      <c r="R191" s="1" t="s">
        <v>569</v>
      </c>
      <c r="S191" s="3">
        <v>46189</v>
      </c>
      <c r="T191" s="3">
        <v>46206</v>
      </c>
      <c r="AB191" s="1">
        <v>0.8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</row>
    <row r="192" spans="1:39" x14ac:dyDescent="0.25">
      <c r="A192" s="1">
        <v>584</v>
      </c>
      <c r="B192" s="1" t="s">
        <v>793</v>
      </c>
      <c r="C192" s="1" t="s">
        <v>791</v>
      </c>
      <c r="D192" s="1" t="s">
        <v>109</v>
      </c>
      <c r="E192" s="1" t="s">
        <v>116</v>
      </c>
      <c r="F192" s="2">
        <v>46209</v>
      </c>
      <c r="G192" s="2">
        <v>46210</v>
      </c>
      <c r="H192" s="4">
        <v>0</v>
      </c>
      <c r="J192" s="1" t="s">
        <v>41</v>
      </c>
      <c r="K192" s="1">
        <v>583</v>
      </c>
      <c r="L192" s="1">
        <v>585</v>
      </c>
      <c r="M192" s="1" t="s">
        <v>686</v>
      </c>
      <c r="N192" s="3">
        <v>46210</v>
      </c>
      <c r="P192" s="1" t="s">
        <v>67</v>
      </c>
      <c r="Q192" s="1" t="s">
        <v>55</v>
      </c>
      <c r="R192" s="1" t="s">
        <v>569</v>
      </c>
      <c r="S192" s="3">
        <v>46204</v>
      </c>
      <c r="T192" s="3">
        <v>46205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1</v>
      </c>
      <c r="AK192" s="1">
        <v>0</v>
      </c>
      <c r="AL192" s="1">
        <v>0</v>
      </c>
      <c r="AM192" s="1">
        <v>0</v>
      </c>
    </row>
    <row r="193" spans="1:39" x14ac:dyDescent="0.25">
      <c r="A193" s="1">
        <v>585</v>
      </c>
      <c r="B193" s="1" t="s">
        <v>794</v>
      </c>
      <c r="C193" s="1" t="s">
        <v>791</v>
      </c>
      <c r="D193" s="1" t="s">
        <v>115</v>
      </c>
      <c r="E193" s="1" t="s">
        <v>52</v>
      </c>
      <c r="F193" s="2">
        <v>46211</v>
      </c>
      <c r="G193" s="2">
        <v>46211</v>
      </c>
      <c r="H193" s="4">
        <v>0</v>
      </c>
      <c r="J193" s="1" t="s">
        <v>83</v>
      </c>
      <c r="K193" s="1">
        <v>584</v>
      </c>
      <c r="M193" s="1" t="s">
        <v>688</v>
      </c>
      <c r="N193" s="3">
        <v>46211</v>
      </c>
      <c r="P193" s="1" t="s">
        <v>67</v>
      </c>
      <c r="Q193" s="1" t="s">
        <v>55</v>
      </c>
      <c r="R193" s="1" t="s">
        <v>569</v>
      </c>
      <c r="S193" s="3">
        <v>46206</v>
      </c>
      <c r="T193" s="3">
        <v>46206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</row>
    <row r="194" spans="1:39" x14ac:dyDescent="0.25">
      <c r="A194" s="1">
        <v>586</v>
      </c>
      <c r="B194" s="1" t="s">
        <v>795</v>
      </c>
      <c r="C194" s="1" t="s">
        <v>571</v>
      </c>
      <c r="D194" s="1" t="s">
        <v>796</v>
      </c>
      <c r="E194" s="1" t="s">
        <v>679</v>
      </c>
      <c r="F194" s="2">
        <v>46191</v>
      </c>
      <c r="G194" s="2">
        <v>46211</v>
      </c>
      <c r="H194" s="4">
        <v>0.8</v>
      </c>
      <c r="J194" s="1" t="s">
        <v>41</v>
      </c>
      <c r="M194" s="1" t="s">
        <v>308</v>
      </c>
      <c r="N194" s="3">
        <v>46211</v>
      </c>
      <c r="P194" s="1" t="s">
        <v>73</v>
      </c>
      <c r="Q194" s="1" t="s">
        <v>55</v>
      </c>
      <c r="R194" s="1" t="s">
        <v>569</v>
      </c>
      <c r="S194" s="3">
        <v>46189</v>
      </c>
      <c r="T194" s="3">
        <v>46206</v>
      </c>
      <c r="U194" s="1" t="s">
        <v>77</v>
      </c>
      <c r="AB194" s="1">
        <v>0.8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</row>
    <row r="195" spans="1:39" x14ac:dyDescent="0.25">
      <c r="A195" s="1">
        <v>589</v>
      </c>
      <c r="B195" s="1" t="s">
        <v>800</v>
      </c>
      <c r="C195" s="1" t="s">
        <v>798</v>
      </c>
      <c r="D195" s="1" t="s">
        <v>109</v>
      </c>
      <c r="E195" s="1" t="s">
        <v>116</v>
      </c>
      <c r="F195" s="2">
        <v>46209</v>
      </c>
      <c r="G195" s="2">
        <v>46210</v>
      </c>
      <c r="H195" s="4">
        <v>0</v>
      </c>
      <c r="J195" s="1" t="s">
        <v>41</v>
      </c>
      <c r="K195" s="1">
        <v>588</v>
      </c>
      <c r="L195" s="1">
        <v>590</v>
      </c>
      <c r="M195" s="1" t="s">
        <v>404</v>
      </c>
      <c r="N195" s="3">
        <v>46204</v>
      </c>
      <c r="P195" s="1" t="s">
        <v>67</v>
      </c>
      <c r="Q195" s="1" t="s">
        <v>55</v>
      </c>
      <c r="R195" s="1" t="s">
        <v>569</v>
      </c>
      <c r="S195" s="3">
        <v>46204</v>
      </c>
      <c r="T195" s="3">
        <v>46204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s="1">
        <v>0</v>
      </c>
      <c r="AM195" s="1">
        <v>0</v>
      </c>
    </row>
    <row r="196" spans="1:39" x14ac:dyDescent="0.25">
      <c r="A196" s="1">
        <v>590</v>
      </c>
      <c r="B196" s="1" t="s">
        <v>801</v>
      </c>
      <c r="C196" s="1" t="s">
        <v>798</v>
      </c>
      <c r="D196" s="1" t="s">
        <v>115</v>
      </c>
      <c r="E196" s="1" t="s">
        <v>52</v>
      </c>
      <c r="F196" s="2">
        <v>46211</v>
      </c>
      <c r="G196" s="2">
        <v>46211</v>
      </c>
      <c r="H196" s="4">
        <v>0</v>
      </c>
      <c r="J196" s="1" t="s">
        <v>83</v>
      </c>
      <c r="K196" s="1">
        <v>589</v>
      </c>
      <c r="M196" s="1" t="s">
        <v>383</v>
      </c>
      <c r="N196" s="3">
        <v>46205</v>
      </c>
      <c r="P196" s="1" t="s">
        <v>67</v>
      </c>
      <c r="Q196" s="1" t="s">
        <v>55</v>
      </c>
      <c r="R196" s="1" t="s">
        <v>569</v>
      </c>
      <c r="S196" s="3">
        <v>46205</v>
      </c>
      <c r="T196" s="3">
        <v>46205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x14ac:dyDescent="0.25">
      <c r="A197" s="1">
        <v>591</v>
      </c>
      <c r="B197" s="1" t="s">
        <v>802</v>
      </c>
      <c r="C197" s="1" t="s">
        <v>571</v>
      </c>
      <c r="D197" s="1" t="s">
        <v>803</v>
      </c>
      <c r="E197" s="1" t="s">
        <v>679</v>
      </c>
      <c r="F197" s="2">
        <v>46191</v>
      </c>
      <c r="G197" s="2">
        <v>46211</v>
      </c>
      <c r="H197" s="4">
        <v>0.8</v>
      </c>
      <c r="J197" s="1" t="s">
        <v>41</v>
      </c>
      <c r="M197" s="1" t="s">
        <v>308</v>
      </c>
      <c r="N197" s="3">
        <v>46211</v>
      </c>
      <c r="P197" s="1" t="s">
        <v>73</v>
      </c>
      <c r="Q197" s="1" t="s">
        <v>55</v>
      </c>
      <c r="R197" s="1" t="s">
        <v>569</v>
      </c>
      <c r="S197" s="3">
        <v>46189</v>
      </c>
      <c r="T197" s="3">
        <v>46206</v>
      </c>
      <c r="U197" s="1" t="s">
        <v>77</v>
      </c>
      <c r="AB197" s="1">
        <v>0.8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594</v>
      </c>
      <c r="B198" s="1" t="s">
        <v>807</v>
      </c>
      <c r="C198" s="1" t="s">
        <v>805</v>
      </c>
      <c r="D198" s="1" t="s">
        <v>109</v>
      </c>
      <c r="E198" s="1" t="s">
        <v>116</v>
      </c>
      <c r="F198" s="2">
        <v>46209</v>
      </c>
      <c r="G198" s="2">
        <v>46210</v>
      </c>
      <c r="H198" s="4">
        <v>0</v>
      </c>
      <c r="J198" s="1" t="s">
        <v>41</v>
      </c>
      <c r="K198" s="1">
        <v>593</v>
      </c>
      <c r="L198" s="1">
        <v>595</v>
      </c>
      <c r="M198" s="1" t="s">
        <v>383</v>
      </c>
      <c r="N198" s="3">
        <v>46205</v>
      </c>
      <c r="P198" s="1" t="s">
        <v>67</v>
      </c>
      <c r="Q198" s="1" t="s">
        <v>55</v>
      </c>
      <c r="R198" s="1" t="s">
        <v>569</v>
      </c>
      <c r="S198" s="3">
        <v>46205</v>
      </c>
      <c r="T198" s="3">
        <v>46205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s="1">
        <v>0</v>
      </c>
      <c r="AM198" s="1">
        <v>0</v>
      </c>
    </row>
    <row r="199" spans="1:39" x14ac:dyDescent="0.25">
      <c r="A199" s="1">
        <v>595</v>
      </c>
      <c r="B199" s="1" t="s">
        <v>808</v>
      </c>
      <c r="C199" s="1" t="s">
        <v>805</v>
      </c>
      <c r="D199" s="1" t="s">
        <v>115</v>
      </c>
      <c r="E199" s="1" t="s">
        <v>52</v>
      </c>
      <c r="F199" s="2">
        <v>46211</v>
      </c>
      <c r="G199" s="2">
        <v>46211</v>
      </c>
      <c r="H199" s="4">
        <v>0</v>
      </c>
      <c r="J199" s="1" t="s">
        <v>83</v>
      </c>
      <c r="K199" s="1">
        <v>594</v>
      </c>
      <c r="M199" s="1" t="s">
        <v>385</v>
      </c>
      <c r="N199" s="3">
        <v>46206</v>
      </c>
      <c r="P199" s="1" t="s">
        <v>67</v>
      </c>
      <c r="Q199" s="1" t="s">
        <v>55</v>
      </c>
      <c r="R199" s="1" t="s">
        <v>569</v>
      </c>
      <c r="S199" s="3">
        <v>46206</v>
      </c>
      <c r="T199" s="3">
        <v>46206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596</v>
      </c>
      <c r="B200" s="1" t="s">
        <v>809</v>
      </c>
      <c r="C200" s="1" t="s">
        <v>571</v>
      </c>
      <c r="D200" s="1" t="s">
        <v>810</v>
      </c>
      <c r="E200" s="1" t="s">
        <v>679</v>
      </c>
      <c r="F200" s="2">
        <v>46191</v>
      </c>
      <c r="G200" s="2">
        <v>46211</v>
      </c>
      <c r="H200" s="4">
        <v>0.8</v>
      </c>
      <c r="J200" s="1" t="s">
        <v>41</v>
      </c>
      <c r="M200" s="1" t="s">
        <v>308</v>
      </c>
      <c r="N200" s="3">
        <v>46211</v>
      </c>
      <c r="P200" s="1" t="s">
        <v>73</v>
      </c>
      <c r="Q200" s="1" t="s">
        <v>55</v>
      </c>
      <c r="R200" s="1" t="s">
        <v>569</v>
      </c>
      <c r="S200" s="3">
        <v>46189</v>
      </c>
      <c r="T200" s="3">
        <v>46206</v>
      </c>
      <c r="U200" s="1" t="s">
        <v>77</v>
      </c>
      <c r="AB200" s="1">
        <v>0.8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599</v>
      </c>
      <c r="B201" s="1" t="s">
        <v>814</v>
      </c>
      <c r="C201" s="1" t="s">
        <v>812</v>
      </c>
      <c r="D201" s="1" t="s">
        <v>109</v>
      </c>
      <c r="E201" s="1" t="s">
        <v>116</v>
      </c>
      <c r="F201" s="2">
        <v>46209</v>
      </c>
      <c r="G201" s="2">
        <v>46210</v>
      </c>
      <c r="H201" s="4">
        <v>0</v>
      </c>
      <c r="J201" s="1" t="s">
        <v>41</v>
      </c>
      <c r="K201" s="1">
        <v>598</v>
      </c>
      <c r="L201" s="1">
        <v>600</v>
      </c>
      <c r="M201" s="1" t="s">
        <v>383</v>
      </c>
      <c r="N201" s="3">
        <v>46205</v>
      </c>
      <c r="P201" s="1" t="s">
        <v>67</v>
      </c>
      <c r="Q201" s="1" t="s">
        <v>55</v>
      </c>
      <c r="R201" s="1" t="s">
        <v>569</v>
      </c>
      <c r="S201" s="3">
        <v>46205</v>
      </c>
      <c r="T201" s="3">
        <v>46205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0</v>
      </c>
      <c r="AL201" s="1">
        <v>0</v>
      </c>
      <c r="AM201" s="1">
        <v>0</v>
      </c>
    </row>
    <row r="202" spans="1:39" x14ac:dyDescent="0.25">
      <c r="A202" s="1">
        <v>600</v>
      </c>
      <c r="B202" s="1" t="s">
        <v>815</v>
      </c>
      <c r="C202" s="1" t="s">
        <v>812</v>
      </c>
      <c r="D202" s="1" t="s">
        <v>115</v>
      </c>
      <c r="E202" s="1" t="s">
        <v>52</v>
      </c>
      <c r="F202" s="2">
        <v>46211</v>
      </c>
      <c r="G202" s="2">
        <v>46211</v>
      </c>
      <c r="H202" s="4">
        <v>0</v>
      </c>
      <c r="J202" s="1" t="s">
        <v>83</v>
      </c>
      <c r="K202" s="1">
        <v>599</v>
      </c>
      <c r="M202" s="1" t="s">
        <v>385</v>
      </c>
      <c r="N202" s="3">
        <v>46206</v>
      </c>
      <c r="P202" s="1" t="s">
        <v>67</v>
      </c>
      <c r="Q202" s="1" t="s">
        <v>55</v>
      </c>
      <c r="R202" s="1" t="s">
        <v>569</v>
      </c>
      <c r="S202" s="3">
        <v>46206</v>
      </c>
      <c r="T202" s="3">
        <v>46206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x14ac:dyDescent="0.25">
      <c r="A203" s="1">
        <v>601</v>
      </c>
      <c r="B203" s="1" t="s">
        <v>816</v>
      </c>
      <c r="C203" s="1" t="s">
        <v>571</v>
      </c>
      <c r="D203" s="1" t="s">
        <v>817</v>
      </c>
      <c r="E203" s="1" t="s">
        <v>679</v>
      </c>
      <c r="F203" s="2">
        <v>46191</v>
      </c>
      <c r="G203" s="2">
        <v>46211</v>
      </c>
      <c r="H203" s="4">
        <v>0.8</v>
      </c>
      <c r="J203" s="1" t="s">
        <v>41</v>
      </c>
      <c r="M203" s="1" t="s">
        <v>308</v>
      </c>
      <c r="N203" s="3">
        <v>46211</v>
      </c>
      <c r="P203" s="1" t="s">
        <v>73</v>
      </c>
      <c r="Q203" s="1" t="s">
        <v>55</v>
      </c>
      <c r="R203" s="1" t="s">
        <v>569</v>
      </c>
      <c r="S203" s="3">
        <v>46189</v>
      </c>
      <c r="T203" s="3">
        <v>46206</v>
      </c>
      <c r="U203" s="1" t="s">
        <v>77</v>
      </c>
      <c r="AB203" s="1">
        <v>0.8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604</v>
      </c>
      <c r="B204" s="1" t="s">
        <v>821</v>
      </c>
      <c r="C204" s="1" t="s">
        <v>819</v>
      </c>
      <c r="D204" s="1" t="s">
        <v>109</v>
      </c>
      <c r="E204" s="1" t="s">
        <v>116</v>
      </c>
      <c r="F204" s="2">
        <v>46209</v>
      </c>
      <c r="G204" s="2">
        <v>46210</v>
      </c>
      <c r="H204" s="4">
        <v>0</v>
      </c>
      <c r="J204" s="1" t="s">
        <v>41</v>
      </c>
      <c r="K204" s="1">
        <v>603</v>
      </c>
      <c r="L204" s="1">
        <v>605</v>
      </c>
      <c r="M204" s="1" t="s">
        <v>404</v>
      </c>
      <c r="N204" s="3">
        <v>46204</v>
      </c>
      <c r="P204" s="1" t="s">
        <v>67</v>
      </c>
      <c r="Q204" s="1" t="s">
        <v>55</v>
      </c>
      <c r="R204" s="1" t="s">
        <v>569</v>
      </c>
      <c r="S204" s="3">
        <v>46204</v>
      </c>
      <c r="T204" s="3">
        <v>46204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1</v>
      </c>
      <c r="AK204" s="1">
        <v>0</v>
      </c>
      <c r="AL204" s="1">
        <v>0</v>
      </c>
      <c r="AM204" s="1">
        <v>0</v>
      </c>
    </row>
    <row r="205" spans="1:39" x14ac:dyDescent="0.25">
      <c r="A205" s="1">
        <v>605</v>
      </c>
      <c r="B205" s="1" t="s">
        <v>822</v>
      </c>
      <c r="C205" s="1" t="s">
        <v>819</v>
      </c>
      <c r="D205" s="1" t="s">
        <v>115</v>
      </c>
      <c r="E205" s="1" t="s">
        <v>52</v>
      </c>
      <c r="F205" s="2">
        <v>46211</v>
      </c>
      <c r="G205" s="2">
        <v>46211</v>
      </c>
      <c r="H205" s="4">
        <v>0</v>
      </c>
      <c r="J205" s="1" t="s">
        <v>83</v>
      </c>
      <c r="K205" s="1">
        <v>604</v>
      </c>
      <c r="M205" s="1" t="s">
        <v>383</v>
      </c>
      <c r="N205" s="3">
        <v>46205</v>
      </c>
      <c r="P205" s="1" t="s">
        <v>67</v>
      </c>
      <c r="Q205" s="1" t="s">
        <v>55</v>
      </c>
      <c r="R205" s="1" t="s">
        <v>569</v>
      </c>
      <c r="S205" s="3">
        <v>46205</v>
      </c>
      <c r="T205" s="3">
        <v>46205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x14ac:dyDescent="0.25">
      <c r="A206" s="1">
        <v>606</v>
      </c>
      <c r="B206" s="1" t="s">
        <v>823</v>
      </c>
      <c r="C206" s="1" t="s">
        <v>571</v>
      </c>
      <c r="D206" s="1" t="s">
        <v>824</v>
      </c>
      <c r="E206" s="1" t="s">
        <v>186</v>
      </c>
      <c r="F206" s="2">
        <v>46192</v>
      </c>
      <c r="G206" s="2">
        <v>46205</v>
      </c>
      <c r="H206" s="4">
        <v>0.8</v>
      </c>
      <c r="J206" s="1" t="s">
        <v>41</v>
      </c>
      <c r="M206" s="1" t="s">
        <v>308</v>
      </c>
      <c r="N206" s="3">
        <v>46211</v>
      </c>
      <c r="P206" s="1" t="s">
        <v>73</v>
      </c>
      <c r="Q206" s="1" t="s">
        <v>55</v>
      </c>
      <c r="R206" s="1" t="s">
        <v>569</v>
      </c>
      <c r="S206" s="3">
        <v>46189</v>
      </c>
      <c r="T206" s="3">
        <v>46206</v>
      </c>
      <c r="U206" s="1" t="s">
        <v>77</v>
      </c>
      <c r="AB206" s="1">
        <v>0.8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x14ac:dyDescent="0.25">
      <c r="A207" s="1">
        <v>609</v>
      </c>
      <c r="B207" s="1" t="s">
        <v>828</v>
      </c>
      <c r="C207" s="1" t="s">
        <v>826</v>
      </c>
      <c r="D207" s="1" t="s">
        <v>109</v>
      </c>
      <c r="E207" s="1" t="s">
        <v>52</v>
      </c>
      <c r="F207" s="2">
        <v>46204</v>
      </c>
      <c r="G207" s="2">
        <v>46204</v>
      </c>
      <c r="H207" s="4">
        <v>0</v>
      </c>
      <c r="J207" s="1" t="s">
        <v>41</v>
      </c>
      <c r="K207" s="1">
        <v>608</v>
      </c>
      <c r="L207" s="1">
        <v>610</v>
      </c>
      <c r="M207" s="1" t="s">
        <v>404</v>
      </c>
      <c r="N207" s="3">
        <v>46204</v>
      </c>
      <c r="P207" s="1" t="s">
        <v>67</v>
      </c>
      <c r="Q207" s="1" t="s">
        <v>55</v>
      </c>
      <c r="R207" s="1" t="s">
        <v>569</v>
      </c>
      <c r="S207" s="3">
        <v>46204</v>
      </c>
      <c r="T207" s="3">
        <v>46204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s="1">
        <v>0</v>
      </c>
      <c r="AM207" s="1">
        <v>0</v>
      </c>
    </row>
    <row r="208" spans="1:39" x14ac:dyDescent="0.25">
      <c r="A208" s="1">
        <v>610</v>
      </c>
      <c r="B208" s="1" t="s">
        <v>829</v>
      </c>
      <c r="C208" s="1" t="s">
        <v>826</v>
      </c>
      <c r="D208" s="1" t="s">
        <v>115</v>
      </c>
      <c r="E208" s="1" t="s">
        <v>52</v>
      </c>
      <c r="F208" s="2">
        <v>46205</v>
      </c>
      <c r="G208" s="2">
        <v>46205</v>
      </c>
      <c r="H208" s="4">
        <v>0</v>
      </c>
      <c r="J208" s="1" t="s">
        <v>41</v>
      </c>
      <c r="K208" s="1">
        <v>609</v>
      </c>
      <c r="M208" s="1" t="s">
        <v>383</v>
      </c>
      <c r="N208" s="3">
        <v>46205</v>
      </c>
      <c r="P208" s="1" t="s">
        <v>67</v>
      </c>
      <c r="Q208" s="1" t="s">
        <v>55</v>
      </c>
      <c r="R208" s="1" t="s">
        <v>569</v>
      </c>
      <c r="S208" s="3">
        <v>46205</v>
      </c>
      <c r="T208" s="3">
        <v>46205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1</v>
      </c>
      <c r="AM208" s="1">
        <v>0</v>
      </c>
    </row>
    <row r="209" spans="1:39" x14ac:dyDescent="0.25">
      <c r="A209" s="1">
        <v>611</v>
      </c>
      <c r="B209" s="1" t="s">
        <v>830</v>
      </c>
      <c r="C209" s="1" t="s">
        <v>571</v>
      </c>
      <c r="D209" s="1" t="s">
        <v>831</v>
      </c>
      <c r="E209" s="1" t="s">
        <v>186</v>
      </c>
      <c r="F209" s="2">
        <v>46191</v>
      </c>
      <c r="G209" s="2">
        <v>46204</v>
      </c>
      <c r="H209" s="4">
        <v>0.7</v>
      </c>
      <c r="J209" s="1" t="s">
        <v>41</v>
      </c>
      <c r="M209" s="1" t="s">
        <v>308</v>
      </c>
      <c r="N209" s="3">
        <v>46211</v>
      </c>
      <c r="P209" s="1" t="s">
        <v>73</v>
      </c>
      <c r="Q209" s="1" t="s">
        <v>55</v>
      </c>
      <c r="R209" s="1" t="s">
        <v>569</v>
      </c>
      <c r="S209" s="3">
        <v>46189</v>
      </c>
      <c r="T209" s="3">
        <v>46206</v>
      </c>
      <c r="U209" s="1" t="s">
        <v>77</v>
      </c>
      <c r="AB209" s="1">
        <v>0.7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x14ac:dyDescent="0.25">
      <c r="A210" s="1">
        <v>613</v>
      </c>
      <c r="B210" s="1" t="s">
        <v>834</v>
      </c>
      <c r="C210" s="1" t="s">
        <v>833</v>
      </c>
      <c r="D210" s="1" t="s">
        <v>105</v>
      </c>
      <c r="E210" s="1" t="s">
        <v>52</v>
      </c>
      <c r="F210" s="2">
        <v>46202</v>
      </c>
      <c r="G210" s="2">
        <v>46202</v>
      </c>
      <c r="H210" s="4">
        <v>0</v>
      </c>
      <c r="J210" s="1" t="s">
        <v>41</v>
      </c>
      <c r="K210" s="1">
        <v>612</v>
      </c>
      <c r="L210" s="1">
        <v>614</v>
      </c>
      <c r="M210" s="1" t="s">
        <v>196</v>
      </c>
      <c r="N210" s="3">
        <v>46203</v>
      </c>
      <c r="P210" s="1" t="s">
        <v>180</v>
      </c>
      <c r="Q210" s="1" t="s">
        <v>55</v>
      </c>
      <c r="R210" s="1" t="s">
        <v>569</v>
      </c>
      <c r="S210" s="3">
        <v>46203</v>
      </c>
      <c r="T210" s="3">
        <v>46203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x14ac:dyDescent="0.25">
      <c r="A211" s="1">
        <v>614</v>
      </c>
      <c r="B211" s="1" t="s">
        <v>835</v>
      </c>
      <c r="C211" s="1" t="s">
        <v>833</v>
      </c>
      <c r="D211" s="1" t="s">
        <v>109</v>
      </c>
      <c r="E211" s="1" t="s">
        <v>52</v>
      </c>
      <c r="F211" s="2">
        <v>46203</v>
      </c>
      <c r="G211" s="2">
        <v>46203</v>
      </c>
      <c r="H211" s="4">
        <v>0</v>
      </c>
      <c r="J211" s="1" t="s">
        <v>41</v>
      </c>
      <c r="K211" s="1">
        <v>613</v>
      </c>
      <c r="L211" s="1">
        <v>615</v>
      </c>
      <c r="M211" s="1" t="s">
        <v>404</v>
      </c>
      <c r="N211" s="3">
        <v>46204</v>
      </c>
      <c r="P211" s="1" t="s">
        <v>67</v>
      </c>
      <c r="Q211" s="1" t="s">
        <v>55</v>
      </c>
      <c r="R211" s="1" t="s">
        <v>569</v>
      </c>
      <c r="S211" s="3">
        <v>46204</v>
      </c>
      <c r="T211" s="3">
        <v>46204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1</v>
      </c>
      <c r="AK211" s="1">
        <v>0</v>
      </c>
      <c r="AL211" s="1">
        <v>0</v>
      </c>
      <c r="AM211" s="1">
        <v>0</v>
      </c>
    </row>
    <row r="212" spans="1:39" x14ac:dyDescent="0.25">
      <c r="A212" s="1">
        <v>615</v>
      </c>
      <c r="B212" s="1" t="s">
        <v>836</v>
      </c>
      <c r="C212" s="1" t="s">
        <v>833</v>
      </c>
      <c r="D212" s="1" t="s">
        <v>115</v>
      </c>
      <c r="E212" s="1" t="s">
        <v>52</v>
      </c>
      <c r="F212" s="2">
        <v>46204</v>
      </c>
      <c r="G212" s="2">
        <v>46204</v>
      </c>
      <c r="H212" s="4">
        <v>0</v>
      </c>
      <c r="J212" s="1" t="s">
        <v>41</v>
      </c>
      <c r="K212" s="1">
        <v>614</v>
      </c>
      <c r="M212" s="1" t="s">
        <v>383</v>
      </c>
      <c r="N212" s="3">
        <v>46205</v>
      </c>
      <c r="P212" s="1" t="s">
        <v>67</v>
      </c>
      <c r="Q212" s="1" t="s">
        <v>55</v>
      </c>
      <c r="R212" s="1" t="s">
        <v>569</v>
      </c>
      <c r="S212" s="3">
        <v>46205</v>
      </c>
      <c r="T212" s="3">
        <v>46205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1</v>
      </c>
      <c r="AM212" s="1">
        <v>0</v>
      </c>
    </row>
    <row r="213" spans="1:39" x14ac:dyDescent="0.25">
      <c r="A213" s="1">
        <v>616</v>
      </c>
      <c r="B213" s="1" t="s">
        <v>837</v>
      </c>
      <c r="C213" s="1" t="s">
        <v>571</v>
      </c>
      <c r="D213" s="1" t="s">
        <v>838</v>
      </c>
      <c r="E213" s="1" t="s">
        <v>294</v>
      </c>
      <c r="F213" s="2">
        <v>46192</v>
      </c>
      <c r="G213" s="2">
        <v>46206</v>
      </c>
      <c r="H213" s="4">
        <v>0.73</v>
      </c>
      <c r="J213" s="1" t="s">
        <v>41</v>
      </c>
      <c r="M213" s="1" t="s">
        <v>308</v>
      </c>
      <c r="N213" s="3">
        <v>46211</v>
      </c>
      <c r="P213" s="1" t="s">
        <v>73</v>
      </c>
      <c r="Q213" s="1" t="s">
        <v>55</v>
      </c>
      <c r="R213" s="1" t="s">
        <v>569</v>
      </c>
      <c r="S213" s="3">
        <v>46189</v>
      </c>
      <c r="T213" s="3">
        <v>46206</v>
      </c>
      <c r="U213" s="1" t="s">
        <v>77</v>
      </c>
      <c r="AB213" s="1">
        <v>0.73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618</v>
      </c>
      <c r="B214" s="1" t="s">
        <v>841</v>
      </c>
      <c r="C214" s="1" t="s">
        <v>840</v>
      </c>
      <c r="D214" s="1" t="s">
        <v>105</v>
      </c>
      <c r="E214" s="1" t="s">
        <v>52</v>
      </c>
      <c r="F214" s="2">
        <v>46204</v>
      </c>
      <c r="G214" s="2">
        <v>46204</v>
      </c>
      <c r="H214" s="4">
        <v>0</v>
      </c>
      <c r="J214" s="1" t="s">
        <v>41</v>
      </c>
      <c r="K214" s="1">
        <v>617</v>
      </c>
      <c r="L214" s="1">
        <v>619</v>
      </c>
      <c r="M214" s="1" t="s">
        <v>196</v>
      </c>
      <c r="N214" s="3">
        <v>46203</v>
      </c>
      <c r="P214" s="1" t="s">
        <v>180</v>
      </c>
      <c r="Q214" s="1" t="s">
        <v>55</v>
      </c>
      <c r="R214" s="1" t="s">
        <v>569</v>
      </c>
      <c r="S214" s="3">
        <v>46203</v>
      </c>
      <c r="T214" s="3">
        <v>46203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619</v>
      </c>
      <c r="B215" s="1" t="s">
        <v>842</v>
      </c>
      <c r="C215" s="1" t="s">
        <v>840</v>
      </c>
      <c r="D215" s="1" t="s">
        <v>109</v>
      </c>
      <c r="E215" s="1" t="s">
        <v>52</v>
      </c>
      <c r="F215" s="2">
        <v>46205</v>
      </c>
      <c r="G215" s="2">
        <v>46205</v>
      </c>
      <c r="H215" s="4">
        <v>0</v>
      </c>
      <c r="J215" s="1" t="s">
        <v>41</v>
      </c>
      <c r="K215" s="1">
        <v>618</v>
      </c>
      <c r="L215" s="1">
        <v>620</v>
      </c>
      <c r="M215" s="1" t="s">
        <v>404</v>
      </c>
      <c r="N215" s="3">
        <v>46204</v>
      </c>
      <c r="P215" s="1" t="s">
        <v>67</v>
      </c>
      <c r="Q215" s="1" t="s">
        <v>55</v>
      </c>
      <c r="R215" s="1" t="s">
        <v>569</v>
      </c>
      <c r="S215" s="3">
        <v>46204</v>
      </c>
      <c r="T215" s="3">
        <v>46204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</row>
    <row r="216" spans="1:39" x14ac:dyDescent="0.25">
      <c r="A216" s="1">
        <v>620</v>
      </c>
      <c r="B216" s="1" t="s">
        <v>843</v>
      </c>
      <c r="C216" s="1" t="s">
        <v>840</v>
      </c>
      <c r="D216" s="1" t="s">
        <v>115</v>
      </c>
      <c r="E216" s="1" t="s">
        <v>52</v>
      </c>
      <c r="F216" s="2">
        <v>46206</v>
      </c>
      <c r="G216" s="2">
        <v>46206</v>
      </c>
      <c r="H216" s="4">
        <v>0</v>
      </c>
      <c r="J216" s="1" t="s">
        <v>41</v>
      </c>
      <c r="K216" s="1">
        <v>619</v>
      </c>
      <c r="M216" s="1" t="s">
        <v>383</v>
      </c>
      <c r="N216" s="3">
        <v>46205</v>
      </c>
      <c r="P216" s="1" t="s">
        <v>67</v>
      </c>
      <c r="Q216" s="1" t="s">
        <v>55</v>
      </c>
      <c r="R216" s="1" t="s">
        <v>569</v>
      </c>
      <c r="S216" s="3">
        <v>46205</v>
      </c>
      <c r="T216" s="3">
        <v>46205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</row>
    <row r="217" spans="1:39" x14ac:dyDescent="0.25">
      <c r="A217" s="1">
        <v>626</v>
      </c>
      <c r="B217" s="1" t="s">
        <v>853</v>
      </c>
      <c r="C217" s="1" t="s">
        <v>571</v>
      </c>
      <c r="D217" s="1" t="s">
        <v>854</v>
      </c>
      <c r="E217" s="1" t="s">
        <v>573</v>
      </c>
      <c r="F217" s="2">
        <v>46189</v>
      </c>
      <c r="G217" s="2">
        <v>46205</v>
      </c>
      <c r="H217" s="4">
        <v>0.54</v>
      </c>
      <c r="J217" s="1" t="s">
        <v>41</v>
      </c>
      <c r="M217" s="1" t="s">
        <v>196</v>
      </c>
      <c r="N217" s="3">
        <v>46211</v>
      </c>
      <c r="P217" s="1" t="s">
        <v>73</v>
      </c>
      <c r="Q217" s="1" t="s">
        <v>55</v>
      </c>
      <c r="R217" s="1" t="s">
        <v>569</v>
      </c>
      <c r="S217" s="3">
        <v>46197</v>
      </c>
      <c r="T217" s="3">
        <v>46205</v>
      </c>
      <c r="U217" s="1" t="s">
        <v>77</v>
      </c>
      <c r="AB217" s="1">
        <v>0.54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x14ac:dyDescent="0.25">
      <c r="A218" s="1">
        <v>628</v>
      </c>
      <c r="B218" s="1" t="s">
        <v>857</v>
      </c>
      <c r="C218" s="1" t="s">
        <v>856</v>
      </c>
      <c r="D218" s="1" t="s">
        <v>105</v>
      </c>
      <c r="E218" s="1" t="s">
        <v>102</v>
      </c>
      <c r="F218" s="2">
        <v>46198</v>
      </c>
      <c r="G218" s="2">
        <v>46202</v>
      </c>
      <c r="H218" s="4">
        <v>0</v>
      </c>
      <c r="J218" s="1" t="s">
        <v>41</v>
      </c>
      <c r="K218" s="1">
        <v>627</v>
      </c>
      <c r="L218" s="1">
        <v>629</v>
      </c>
      <c r="M218" s="1" t="s">
        <v>284</v>
      </c>
      <c r="N218" s="3">
        <v>46195</v>
      </c>
      <c r="P218" s="1" t="s">
        <v>180</v>
      </c>
      <c r="Q218" s="1" t="s">
        <v>55</v>
      </c>
      <c r="R218" s="1" t="s">
        <v>569</v>
      </c>
      <c r="S218" s="3">
        <v>46195</v>
      </c>
      <c r="T218" s="3">
        <v>46195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x14ac:dyDescent="0.25">
      <c r="A219" s="1">
        <v>629</v>
      </c>
      <c r="B219" s="1" t="s">
        <v>858</v>
      </c>
      <c r="C219" s="1" t="s">
        <v>856</v>
      </c>
      <c r="D219" s="1" t="s">
        <v>109</v>
      </c>
      <c r="E219" s="1" t="s">
        <v>116</v>
      </c>
      <c r="F219" s="2">
        <v>46203</v>
      </c>
      <c r="G219" s="2">
        <v>46204</v>
      </c>
      <c r="H219" s="4">
        <v>0</v>
      </c>
      <c r="J219" s="1" t="s">
        <v>41</v>
      </c>
      <c r="K219" s="1">
        <v>628</v>
      </c>
      <c r="L219" s="1">
        <v>630</v>
      </c>
      <c r="M219" s="1" t="s">
        <v>251</v>
      </c>
      <c r="N219" s="3">
        <v>46197</v>
      </c>
      <c r="P219" s="1" t="s">
        <v>180</v>
      </c>
      <c r="Q219" s="1" t="s">
        <v>55</v>
      </c>
      <c r="R219" s="1" t="s">
        <v>569</v>
      </c>
      <c r="S219" s="3">
        <v>46196</v>
      </c>
      <c r="T219" s="3">
        <v>46197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0</v>
      </c>
      <c r="AM219" s="1">
        <v>0</v>
      </c>
    </row>
    <row r="220" spans="1:39" x14ac:dyDescent="0.25">
      <c r="A220" s="1">
        <v>630</v>
      </c>
      <c r="B220" s="1" t="s">
        <v>859</v>
      </c>
      <c r="C220" s="1" t="s">
        <v>856</v>
      </c>
      <c r="D220" s="1" t="s">
        <v>115</v>
      </c>
      <c r="E220" s="1" t="s">
        <v>52</v>
      </c>
      <c r="F220" s="2">
        <v>46205</v>
      </c>
      <c r="G220" s="2">
        <v>46205</v>
      </c>
      <c r="H220" s="4">
        <v>0</v>
      </c>
      <c r="J220" s="1" t="s">
        <v>41</v>
      </c>
      <c r="K220" s="1">
        <v>629</v>
      </c>
      <c r="M220" s="1" t="s">
        <v>191</v>
      </c>
      <c r="N220" s="3">
        <v>46198</v>
      </c>
      <c r="P220" s="1" t="s">
        <v>180</v>
      </c>
      <c r="Q220" s="1" t="s">
        <v>55</v>
      </c>
      <c r="R220" s="1" t="s">
        <v>569</v>
      </c>
      <c r="S220" s="3">
        <v>46198</v>
      </c>
      <c r="T220" s="3">
        <v>46198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</v>
      </c>
      <c r="AM220" s="1">
        <v>0</v>
      </c>
    </row>
    <row r="221" spans="1:39" x14ac:dyDescent="0.25">
      <c r="A221" s="1">
        <v>8</v>
      </c>
      <c r="B221" s="1" t="s">
        <v>74</v>
      </c>
      <c r="C221" s="1" t="s">
        <v>63</v>
      </c>
      <c r="D221" s="1" t="s">
        <v>75</v>
      </c>
      <c r="E221" s="1" t="s">
        <v>888</v>
      </c>
      <c r="F221" s="2">
        <v>46178</v>
      </c>
      <c r="G221" s="2">
        <v>46178</v>
      </c>
      <c r="H221" s="4">
        <v>0</v>
      </c>
      <c r="J221" s="1" t="s">
        <v>83</v>
      </c>
      <c r="L221" s="1">
        <v>393</v>
      </c>
      <c r="M221" s="1" t="s">
        <v>66</v>
      </c>
      <c r="N221" s="3">
        <v>46178</v>
      </c>
      <c r="P221" s="1" t="s">
        <v>314</v>
      </c>
      <c r="Q221" s="1" t="s">
        <v>55</v>
      </c>
      <c r="R221" s="1" t="s">
        <v>61</v>
      </c>
      <c r="S221" s="3">
        <v>46178</v>
      </c>
      <c r="T221" s="3">
        <v>46178</v>
      </c>
      <c r="U221" s="1" t="s">
        <v>889</v>
      </c>
      <c r="W221" s="1" t="s">
        <v>890</v>
      </c>
      <c r="X221" s="1" t="s">
        <v>63</v>
      </c>
      <c r="Y221" s="1" t="s">
        <v>891</v>
      </c>
      <c r="Z221" s="1" t="s">
        <v>892</v>
      </c>
      <c r="AA221" s="1" t="b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x14ac:dyDescent="0.25">
      <c r="A222" s="1">
        <v>24</v>
      </c>
      <c r="B222" s="1" t="s">
        <v>893</v>
      </c>
      <c r="C222" s="1" t="s">
        <v>50</v>
      </c>
      <c r="D222" s="1" t="s">
        <v>894</v>
      </c>
      <c r="E222" s="1" t="s">
        <v>895</v>
      </c>
      <c r="F222" s="2">
        <v>46139</v>
      </c>
      <c r="G222" s="2">
        <v>46210</v>
      </c>
      <c r="H222" s="4">
        <v>0.11</v>
      </c>
      <c r="J222" s="1" t="s">
        <v>232</v>
      </c>
      <c r="M222" s="1" t="s">
        <v>42</v>
      </c>
      <c r="N222" s="3">
        <v>46210</v>
      </c>
      <c r="P222" s="1" t="s">
        <v>314</v>
      </c>
      <c r="Q222" s="1" t="s">
        <v>55</v>
      </c>
      <c r="R222" s="1" t="s">
        <v>896</v>
      </c>
      <c r="S222" s="3">
        <v>46139</v>
      </c>
      <c r="T222" s="3">
        <v>46204</v>
      </c>
      <c r="U222" s="1" t="s">
        <v>889</v>
      </c>
      <c r="W222" s="1" t="s">
        <v>897</v>
      </c>
      <c r="X222" s="1" t="s">
        <v>50</v>
      </c>
      <c r="Y222" s="1" t="s">
        <v>898</v>
      </c>
      <c r="Z222" s="1" t="s">
        <v>897</v>
      </c>
      <c r="AA222" s="1" t="b">
        <v>1</v>
      </c>
      <c r="AB222" s="1">
        <v>0.11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x14ac:dyDescent="0.25">
      <c r="A223" s="1">
        <v>25</v>
      </c>
      <c r="B223" s="1" t="s">
        <v>899</v>
      </c>
      <c r="C223" s="1" t="s">
        <v>900</v>
      </c>
      <c r="D223" s="1" t="s">
        <v>901</v>
      </c>
      <c r="E223" s="1" t="s">
        <v>297</v>
      </c>
      <c r="F223" s="2">
        <v>46174</v>
      </c>
      <c r="G223" s="2">
        <v>46182</v>
      </c>
      <c r="H223" s="4">
        <v>0</v>
      </c>
      <c r="J223" s="1" t="s">
        <v>83</v>
      </c>
      <c r="M223" s="1" t="s">
        <v>902</v>
      </c>
      <c r="N223" s="3">
        <v>46182</v>
      </c>
      <c r="P223" s="1" t="s">
        <v>314</v>
      </c>
      <c r="Q223" s="1" t="s">
        <v>55</v>
      </c>
      <c r="R223" s="1" t="s">
        <v>896</v>
      </c>
      <c r="S223" s="3">
        <v>46167</v>
      </c>
      <c r="T223" s="3">
        <v>46175</v>
      </c>
      <c r="U223" s="1" t="s">
        <v>889</v>
      </c>
      <c r="W223" s="1" t="s">
        <v>903</v>
      </c>
      <c r="X223" s="1" t="s">
        <v>900</v>
      </c>
      <c r="Y223" s="1" t="s">
        <v>904</v>
      </c>
      <c r="Z223" s="1" t="s">
        <v>903</v>
      </c>
      <c r="AA223" s="1" t="b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30</v>
      </c>
      <c r="B224" s="1" t="s">
        <v>905</v>
      </c>
      <c r="C224" s="1" t="s">
        <v>900</v>
      </c>
      <c r="D224" s="1" t="s">
        <v>906</v>
      </c>
      <c r="E224" s="1" t="s">
        <v>297</v>
      </c>
      <c r="F224" s="2">
        <v>46191</v>
      </c>
      <c r="G224" s="2">
        <v>46199</v>
      </c>
      <c r="H224" s="4">
        <v>0</v>
      </c>
      <c r="J224" s="1" t="s">
        <v>83</v>
      </c>
      <c r="M224" s="1" t="s">
        <v>187</v>
      </c>
      <c r="N224" s="3">
        <v>46199</v>
      </c>
      <c r="P224" s="1" t="s">
        <v>314</v>
      </c>
      <c r="Q224" s="1" t="s">
        <v>55</v>
      </c>
      <c r="R224" s="1" t="s">
        <v>896</v>
      </c>
      <c r="S224" s="3">
        <v>46184</v>
      </c>
      <c r="T224" s="3">
        <v>46192</v>
      </c>
      <c r="U224" s="1" t="s">
        <v>889</v>
      </c>
      <c r="W224" s="1" t="s">
        <v>907</v>
      </c>
      <c r="X224" s="1" t="s">
        <v>900</v>
      </c>
      <c r="Y224" s="1" t="s">
        <v>908</v>
      </c>
      <c r="Z224" s="1" t="s">
        <v>907</v>
      </c>
      <c r="AA224" s="1" t="b">
        <v>1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x14ac:dyDescent="0.25">
      <c r="A225" s="1">
        <v>35</v>
      </c>
      <c r="B225" s="1" t="s">
        <v>909</v>
      </c>
      <c r="C225" s="1" t="s">
        <v>900</v>
      </c>
      <c r="D225" s="1" t="s">
        <v>910</v>
      </c>
      <c r="E225" s="1" t="s">
        <v>223</v>
      </c>
      <c r="F225" s="2">
        <v>46203</v>
      </c>
      <c r="G225" s="2">
        <v>46210</v>
      </c>
      <c r="H225" s="4">
        <v>0</v>
      </c>
      <c r="J225" s="1" t="s">
        <v>83</v>
      </c>
      <c r="M225" s="1" t="s">
        <v>196</v>
      </c>
      <c r="N225" s="3">
        <v>46210</v>
      </c>
      <c r="P225" s="1" t="s">
        <v>314</v>
      </c>
      <c r="Q225" s="1" t="s">
        <v>55</v>
      </c>
      <c r="R225" s="1" t="s">
        <v>896</v>
      </c>
      <c r="S225" s="3">
        <v>46196</v>
      </c>
      <c r="T225" s="3">
        <v>46204</v>
      </c>
      <c r="U225" s="1" t="s">
        <v>889</v>
      </c>
      <c r="W225" s="1" t="s">
        <v>911</v>
      </c>
      <c r="X225" s="1" t="s">
        <v>900</v>
      </c>
      <c r="Y225" s="1" t="s">
        <v>912</v>
      </c>
      <c r="Z225" s="1" t="s">
        <v>911</v>
      </c>
      <c r="AA225" s="1" t="b">
        <v>1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40</v>
      </c>
      <c r="B226" s="1" t="s">
        <v>913</v>
      </c>
      <c r="C226" s="1" t="s">
        <v>900</v>
      </c>
      <c r="D226" s="1" t="s">
        <v>914</v>
      </c>
      <c r="E226" s="1" t="s">
        <v>915</v>
      </c>
      <c r="F226" s="2">
        <v>46139</v>
      </c>
      <c r="G226" s="2">
        <v>46203</v>
      </c>
      <c r="H226" s="4">
        <v>0.43</v>
      </c>
      <c r="J226" s="1" t="s">
        <v>232</v>
      </c>
      <c r="M226" s="1" t="s">
        <v>42</v>
      </c>
      <c r="N226" s="3">
        <v>46203</v>
      </c>
      <c r="P226" s="1" t="s">
        <v>314</v>
      </c>
      <c r="Q226" s="1" t="s">
        <v>55</v>
      </c>
      <c r="R226" s="1" t="s">
        <v>896</v>
      </c>
      <c r="S226" s="3">
        <v>46139</v>
      </c>
      <c r="T226" s="3">
        <v>46203</v>
      </c>
      <c r="U226" s="1" t="s">
        <v>889</v>
      </c>
      <c r="W226" s="1" t="s">
        <v>916</v>
      </c>
      <c r="X226" s="1" t="s">
        <v>900</v>
      </c>
      <c r="Y226" s="1" t="s">
        <v>917</v>
      </c>
      <c r="Z226" s="1" t="s">
        <v>916</v>
      </c>
      <c r="AA226" s="1" t="b">
        <v>1</v>
      </c>
      <c r="AB226" s="1">
        <v>0.43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x14ac:dyDescent="0.25">
      <c r="A227" s="1">
        <v>107</v>
      </c>
      <c r="B227" s="1" t="s">
        <v>918</v>
      </c>
      <c r="C227" s="1" t="s">
        <v>160</v>
      </c>
      <c r="D227" s="1" t="s">
        <v>919</v>
      </c>
      <c r="E227" s="1" t="s">
        <v>920</v>
      </c>
      <c r="F227" s="2">
        <v>46176</v>
      </c>
      <c r="G227" s="2">
        <v>46191</v>
      </c>
      <c r="H227" s="4">
        <v>0</v>
      </c>
      <c r="J227" s="1" t="s">
        <v>83</v>
      </c>
      <c r="M227" s="1" t="s">
        <v>220</v>
      </c>
      <c r="N227" s="3">
        <v>46191</v>
      </c>
      <c r="P227" s="1" t="s">
        <v>314</v>
      </c>
      <c r="Q227" s="1" t="s">
        <v>55</v>
      </c>
      <c r="R227" s="1" t="s">
        <v>158</v>
      </c>
      <c r="S227" s="3">
        <v>46163</v>
      </c>
      <c r="T227" s="3">
        <v>46178</v>
      </c>
      <c r="U227" s="1" t="s">
        <v>889</v>
      </c>
      <c r="W227" s="1" t="s">
        <v>921</v>
      </c>
      <c r="X227" s="1" t="s">
        <v>160</v>
      </c>
      <c r="Y227" s="1" t="s">
        <v>922</v>
      </c>
      <c r="Z227" s="1" t="s">
        <v>921</v>
      </c>
      <c r="AA227" s="1" t="b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x14ac:dyDescent="0.25">
      <c r="A228" s="1">
        <v>138</v>
      </c>
      <c r="B228" s="1" t="s">
        <v>923</v>
      </c>
      <c r="C228" s="1" t="s">
        <v>292</v>
      </c>
      <c r="D228" s="1" t="s">
        <v>924</v>
      </c>
      <c r="E228" s="1" t="s">
        <v>297</v>
      </c>
      <c r="F228" s="2">
        <v>46189</v>
      </c>
      <c r="G228" s="2">
        <v>46197</v>
      </c>
      <c r="H228" s="4">
        <v>0</v>
      </c>
      <c r="J228" s="1" t="s">
        <v>83</v>
      </c>
      <c r="M228" s="1" t="s">
        <v>227</v>
      </c>
      <c r="N228" s="3">
        <v>46197</v>
      </c>
      <c r="P228" s="1" t="s">
        <v>314</v>
      </c>
      <c r="Q228" s="1" t="s">
        <v>55</v>
      </c>
      <c r="R228" s="1" t="s">
        <v>290</v>
      </c>
      <c r="S228" s="3">
        <v>46176</v>
      </c>
      <c r="T228" s="3">
        <v>46184</v>
      </c>
      <c r="U228" s="1" t="s">
        <v>889</v>
      </c>
      <c r="W228" s="1" t="s">
        <v>925</v>
      </c>
      <c r="AA228" s="1" t="b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x14ac:dyDescent="0.25">
      <c r="A229" s="1">
        <v>148</v>
      </c>
      <c r="B229" s="1" t="s">
        <v>926</v>
      </c>
      <c r="C229" s="1" t="s">
        <v>292</v>
      </c>
      <c r="D229" s="1" t="s">
        <v>927</v>
      </c>
      <c r="E229" s="1" t="s">
        <v>297</v>
      </c>
      <c r="F229" s="2">
        <v>46183</v>
      </c>
      <c r="G229" s="2">
        <v>46191</v>
      </c>
      <c r="H229" s="4">
        <v>0</v>
      </c>
      <c r="J229" s="1" t="s">
        <v>83</v>
      </c>
      <c r="M229" s="1" t="s">
        <v>183</v>
      </c>
      <c r="N229" s="3">
        <v>46191</v>
      </c>
      <c r="P229" s="1" t="s">
        <v>314</v>
      </c>
      <c r="Q229" s="1" t="s">
        <v>55</v>
      </c>
      <c r="R229" s="1" t="s">
        <v>290</v>
      </c>
      <c r="S229" s="3">
        <v>46170</v>
      </c>
      <c r="T229" s="3">
        <v>46178</v>
      </c>
      <c r="U229" s="1" t="s">
        <v>889</v>
      </c>
      <c r="W229" s="1" t="s">
        <v>928</v>
      </c>
      <c r="AA229" s="1" t="b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x14ac:dyDescent="0.25">
      <c r="A230" s="1">
        <v>153</v>
      </c>
      <c r="B230" s="1" t="s">
        <v>929</v>
      </c>
      <c r="C230" s="1" t="s">
        <v>292</v>
      </c>
      <c r="D230" s="1" t="s">
        <v>930</v>
      </c>
      <c r="E230" s="1" t="s">
        <v>297</v>
      </c>
      <c r="F230" s="2">
        <v>46178</v>
      </c>
      <c r="G230" s="2">
        <v>46188</v>
      </c>
      <c r="H230" s="4">
        <v>0</v>
      </c>
      <c r="J230" s="1" t="s">
        <v>83</v>
      </c>
      <c r="M230" s="1" t="s">
        <v>66</v>
      </c>
      <c r="N230" s="3">
        <v>46188</v>
      </c>
      <c r="P230" s="1" t="s">
        <v>314</v>
      </c>
      <c r="Q230" s="1" t="s">
        <v>55</v>
      </c>
      <c r="R230" s="1" t="s">
        <v>290</v>
      </c>
      <c r="S230" s="3">
        <v>46167</v>
      </c>
      <c r="T230" s="3">
        <v>46175</v>
      </c>
      <c r="U230" s="1" t="s">
        <v>889</v>
      </c>
      <c r="W230" s="1" t="s">
        <v>931</v>
      </c>
      <c r="X230" s="1" t="s">
        <v>292</v>
      </c>
      <c r="Y230" s="1" t="s">
        <v>932</v>
      </c>
      <c r="Z230" s="1" t="s">
        <v>931</v>
      </c>
      <c r="AA230" s="1" t="b">
        <v>1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158</v>
      </c>
      <c r="B231" s="1" t="s">
        <v>933</v>
      </c>
      <c r="C231" s="1" t="s">
        <v>292</v>
      </c>
      <c r="D231" s="1" t="s">
        <v>934</v>
      </c>
      <c r="E231" s="1" t="s">
        <v>297</v>
      </c>
      <c r="F231" s="2">
        <v>46178</v>
      </c>
      <c r="G231" s="2">
        <v>46188</v>
      </c>
      <c r="H231" s="4">
        <v>0</v>
      </c>
      <c r="J231" s="1" t="s">
        <v>83</v>
      </c>
      <c r="M231" s="1" t="s">
        <v>66</v>
      </c>
      <c r="N231" s="3">
        <v>46188</v>
      </c>
      <c r="P231" s="1" t="s">
        <v>314</v>
      </c>
      <c r="Q231" s="1" t="s">
        <v>55</v>
      </c>
      <c r="R231" s="1" t="s">
        <v>290</v>
      </c>
      <c r="S231" s="3">
        <v>46167</v>
      </c>
      <c r="T231" s="3">
        <v>46175</v>
      </c>
      <c r="U231" s="1" t="s">
        <v>889</v>
      </c>
      <c r="W231" s="1" t="s">
        <v>935</v>
      </c>
      <c r="AA231" s="1" t="b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x14ac:dyDescent="0.25">
      <c r="A232" s="1">
        <v>178</v>
      </c>
      <c r="B232" s="1" t="s">
        <v>936</v>
      </c>
      <c r="C232" s="1" t="s">
        <v>292</v>
      </c>
      <c r="D232" s="1" t="s">
        <v>937</v>
      </c>
      <c r="E232" s="1" t="s">
        <v>938</v>
      </c>
      <c r="F232" s="2">
        <v>46181</v>
      </c>
      <c r="G232" s="2">
        <v>46198</v>
      </c>
      <c r="H232" s="4">
        <v>0</v>
      </c>
      <c r="J232" s="1" t="s">
        <v>83</v>
      </c>
      <c r="M232" s="1" t="s">
        <v>149</v>
      </c>
      <c r="N232" s="3">
        <v>46198</v>
      </c>
      <c r="P232" s="1" t="s">
        <v>314</v>
      </c>
      <c r="Q232" s="1" t="s">
        <v>55</v>
      </c>
      <c r="R232" s="1" t="s">
        <v>290</v>
      </c>
      <c r="S232" s="3">
        <v>46157</v>
      </c>
      <c r="T232" s="3">
        <v>46176</v>
      </c>
      <c r="U232" s="1" t="s">
        <v>889</v>
      </c>
      <c r="W232" s="1" t="s">
        <v>939</v>
      </c>
      <c r="AA232" s="1" t="b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198</v>
      </c>
      <c r="B233" s="1" t="s">
        <v>940</v>
      </c>
      <c r="C233" s="1" t="s">
        <v>292</v>
      </c>
      <c r="D233" s="1" t="s">
        <v>941</v>
      </c>
      <c r="E233" s="1" t="s">
        <v>297</v>
      </c>
      <c r="F233" s="2">
        <v>46178</v>
      </c>
      <c r="G233" s="2">
        <v>46188</v>
      </c>
      <c r="H233" s="4">
        <v>0</v>
      </c>
      <c r="J233" s="1" t="s">
        <v>83</v>
      </c>
      <c r="M233" s="1" t="s">
        <v>66</v>
      </c>
      <c r="N233" s="3">
        <v>46188</v>
      </c>
      <c r="P233" s="1" t="s">
        <v>314</v>
      </c>
      <c r="Q233" s="1" t="s">
        <v>55</v>
      </c>
      <c r="R233" s="1" t="s">
        <v>290</v>
      </c>
      <c r="S233" s="3">
        <v>46167</v>
      </c>
      <c r="T233" s="3">
        <v>46175</v>
      </c>
      <c r="U233" s="1" t="s">
        <v>889</v>
      </c>
      <c r="W233" s="1" t="s">
        <v>942</v>
      </c>
      <c r="AA233" s="1" t="b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x14ac:dyDescent="0.25">
      <c r="A234" s="1">
        <v>203</v>
      </c>
      <c r="B234" s="1" t="s">
        <v>943</v>
      </c>
      <c r="C234" s="1" t="s">
        <v>292</v>
      </c>
      <c r="D234" s="1" t="s">
        <v>944</v>
      </c>
      <c r="E234" s="1" t="s">
        <v>297</v>
      </c>
      <c r="F234" s="2">
        <v>46178</v>
      </c>
      <c r="G234" s="2">
        <v>46188</v>
      </c>
      <c r="H234" s="4">
        <v>0</v>
      </c>
      <c r="J234" s="1" t="s">
        <v>83</v>
      </c>
      <c r="M234" s="1" t="s">
        <v>66</v>
      </c>
      <c r="N234" s="3">
        <v>46188</v>
      </c>
      <c r="P234" s="1" t="s">
        <v>314</v>
      </c>
      <c r="Q234" s="1" t="s">
        <v>55</v>
      </c>
      <c r="R234" s="1" t="s">
        <v>290</v>
      </c>
      <c r="S234" s="3">
        <v>46167</v>
      </c>
      <c r="T234" s="3">
        <v>46175</v>
      </c>
      <c r="U234" s="1" t="s">
        <v>889</v>
      </c>
      <c r="W234" s="1" t="s">
        <v>945</v>
      </c>
      <c r="AA234" s="1" t="b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x14ac:dyDescent="0.25">
      <c r="A235" s="1">
        <v>208</v>
      </c>
      <c r="B235" s="1" t="s">
        <v>946</v>
      </c>
      <c r="C235" s="1" t="s">
        <v>292</v>
      </c>
      <c r="D235" s="1" t="s">
        <v>947</v>
      </c>
      <c r="E235" s="1" t="s">
        <v>297</v>
      </c>
      <c r="F235" s="2">
        <v>46178</v>
      </c>
      <c r="G235" s="2">
        <v>46188</v>
      </c>
      <c r="H235" s="4">
        <v>0</v>
      </c>
      <c r="J235" s="1" t="s">
        <v>83</v>
      </c>
      <c r="M235" s="1" t="s">
        <v>66</v>
      </c>
      <c r="N235" s="3">
        <v>46188</v>
      </c>
      <c r="P235" s="1" t="s">
        <v>314</v>
      </c>
      <c r="Q235" s="1" t="s">
        <v>55</v>
      </c>
      <c r="R235" s="1" t="s">
        <v>290</v>
      </c>
      <c r="S235" s="3">
        <v>46167</v>
      </c>
      <c r="T235" s="3">
        <v>46175</v>
      </c>
      <c r="U235" s="1" t="s">
        <v>889</v>
      </c>
      <c r="W235" s="1" t="s">
        <v>948</v>
      </c>
      <c r="AA235" s="1" t="b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218</v>
      </c>
      <c r="B236" s="1" t="s">
        <v>949</v>
      </c>
      <c r="C236" s="1" t="s">
        <v>292</v>
      </c>
      <c r="D236" s="1" t="s">
        <v>950</v>
      </c>
      <c r="E236" s="1" t="s">
        <v>938</v>
      </c>
      <c r="F236" s="2">
        <v>46175</v>
      </c>
      <c r="G236" s="2">
        <v>46192</v>
      </c>
      <c r="H236" s="4">
        <v>0</v>
      </c>
      <c r="J236" s="1" t="s">
        <v>83</v>
      </c>
      <c r="M236" s="1" t="s">
        <v>172</v>
      </c>
      <c r="N236" s="3">
        <v>46192</v>
      </c>
      <c r="P236" s="1" t="s">
        <v>314</v>
      </c>
      <c r="Q236" s="1" t="s">
        <v>55</v>
      </c>
      <c r="R236" s="1" t="s">
        <v>290</v>
      </c>
      <c r="S236" s="3">
        <v>46162</v>
      </c>
      <c r="T236" s="3">
        <v>46181</v>
      </c>
      <c r="U236" s="1" t="s">
        <v>889</v>
      </c>
      <c r="W236" s="1" t="s">
        <v>951</v>
      </c>
      <c r="AA236" s="1" t="b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x14ac:dyDescent="0.25">
      <c r="A237" s="1">
        <v>239</v>
      </c>
      <c r="B237" s="1" t="s">
        <v>952</v>
      </c>
      <c r="C237" s="1" t="s">
        <v>367</v>
      </c>
      <c r="D237" s="1" t="s">
        <v>953</v>
      </c>
      <c r="E237" s="1" t="s">
        <v>297</v>
      </c>
      <c r="F237" s="2">
        <v>46197</v>
      </c>
      <c r="G237" s="2">
        <v>46205</v>
      </c>
      <c r="H237" s="4">
        <v>0</v>
      </c>
      <c r="J237" s="1" t="s">
        <v>83</v>
      </c>
      <c r="M237" s="1" t="s">
        <v>308</v>
      </c>
      <c r="N237" s="3">
        <v>46205</v>
      </c>
      <c r="P237" s="1" t="s">
        <v>314</v>
      </c>
      <c r="Q237" s="1" t="s">
        <v>55</v>
      </c>
      <c r="R237" s="1" t="s">
        <v>365</v>
      </c>
      <c r="S237" s="3">
        <v>46189</v>
      </c>
      <c r="T237" s="3">
        <v>46197</v>
      </c>
      <c r="U237" s="1" t="s">
        <v>889</v>
      </c>
      <c r="W237" s="1" t="s">
        <v>954</v>
      </c>
      <c r="X237" s="1" t="s">
        <v>367</v>
      </c>
      <c r="Y237" s="1" t="s">
        <v>955</v>
      </c>
      <c r="Z237" s="1" t="s">
        <v>954</v>
      </c>
      <c r="AA237" s="1" t="b">
        <v>1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269</v>
      </c>
      <c r="B238" s="1" t="s">
        <v>956</v>
      </c>
      <c r="C238" s="1" t="s">
        <v>367</v>
      </c>
      <c r="D238" s="1" t="s">
        <v>957</v>
      </c>
      <c r="E238" s="1" t="s">
        <v>682</v>
      </c>
      <c r="F238" s="2">
        <v>46196</v>
      </c>
      <c r="G238" s="2">
        <v>46206</v>
      </c>
      <c r="H238" s="4">
        <v>0</v>
      </c>
      <c r="J238" s="1" t="s">
        <v>83</v>
      </c>
      <c r="M238" s="1" t="s">
        <v>251</v>
      </c>
      <c r="N238" s="3">
        <v>46206</v>
      </c>
      <c r="P238" s="1" t="s">
        <v>314</v>
      </c>
      <c r="Q238" s="1" t="s">
        <v>55</v>
      </c>
      <c r="R238" s="1" t="s">
        <v>365</v>
      </c>
      <c r="S238" s="3">
        <v>46188</v>
      </c>
      <c r="T238" s="3">
        <v>46198</v>
      </c>
      <c r="U238" s="1" t="s">
        <v>889</v>
      </c>
      <c r="W238" s="1" t="s">
        <v>958</v>
      </c>
      <c r="X238" s="1" t="s">
        <v>367</v>
      </c>
      <c r="Y238" s="1" t="s">
        <v>959</v>
      </c>
      <c r="Z238" s="1" t="s">
        <v>958</v>
      </c>
      <c r="AA238" s="1" t="b">
        <v>1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x14ac:dyDescent="0.25">
      <c r="A239" s="1">
        <v>295</v>
      </c>
      <c r="B239" s="1" t="s">
        <v>960</v>
      </c>
      <c r="C239" s="1" t="s">
        <v>440</v>
      </c>
      <c r="D239" s="1" t="s">
        <v>961</v>
      </c>
      <c r="E239" s="1" t="s">
        <v>297</v>
      </c>
      <c r="F239" s="2">
        <v>46197</v>
      </c>
      <c r="G239" s="2">
        <v>46205</v>
      </c>
      <c r="H239" s="4">
        <v>0</v>
      </c>
      <c r="J239" s="1" t="s">
        <v>83</v>
      </c>
      <c r="M239" s="1" t="s">
        <v>308</v>
      </c>
      <c r="N239" s="3">
        <v>46205</v>
      </c>
      <c r="P239" s="1" t="s">
        <v>314</v>
      </c>
      <c r="Q239" s="1" t="s">
        <v>55</v>
      </c>
      <c r="R239" s="1" t="s">
        <v>438</v>
      </c>
      <c r="S239" s="3">
        <v>46185</v>
      </c>
      <c r="T239" s="3">
        <v>46195</v>
      </c>
      <c r="U239" s="1" t="s">
        <v>889</v>
      </c>
      <c r="W239" s="1" t="s">
        <v>962</v>
      </c>
      <c r="X239" s="1" t="s">
        <v>440</v>
      </c>
      <c r="Y239" s="1" t="s">
        <v>963</v>
      </c>
      <c r="Z239" s="1" t="s">
        <v>962</v>
      </c>
      <c r="AA239" s="1" t="b">
        <v>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x14ac:dyDescent="0.25">
      <c r="A240" s="1">
        <v>340</v>
      </c>
      <c r="B240" s="1" t="s">
        <v>532</v>
      </c>
      <c r="C240" s="1" t="s">
        <v>440</v>
      </c>
      <c r="D240" s="1" t="s">
        <v>964</v>
      </c>
      <c r="E240" s="1" t="s">
        <v>223</v>
      </c>
      <c r="F240" s="2">
        <v>46197</v>
      </c>
      <c r="G240" s="2">
        <v>46204</v>
      </c>
      <c r="H240" s="4">
        <v>0</v>
      </c>
      <c r="J240" s="1" t="s">
        <v>83</v>
      </c>
      <c r="M240" s="1" t="s">
        <v>308</v>
      </c>
      <c r="N240" s="3">
        <v>46204</v>
      </c>
      <c r="P240" s="1" t="s">
        <v>314</v>
      </c>
      <c r="Q240" s="1" t="s">
        <v>55</v>
      </c>
      <c r="R240" s="1" t="s">
        <v>438</v>
      </c>
      <c r="S240" s="3">
        <v>46185</v>
      </c>
      <c r="T240" s="3">
        <v>46197</v>
      </c>
      <c r="U240" s="1" t="s">
        <v>889</v>
      </c>
      <c r="W240" s="1" t="s">
        <v>965</v>
      </c>
      <c r="X240" s="1" t="s">
        <v>440</v>
      </c>
      <c r="Y240" s="1" t="s">
        <v>966</v>
      </c>
      <c r="Z240" s="1" t="s">
        <v>965</v>
      </c>
      <c r="AA240" s="1" t="b">
        <v>1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345</v>
      </c>
      <c r="B241" s="1" t="s">
        <v>541</v>
      </c>
      <c r="C241" s="1" t="s">
        <v>440</v>
      </c>
      <c r="D241" s="1" t="s">
        <v>967</v>
      </c>
      <c r="E241" s="1" t="s">
        <v>682</v>
      </c>
      <c r="F241" s="2">
        <v>46197</v>
      </c>
      <c r="G241" s="2">
        <v>46209</v>
      </c>
      <c r="H241" s="4">
        <v>0</v>
      </c>
      <c r="J241" s="1" t="s">
        <v>83</v>
      </c>
      <c r="M241" s="1" t="s">
        <v>308</v>
      </c>
      <c r="N241" s="3">
        <v>46209</v>
      </c>
      <c r="P241" s="1" t="s">
        <v>314</v>
      </c>
      <c r="Q241" s="1" t="s">
        <v>55</v>
      </c>
      <c r="R241" s="1" t="s">
        <v>438</v>
      </c>
      <c r="S241" s="3">
        <v>46185</v>
      </c>
      <c r="T241" s="3">
        <v>46197</v>
      </c>
      <c r="U241" s="1" t="s">
        <v>889</v>
      </c>
      <c r="W241" s="1" t="s">
        <v>968</v>
      </c>
      <c r="X241" s="1" t="s">
        <v>440</v>
      </c>
      <c r="Y241" s="1" t="s">
        <v>969</v>
      </c>
      <c r="Z241" s="1" t="s">
        <v>968</v>
      </c>
      <c r="AA241" s="1" t="b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x14ac:dyDescent="0.25">
      <c r="A242" s="1">
        <v>350</v>
      </c>
      <c r="B242" s="1" t="s">
        <v>550</v>
      </c>
      <c r="C242" s="1" t="s">
        <v>440</v>
      </c>
      <c r="D242" s="1" t="s">
        <v>970</v>
      </c>
      <c r="E242" s="1" t="s">
        <v>971</v>
      </c>
      <c r="F242" s="2">
        <v>46178</v>
      </c>
      <c r="G242" s="2">
        <v>46202</v>
      </c>
      <c r="H242" s="4">
        <v>0</v>
      </c>
      <c r="J242" s="1" t="s">
        <v>83</v>
      </c>
      <c r="M242" s="1" t="s">
        <v>66</v>
      </c>
      <c r="N242" s="3">
        <v>46202</v>
      </c>
      <c r="P242" s="1" t="s">
        <v>314</v>
      </c>
      <c r="Q242" s="1" t="s">
        <v>55</v>
      </c>
      <c r="R242" s="1" t="s">
        <v>438</v>
      </c>
      <c r="S242" s="3">
        <v>46168</v>
      </c>
      <c r="T242" s="3">
        <v>46190</v>
      </c>
      <c r="U242" s="1" t="s">
        <v>889</v>
      </c>
      <c r="W242" s="1" t="s">
        <v>972</v>
      </c>
      <c r="X242" s="1" t="s">
        <v>440</v>
      </c>
      <c r="Y242" s="1" t="s">
        <v>973</v>
      </c>
      <c r="Z242" s="1" t="s">
        <v>972</v>
      </c>
      <c r="AA242" s="1" t="b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370</v>
      </c>
      <c r="B243" s="1" t="s">
        <v>558</v>
      </c>
      <c r="C243" s="1" t="s">
        <v>440</v>
      </c>
      <c r="D243" s="1" t="s">
        <v>974</v>
      </c>
      <c r="E243" s="1" t="s">
        <v>682</v>
      </c>
      <c r="F243" s="2">
        <v>46183</v>
      </c>
      <c r="G243" s="2">
        <v>46195</v>
      </c>
      <c r="H243" s="4">
        <v>0</v>
      </c>
      <c r="J243" s="1" t="s">
        <v>83</v>
      </c>
      <c r="M243" s="1" t="s">
        <v>183</v>
      </c>
      <c r="N243" s="3">
        <v>46195</v>
      </c>
      <c r="P243" s="1" t="s">
        <v>314</v>
      </c>
      <c r="Q243" s="1" t="s">
        <v>55</v>
      </c>
      <c r="R243" s="1" t="s">
        <v>438</v>
      </c>
      <c r="S243" s="3">
        <v>46171</v>
      </c>
      <c r="T243" s="3">
        <v>46183</v>
      </c>
      <c r="U243" s="1" t="s">
        <v>889</v>
      </c>
      <c r="W243" s="1" t="s">
        <v>975</v>
      </c>
      <c r="X243" s="1" t="s">
        <v>440</v>
      </c>
      <c r="Y243" s="1" t="s">
        <v>976</v>
      </c>
      <c r="Z243" s="1" t="s">
        <v>975</v>
      </c>
      <c r="AA243" s="1" t="b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375</v>
      </c>
      <c r="B244" s="1" t="s">
        <v>977</v>
      </c>
      <c r="C244" s="1" t="s">
        <v>440</v>
      </c>
      <c r="D244" s="1" t="s">
        <v>978</v>
      </c>
      <c r="E244" s="1" t="s">
        <v>682</v>
      </c>
      <c r="F244" s="2">
        <v>46183</v>
      </c>
      <c r="G244" s="2">
        <v>46195</v>
      </c>
      <c r="H244" s="4">
        <v>0</v>
      </c>
      <c r="J244" s="1" t="s">
        <v>83</v>
      </c>
      <c r="M244" s="1" t="s">
        <v>183</v>
      </c>
      <c r="N244" s="3">
        <v>46195</v>
      </c>
      <c r="P244" s="1" t="s">
        <v>314</v>
      </c>
      <c r="Q244" s="1" t="s">
        <v>55</v>
      </c>
      <c r="R244" s="1" t="s">
        <v>438</v>
      </c>
      <c r="S244" s="3">
        <v>46171</v>
      </c>
      <c r="T244" s="3">
        <v>46183</v>
      </c>
      <c r="U244" s="1" t="s">
        <v>889</v>
      </c>
      <c r="W244" s="1" t="s">
        <v>979</v>
      </c>
      <c r="X244" s="1" t="s">
        <v>440</v>
      </c>
      <c r="Y244" s="1" t="s">
        <v>980</v>
      </c>
      <c r="Z244" s="1" t="s">
        <v>979</v>
      </c>
      <c r="AA244" s="1" t="b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x14ac:dyDescent="0.25">
      <c r="A245" s="1">
        <v>380</v>
      </c>
      <c r="B245" s="1" t="s">
        <v>981</v>
      </c>
      <c r="C245" s="1" t="s">
        <v>440</v>
      </c>
      <c r="D245" s="1" t="s">
        <v>982</v>
      </c>
      <c r="E245" s="1" t="s">
        <v>682</v>
      </c>
      <c r="F245" s="2">
        <v>46183</v>
      </c>
      <c r="G245" s="2">
        <v>46195</v>
      </c>
      <c r="H245" s="4">
        <v>0</v>
      </c>
      <c r="J245" s="1" t="s">
        <v>83</v>
      </c>
      <c r="M245" s="1" t="s">
        <v>183</v>
      </c>
      <c r="N245" s="3">
        <v>46195</v>
      </c>
      <c r="P245" s="1" t="s">
        <v>314</v>
      </c>
      <c r="Q245" s="1" t="s">
        <v>55</v>
      </c>
      <c r="R245" s="1" t="s">
        <v>438</v>
      </c>
      <c r="S245" s="3">
        <v>46171</v>
      </c>
      <c r="T245" s="3">
        <v>46183</v>
      </c>
      <c r="U245" s="1" t="s">
        <v>889</v>
      </c>
      <c r="W245" s="1" t="s">
        <v>983</v>
      </c>
      <c r="X245" s="1" t="s">
        <v>440</v>
      </c>
      <c r="Y245" s="1" t="s">
        <v>984</v>
      </c>
      <c r="Z245" s="1" t="s">
        <v>983</v>
      </c>
      <c r="AA245" s="1" t="b">
        <v>1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385</v>
      </c>
      <c r="B246" s="1" t="s">
        <v>985</v>
      </c>
      <c r="C246" s="1" t="s">
        <v>440</v>
      </c>
      <c r="D246" s="1" t="s">
        <v>986</v>
      </c>
      <c r="E246" s="1" t="s">
        <v>682</v>
      </c>
      <c r="F246" s="2">
        <v>46183</v>
      </c>
      <c r="G246" s="2">
        <v>46195</v>
      </c>
      <c r="H246" s="4">
        <v>0</v>
      </c>
      <c r="J246" s="1" t="s">
        <v>83</v>
      </c>
      <c r="M246" s="1" t="s">
        <v>183</v>
      </c>
      <c r="N246" s="3">
        <v>46195</v>
      </c>
      <c r="P246" s="1" t="s">
        <v>314</v>
      </c>
      <c r="Q246" s="1" t="s">
        <v>55</v>
      </c>
      <c r="R246" s="1" t="s">
        <v>438</v>
      </c>
      <c r="S246" s="3">
        <v>46171</v>
      </c>
      <c r="T246" s="3">
        <v>46183</v>
      </c>
      <c r="U246" s="1" t="s">
        <v>889</v>
      </c>
      <c r="W246" s="1" t="s">
        <v>987</v>
      </c>
      <c r="X246" s="1" t="s">
        <v>440</v>
      </c>
      <c r="Y246" s="1" t="s">
        <v>988</v>
      </c>
      <c r="Z246" s="1" t="s">
        <v>987</v>
      </c>
      <c r="AA246" s="1" t="b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406</v>
      </c>
      <c r="B247" s="1" t="s">
        <v>589</v>
      </c>
      <c r="C247" s="1" t="s">
        <v>571</v>
      </c>
      <c r="D247" s="1" t="s">
        <v>989</v>
      </c>
      <c r="E247" s="1" t="s">
        <v>223</v>
      </c>
      <c r="F247" s="2">
        <v>46195</v>
      </c>
      <c r="G247" s="2">
        <v>46202</v>
      </c>
      <c r="H247" s="4">
        <v>0</v>
      </c>
      <c r="J247" s="1" t="s">
        <v>83</v>
      </c>
      <c r="M247" s="1" t="s">
        <v>284</v>
      </c>
      <c r="N247" s="3">
        <v>46202</v>
      </c>
      <c r="P247" s="1" t="s">
        <v>314</v>
      </c>
      <c r="Q247" s="1" t="s">
        <v>44</v>
      </c>
      <c r="R247" s="1" t="s">
        <v>569</v>
      </c>
      <c r="S247" s="3">
        <v>46184</v>
      </c>
      <c r="T247" s="3">
        <v>46192</v>
      </c>
      <c r="U247" s="1" t="s">
        <v>889</v>
      </c>
      <c r="W247" s="1" t="s">
        <v>990</v>
      </c>
      <c r="X247" s="1" t="s">
        <v>571</v>
      </c>
      <c r="Y247" s="1" t="s">
        <v>991</v>
      </c>
      <c r="Z247" s="1" t="s">
        <v>990</v>
      </c>
      <c r="AA247" s="1" t="b">
        <v>1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</row>
    <row r="248" spans="1:39" x14ac:dyDescent="0.25">
      <c r="A248" s="1">
        <v>411</v>
      </c>
      <c r="B248" s="1" t="s">
        <v>992</v>
      </c>
      <c r="C248" s="1" t="s">
        <v>571</v>
      </c>
      <c r="D248" s="1" t="s">
        <v>993</v>
      </c>
      <c r="E248" s="1" t="s">
        <v>297</v>
      </c>
      <c r="F248" s="2">
        <v>46195</v>
      </c>
      <c r="G248" s="2">
        <v>46203</v>
      </c>
      <c r="H248" s="4">
        <v>0</v>
      </c>
      <c r="J248" s="1" t="s">
        <v>83</v>
      </c>
      <c r="M248" s="1" t="s">
        <v>284</v>
      </c>
      <c r="N248" s="3">
        <v>46203</v>
      </c>
      <c r="P248" s="1" t="s">
        <v>314</v>
      </c>
      <c r="Q248" s="1" t="s">
        <v>55</v>
      </c>
      <c r="R248" s="1" t="s">
        <v>569</v>
      </c>
      <c r="S248" s="3">
        <v>46192</v>
      </c>
      <c r="T248" s="3">
        <v>46202</v>
      </c>
      <c r="U248" s="1" t="s">
        <v>889</v>
      </c>
      <c r="W248" s="1" t="s">
        <v>994</v>
      </c>
      <c r="X248" s="1" t="s">
        <v>571</v>
      </c>
      <c r="Y248" s="1" t="s">
        <v>995</v>
      </c>
      <c r="Z248" s="1" t="s">
        <v>994</v>
      </c>
      <c r="AA248" s="1" t="b">
        <v>1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451</v>
      </c>
      <c r="B249" s="1" t="s">
        <v>646</v>
      </c>
      <c r="C249" s="1" t="s">
        <v>571</v>
      </c>
      <c r="D249" s="1" t="s">
        <v>996</v>
      </c>
      <c r="E249" s="1" t="s">
        <v>938</v>
      </c>
      <c r="F249" s="2">
        <v>46183</v>
      </c>
      <c r="G249" s="2">
        <v>46202</v>
      </c>
      <c r="H249" s="4">
        <v>0</v>
      </c>
      <c r="J249" s="1" t="s">
        <v>83</v>
      </c>
      <c r="M249" s="1" t="s">
        <v>183</v>
      </c>
      <c r="N249" s="3">
        <v>46202</v>
      </c>
      <c r="P249" s="1" t="s">
        <v>314</v>
      </c>
      <c r="Q249" s="1" t="s">
        <v>55</v>
      </c>
      <c r="R249" s="1" t="s">
        <v>569</v>
      </c>
      <c r="S249" s="3">
        <v>46167</v>
      </c>
      <c r="T249" s="3">
        <v>46184</v>
      </c>
      <c r="U249" s="1" t="s">
        <v>889</v>
      </c>
      <c r="W249" s="1" t="s">
        <v>997</v>
      </c>
      <c r="X249" s="1" t="s">
        <v>571</v>
      </c>
      <c r="Y249" s="1" t="s">
        <v>998</v>
      </c>
      <c r="Z249" s="1" t="s">
        <v>997</v>
      </c>
      <c r="AA249" s="1" t="b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</row>
    <row r="250" spans="1:39" x14ac:dyDescent="0.25">
      <c r="A250" s="1">
        <v>461</v>
      </c>
      <c r="B250" s="1" t="s">
        <v>653</v>
      </c>
      <c r="C250" s="1" t="s">
        <v>571</v>
      </c>
      <c r="D250" s="1" t="s">
        <v>999</v>
      </c>
      <c r="E250" s="1" t="s">
        <v>297</v>
      </c>
      <c r="F250" s="2">
        <v>46199</v>
      </c>
      <c r="G250" s="2">
        <v>46209</v>
      </c>
      <c r="H250" s="4">
        <v>0</v>
      </c>
      <c r="J250" s="1" t="s">
        <v>83</v>
      </c>
      <c r="M250" s="1" t="s">
        <v>193</v>
      </c>
      <c r="N250" s="3">
        <v>46209</v>
      </c>
      <c r="P250" s="1" t="s">
        <v>314</v>
      </c>
      <c r="Q250" s="1" t="s">
        <v>55</v>
      </c>
      <c r="R250" s="1" t="s">
        <v>569</v>
      </c>
      <c r="S250" s="3">
        <v>46192</v>
      </c>
      <c r="T250" s="3">
        <v>46202</v>
      </c>
      <c r="U250" s="1" t="s">
        <v>889</v>
      </c>
      <c r="W250" s="1" t="s">
        <v>1000</v>
      </c>
      <c r="X250" s="1" t="s">
        <v>571</v>
      </c>
      <c r="Y250" s="1" t="s">
        <v>1001</v>
      </c>
      <c r="Z250" s="1" t="s">
        <v>1000</v>
      </c>
      <c r="AA250" s="1" t="b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</row>
    <row r="251" spans="1:39" x14ac:dyDescent="0.25">
      <c r="A251" s="1">
        <v>466</v>
      </c>
      <c r="B251" s="1" t="s">
        <v>1002</v>
      </c>
      <c r="C251" s="1" t="s">
        <v>571</v>
      </c>
      <c r="D251" s="1" t="s">
        <v>1003</v>
      </c>
      <c r="E251" s="1" t="s">
        <v>223</v>
      </c>
      <c r="F251" s="2">
        <v>46199</v>
      </c>
      <c r="G251" s="2">
        <v>46206</v>
      </c>
      <c r="H251" s="4">
        <v>0</v>
      </c>
      <c r="J251" s="1" t="s">
        <v>83</v>
      </c>
      <c r="M251" s="1" t="s">
        <v>193</v>
      </c>
      <c r="N251" s="3">
        <v>46206</v>
      </c>
      <c r="P251" s="1" t="s">
        <v>314</v>
      </c>
      <c r="Q251" s="1" t="s">
        <v>44</v>
      </c>
      <c r="R251" s="1" t="s">
        <v>569</v>
      </c>
      <c r="S251" s="3">
        <v>46192</v>
      </c>
      <c r="T251" s="3">
        <v>46202</v>
      </c>
      <c r="U251" s="1" t="s">
        <v>889</v>
      </c>
      <c r="W251" s="1" t="s">
        <v>1004</v>
      </c>
      <c r="X251" s="1" t="s">
        <v>571</v>
      </c>
      <c r="Y251" s="1" t="s">
        <v>1005</v>
      </c>
      <c r="Z251" s="1" t="s">
        <v>1004</v>
      </c>
      <c r="AA251" s="1" t="b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4"/>
  <sheetViews>
    <sheetView workbookViewId="0">
      <selection activeCell="E291" sqref="E291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0.710937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4">
        <v>0.66</v>
      </c>
      <c r="I2" s="1" t="s">
        <v>45</v>
      </c>
      <c r="J2" s="1" t="s">
        <v>44</v>
      </c>
    </row>
    <row r="3" spans="1:10" hidden="1" x14ac:dyDescent="0.25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4">
        <v>0.66</v>
      </c>
      <c r="I3" s="1" t="s">
        <v>45</v>
      </c>
      <c r="J3" s="1" t="s">
        <v>44</v>
      </c>
    </row>
    <row r="4" spans="1:10" hidden="1" x14ac:dyDescent="0.25">
      <c r="A4" s="1" t="s">
        <v>60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41</v>
      </c>
      <c r="G4" s="4">
        <v>0.78</v>
      </c>
      <c r="I4" s="1" t="s">
        <v>61</v>
      </c>
      <c r="J4" s="1" t="s">
        <v>44</v>
      </c>
    </row>
    <row r="5" spans="1:10" hidden="1" x14ac:dyDescent="0.25">
      <c r="A5" s="1" t="s">
        <v>67</v>
      </c>
      <c r="B5" s="1">
        <v>5</v>
      </c>
      <c r="C5" s="1" t="s">
        <v>62</v>
      </c>
      <c r="D5" s="1" t="s">
        <v>63</v>
      </c>
      <c r="E5" s="1" t="s">
        <v>64</v>
      </c>
      <c r="F5" s="1" t="s">
        <v>41</v>
      </c>
      <c r="G5" s="4">
        <v>0.7</v>
      </c>
      <c r="I5" s="1" t="s">
        <v>61</v>
      </c>
      <c r="J5" s="1" t="s">
        <v>55</v>
      </c>
    </row>
    <row r="6" spans="1:10" hidden="1" x14ac:dyDescent="0.25">
      <c r="A6" s="1" t="s">
        <v>136</v>
      </c>
      <c r="B6" s="1">
        <v>66</v>
      </c>
      <c r="C6" s="1" t="s">
        <v>154</v>
      </c>
      <c r="D6" s="1" t="s">
        <v>50</v>
      </c>
      <c r="E6" s="1" t="s">
        <v>155</v>
      </c>
      <c r="F6" s="1" t="s">
        <v>41</v>
      </c>
      <c r="G6" s="4">
        <v>0.62</v>
      </c>
      <c r="I6" s="1" t="s">
        <v>158</v>
      </c>
      <c r="J6" s="1" t="s">
        <v>55</v>
      </c>
    </row>
    <row r="7" spans="1:10" hidden="1" x14ac:dyDescent="0.25">
      <c r="A7" s="1" t="s">
        <v>76</v>
      </c>
      <c r="B7" s="1">
        <v>82</v>
      </c>
      <c r="C7" s="1" t="s">
        <v>173</v>
      </c>
      <c r="D7" s="1" t="s">
        <v>160</v>
      </c>
      <c r="E7" s="1" t="s">
        <v>174</v>
      </c>
      <c r="F7" s="1" t="s">
        <v>41</v>
      </c>
      <c r="G7" s="4">
        <v>0.5</v>
      </c>
      <c r="I7" s="1" t="s">
        <v>158</v>
      </c>
      <c r="J7" s="1" t="s">
        <v>55</v>
      </c>
    </row>
    <row r="8" spans="1:10" hidden="1" x14ac:dyDescent="0.25">
      <c r="A8" s="1" t="s">
        <v>180</v>
      </c>
      <c r="B8" s="1">
        <v>84</v>
      </c>
      <c r="C8" s="1" t="s">
        <v>179</v>
      </c>
      <c r="D8" s="1" t="s">
        <v>177</v>
      </c>
      <c r="E8" s="1" t="s">
        <v>105</v>
      </c>
      <c r="F8" s="1" t="s">
        <v>41</v>
      </c>
      <c r="G8" s="4">
        <v>0</v>
      </c>
      <c r="I8" s="1" t="s">
        <v>158</v>
      </c>
      <c r="J8" s="1" t="s">
        <v>55</v>
      </c>
    </row>
    <row r="9" spans="1:10" hidden="1" x14ac:dyDescent="0.25">
      <c r="A9" s="1" t="s">
        <v>180</v>
      </c>
      <c r="B9" s="1">
        <v>85</v>
      </c>
      <c r="C9" s="1" t="s">
        <v>181</v>
      </c>
      <c r="D9" s="1" t="s">
        <v>177</v>
      </c>
      <c r="E9" s="1" t="s">
        <v>109</v>
      </c>
      <c r="F9" s="1" t="s">
        <v>41</v>
      </c>
      <c r="G9" s="4">
        <v>0</v>
      </c>
      <c r="I9" s="1" t="s">
        <v>158</v>
      </c>
      <c r="J9" s="1" t="s">
        <v>55</v>
      </c>
    </row>
    <row r="10" spans="1:10" hidden="1" x14ac:dyDescent="0.25">
      <c r="A10" s="1" t="s">
        <v>67</v>
      </c>
      <c r="B10" s="1">
        <v>86</v>
      </c>
      <c r="C10" s="1" t="s">
        <v>182</v>
      </c>
      <c r="D10" s="1" t="s">
        <v>177</v>
      </c>
      <c r="E10" s="1" t="s">
        <v>115</v>
      </c>
      <c r="F10" s="1" t="s">
        <v>41</v>
      </c>
      <c r="G10" s="4">
        <v>0</v>
      </c>
      <c r="I10" s="1" t="s">
        <v>158</v>
      </c>
      <c r="J10" s="1" t="s">
        <v>55</v>
      </c>
    </row>
    <row r="11" spans="1:10" hidden="1" x14ac:dyDescent="0.25">
      <c r="A11" s="1" t="s">
        <v>67</v>
      </c>
      <c r="B11" s="1">
        <v>87</v>
      </c>
      <c r="C11" s="1" t="s">
        <v>184</v>
      </c>
      <c r="D11" s="1" t="s">
        <v>160</v>
      </c>
      <c r="E11" s="1" t="s">
        <v>185</v>
      </c>
      <c r="F11" s="1" t="s">
        <v>41</v>
      </c>
      <c r="G11" s="4">
        <v>0.4</v>
      </c>
      <c r="I11" s="1" t="s">
        <v>158</v>
      </c>
      <c r="J11" s="1" t="s">
        <v>55</v>
      </c>
    </row>
    <row r="12" spans="1:10" hidden="1" x14ac:dyDescent="0.25">
      <c r="A12" s="1" t="s">
        <v>67</v>
      </c>
      <c r="B12" s="1">
        <v>89</v>
      </c>
      <c r="C12" s="1" t="s">
        <v>190</v>
      </c>
      <c r="D12" s="1" t="s">
        <v>189</v>
      </c>
      <c r="E12" s="1" t="s">
        <v>105</v>
      </c>
      <c r="F12" s="1" t="s">
        <v>41</v>
      </c>
      <c r="G12" s="4">
        <v>0</v>
      </c>
      <c r="I12" s="1" t="s">
        <v>158</v>
      </c>
      <c r="J12" s="1" t="s">
        <v>55</v>
      </c>
    </row>
    <row r="13" spans="1:10" hidden="1" x14ac:dyDescent="0.25">
      <c r="A13" s="1" t="s">
        <v>67</v>
      </c>
      <c r="B13" s="1">
        <v>92</v>
      </c>
      <c r="C13" s="1" t="s">
        <v>197</v>
      </c>
      <c r="D13" s="1" t="s">
        <v>160</v>
      </c>
      <c r="E13" s="1" t="s">
        <v>198</v>
      </c>
      <c r="F13" s="1" t="s">
        <v>41</v>
      </c>
      <c r="G13" s="4">
        <v>0.4</v>
      </c>
      <c r="I13" s="1" t="s">
        <v>158</v>
      </c>
      <c r="J13" s="1" t="s">
        <v>55</v>
      </c>
    </row>
    <row r="14" spans="1:10" hidden="1" x14ac:dyDescent="0.25">
      <c r="A14" s="1" t="s">
        <v>67</v>
      </c>
      <c r="B14" s="1">
        <v>94</v>
      </c>
      <c r="C14" s="1" t="s">
        <v>201</v>
      </c>
      <c r="D14" s="1" t="s">
        <v>200</v>
      </c>
      <c r="E14" s="1" t="s">
        <v>105</v>
      </c>
      <c r="F14" s="1" t="s">
        <v>41</v>
      </c>
      <c r="G14" s="4">
        <v>0</v>
      </c>
      <c r="I14" s="1" t="s">
        <v>158</v>
      </c>
      <c r="J14" s="1" t="s">
        <v>55</v>
      </c>
    </row>
    <row r="15" spans="1:10" hidden="1" x14ac:dyDescent="0.25">
      <c r="A15" s="1" t="s">
        <v>67</v>
      </c>
      <c r="B15" s="1">
        <v>97</v>
      </c>
      <c r="C15" s="1" t="s">
        <v>204</v>
      </c>
      <c r="D15" s="1" t="s">
        <v>160</v>
      </c>
      <c r="E15" s="1" t="s">
        <v>205</v>
      </c>
      <c r="F15" s="1" t="s">
        <v>41</v>
      </c>
      <c r="G15" s="4">
        <v>0.4</v>
      </c>
      <c r="I15" s="1" t="s">
        <v>158</v>
      </c>
      <c r="J15" s="1" t="s">
        <v>55</v>
      </c>
    </row>
    <row r="16" spans="1:10" hidden="1" x14ac:dyDescent="0.25">
      <c r="A16" s="1" t="s">
        <v>67</v>
      </c>
      <c r="B16" s="1">
        <v>99</v>
      </c>
      <c r="C16" s="1" t="s">
        <v>208</v>
      </c>
      <c r="D16" s="1" t="s">
        <v>207</v>
      </c>
      <c r="E16" s="1" t="s">
        <v>105</v>
      </c>
      <c r="F16" s="1" t="s">
        <v>41</v>
      </c>
      <c r="G16" s="4">
        <v>0</v>
      </c>
      <c r="I16" s="1" t="s">
        <v>158</v>
      </c>
      <c r="J16" s="1" t="s">
        <v>55</v>
      </c>
    </row>
    <row r="17" spans="1:10" hidden="1" x14ac:dyDescent="0.25">
      <c r="A17" s="1" t="s">
        <v>67</v>
      </c>
      <c r="B17" s="1">
        <v>102</v>
      </c>
      <c r="C17" s="1" t="s">
        <v>211</v>
      </c>
      <c r="D17" s="1" t="s">
        <v>160</v>
      </c>
      <c r="E17" s="1" t="s">
        <v>212</v>
      </c>
      <c r="F17" s="1" t="s">
        <v>41</v>
      </c>
      <c r="G17" s="4">
        <v>0.4</v>
      </c>
      <c r="I17" s="1" t="s">
        <v>158</v>
      </c>
      <c r="J17" s="1" t="s">
        <v>55</v>
      </c>
    </row>
    <row r="18" spans="1:10" hidden="1" x14ac:dyDescent="0.25">
      <c r="A18" s="1" t="s">
        <v>67</v>
      </c>
      <c r="B18" s="1">
        <v>104</v>
      </c>
      <c r="C18" s="1" t="s">
        <v>215</v>
      </c>
      <c r="D18" s="1" t="s">
        <v>214</v>
      </c>
      <c r="E18" s="1" t="s">
        <v>105</v>
      </c>
      <c r="F18" s="1" t="s">
        <v>41</v>
      </c>
      <c r="G18" s="4">
        <v>0</v>
      </c>
      <c r="I18" s="1" t="s">
        <v>158</v>
      </c>
      <c r="J18" s="1" t="s">
        <v>55</v>
      </c>
    </row>
    <row r="19" spans="1:10" hidden="1" x14ac:dyDescent="0.25">
      <c r="A19" s="1" t="s">
        <v>76</v>
      </c>
      <c r="B19" s="1">
        <v>117</v>
      </c>
      <c r="C19" s="1" t="s">
        <v>229</v>
      </c>
      <c r="D19" s="1" t="s">
        <v>160</v>
      </c>
      <c r="E19" s="1" t="s">
        <v>230</v>
      </c>
      <c r="F19" s="1" t="s">
        <v>232</v>
      </c>
      <c r="G19" s="4">
        <v>0.67</v>
      </c>
      <c r="I19" s="1" t="s">
        <v>158</v>
      </c>
      <c r="J19" s="1" t="s">
        <v>55</v>
      </c>
    </row>
    <row r="20" spans="1:10" hidden="1" x14ac:dyDescent="0.25">
      <c r="A20" s="1" t="s">
        <v>73</v>
      </c>
      <c r="B20" s="1">
        <v>120</v>
      </c>
      <c r="C20" s="1" t="s">
        <v>238</v>
      </c>
      <c r="D20" s="1" t="s">
        <v>234</v>
      </c>
      <c r="E20" s="1" t="s">
        <v>109</v>
      </c>
      <c r="F20" s="1" t="s">
        <v>232</v>
      </c>
      <c r="G20" s="4">
        <v>0.5</v>
      </c>
      <c r="I20" s="1" t="s">
        <v>158</v>
      </c>
      <c r="J20" s="1" t="s">
        <v>55</v>
      </c>
    </row>
    <row r="21" spans="1:10" hidden="1" x14ac:dyDescent="0.25">
      <c r="A21" s="1" t="s">
        <v>180</v>
      </c>
      <c r="B21" s="1">
        <v>121</v>
      </c>
      <c r="C21" s="1" t="s">
        <v>239</v>
      </c>
      <c r="D21" s="1" t="s">
        <v>234</v>
      </c>
      <c r="E21" s="1" t="s">
        <v>115</v>
      </c>
      <c r="F21" s="1" t="s">
        <v>83</v>
      </c>
      <c r="G21" s="4">
        <v>0</v>
      </c>
      <c r="I21" s="1" t="s">
        <v>158</v>
      </c>
      <c r="J21" s="1" t="s">
        <v>55</v>
      </c>
    </row>
    <row r="22" spans="1:10" hidden="1" x14ac:dyDescent="0.25">
      <c r="A22" s="1" t="s">
        <v>76</v>
      </c>
      <c r="B22" s="1">
        <v>122</v>
      </c>
      <c r="C22" s="1" t="s">
        <v>240</v>
      </c>
      <c r="D22" s="1" t="s">
        <v>160</v>
      </c>
      <c r="E22" s="1" t="s">
        <v>241</v>
      </c>
      <c r="F22" s="1" t="s">
        <v>232</v>
      </c>
      <c r="G22" s="4">
        <v>0.67</v>
      </c>
      <c r="I22" s="1" t="s">
        <v>158</v>
      </c>
      <c r="J22" s="1" t="s">
        <v>55</v>
      </c>
    </row>
    <row r="23" spans="1:10" hidden="1" x14ac:dyDescent="0.25">
      <c r="A23" s="1" t="s">
        <v>73</v>
      </c>
      <c r="B23" s="1">
        <v>125</v>
      </c>
      <c r="C23" s="1" t="s">
        <v>249</v>
      </c>
      <c r="D23" s="1" t="s">
        <v>243</v>
      </c>
      <c r="E23" s="1" t="s">
        <v>109</v>
      </c>
      <c r="F23" s="1" t="s">
        <v>232</v>
      </c>
      <c r="G23" s="4">
        <v>0.5</v>
      </c>
      <c r="I23" s="1" t="s">
        <v>158</v>
      </c>
      <c r="J23" s="1" t="s">
        <v>55</v>
      </c>
    </row>
    <row r="24" spans="1:10" hidden="1" x14ac:dyDescent="0.25">
      <c r="A24" s="1" t="s">
        <v>180</v>
      </c>
      <c r="B24" s="1">
        <v>126</v>
      </c>
      <c r="C24" s="1" t="s">
        <v>250</v>
      </c>
      <c r="D24" s="1" t="s">
        <v>243</v>
      </c>
      <c r="E24" s="1" t="s">
        <v>115</v>
      </c>
      <c r="F24" s="1" t="s">
        <v>83</v>
      </c>
      <c r="G24" s="4">
        <v>0</v>
      </c>
      <c r="I24" s="1" t="s">
        <v>158</v>
      </c>
      <c r="J24" s="1" t="s">
        <v>55</v>
      </c>
    </row>
    <row r="25" spans="1:10" hidden="1" x14ac:dyDescent="0.25">
      <c r="A25" s="1" t="s">
        <v>73</v>
      </c>
      <c r="B25" s="1">
        <v>132</v>
      </c>
      <c r="C25" s="1" t="s">
        <v>264</v>
      </c>
      <c r="D25" s="1" t="s">
        <v>160</v>
      </c>
      <c r="E25" s="1" t="s">
        <v>265</v>
      </c>
      <c r="F25" s="1" t="s">
        <v>41</v>
      </c>
      <c r="G25" s="4">
        <v>0.5</v>
      </c>
      <c r="I25" s="1" t="s">
        <v>158</v>
      </c>
      <c r="J25" s="1" t="s">
        <v>55</v>
      </c>
    </row>
    <row r="26" spans="1:10" hidden="1" x14ac:dyDescent="0.25">
      <c r="A26" s="1" t="s">
        <v>180</v>
      </c>
      <c r="B26" s="1">
        <v>134</v>
      </c>
      <c r="C26" s="1" t="s">
        <v>269</v>
      </c>
      <c r="D26" s="1" t="s">
        <v>267</v>
      </c>
      <c r="E26" s="1" t="s">
        <v>105</v>
      </c>
      <c r="F26" s="1" t="s">
        <v>41</v>
      </c>
      <c r="G26" s="4">
        <v>0.5</v>
      </c>
      <c r="I26" s="1" t="s">
        <v>158</v>
      </c>
      <c r="J26" s="1" t="s">
        <v>55</v>
      </c>
    </row>
    <row r="27" spans="1:10" hidden="1" x14ac:dyDescent="0.25">
      <c r="A27" s="1" t="s">
        <v>180</v>
      </c>
      <c r="B27" s="1">
        <v>135</v>
      </c>
      <c r="C27" s="1" t="s">
        <v>270</v>
      </c>
      <c r="D27" s="1" t="s">
        <v>267</v>
      </c>
      <c r="E27" s="1" t="s">
        <v>109</v>
      </c>
      <c r="F27" s="1" t="s">
        <v>41</v>
      </c>
      <c r="G27" s="4">
        <v>0</v>
      </c>
      <c r="I27" s="1" t="s">
        <v>158</v>
      </c>
      <c r="J27" s="1" t="s">
        <v>55</v>
      </c>
    </row>
    <row r="28" spans="1:10" hidden="1" x14ac:dyDescent="0.25">
      <c r="A28" s="1" t="s">
        <v>180</v>
      </c>
      <c r="B28" s="1">
        <v>136</v>
      </c>
      <c r="C28" s="1" t="s">
        <v>271</v>
      </c>
      <c r="D28" s="1" t="s">
        <v>267</v>
      </c>
      <c r="E28" s="1" t="s">
        <v>115</v>
      </c>
      <c r="F28" s="1" t="s">
        <v>41</v>
      </c>
      <c r="G28" s="4">
        <v>0</v>
      </c>
      <c r="I28" s="1" t="s">
        <v>158</v>
      </c>
      <c r="J28" s="1" t="s">
        <v>55</v>
      </c>
    </row>
    <row r="29" spans="1:10" hidden="1" x14ac:dyDescent="0.25">
      <c r="A29" s="1" t="s">
        <v>73</v>
      </c>
      <c r="B29" s="1">
        <v>137</v>
      </c>
      <c r="C29" s="1" t="s">
        <v>272</v>
      </c>
      <c r="D29" s="1" t="s">
        <v>160</v>
      </c>
      <c r="E29" s="1" t="s">
        <v>273</v>
      </c>
      <c r="F29" s="1" t="s">
        <v>41</v>
      </c>
      <c r="G29" s="4">
        <v>0.5</v>
      </c>
      <c r="I29" s="1" t="s">
        <v>158</v>
      </c>
      <c r="J29" s="1" t="s">
        <v>55</v>
      </c>
    </row>
    <row r="30" spans="1:10" hidden="1" x14ac:dyDescent="0.25">
      <c r="A30" s="1" t="s">
        <v>180</v>
      </c>
      <c r="B30" s="1">
        <v>139</v>
      </c>
      <c r="C30" s="1" t="s">
        <v>276</v>
      </c>
      <c r="D30" s="1" t="s">
        <v>275</v>
      </c>
      <c r="E30" s="1" t="s">
        <v>105</v>
      </c>
      <c r="F30" s="1" t="s">
        <v>41</v>
      </c>
      <c r="G30" s="4">
        <v>0.5</v>
      </c>
      <c r="I30" s="1" t="s">
        <v>158</v>
      </c>
      <c r="J30" s="1" t="s">
        <v>55</v>
      </c>
    </row>
    <row r="31" spans="1:10" hidden="1" x14ac:dyDescent="0.25">
      <c r="A31" s="1" t="s">
        <v>180</v>
      </c>
      <c r="B31" s="1">
        <v>140</v>
      </c>
      <c r="C31" s="1" t="s">
        <v>277</v>
      </c>
      <c r="D31" s="1" t="s">
        <v>275</v>
      </c>
      <c r="E31" s="1" t="s">
        <v>109</v>
      </c>
      <c r="F31" s="1" t="s">
        <v>41</v>
      </c>
      <c r="G31" s="4">
        <v>0</v>
      </c>
      <c r="I31" s="1" t="s">
        <v>158</v>
      </c>
      <c r="J31" s="1" t="s">
        <v>55</v>
      </c>
    </row>
    <row r="32" spans="1:10" hidden="1" x14ac:dyDescent="0.25">
      <c r="A32" s="1" t="s">
        <v>180</v>
      </c>
      <c r="B32" s="1">
        <v>141</v>
      </c>
      <c r="C32" s="1" t="s">
        <v>278</v>
      </c>
      <c r="D32" s="1" t="s">
        <v>275</v>
      </c>
      <c r="E32" s="1" t="s">
        <v>115</v>
      </c>
      <c r="F32" s="1" t="s">
        <v>41</v>
      </c>
      <c r="G32" s="4">
        <v>0</v>
      </c>
      <c r="I32" s="1" t="s">
        <v>158</v>
      </c>
      <c r="J32" s="1" t="s">
        <v>55</v>
      </c>
    </row>
    <row r="33" spans="1:10" hidden="1" x14ac:dyDescent="0.25">
      <c r="A33" s="1" t="s">
        <v>73</v>
      </c>
      <c r="B33" s="1">
        <v>142</v>
      </c>
      <c r="C33" s="1" t="s">
        <v>279</v>
      </c>
      <c r="D33" s="1" t="s">
        <v>160</v>
      </c>
      <c r="E33" s="1" t="s">
        <v>280</v>
      </c>
      <c r="F33" s="1" t="s">
        <v>41</v>
      </c>
      <c r="G33" s="4">
        <v>0.5</v>
      </c>
      <c r="I33" s="1" t="s">
        <v>158</v>
      </c>
      <c r="J33" s="1" t="s">
        <v>55</v>
      </c>
    </row>
    <row r="34" spans="1:10" hidden="1" x14ac:dyDescent="0.25">
      <c r="A34" s="1" t="s">
        <v>180</v>
      </c>
      <c r="B34" s="1">
        <v>144</v>
      </c>
      <c r="C34" s="1" t="s">
        <v>283</v>
      </c>
      <c r="D34" s="1" t="s">
        <v>282</v>
      </c>
      <c r="E34" s="1" t="s">
        <v>105</v>
      </c>
      <c r="F34" s="1" t="s">
        <v>41</v>
      </c>
      <c r="G34" s="4">
        <v>0.5</v>
      </c>
      <c r="I34" s="1" t="s">
        <v>158</v>
      </c>
      <c r="J34" s="1" t="s">
        <v>55</v>
      </c>
    </row>
    <row r="35" spans="1:10" hidden="1" x14ac:dyDescent="0.25">
      <c r="A35" s="1" t="s">
        <v>180</v>
      </c>
      <c r="B35" s="1">
        <v>145</v>
      </c>
      <c r="C35" s="1" t="s">
        <v>285</v>
      </c>
      <c r="D35" s="1" t="s">
        <v>282</v>
      </c>
      <c r="E35" s="1" t="s">
        <v>109</v>
      </c>
      <c r="F35" s="1" t="s">
        <v>41</v>
      </c>
      <c r="G35" s="4">
        <v>0</v>
      </c>
      <c r="I35" s="1" t="s">
        <v>158</v>
      </c>
      <c r="J35" s="1" t="s">
        <v>55</v>
      </c>
    </row>
    <row r="36" spans="1:10" hidden="1" x14ac:dyDescent="0.25">
      <c r="A36" s="1" t="s">
        <v>180</v>
      </c>
      <c r="B36" s="1">
        <v>146</v>
      </c>
      <c r="C36" s="1" t="s">
        <v>286</v>
      </c>
      <c r="D36" s="1" t="s">
        <v>282</v>
      </c>
      <c r="E36" s="1" t="s">
        <v>115</v>
      </c>
      <c r="F36" s="1" t="s">
        <v>41</v>
      </c>
      <c r="G36" s="4">
        <v>0</v>
      </c>
      <c r="I36" s="1" t="s">
        <v>158</v>
      </c>
      <c r="J36" s="1" t="s">
        <v>55</v>
      </c>
    </row>
    <row r="37" spans="1:10" hidden="1" x14ac:dyDescent="0.25">
      <c r="A37" s="1" t="s">
        <v>76</v>
      </c>
      <c r="B37" s="1">
        <v>147</v>
      </c>
      <c r="C37" s="1" t="s">
        <v>287</v>
      </c>
      <c r="D37" s="1" t="s">
        <v>50</v>
      </c>
      <c r="E37" s="1" t="s">
        <v>288</v>
      </c>
      <c r="F37" s="1" t="s">
        <v>41</v>
      </c>
      <c r="G37" s="4">
        <v>0.48</v>
      </c>
      <c r="I37" s="1" t="s">
        <v>290</v>
      </c>
      <c r="J37" s="1" t="s">
        <v>55</v>
      </c>
    </row>
    <row r="38" spans="1:10" hidden="1" x14ac:dyDescent="0.25">
      <c r="A38" s="1" t="s">
        <v>73</v>
      </c>
      <c r="B38" s="1">
        <v>158</v>
      </c>
      <c r="C38" s="1" t="s">
        <v>291</v>
      </c>
      <c r="D38" s="1" t="s">
        <v>292</v>
      </c>
      <c r="E38" s="1" t="s">
        <v>293</v>
      </c>
      <c r="F38" s="1" t="s">
        <v>41</v>
      </c>
      <c r="G38" s="4">
        <v>0.64</v>
      </c>
      <c r="I38" s="1" t="s">
        <v>290</v>
      </c>
      <c r="J38" s="1" t="s">
        <v>55</v>
      </c>
    </row>
    <row r="39" spans="1:10" hidden="1" x14ac:dyDescent="0.25">
      <c r="A39" s="1" t="s">
        <v>180</v>
      </c>
      <c r="B39" s="1">
        <v>160</v>
      </c>
      <c r="C39" s="1" t="s">
        <v>298</v>
      </c>
      <c r="D39" s="1" t="s">
        <v>296</v>
      </c>
      <c r="E39" s="1" t="s">
        <v>105</v>
      </c>
      <c r="F39" s="1" t="s">
        <v>41</v>
      </c>
      <c r="G39" s="4">
        <v>0</v>
      </c>
      <c r="I39" s="1" t="s">
        <v>290</v>
      </c>
      <c r="J39" s="1" t="s">
        <v>55</v>
      </c>
    </row>
    <row r="40" spans="1:10" hidden="1" x14ac:dyDescent="0.25">
      <c r="A40" s="1" t="s">
        <v>180</v>
      </c>
      <c r="B40" s="1">
        <v>161</v>
      </c>
      <c r="C40" s="1" t="s">
        <v>300</v>
      </c>
      <c r="D40" s="1" t="s">
        <v>296</v>
      </c>
      <c r="E40" s="1" t="s">
        <v>109</v>
      </c>
      <c r="F40" s="1" t="s">
        <v>41</v>
      </c>
      <c r="G40" s="4">
        <v>0</v>
      </c>
      <c r="I40" s="1" t="s">
        <v>290</v>
      </c>
      <c r="J40" s="1" t="s">
        <v>55</v>
      </c>
    </row>
    <row r="41" spans="1:10" hidden="1" x14ac:dyDescent="0.25">
      <c r="A41" s="1" t="s">
        <v>180</v>
      </c>
      <c r="B41" s="1">
        <v>162</v>
      </c>
      <c r="C41" s="1" t="s">
        <v>301</v>
      </c>
      <c r="D41" s="1" t="s">
        <v>296</v>
      </c>
      <c r="E41" s="1" t="s">
        <v>115</v>
      </c>
      <c r="F41" s="1" t="s">
        <v>41</v>
      </c>
      <c r="G41" s="4">
        <v>0</v>
      </c>
      <c r="I41" s="1" t="s">
        <v>290</v>
      </c>
      <c r="J41" s="1" t="s">
        <v>55</v>
      </c>
    </row>
    <row r="42" spans="1:10" hidden="1" x14ac:dyDescent="0.25">
      <c r="A42" s="1" t="s">
        <v>180</v>
      </c>
      <c r="B42" s="1">
        <v>178</v>
      </c>
      <c r="C42" s="1" t="s">
        <v>302</v>
      </c>
      <c r="D42" s="1" t="s">
        <v>292</v>
      </c>
      <c r="E42" s="1" t="s">
        <v>303</v>
      </c>
      <c r="F42" s="1" t="s">
        <v>41</v>
      </c>
      <c r="G42" s="4">
        <v>0.33</v>
      </c>
      <c r="I42" s="1" t="s">
        <v>290</v>
      </c>
      <c r="J42" s="1" t="s">
        <v>55</v>
      </c>
    </row>
    <row r="43" spans="1:10" hidden="1" x14ac:dyDescent="0.25">
      <c r="A43" s="1" t="s">
        <v>180</v>
      </c>
      <c r="B43" s="1">
        <v>180</v>
      </c>
      <c r="C43" s="1" t="s">
        <v>307</v>
      </c>
      <c r="D43" s="1" t="s">
        <v>306</v>
      </c>
      <c r="E43" s="1" t="s">
        <v>105</v>
      </c>
      <c r="F43" s="1" t="s">
        <v>41</v>
      </c>
      <c r="G43" s="4">
        <v>0</v>
      </c>
      <c r="I43" s="1" t="s">
        <v>290</v>
      </c>
      <c r="J43" s="1" t="s">
        <v>55</v>
      </c>
    </row>
    <row r="44" spans="1:10" hidden="1" x14ac:dyDescent="0.25">
      <c r="A44" s="1" t="s">
        <v>67</v>
      </c>
      <c r="B44" s="1">
        <v>181</v>
      </c>
      <c r="C44" s="1" t="s">
        <v>309</v>
      </c>
      <c r="D44" s="1" t="s">
        <v>306</v>
      </c>
      <c r="E44" s="1" t="s">
        <v>109</v>
      </c>
      <c r="F44" s="1" t="s">
        <v>41</v>
      </c>
      <c r="G44" s="4">
        <v>0</v>
      </c>
      <c r="I44" s="1" t="s">
        <v>290</v>
      </c>
      <c r="J44" s="1" t="s">
        <v>55</v>
      </c>
    </row>
    <row r="45" spans="1:10" hidden="1" x14ac:dyDescent="0.25">
      <c r="A45" s="1" t="s">
        <v>67</v>
      </c>
      <c r="B45" s="1">
        <v>182</v>
      </c>
      <c r="C45" s="1" t="s">
        <v>310</v>
      </c>
      <c r="D45" s="1" t="s">
        <v>306</v>
      </c>
      <c r="E45" s="1" t="s">
        <v>115</v>
      </c>
      <c r="F45" s="1" t="s">
        <v>41</v>
      </c>
      <c r="G45" s="4">
        <v>0</v>
      </c>
      <c r="I45" s="1" t="s">
        <v>290</v>
      </c>
      <c r="J45" s="1" t="s">
        <v>55</v>
      </c>
    </row>
    <row r="46" spans="1:10" hidden="1" x14ac:dyDescent="0.25">
      <c r="A46" s="1" t="s">
        <v>314</v>
      </c>
      <c r="B46" s="1">
        <v>183</v>
      </c>
      <c r="C46" s="1" t="s">
        <v>312</v>
      </c>
      <c r="D46" s="1" t="s">
        <v>292</v>
      </c>
      <c r="E46" s="1" t="s">
        <v>313</v>
      </c>
      <c r="F46" s="1" t="s">
        <v>41</v>
      </c>
      <c r="G46" s="4">
        <v>0.43</v>
      </c>
      <c r="I46" s="1" t="s">
        <v>290</v>
      </c>
      <c r="J46" s="1" t="s">
        <v>55</v>
      </c>
    </row>
    <row r="47" spans="1:10" hidden="1" x14ac:dyDescent="0.25">
      <c r="A47" s="1" t="s">
        <v>314</v>
      </c>
      <c r="B47" s="1">
        <v>185</v>
      </c>
      <c r="C47" s="1" t="s">
        <v>319</v>
      </c>
      <c r="D47" s="1" t="s">
        <v>316</v>
      </c>
      <c r="E47" s="1" t="s">
        <v>105</v>
      </c>
      <c r="F47" s="1" t="s">
        <v>41</v>
      </c>
      <c r="G47" s="4">
        <v>0</v>
      </c>
      <c r="I47" s="1" t="s">
        <v>290</v>
      </c>
      <c r="J47" s="1" t="s">
        <v>55</v>
      </c>
    </row>
    <row r="48" spans="1:10" hidden="1" x14ac:dyDescent="0.25">
      <c r="A48" s="1" t="s">
        <v>314</v>
      </c>
      <c r="B48" s="1">
        <v>186</v>
      </c>
      <c r="C48" s="1" t="s">
        <v>321</v>
      </c>
      <c r="D48" s="1" t="s">
        <v>316</v>
      </c>
      <c r="E48" s="1" t="s">
        <v>109</v>
      </c>
      <c r="F48" s="1" t="s">
        <v>41</v>
      </c>
      <c r="G48" s="4">
        <v>0</v>
      </c>
      <c r="I48" s="1" t="s">
        <v>290</v>
      </c>
      <c r="J48" s="1" t="s">
        <v>55</v>
      </c>
    </row>
    <row r="49" spans="1:10" hidden="1" x14ac:dyDescent="0.25">
      <c r="A49" s="1" t="s">
        <v>314</v>
      </c>
      <c r="B49" s="1">
        <v>187</v>
      </c>
      <c r="C49" s="1" t="s">
        <v>322</v>
      </c>
      <c r="D49" s="1" t="s">
        <v>316</v>
      </c>
      <c r="E49" s="1" t="s">
        <v>115</v>
      </c>
      <c r="F49" s="1" t="s">
        <v>232</v>
      </c>
      <c r="G49" s="4">
        <v>0</v>
      </c>
      <c r="I49" s="1" t="s">
        <v>290</v>
      </c>
      <c r="J49" s="1" t="s">
        <v>55</v>
      </c>
    </row>
    <row r="50" spans="1:10" hidden="1" x14ac:dyDescent="0.25">
      <c r="A50" s="1" t="s">
        <v>76</v>
      </c>
      <c r="B50" s="1">
        <v>188</v>
      </c>
      <c r="C50" s="1" t="s">
        <v>323</v>
      </c>
      <c r="D50" s="1" t="s">
        <v>292</v>
      </c>
      <c r="E50" s="1" t="s">
        <v>324</v>
      </c>
      <c r="F50" s="1" t="s">
        <v>41</v>
      </c>
      <c r="G50" s="4">
        <v>0.38</v>
      </c>
      <c r="I50" s="1" t="s">
        <v>290</v>
      </c>
      <c r="J50" s="1" t="s">
        <v>55</v>
      </c>
    </row>
    <row r="51" spans="1:10" hidden="1" x14ac:dyDescent="0.25">
      <c r="A51" s="1" t="s">
        <v>76</v>
      </c>
      <c r="B51" s="1">
        <v>190</v>
      </c>
      <c r="C51" s="1" t="s">
        <v>328</v>
      </c>
      <c r="D51" s="1" t="s">
        <v>326</v>
      </c>
      <c r="E51" s="1" t="s">
        <v>105</v>
      </c>
      <c r="F51" s="1" t="s">
        <v>41</v>
      </c>
      <c r="G51" s="4">
        <v>0</v>
      </c>
      <c r="I51" s="1" t="s">
        <v>290</v>
      </c>
      <c r="J51" s="1" t="s">
        <v>55</v>
      </c>
    </row>
    <row r="52" spans="1:10" hidden="1" x14ac:dyDescent="0.25">
      <c r="A52" s="1" t="s">
        <v>76</v>
      </c>
      <c r="B52" s="1">
        <v>191</v>
      </c>
      <c r="C52" s="1" t="s">
        <v>330</v>
      </c>
      <c r="D52" s="1" t="s">
        <v>326</v>
      </c>
      <c r="E52" s="1" t="s">
        <v>109</v>
      </c>
      <c r="F52" s="1" t="s">
        <v>41</v>
      </c>
      <c r="G52" s="4">
        <v>0</v>
      </c>
      <c r="I52" s="1" t="s">
        <v>290</v>
      </c>
      <c r="J52" s="1" t="s">
        <v>55</v>
      </c>
    </row>
    <row r="53" spans="1:10" hidden="1" x14ac:dyDescent="0.25">
      <c r="A53" s="1" t="s">
        <v>76</v>
      </c>
      <c r="B53" s="1">
        <v>192</v>
      </c>
      <c r="C53" s="1" t="s">
        <v>331</v>
      </c>
      <c r="D53" s="1" t="s">
        <v>326</v>
      </c>
      <c r="E53" s="1" t="s">
        <v>115</v>
      </c>
      <c r="F53" s="1" t="s">
        <v>41</v>
      </c>
      <c r="G53" s="4">
        <v>0</v>
      </c>
      <c r="I53" s="1" t="s">
        <v>290</v>
      </c>
      <c r="J53" s="1" t="s">
        <v>55</v>
      </c>
    </row>
    <row r="54" spans="1:10" hidden="1" x14ac:dyDescent="0.25">
      <c r="A54" s="1" t="s">
        <v>180</v>
      </c>
      <c r="B54" s="1">
        <v>198</v>
      </c>
      <c r="C54" s="1" t="s">
        <v>332</v>
      </c>
      <c r="D54" s="1" t="s">
        <v>292</v>
      </c>
      <c r="E54" s="1" t="s">
        <v>333</v>
      </c>
      <c r="F54" s="1" t="s">
        <v>41</v>
      </c>
      <c r="G54" s="4">
        <v>0.56000000000000005</v>
      </c>
      <c r="I54" s="1" t="s">
        <v>290</v>
      </c>
      <c r="J54" s="1" t="s">
        <v>55</v>
      </c>
    </row>
    <row r="55" spans="1:10" hidden="1" x14ac:dyDescent="0.25">
      <c r="A55" s="1" t="s">
        <v>180</v>
      </c>
      <c r="B55" s="1">
        <v>200</v>
      </c>
      <c r="C55" s="1" t="s">
        <v>337</v>
      </c>
      <c r="D55" s="1" t="s">
        <v>336</v>
      </c>
      <c r="E55" s="1" t="s">
        <v>105</v>
      </c>
      <c r="F55" s="1" t="s">
        <v>41</v>
      </c>
      <c r="G55" s="4">
        <v>0.5</v>
      </c>
      <c r="I55" s="1" t="s">
        <v>290</v>
      </c>
      <c r="J55" s="1" t="s">
        <v>55</v>
      </c>
    </row>
    <row r="56" spans="1:10" hidden="1" x14ac:dyDescent="0.25">
      <c r="A56" s="1" t="s">
        <v>67</v>
      </c>
      <c r="B56" s="1">
        <v>201</v>
      </c>
      <c r="C56" s="1" t="s">
        <v>338</v>
      </c>
      <c r="D56" s="1" t="s">
        <v>336</v>
      </c>
      <c r="E56" s="1" t="s">
        <v>109</v>
      </c>
      <c r="F56" s="1" t="s">
        <v>41</v>
      </c>
      <c r="G56" s="4">
        <v>0</v>
      </c>
      <c r="I56" s="1" t="s">
        <v>290</v>
      </c>
      <c r="J56" s="1" t="s">
        <v>55</v>
      </c>
    </row>
    <row r="57" spans="1:10" hidden="1" x14ac:dyDescent="0.25">
      <c r="A57" s="1" t="s">
        <v>67</v>
      </c>
      <c r="B57" s="1">
        <v>202</v>
      </c>
      <c r="C57" s="1" t="s">
        <v>339</v>
      </c>
      <c r="D57" s="1" t="s">
        <v>336</v>
      </c>
      <c r="E57" s="1" t="s">
        <v>115</v>
      </c>
      <c r="F57" s="1" t="s">
        <v>41</v>
      </c>
      <c r="G57" s="4">
        <v>0</v>
      </c>
      <c r="I57" s="1" t="s">
        <v>290</v>
      </c>
      <c r="J57" s="1" t="s">
        <v>55</v>
      </c>
    </row>
    <row r="58" spans="1:10" hidden="1" x14ac:dyDescent="0.25">
      <c r="A58" s="1" t="s">
        <v>180</v>
      </c>
      <c r="B58" s="1">
        <v>203</v>
      </c>
      <c r="C58" s="1" t="s">
        <v>340</v>
      </c>
      <c r="D58" s="1" t="s">
        <v>292</v>
      </c>
      <c r="E58" s="1" t="s">
        <v>341</v>
      </c>
      <c r="F58" s="1" t="s">
        <v>41</v>
      </c>
      <c r="G58" s="4">
        <v>0.56000000000000005</v>
      </c>
      <c r="I58" s="1" t="s">
        <v>290</v>
      </c>
      <c r="J58" s="1" t="s">
        <v>55</v>
      </c>
    </row>
    <row r="59" spans="1:10" hidden="1" x14ac:dyDescent="0.25">
      <c r="A59" s="1" t="s">
        <v>180</v>
      </c>
      <c r="B59" s="1">
        <v>205</v>
      </c>
      <c r="C59" s="1" t="s">
        <v>344</v>
      </c>
      <c r="D59" s="1" t="s">
        <v>343</v>
      </c>
      <c r="E59" s="1" t="s">
        <v>105</v>
      </c>
      <c r="F59" s="1" t="s">
        <v>41</v>
      </c>
      <c r="G59" s="4">
        <v>0.5</v>
      </c>
      <c r="I59" s="1" t="s">
        <v>290</v>
      </c>
      <c r="J59" s="1" t="s">
        <v>55</v>
      </c>
    </row>
    <row r="60" spans="1:10" hidden="1" x14ac:dyDescent="0.25">
      <c r="A60" s="1" t="s">
        <v>67</v>
      </c>
      <c r="B60" s="1">
        <v>206</v>
      </c>
      <c r="C60" s="1" t="s">
        <v>345</v>
      </c>
      <c r="D60" s="1" t="s">
        <v>343</v>
      </c>
      <c r="E60" s="1" t="s">
        <v>109</v>
      </c>
      <c r="F60" s="1" t="s">
        <v>41</v>
      </c>
      <c r="G60" s="4">
        <v>0</v>
      </c>
      <c r="I60" s="1" t="s">
        <v>290</v>
      </c>
      <c r="J60" s="1" t="s">
        <v>55</v>
      </c>
    </row>
    <row r="61" spans="1:10" hidden="1" x14ac:dyDescent="0.25">
      <c r="A61" s="1" t="s">
        <v>67</v>
      </c>
      <c r="B61" s="1">
        <v>207</v>
      </c>
      <c r="C61" s="1" t="s">
        <v>346</v>
      </c>
      <c r="D61" s="1" t="s">
        <v>343</v>
      </c>
      <c r="E61" s="1" t="s">
        <v>115</v>
      </c>
      <c r="F61" s="1" t="s">
        <v>41</v>
      </c>
      <c r="G61" s="4">
        <v>0</v>
      </c>
      <c r="I61" s="1" t="s">
        <v>290</v>
      </c>
      <c r="J61" s="1" t="s">
        <v>55</v>
      </c>
    </row>
    <row r="62" spans="1:10" hidden="1" x14ac:dyDescent="0.25">
      <c r="A62" s="1" t="s">
        <v>180</v>
      </c>
      <c r="B62" s="1">
        <v>208</v>
      </c>
      <c r="C62" s="1" t="s">
        <v>347</v>
      </c>
      <c r="D62" s="1" t="s">
        <v>292</v>
      </c>
      <c r="E62" s="1" t="s">
        <v>348</v>
      </c>
      <c r="F62" s="1" t="s">
        <v>41</v>
      </c>
      <c r="G62" s="4">
        <v>0.44</v>
      </c>
      <c r="I62" s="1" t="s">
        <v>290</v>
      </c>
      <c r="J62" s="1" t="s">
        <v>55</v>
      </c>
    </row>
    <row r="63" spans="1:10" x14ac:dyDescent="0.25">
      <c r="A63" s="1" t="s">
        <v>180</v>
      </c>
      <c r="B63" s="1">
        <v>209</v>
      </c>
      <c r="C63" s="1" t="s">
        <v>349</v>
      </c>
      <c r="D63" s="1" t="s">
        <v>350</v>
      </c>
      <c r="E63" s="1" t="s">
        <v>101</v>
      </c>
      <c r="F63" s="1" t="s">
        <v>41</v>
      </c>
      <c r="G63" s="4">
        <v>0.75</v>
      </c>
      <c r="I63" s="1" t="s">
        <v>290</v>
      </c>
      <c r="J63" s="1" t="s">
        <v>44</v>
      </c>
    </row>
    <row r="64" spans="1:10" hidden="1" x14ac:dyDescent="0.25">
      <c r="A64" s="1" t="s">
        <v>180</v>
      </c>
      <c r="B64" s="1">
        <v>210</v>
      </c>
      <c r="C64" s="1" t="s">
        <v>351</v>
      </c>
      <c r="D64" s="1" t="s">
        <v>350</v>
      </c>
      <c r="E64" s="1" t="s">
        <v>105</v>
      </c>
      <c r="F64" s="1" t="s">
        <v>41</v>
      </c>
      <c r="G64" s="4">
        <v>0.5</v>
      </c>
      <c r="I64" s="1" t="s">
        <v>290</v>
      </c>
      <c r="J64" s="1" t="s">
        <v>55</v>
      </c>
    </row>
    <row r="65" spans="1:10" hidden="1" x14ac:dyDescent="0.25">
      <c r="A65" s="1" t="s">
        <v>67</v>
      </c>
      <c r="B65" s="1">
        <v>211</v>
      </c>
      <c r="C65" s="1" t="s">
        <v>352</v>
      </c>
      <c r="D65" s="1" t="s">
        <v>350</v>
      </c>
      <c r="E65" s="1" t="s">
        <v>109</v>
      </c>
      <c r="F65" s="1" t="s">
        <v>41</v>
      </c>
      <c r="G65" s="4">
        <v>0</v>
      </c>
      <c r="I65" s="1" t="s">
        <v>290</v>
      </c>
      <c r="J65" s="1" t="s">
        <v>55</v>
      </c>
    </row>
    <row r="66" spans="1:10" hidden="1" x14ac:dyDescent="0.25">
      <c r="A66" s="1" t="s">
        <v>67</v>
      </c>
      <c r="B66" s="1">
        <v>212</v>
      </c>
      <c r="C66" s="1" t="s">
        <v>353</v>
      </c>
      <c r="D66" s="1" t="s">
        <v>350</v>
      </c>
      <c r="E66" s="1" t="s">
        <v>115</v>
      </c>
      <c r="F66" s="1" t="s">
        <v>41</v>
      </c>
      <c r="G66" s="4">
        <v>0</v>
      </c>
      <c r="I66" s="1" t="s">
        <v>290</v>
      </c>
      <c r="J66" s="1" t="s">
        <v>55</v>
      </c>
    </row>
    <row r="67" spans="1:10" hidden="1" x14ac:dyDescent="0.25">
      <c r="A67" s="1" t="s">
        <v>180</v>
      </c>
      <c r="B67" s="1">
        <v>228</v>
      </c>
      <c r="C67" s="1" t="s">
        <v>354</v>
      </c>
      <c r="D67" s="1" t="s">
        <v>292</v>
      </c>
      <c r="E67" s="1" t="s">
        <v>355</v>
      </c>
      <c r="F67" s="1" t="s">
        <v>41</v>
      </c>
      <c r="G67" s="4">
        <v>0.43</v>
      </c>
      <c r="I67" s="1" t="s">
        <v>290</v>
      </c>
      <c r="J67" s="1" t="s">
        <v>55</v>
      </c>
    </row>
    <row r="68" spans="1:10" hidden="1" x14ac:dyDescent="0.25">
      <c r="A68" s="1" t="s">
        <v>67</v>
      </c>
      <c r="B68" s="1">
        <v>230</v>
      </c>
      <c r="C68" s="1" t="s">
        <v>359</v>
      </c>
      <c r="D68" s="1" t="s">
        <v>357</v>
      </c>
      <c r="E68" s="1" t="s">
        <v>105</v>
      </c>
      <c r="F68" s="1" t="s">
        <v>41</v>
      </c>
      <c r="G68" s="4">
        <v>0</v>
      </c>
      <c r="I68" s="1" t="s">
        <v>290</v>
      </c>
      <c r="J68" s="1" t="s">
        <v>55</v>
      </c>
    </row>
    <row r="69" spans="1:10" hidden="1" x14ac:dyDescent="0.25">
      <c r="A69" s="1" t="s">
        <v>67</v>
      </c>
      <c r="B69" s="1">
        <v>231</v>
      </c>
      <c r="C69" s="1" t="s">
        <v>360</v>
      </c>
      <c r="D69" s="1" t="s">
        <v>357</v>
      </c>
      <c r="E69" s="1" t="s">
        <v>109</v>
      </c>
      <c r="F69" s="1" t="s">
        <v>41</v>
      </c>
      <c r="G69" s="4">
        <v>0</v>
      </c>
      <c r="I69" s="1" t="s">
        <v>290</v>
      </c>
      <c r="J69" s="1" t="s">
        <v>55</v>
      </c>
    </row>
    <row r="70" spans="1:10" hidden="1" x14ac:dyDescent="0.25">
      <c r="A70" s="1" t="s">
        <v>67</v>
      </c>
      <c r="B70" s="1">
        <v>232</v>
      </c>
      <c r="C70" s="1" t="s">
        <v>361</v>
      </c>
      <c r="D70" s="1" t="s">
        <v>357</v>
      </c>
      <c r="E70" s="1" t="s">
        <v>115</v>
      </c>
      <c r="F70" s="1" t="s">
        <v>232</v>
      </c>
      <c r="G70" s="4">
        <v>0</v>
      </c>
      <c r="I70" s="1" t="s">
        <v>290</v>
      </c>
      <c r="J70" s="1" t="s">
        <v>55</v>
      </c>
    </row>
    <row r="71" spans="1:10" hidden="1" x14ac:dyDescent="0.25">
      <c r="A71" s="1" t="s">
        <v>73</v>
      </c>
      <c r="B71" s="1">
        <v>238</v>
      </c>
      <c r="C71" s="1" t="s">
        <v>362</v>
      </c>
      <c r="D71" s="1" t="s">
        <v>50</v>
      </c>
      <c r="E71" s="1" t="s">
        <v>363</v>
      </c>
      <c r="F71" s="1" t="s">
        <v>41</v>
      </c>
      <c r="G71" s="4">
        <v>0.44</v>
      </c>
      <c r="I71" s="1" t="s">
        <v>365</v>
      </c>
      <c r="J71" s="1" t="s">
        <v>55</v>
      </c>
    </row>
    <row r="72" spans="1:10" hidden="1" x14ac:dyDescent="0.25">
      <c r="A72" s="1" t="s">
        <v>180</v>
      </c>
      <c r="B72" s="1">
        <v>244</v>
      </c>
      <c r="C72" s="1" t="s">
        <v>366</v>
      </c>
      <c r="D72" s="1" t="s">
        <v>367</v>
      </c>
      <c r="E72" s="1" t="s">
        <v>368</v>
      </c>
      <c r="F72" s="1" t="s">
        <v>41</v>
      </c>
      <c r="G72" s="4">
        <v>0</v>
      </c>
      <c r="I72" s="1" t="s">
        <v>365</v>
      </c>
      <c r="J72" s="1" t="s">
        <v>55</v>
      </c>
    </row>
    <row r="73" spans="1:10" x14ac:dyDescent="0.25">
      <c r="A73" s="1" t="s">
        <v>180</v>
      </c>
      <c r="B73" s="1">
        <v>245</v>
      </c>
      <c r="C73" s="1" t="s">
        <v>370</v>
      </c>
      <c r="D73" s="1" t="s">
        <v>371</v>
      </c>
      <c r="E73" s="1" t="s">
        <v>101</v>
      </c>
      <c r="F73" s="1" t="s">
        <v>41</v>
      </c>
      <c r="G73" s="4">
        <v>0</v>
      </c>
      <c r="I73" s="1" t="s">
        <v>365</v>
      </c>
      <c r="J73" s="1" t="s">
        <v>55</v>
      </c>
    </row>
    <row r="74" spans="1:10" hidden="1" x14ac:dyDescent="0.25">
      <c r="A74" s="1" t="s">
        <v>67</v>
      </c>
      <c r="B74" s="1">
        <v>246</v>
      </c>
      <c r="C74" s="1" t="s">
        <v>374</v>
      </c>
      <c r="D74" s="1" t="s">
        <v>371</v>
      </c>
      <c r="E74" s="1" t="s">
        <v>105</v>
      </c>
      <c r="F74" s="1" t="s">
        <v>41</v>
      </c>
      <c r="G74" s="4">
        <v>0</v>
      </c>
      <c r="I74" s="1" t="s">
        <v>365</v>
      </c>
      <c r="J74" s="1" t="s">
        <v>55</v>
      </c>
    </row>
    <row r="75" spans="1:10" hidden="1" x14ac:dyDescent="0.25">
      <c r="A75" s="1" t="s">
        <v>67</v>
      </c>
      <c r="B75" s="1">
        <v>247</v>
      </c>
      <c r="C75" s="1" t="s">
        <v>376</v>
      </c>
      <c r="D75" s="1" t="s">
        <v>371</v>
      </c>
      <c r="E75" s="1" t="s">
        <v>109</v>
      </c>
      <c r="F75" s="1" t="s">
        <v>41</v>
      </c>
      <c r="G75" s="4">
        <v>0</v>
      </c>
      <c r="I75" s="1" t="s">
        <v>365</v>
      </c>
      <c r="J75" s="1" t="s">
        <v>55</v>
      </c>
    </row>
    <row r="76" spans="1:10" hidden="1" x14ac:dyDescent="0.25">
      <c r="A76" s="1" t="s">
        <v>67</v>
      </c>
      <c r="B76" s="1">
        <v>248</v>
      </c>
      <c r="C76" s="1" t="s">
        <v>377</v>
      </c>
      <c r="D76" s="1" t="s">
        <v>371</v>
      </c>
      <c r="E76" s="1" t="s">
        <v>115</v>
      </c>
      <c r="F76" s="1" t="s">
        <v>41</v>
      </c>
      <c r="G76" s="4">
        <v>0</v>
      </c>
      <c r="I76" s="1" t="s">
        <v>365</v>
      </c>
      <c r="J76" s="1" t="s">
        <v>55</v>
      </c>
    </row>
    <row r="77" spans="1:10" hidden="1" x14ac:dyDescent="0.25">
      <c r="A77" s="1" t="s">
        <v>67</v>
      </c>
      <c r="B77" s="1">
        <v>249</v>
      </c>
      <c r="C77" s="1" t="s">
        <v>378</v>
      </c>
      <c r="D77" s="1" t="s">
        <v>367</v>
      </c>
      <c r="E77" s="1" t="s">
        <v>379</v>
      </c>
      <c r="F77" s="1" t="s">
        <v>232</v>
      </c>
      <c r="G77" s="4">
        <v>0.5</v>
      </c>
      <c r="I77" s="1" t="s">
        <v>365</v>
      </c>
      <c r="J77" s="1" t="s">
        <v>55</v>
      </c>
    </row>
    <row r="78" spans="1:10" hidden="1" x14ac:dyDescent="0.25">
      <c r="A78" s="1" t="s">
        <v>73</v>
      </c>
      <c r="B78" s="1">
        <v>259</v>
      </c>
      <c r="C78" s="1" t="s">
        <v>388</v>
      </c>
      <c r="D78" s="1" t="s">
        <v>367</v>
      </c>
      <c r="E78" s="1" t="s">
        <v>389</v>
      </c>
      <c r="F78" s="1" t="s">
        <v>41</v>
      </c>
      <c r="G78" s="4">
        <v>0.4</v>
      </c>
      <c r="I78" s="1" t="s">
        <v>365</v>
      </c>
      <c r="J78" s="1" t="s">
        <v>55</v>
      </c>
    </row>
    <row r="79" spans="1:10" hidden="1" x14ac:dyDescent="0.25">
      <c r="A79" s="1" t="s">
        <v>180</v>
      </c>
      <c r="B79" s="1">
        <v>261</v>
      </c>
      <c r="C79" s="1" t="s">
        <v>395</v>
      </c>
      <c r="D79" s="1" t="s">
        <v>392</v>
      </c>
      <c r="E79" s="1" t="s">
        <v>105</v>
      </c>
      <c r="F79" s="1" t="s">
        <v>41</v>
      </c>
      <c r="G79" s="4">
        <v>0</v>
      </c>
      <c r="I79" s="1" t="s">
        <v>365</v>
      </c>
      <c r="J79" s="1" t="s">
        <v>55</v>
      </c>
    </row>
    <row r="80" spans="1:10" hidden="1" x14ac:dyDescent="0.25">
      <c r="A80" s="1" t="s">
        <v>180</v>
      </c>
      <c r="B80" s="1">
        <v>262</v>
      </c>
      <c r="C80" s="1" t="s">
        <v>396</v>
      </c>
      <c r="D80" s="1" t="s">
        <v>392</v>
      </c>
      <c r="E80" s="1" t="s">
        <v>109</v>
      </c>
      <c r="F80" s="1" t="s">
        <v>41</v>
      </c>
      <c r="G80" s="4">
        <v>0</v>
      </c>
      <c r="I80" s="1" t="s">
        <v>365</v>
      </c>
      <c r="J80" s="1" t="s">
        <v>55</v>
      </c>
    </row>
    <row r="81" spans="1:10" hidden="1" x14ac:dyDescent="0.25">
      <c r="A81" s="1" t="s">
        <v>180</v>
      </c>
      <c r="B81" s="1">
        <v>263</v>
      </c>
      <c r="C81" s="1" t="s">
        <v>397</v>
      </c>
      <c r="D81" s="1" t="s">
        <v>392</v>
      </c>
      <c r="E81" s="1" t="s">
        <v>115</v>
      </c>
      <c r="F81" s="1" t="s">
        <v>41</v>
      </c>
      <c r="G81" s="4">
        <v>0</v>
      </c>
      <c r="I81" s="1" t="s">
        <v>365</v>
      </c>
      <c r="J81" s="1" t="s">
        <v>55</v>
      </c>
    </row>
    <row r="82" spans="1:10" hidden="1" x14ac:dyDescent="0.25">
      <c r="A82" s="1" t="s">
        <v>67</v>
      </c>
      <c r="B82" s="1">
        <v>264</v>
      </c>
      <c r="C82" s="1" t="s">
        <v>398</v>
      </c>
      <c r="D82" s="1" t="s">
        <v>367</v>
      </c>
      <c r="E82" s="1" t="s">
        <v>399</v>
      </c>
      <c r="F82" s="1" t="s">
        <v>41</v>
      </c>
      <c r="G82" s="4">
        <v>0.5</v>
      </c>
      <c r="I82" s="1" t="s">
        <v>365</v>
      </c>
      <c r="J82" s="1" t="s">
        <v>55</v>
      </c>
    </row>
    <row r="83" spans="1:10" hidden="1" x14ac:dyDescent="0.25">
      <c r="A83" s="1" t="s">
        <v>67</v>
      </c>
      <c r="B83" s="1">
        <v>266</v>
      </c>
      <c r="C83" s="1" t="s">
        <v>402</v>
      </c>
      <c r="D83" s="1" t="s">
        <v>401</v>
      </c>
      <c r="E83" s="1" t="s">
        <v>105</v>
      </c>
      <c r="F83" s="1" t="s">
        <v>41</v>
      </c>
      <c r="G83" s="4">
        <v>0</v>
      </c>
      <c r="I83" s="1" t="s">
        <v>365</v>
      </c>
      <c r="J83" s="1" t="s">
        <v>55</v>
      </c>
    </row>
    <row r="84" spans="1:10" hidden="1" x14ac:dyDescent="0.25">
      <c r="A84" s="1" t="s">
        <v>194</v>
      </c>
      <c r="B84" s="1">
        <v>267</v>
      </c>
      <c r="C84" s="1" t="s">
        <v>403</v>
      </c>
      <c r="D84" s="1" t="s">
        <v>401</v>
      </c>
      <c r="E84" s="1" t="s">
        <v>109</v>
      </c>
      <c r="F84" s="1" t="s">
        <v>41</v>
      </c>
      <c r="G84" s="4">
        <v>0</v>
      </c>
      <c r="I84" s="1" t="s">
        <v>365</v>
      </c>
      <c r="J84" s="1" t="s">
        <v>55</v>
      </c>
    </row>
    <row r="85" spans="1:10" hidden="1" x14ac:dyDescent="0.25">
      <c r="A85" s="1" t="s">
        <v>194</v>
      </c>
      <c r="B85" s="1">
        <v>268</v>
      </c>
      <c r="C85" s="1" t="s">
        <v>405</v>
      </c>
      <c r="D85" s="1" t="s">
        <v>401</v>
      </c>
      <c r="E85" s="1" t="s">
        <v>115</v>
      </c>
      <c r="F85" s="1" t="s">
        <v>232</v>
      </c>
      <c r="G85" s="4">
        <v>0</v>
      </c>
      <c r="I85" s="1" t="s">
        <v>365</v>
      </c>
      <c r="J85" s="1" t="s">
        <v>55</v>
      </c>
    </row>
    <row r="86" spans="1:10" hidden="1" x14ac:dyDescent="0.25">
      <c r="A86" s="1" t="s">
        <v>67</v>
      </c>
      <c r="B86" s="1">
        <v>269</v>
      </c>
      <c r="C86" s="1" t="s">
        <v>406</v>
      </c>
      <c r="D86" s="1" t="s">
        <v>367</v>
      </c>
      <c r="E86" s="1" t="s">
        <v>407</v>
      </c>
      <c r="F86" s="1" t="s">
        <v>232</v>
      </c>
      <c r="G86" s="4">
        <v>0.5</v>
      </c>
      <c r="I86" s="1" t="s">
        <v>365</v>
      </c>
      <c r="J86" s="1" t="s">
        <v>55</v>
      </c>
    </row>
    <row r="87" spans="1:10" hidden="1" x14ac:dyDescent="0.25">
      <c r="A87" s="1" t="s">
        <v>67</v>
      </c>
      <c r="B87" s="1">
        <v>274</v>
      </c>
      <c r="C87" s="1" t="s">
        <v>413</v>
      </c>
      <c r="D87" s="1" t="s">
        <v>367</v>
      </c>
      <c r="E87" s="1" t="s">
        <v>414</v>
      </c>
      <c r="F87" s="1" t="s">
        <v>232</v>
      </c>
      <c r="G87" s="4">
        <v>0.5</v>
      </c>
      <c r="I87" s="1" t="s">
        <v>365</v>
      </c>
      <c r="J87" s="1" t="s">
        <v>55</v>
      </c>
    </row>
    <row r="88" spans="1:10" hidden="1" x14ac:dyDescent="0.25">
      <c r="A88" s="1" t="s">
        <v>67</v>
      </c>
      <c r="B88" s="1">
        <v>279</v>
      </c>
      <c r="C88" s="1" t="s">
        <v>420</v>
      </c>
      <c r="D88" s="1" t="s">
        <v>367</v>
      </c>
      <c r="E88" s="1" t="s">
        <v>421</v>
      </c>
      <c r="F88" s="1" t="s">
        <v>232</v>
      </c>
      <c r="G88" s="4">
        <v>0.5</v>
      </c>
      <c r="I88" s="1" t="s">
        <v>365</v>
      </c>
      <c r="J88" s="1" t="s">
        <v>55</v>
      </c>
    </row>
    <row r="89" spans="1:10" hidden="1" x14ac:dyDescent="0.25">
      <c r="A89" s="1" t="s">
        <v>67</v>
      </c>
      <c r="B89" s="1">
        <v>289</v>
      </c>
      <c r="C89" s="1" t="s">
        <v>427</v>
      </c>
      <c r="D89" s="1" t="s">
        <v>367</v>
      </c>
      <c r="E89" s="1" t="s">
        <v>428</v>
      </c>
      <c r="F89" s="1" t="s">
        <v>232</v>
      </c>
      <c r="G89" s="4">
        <v>0.56999999999999995</v>
      </c>
      <c r="I89" s="1" t="s">
        <v>365</v>
      </c>
      <c r="J89" s="1" t="s">
        <v>55</v>
      </c>
    </row>
    <row r="90" spans="1:10" hidden="1" x14ac:dyDescent="0.25">
      <c r="A90" s="1" t="s">
        <v>136</v>
      </c>
      <c r="B90" s="1">
        <v>294</v>
      </c>
      <c r="C90" s="1" t="s">
        <v>435</v>
      </c>
      <c r="D90" s="1" t="s">
        <v>50</v>
      </c>
      <c r="E90" s="1" t="s">
        <v>436</v>
      </c>
      <c r="F90" s="1" t="s">
        <v>41</v>
      </c>
      <c r="G90" s="4">
        <v>0.57999999999999996</v>
      </c>
      <c r="I90" s="1" t="s">
        <v>438</v>
      </c>
      <c r="J90" s="1" t="s">
        <v>55</v>
      </c>
    </row>
    <row r="91" spans="1:10" hidden="1" x14ac:dyDescent="0.25">
      <c r="A91" s="1" t="s">
        <v>180</v>
      </c>
      <c r="B91" s="1">
        <v>300</v>
      </c>
      <c r="C91" s="1" t="s">
        <v>439</v>
      </c>
      <c r="D91" s="1" t="s">
        <v>440</v>
      </c>
      <c r="E91" s="1" t="s">
        <v>441</v>
      </c>
      <c r="F91" s="1" t="s">
        <v>41</v>
      </c>
      <c r="G91" s="4">
        <v>0</v>
      </c>
      <c r="I91" s="1" t="s">
        <v>438</v>
      </c>
      <c r="J91" s="1" t="s">
        <v>55</v>
      </c>
    </row>
    <row r="92" spans="1:10" x14ac:dyDescent="0.25">
      <c r="A92" s="1" t="s">
        <v>180</v>
      </c>
      <c r="B92" s="1">
        <v>301</v>
      </c>
      <c r="C92" s="1" t="s">
        <v>442</v>
      </c>
      <c r="D92" s="1" t="s">
        <v>443</v>
      </c>
      <c r="E92" s="1" t="s">
        <v>101</v>
      </c>
      <c r="F92" s="1" t="s">
        <v>41</v>
      </c>
      <c r="G92" s="4">
        <v>0</v>
      </c>
      <c r="I92" s="1" t="s">
        <v>438</v>
      </c>
      <c r="J92" s="1" t="s">
        <v>55</v>
      </c>
    </row>
    <row r="93" spans="1:10" hidden="1" x14ac:dyDescent="0.25">
      <c r="A93" s="1" t="s">
        <v>119</v>
      </c>
      <c r="B93" s="1">
        <v>305</v>
      </c>
      <c r="C93" s="1" t="s">
        <v>448</v>
      </c>
      <c r="D93" s="1" t="s">
        <v>440</v>
      </c>
      <c r="E93" s="1" t="s">
        <v>449</v>
      </c>
      <c r="F93" s="1" t="s">
        <v>41</v>
      </c>
      <c r="G93" s="4">
        <v>0.79</v>
      </c>
      <c r="I93" s="1" t="s">
        <v>438</v>
      </c>
      <c r="J93" s="1" t="s">
        <v>55</v>
      </c>
    </row>
    <row r="94" spans="1:10" hidden="1" x14ac:dyDescent="0.25">
      <c r="A94" s="1" t="s">
        <v>76</v>
      </c>
      <c r="B94" s="1">
        <v>308</v>
      </c>
      <c r="C94" s="1" t="s">
        <v>456</v>
      </c>
      <c r="D94" s="1" t="s">
        <v>452</v>
      </c>
      <c r="E94" s="1" t="s">
        <v>109</v>
      </c>
      <c r="F94" s="1" t="s">
        <v>232</v>
      </c>
      <c r="G94" s="4">
        <v>0.5</v>
      </c>
      <c r="I94" s="1" t="s">
        <v>438</v>
      </c>
      <c r="J94" s="1" t="s">
        <v>55</v>
      </c>
    </row>
    <row r="95" spans="1:10" hidden="1" x14ac:dyDescent="0.25">
      <c r="A95" s="1" t="s">
        <v>76</v>
      </c>
      <c r="B95" s="1">
        <v>309</v>
      </c>
      <c r="C95" s="1" t="s">
        <v>458</v>
      </c>
      <c r="D95" s="1" t="s">
        <v>452</v>
      </c>
      <c r="E95" s="1" t="s">
        <v>115</v>
      </c>
      <c r="F95" s="1" t="s">
        <v>41</v>
      </c>
      <c r="G95" s="4">
        <v>0</v>
      </c>
      <c r="I95" s="1" t="s">
        <v>438</v>
      </c>
      <c r="J95" s="1" t="s">
        <v>55</v>
      </c>
    </row>
    <row r="96" spans="1:10" hidden="1" x14ac:dyDescent="0.25">
      <c r="A96" s="1" t="s">
        <v>136</v>
      </c>
      <c r="B96" s="1">
        <v>315</v>
      </c>
      <c r="C96" s="1" t="s">
        <v>460</v>
      </c>
      <c r="D96" s="1" t="s">
        <v>440</v>
      </c>
      <c r="E96" s="1" t="s">
        <v>461</v>
      </c>
      <c r="F96" s="1" t="s">
        <v>41</v>
      </c>
      <c r="G96" s="4">
        <v>0.75</v>
      </c>
      <c r="I96" s="1" t="s">
        <v>438</v>
      </c>
      <c r="J96" s="1" t="s">
        <v>55</v>
      </c>
    </row>
    <row r="97" spans="1:10" hidden="1" x14ac:dyDescent="0.25">
      <c r="A97" s="1" t="s">
        <v>119</v>
      </c>
      <c r="B97" s="1">
        <v>318</v>
      </c>
      <c r="C97" s="1" t="s">
        <v>466</v>
      </c>
      <c r="D97" s="1" t="s">
        <v>463</v>
      </c>
      <c r="E97" s="1" t="s">
        <v>109</v>
      </c>
      <c r="F97" s="1" t="s">
        <v>41</v>
      </c>
      <c r="G97" s="4">
        <v>0.5</v>
      </c>
      <c r="I97" s="1" t="s">
        <v>438</v>
      </c>
      <c r="J97" s="1" t="s">
        <v>55</v>
      </c>
    </row>
    <row r="98" spans="1:10" hidden="1" x14ac:dyDescent="0.25">
      <c r="A98" s="1" t="s">
        <v>119</v>
      </c>
      <c r="B98" s="1">
        <v>319</v>
      </c>
      <c r="C98" s="1" t="s">
        <v>468</v>
      </c>
      <c r="D98" s="1" t="s">
        <v>463</v>
      </c>
      <c r="E98" s="1" t="s">
        <v>115</v>
      </c>
      <c r="F98" s="1" t="s">
        <v>41</v>
      </c>
      <c r="G98" s="4">
        <v>0</v>
      </c>
      <c r="I98" s="1" t="s">
        <v>438</v>
      </c>
      <c r="J98" s="1" t="s">
        <v>55</v>
      </c>
    </row>
    <row r="99" spans="1:10" hidden="1" x14ac:dyDescent="0.25">
      <c r="A99" s="1" t="s">
        <v>194</v>
      </c>
      <c r="B99" s="1">
        <v>320</v>
      </c>
      <c r="C99" s="1" t="s">
        <v>470</v>
      </c>
      <c r="D99" s="1" t="s">
        <v>440</v>
      </c>
      <c r="E99" s="1" t="s">
        <v>471</v>
      </c>
      <c r="F99" s="1" t="s">
        <v>232</v>
      </c>
      <c r="G99" s="4">
        <v>0.4</v>
      </c>
      <c r="I99" s="1" t="s">
        <v>438</v>
      </c>
      <c r="J99" s="1" t="s">
        <v>55</v>
      </c>
    </row>
    <row r="100" spans="1:10" hidden="1" x14ac:dyDescent="0.25">
      <c r="A100" s="1" t="s">
        <v>194</v>
      </c>
      <c r="B100" s="1">
        <v>325</v>
      </c>
      <c r="C100" s="1" t="s">
        <v>481</v>
      </c>
      <c r="D100" s="1" t="s">
        <v>440</v>
      </c>
      <c r="E100" s="1" t="s">
        <v>482</v>
      </c>
      <c r="F100" s="1" t="s">
        <v>232</v>
      </c>
      <c r="G100" s="4">
        <v>0.5</v>
      </c>
      <c r="I100" s="1" t="s">
        <v>438</v>
      </c>
      <c r="J100" s="1" t="s">
        <v>55</v>
      </c>
    </row>
    <row r="101" spans="1:10" hidden="1" x14ac:dyDescent="0.25">
      <c r="A101" s="1" t="s">
        <v>180</v>
      </c>
      <c r="B101" s="1">
        <v>335</v>
      </c>
      <c r="C101" s="1" t="s">
        <v>491</v>
      </c>
      <c r="D101" s="1" t="s">
        <v>440</v>
      </c>
      <c r="E101" s="1" t="s">
        <v>492</v>
      </c>
      <c r="F101" s="1" t="s">
        <v>41</v>
      </c>
      <c r="G101" s="4">
        <v>0.5</v>
      </c>
      <c r="I101" s="1" t="s">
        <v>438</v>
      </c>
      <c r="J101" s="1" t="s">
        <v>55</v>
      </c>
    </row>
    <row r="102" spans="1:10" hidden="1" x14ac:dyDescent="0.25">
      <c r="A102" s="1" t="s">
        <v>180</v>
      </c>
      <c r="B102" s="1">
        <v>337</v>
      </c>
      <c r="C102" s="1" t="s">
        <v>496</v>
      </c>
      <c r="D102" s="1" t="s">
        <v>494</v>
      </c>
      <c r="E102" s="1" t="s">
        <v>105</v>
      </c>
      <c r="F102" s="1" t="s">
        <v>41</v>
      </c>
      <c r="G102" s="4">
        <v>0</v>
      </c>
      <c r="I102" s="1" t="s">
        <v>438</v>
      </c>
      <c r="J102" s="1" t="s">
        <v>55</v>
      </c>
    </row>
    <row r="103" spans="1:10" hidden="1" x14ac:dyDescent="0.25">
      <c r="A103" s="1" t="s">
        <v>180</v>
      </c>
      <c r="B103" s="1">
        <v>338</v>
      </c>
      <c r="C103" s="1" t="s">
        <v>497</v>
      </c>
      <c r="D103" s="1" t="s">
        <v>494</v>
      </c>
      <c r="E103" s="1" t="s">
        <v>109</v>
      </c>
      <c r="F103" s="1" t="s">
        <v>232</v>
      </c>
      <c r="G103" s="4">
        <v>0</v>
      </c>
      <c r="I103" s="1" t="s">
        <v>438</v>
      </c>
      <c r="J103" s="1" t="s">
        <v>55</v>
      </c>
    </row>
    <row r="104" spans="1:10" hidden="1" x14ac:dyDescent="0.25">
      <c r="A104" s="1" t="s">
        <v>180</v>
      </c>
      <c r="B104" s="1">
        <v>339</v>
      </c>
      <c r="C104" s="1" t="s">
        <v>499</v>
      </c>
      <c r="D104" s="1" t="s">
        <v>494</v>
      </c>
      <c r="E104" s="1" t="s">
        <v>115</v>
      </c>
      <c r="F104" s="1" t="s">
        <v>232</v>
      </c>
      <c r="G104" s="4">
        <v>0</v>
      </c>
      <c r="I104" s="1" t="s">
        <v>438</v>
      </c>
      <c r="J104" s="1" t="s">
        <v>55</v>
      </c>
    </row>
    <row r="105" spans="1:10" hidden="1" x14ac:dyDescent="0.25">
      <c r="A105" s="1" t="s">
        <v>180</v>
      </c>
      <c r="B105" s="1">
        <v>340</v>
      </c>
      <c r="C105" s="1" t="s">
        <v>501</v>
      </c>
      <c r="D105" s="1" t="s">
        <v>440</v>
      </c>
      <c r="E105" s="1" t="s">
        <v>502</v>
      </c>
      <c r="F105" s="1" t="s">
        <v>41</v>
      </c>
      <c r="G105" s="4">
        <v>0.5</v>
      </c>
      <c r="I105" s="1" t="s">
        <v>438</v>
      </c>
      <c r="J105" s="1" t="s">
        <v>55</v>
      </c>
    </row>
    <row r="106" spans="1:10" hidden="1" x14ac:dyDescent="0.25">
      <c r="A106" s="1" t="s">
        <v>180</v>
      </c>
      <c r="B106" s="1">
        <v>342</v>
      </c>
      <c r="C106" s="1" t="s">
        <v>506</v>
      </c>
      <c r="D106" s="1" t="s">
        <v>504</v>
      </c>
      <c r="E106" s="1" t="s">
        <v>105</v>
      </c>
      <c r="F106" s="1" t="s">
        <v>41</v>
      </c>
      <c r="G106" s="4">
        <v>0</v>
      </c>
      <c r="I106" s="1" t="s">
        <v>438</v>
      </c>
      <c r="J106" s="1" t="s">
        <v>55</v>
      </c>
    </row>
    <row r="107" spans="1:10" hidden="1" x14ac:dyDescent="0.25">
      <c r="A107" s="1" t="s">
        <v>180</v>
      </c>
      <c r="B107" s="1">
        <v>343</v>
      </c>
      <c r="C107" s="1" t="s">
        <v>507</v>
      </c>
      <c r="D107" s="1" t="s">
        <v>504</v>
      </c>
      <c r="E107" s="1" t="s">
        <v>109</v>
      </c>
      <c r="F107" s="1" t="s">
        <v>232</v>
      </c>
      <c r="G107" s="4">
        <v>0</v>
      </c>
      <c r="I107" s="1" t="s">
        <v>438</v>
      </c>
      <c r="J107" s="1" t="s">
        <v>55</v>
      </c>
    </row>
    <row r="108" spans="1:10" hidden="1" x14ac:dyDescent="0.25">
      <c r="A108" s="1" t="s">
        <v>180</v>
      </c>
      <c r="B108" s="1">
        <v>344</v>
      </c>
      <c r="C108" s="1" t="s">
        <v>509</v>
      </c>
      <c r="D108" s="1" t="s">
        <v>504</v>
      </c>
      <c r="E108" s="1" t="s">
        <v>115</v>
      </c>
      <c r="F108" s="1" t="s">
        <v>232</v>
      </c>
      <c r="G108" s="4">
        <v>0</v>
      </c>
      <c r="I108" s="1" t="s">
        <v>438</v>
      </c>
      <c r="J108" s="1" t="s">
        <v>55</v>
      </c>
    </row>
    <row r="109" spans="1:10" hidden="1" x14ac:dyDescent="0.25">
      <c r="A109" s="1" t="s">
        <v>67</v>
      </c>
      <c r="B109" s="1">
        <v>345</v>
      </c>
      <c r="C109" s="1" t="s">
        <v>511</v>
      </c>
      <c r="D109" s="1" t="s">
        <v>440</v>
      </c>
      <c r="E109" s="1" t="s">
        <v>512</v>
      </c>
      <c r="F109" s="1" t="s">
        <v>232</v>
      </c>
      <c r="G109" s="4">
        <v>0.73</v>
      </c>
      <c r="I109" s="1" t="s">
        <v>438</v>
      </c>
      <c r="J109" s="1" t="s">
        <v>55</v>
      </c>
    </row>
    <row r="110" spans="1:10" hidden="1" x14ac:dyDescent="0.25">
      <c r="A110" s="1" t="s">
        <v>73</v>
      </c>
      <c r="B110" s="1">
        <v>350</v>
      </c>
      <c r="C110" s="1" t="s">
        <v>522</v>
      </c>
      <c r="D110" s="1" t="s">
        <v>440</v>
      </c>
      <c r="E110" s="1" t="s">
        <v>523</v>
      </c>
      <c r="F110" s="1" t="s">
        <v>232</v>
      </c>
      <c r="G110" s="4">
        <v>0.73</v>
      </c>
      <c r="I110" s="1" t="s">
        <v>438</v>
      </c>
      <c r="J110" s="1" t="s">
        <v>55</v>
      </c>
    </row>
    <row r="111" spans="1:10" hidden="1" x14ac:dyDescent="0.25">
      <c r="A111" s="1" t="s">
        <v>73</v>
      </c>
      <c r="B111" s="1">
        <v>355</v>
      </c>
      <c r="C111" s="1" t="s">
        <v>532</v>
      </c>
      <c r="D111" s="1" t="s">
        <v>440</v>
      </c>
      <c r="E111" s="1" t="s">
        <v>533</v>
      </c>
      <c r="F111" s="1" t="s">
        <v>41</v>
      </c>
      <c r="G111" s="4">
        <v>0.56999999999999995</v>
      </c>
      <c r="I111" s="1" t="s">
        <v>438</v>
      </c>
      <c r="J111" s="1" t="s">
        <v>55</v>
      </c>
    </row>
    <row r="112" spans="1:10" hidden="1" x14ac:dyDescent="0.25">
      <c r="A112" s="1" t="s">
        <v>180</v>
      </c>
      <c r="B112" s="1">
        <v>357</v>
      </c>
      <c r="C112" s="1" t="s">
        <v>536</v>
      </c>
      <c r="D112" s="1" t="s">
        <v>535</v>
      </c>
      <c r="E112" s="1" t="s">
        <v>105</v>
      </c>
      <c r="F112" s="1" t="s">
        <v>41</v>
      </c>
      <c r="G112" s="4">
        <v>0</v>
      </c>
      <c r="I112" s="1" t="s">
        <v>438</v>
      </c>
      <c r="J112" s="1" t="s">
        <v>55</v>
      </c>
    </row>
    <row r="113" spans="1:10" hidden="1" x14ac:dyDescent="0.25">
      <c r="A113" s="1" t="s">
        <v>180</v>
      </c>
      <c r="B113" s="1">
        <v>358</v>
      </c>
      <c r="C113" s="1" t="s">
        <v>537</v>
      </c>
      <c r="D113" s="1" t="s">
        <v>535</v>
      </c>
      <c r="E113" s="1" t="s">
        <v>109</v>
      </c>
      <c r="F113" s="1" t="s">
        <v>41</v>
      </c>
      <c r="G113" s="4">
        <v>0</v>
      </c>
      <c r="I113" s="1" t="s">
        <v>438</v>
      </c>
      <c r="J113" s="1" t="s">
        <v>55</v>
      </c>
    </row>
    <row r="114" spans="1:10" hidden="1" x14ac:dyDescent="0.25">
      <c r="A114" s="1" t="s">
        <v>180</v>
      </c>
      <c r="B114" s="1">
        <v>359</v>
      </c>
      <c r="C114" s="1" t="s">
        <v>539</v>
      </c>
      <c r="D114" s="1" t="s">
        <v>535</v>
      </c>
      <c r="E114" s="1" t="s">
        <v>115</v>
      </c>
      <c r="F114" s="1" t="s">
        <v>41</v>
      </c>
      <c r="G114" s="4">
        <v>0</v>
      </c>
      <c r="I114" s="1" t="s">
        <v>438</v>
      </c>
      <c r="J114" s="1" t="s">
        <v>55</v>
      </c>
    </row>
    <row r="115" spans="1:10" hidden="1" x14ac:dyDescent="0.25">
      <c r="A115" s="1" t="s">
        <v>73</v>
      </c>
      <c r="B115" s="1">
        <v>360</v>
      </c>
      <c r="C115" s="1" t="s">
        <v>541</v>
      </c>
      <c r="D115" s="1" t="s">
        <v>440</v>
      </c>
      <c r="E115" s="1" t="s">
        <v>542</v>
      </c>
      <c r="F115" s="1" t="s">
        <v>41</v>
      </c>
      <c r="G115" s="4">
        <v>0.56999999999999995</v>
      </c>
      <c r="I115" s="1" t="s">
        <v>438</v>
      </c>
      <c r="J115" s="1" t="s">
        <v>55</v>
      </c>
    </row>
    <row r="116" spans="1:10" hidden="1" x14ac:dyDescent="0.25">
      <c r="A116" s="1" t="s">
        <v>180</v>
      </c>
      <c r="B116" s="1">
        <v>362</v>
      </c>
      <c r="C116" s="1" t="s">
        <v>545</v>
      </c>
      <c r="D116" s="1" t="s">
        <v>544</v>
      </c>
      <c r="E116" s="1" t="s">
        <v>105</v>
      </c>
      <c r="F116" s="1" t="s">
        <v>41</v>
      </c>
      <c r="G116" s="4">
        <v>0</v>
      </c>
      <c r="I116" s="1" t="s">
        <v>438</v>
      </c>
      <c r="J116" s="1" t="s">
        <v>55</v>
      </c>
    </row>
    <row r="117" spans="1:10" hidden="1" x14ac:dyDescent="0.25">
      <c r="A117" s="1" t="s">
        <v>180</v>
      </c>
      <c r="B117" s="1">
        <v>363</v>
      </c>
      <c r="C117" s="1" t="s">
        <v>546</v>
      </c>
      <c r="D117" s="1" t="s">
        <v>544</v>
      </c>
      <c r="E117" s="1" t="s">
        <v>109</v>
      </c>
      <c r="F117" s="1" t="s">
        <v>41</v>
      </c>
      <c r="G117" s="4">
        <v>0</v>
      </c>
      <c r="I117" s="1" t="s">
        <v>438</v>
      </c>
      <c r="J117" s="1" t="s">
        <v>55</v>
      </c>
    </row>
    <row r="118" spans="1:10" hidden="1" x14ac:dyDescent="0.25">
      <c r="A118" s="1" t="s">
        <v>180</v>
      </c>
      <c r="B118" s="1">
        <v>364</v>
      </c>
      <c r="C118" s="1" t="s">
        <v>548</v>
      </c>
      <c r="D118" s="1" t="s">
        <v>544</v>
      </c>
      <c r="E118" s="1" t="s">
        <v>115</v>
      </c>
      <c r="F118" s="1" t="s">
        <v>41</v>
      </c>
      <c r="G118" s="4">
        <v>0</v>
      </c>
      <c r="I118" s="1" t="s">
        <v>438</v>
      </c>
      <c r="J118" s="1" t="s">
        <v>55</v>
      </c>
    </row>
    <row r="119" spans="1:10" hidden="1" x14ac:dyDescent="0.25">
      <c r="A119" s="1" t="s">
        <v>73</v>
      </c>
      <c r="B119" s="1">
        <v>365</v>
      </c>
      <c r="C119" s="1" t="s">
        <v>550</v>
      </c>
      <c r="D119" s="1" t="s">
        <v>440</v>
      </c>
      <c r="E119" s="1" t="s">
        <v>551</v>
      </c>
      <c r="F119" s="1" t="s">
        <v>41</v>
      </c>
      <c r="G119" s="4">
        <v>0.57999999999999996</v>
      </c>
      <c r="I119" s="1" t="s">
        <v>438</v>
      </c>
      <c r="J119" s="1" t="s">
        <v>55</v>
      </c>
    </row>
    <row r="120" spans="1:10" hidden="1" x14ac:dyDescent="0.25">
      <c r="A120" s="1" t="s">
        <v>180</v>
      </c>
      <c r="B120" s="1">
        <v>367</v>
      </c>
      <c r="C120" s="1" t="s">
        <v>555</v>
      </c>
      <c r="D120" s="1" t="s">
        <v>553</v>
      </c>
      <c r="E120" s="1" t="s">
        <v>105</v>
      </c>
      <c r="F120" s="1" t="s">
        <v>41</v>
      </c>
      <c r="G120" s="4">
        <v>0.5</v>
      </c>
      <c r="I120" s="1" t="s">
        <v>438</v>
      </c>
      <c r="J120" s="1" t="s">
        <v>55</v>
      </c>
    </row>
    <row r="121" spans="1:10" hidden="1" x14ac:dyDescent="0.25">
      <c r="A121" s="1" t="s">
        <v>180</v>
      </c>
      <c r="B121" s="1">
        <v>368</v>
      </c>
      <c r="C121" s="1" t="s">
        <v>556</v>
      </c>
      <c r="D121" s="1" t="s">
        <v>553</v>
      </c>
      <c r="E121" s="1" t="s">
        <v>109</v>
      </c>
      <c r="F121" s="1" t="s">
        <v>41</v>
      </c>
      <c r="G121" s="4">
        <v>0</v>
      </c>
      <c r="I121" s="1" t="s">
        <v>438</v>
      </c>
      <c r="J121" s="1" t="s">
        <v>55</v>
      </c>
    </row>
    <row r="122" spans="1:10" hidden="1" x14ac:dyDescent="0.25">
      <c r="A122" s="1" t="s">
        <v>180</v>
      </c>
      <c r="B122" s="1">
        <v>369</v>
      </c>
      <c r="C122" s="1" t="s">
        <v>557</v>
      </c>
      <c r="D122" s="1" t="s">
        <v>553</v>
      </c>
      <c r="E122" s="1" t="s">
        <v>115</v>
      </c>
      <c r="F122" s="1" t="s">
        <v>41</v>
      </c>
      <c r="G122" s="4">
        <v>0</v>
      </c>
      <c r="I122" s="1" t="s">
        <v>438</v>
      </c>
      <c r="J122" s="1" t="s">
        <v>55</v>
      </c>
    </row>
    <row r="123" spans="1:10" hidden="1" x14ac:dyDescent="0.25">
      <c r="A123" s="1" t="s">
        <v>180</v>
      </c>
      <c r="B123" s="1">
        <v>385</v>
      </c>
      <c r="C123" s="1" t="s">
        <v>558</v>
      </c>
      <c r="D123" s="1" t="s">
        <v>440</v>
      </c>
      <c r="E123" s="1" t="s">
        <v>559</v>
      </c>
      <c r="F123" s="1" t="s">
        <v>41</v>
      </c>
      <c r="G123" s="4">
        <v>0.64</v>
      </c>
      <c r="I123" s="1" t="s">
        <v>438</v>
      </c>
      <c r="J123" s="1" t="s">
        <v>55</v>
      </c>
    </row>
    <row r="124" spans="1:10" hidden="1" x14ac:dyDescent="0.25">
      <c r="A124" s="1" t="s">
        <v>180</v>
      </c>
      <c r="B124" s="1">
        <v>387</v>
      </c>
      <c r="C124" s="1" t="s">
        <v>562</v>
      </c>
      <c r="D124" s="1" t="s">
        <v>561</v>
      </c>
      <c r="E124" s="1" t="s">
        <v>105</v>
      </c>
      <c r="F124" s="1" t="s">
        <v>41</v>
      </c>
      <c r="G124" s="4">
        <v>0.5</v>
      </c>
      <c r="I124" s="1" t="s">
        <v>438</v>
      </c>
      <c r="J124" s="1" t="s">
        <v>55</v>
      </c>
    </row>
    <row r="125" spans="1:10" hidden="1" x14ac:dyDescent="0.25">
      <c r="A125" s="1" t="s">
        <v>67</v>
      </c>
      <c r="B125" s="1">
        <v>388</v>
      </c>
      <c r="C125" s="1" t="s">
        <v>563</v>
      </c>
      <c r="D125" s="1" t="s">
        <v>561</v>
      </c>
      <c r="E125" s="1" t="s">
        <v>109</v>
      </c>
      <c r="F125" s="1" t="s">
        <v>41</v>
      </c>
      <c r="G125" s="4">
        <v>0</v>
      </c>
      <c r="I125" s="1" t="s">
        <v>438</v>
      </c>
      <c r="J125" s="1" t="s">
        <v>55</v>
      </c>
    </row>
    <row r="126" spans="1:10" hidden="1" x14ac:dyDescent="0.25">
      <c r="A126" s="1" t="s">
        <v>67</v>
      </c>
      <c r="B126" s="1">
        <v>389</v>
      </c>
      <c r="C126" s="1" t="s">
        <v>565</v>
      </c>
      <c r="D126" s="1" t="s">
        <v>561</v>
      </c>
      <c r="E126" s="1" t="s">
        <v>115</v>
      </c>
      <c r="F126" s="1" t="s">
        <v>41</v>
      </c>
      <c r="G126" s="4">
        <v>0</v>
      </c>
      <c r="I126" s="1" t="s">
        <v>438</v>
      </c>
      <c r="J126" s="1" t="s">
        <v>55</v>
      </c>
    </row>
    <row r="127" spans="1:10" hidden="1" x14ac:dyDescent="0.25">
      <c r="A127" s="1" t="s">
        <v>136</v>
      </c>
      <c r="B127" s="1">
        <v>410</v>
      </c>
      <c r="C127" s="1" t="s">
        <v>567</v>
      </c>
      <c r="D127" s="1" t="s">
        <v>50</v>
      </c>
      <c r="E127" s="1" t="s">
        <v>568</v>
      </c>
      <c r="F127" s="1" t="s">
        <v>41</v>
      </c>
      <c r="G127" s="4">
        <v>0.72</v>
      </c>
      <c r="I127" s="1" t="s">
        <v>569</v>
      </c>
      <c r="J127" s="1" t="s">
        <v>44</v>
      </c>
    </row>
    <row r="128" spans="1:10" hidden="1" x14ac:dyDescent="0.25">
      <c r="A128" s="1" t="s">
        <v>73</v>
      </c>
      <c r="B128" s="1">
        <v>416</v>
      </c>
      <c r="C128" s="1" t="s">
        <v>570</v>
      </c>
      <c r="D128" s="1" t="s">
        <v>571</v>
      </c>
      <c r="E128" s="1" t="s">
        <v>572</v>
      </c>
      <c r="F128" s="1" t="s">
        <v>41</v>
      </c>
      <c r="G128" s="4">
        <v>0.88</v>
      </c>
      <c r="I128" s="1" t="s">
        <v>569</v>
      </c>
      <c r="J128" s="1" t="s">
        <v>55</v>
      </c>
    </row>
    <row r="129" spans="1:10" hidden="1" x14ac:dyDescent="0.25">
      <c r="A129" s="1" t="s">
        <v>180</v>
      </c>
      <c r="B129" s="1">
        <v>419</v>
      </c>
      <c r="C129" s="1" t="s">
        <v>579</v>
      </c>
      <c r="D129" s="1" t="s">
        <v>575</v>
      </c>
      <c r="E129" s="1" t="s">
        <v>109</v>
      </c>
      <c r="F129" s="1" t="s">
        <v>41</v>
      </c>
      <c r="G129" s="4">
        <v>0.5</v>
      </c>
      <c r="I129" s="1" t="s">
        <v>569</v>
      </c>
      <c r="J129" s="1" t="s">
        <v>55</v>
      </c>
    </row>
    <row r="130" spans="1:10" hidden="1" x14ac:dyDescent="0.25">
      <c r="A130" s="1" t="s">
        <v>180</v>
      </c>
      <c r="B130" s="1">
        <v>420</v>
      </c>
      <c r="C130" s="1" t="s">
        <v>581</v>
      </c>
      <c r="D130" s="1" t="s">
        <v>575</v>
      </c>
      <c r="E130" s="1" t="s">
        <v>115</v>
      </c>
      <c r="F130" s="1" t="s">
        <v>41</v>
      </c>
      <c r="G130" s="4">
        <v>0</v>
      </c>
      <c r="I130" s="1" t="s">
        <v>569</v>
      </c>
      <c r="J130" s="1" t="s">
        <v>55</v>
      </c>
    </row>
    <row r="131" spans="1:10" hidden="1" x14ac:dyDescent="0.25">
      <c r="A131" s="1" t="s">
        <v>73</v>
      </c>
      <c r="B131" s="1">
        <v>421</v>
      </c>
      <c r="C131" s="1" t="s">
        <v>582</v>
      </c>
      <c r="D131" s="1" t="s">
        <v>571</v>
      </c>
      <c r="E131" s="1" t="s">
        <v>583</v>
      </c>
      <c r="F131" s="1" t="s">
        <v>41</v>
      </c>
      <c r="G131" s="4">
        <v>0.5</v>
      </c>
      <c r="I131" s="1" t="s">
        <v>569</v>
      </c>
      <c r="J131" s="1" t="s">
        <v>55</v>
      </c>
    </row>
    <row r="132" spans="1:10" hidden="1" x14ac:dyDescent="0.25">
      <c r="A132" s="1" t="s">
        <v>73</v>
      </c>
      <c r="B132" s="1">
        <v>423</v>
      </c>
      <c r="C132" s="1" t="s">
        <v>586</v>
      </c>
      <c r="D132" s="1" t="s">
        <v>585</v>
      </c>
      <c r="E132" s="1" t="s">
        <v>105</v>
      </c>
      <c r="F132" s="1" t="s">
        <v>41</v>
      </c>
      <c r="G132" s="4">
        <v>0</v>
      </c>
      <c r="I132" s="1" t="s">
        <v>569</v>
      </c>
      <c r="J132" s="1" t="s">
        <v>55</v>
      </c>
    </row>
    <row r="133" spans="1:10" hidden="1" x14ac:dyDescent="0.25">
      <c r="A133" s="1" t="s">
        <v>180</v>
      </c>
      <c r="B133" s="1">
        <v>424</v>
      </c>
      <c r="C133" s="1" t="s">
        <v>587</v>
      </c>
      <c r="D133" s="1" t="s">
        <v>585</v>
      </c>
      <c r="E133" s="1" t="s">
        <v>109</v>
      </c>
      <c r="F133" s="1" t="s">
        <v>41</v>
      </c>
      <c r="G133" s="4">
        <v>0</v>
      </c>
      <c r="I133" s="1" t="s">
        <v>569</v>
      </c>
      <c r="J133" s="1" t="s">
        <v>55</v>
      </c>
    </row>
    <row r="134" spans="1:10" hidden="1" x14ac:dyDescent="0.25">
      <c r="A134" s="1" t="s">
        <v>180</v>
      </c>
      <c r="B134" s="1">
        <v>425</v>
      </c>
      <c r="C134" s="1" t="s">
        <v>588</v>
      </c>
      <c r="D134" s="1" t="s">
        <v>585</v>
      </c>
      <c r="E134" s="1" t="s">
        <v>115</v>
      </c>
      <c r="F134" s="1" t="s">
        <v>41</v>
      </c>
      <c r="G134" s="4">
        <v>0</v>
      </c>
      <c r="I134" s="1" t="s">
        <v>569</v>
      </c>
      <c r="J134" s="1" t="s">
        <v>55</v>
      </c>
    </row>
    <row r="135" spans="1:10" hidden="1" x14ac:dyDescent="0.25">
      <c r="A135" s="1" t="s">
        <v>76</v>
      </c>
      <c r="B135" s="1">
        <v>426</v>
      </c>
      <c r="C135" s="1" t="s">
        <v>589</v>
      </c>
      <c r="D135" s="1" t="s">
        <v>571</v>
      </c>
      <c r="E135" s="1" t="s">
        <v>590</v>
      </c>
      <c r="F135" s="1" t="s">
        <v>41</v>
      </c>
      <c r="G135" s="4">
        <v>0.5</v>
      </c>
      <c r="I135" s="1" t="s">
        <v>569</v>
      </c>
      <c r="J135" s="1" t="s">
        <v>55</v>
      </c>
    </row>
    <row r="136" spans="1:10" hidden="1" x14ac:dyDescent="0.25">
      <c r="A136" s="1" t="s">
        <v>73</v>
      </c>
      <c r="B136" s="1">
        <v>428</v>
      </c>
      <c r="C136" s="1" t="s">
        <v>595</v>
      </c>
      <c r="D136" s="1" t="s">
        <v>592</v>
      </c>
      <c r="E136" s="1" t="s">
        <v>105</v>
      </c>
      <c r="F136" s="1" t="s">
        <v>41</v>
      </c>
      <c r="G136" s="4">
        <v>0</v>
      </c>
      <c r="I136" s="1" t="s">
        <v>569</v>
      </c>
      <c r="J136" s="1" t="s">
        <v>55</v>
      </c>
    </row>
    <row r="137" spans="1:10" hidden="1" x14ac:dyDescent="0.25">
      <c r="A137" s="1" t="s">
        <v>73</v>
      </c>
      <c r="B137" s="1">
        <v>429</v>
      </c>
      <c r="C137" s="1" t="s">
        <v>596</v>
      </c>
      <c r="D137" s="1" t="s">
        <v>592</v>
      </c>
      <c r="E137" s="1" t="s">
        <v>109</v>
      </c>
      <c r="F137" s="1" t="s">
        <v>41</v>
      </c>
      <c r="G137" s="4">
        <v>0</v>
      </c>
      <c r="I137" s="1" t="s">
        <v>569</v>
      </c>
      <c r="J137" s="1" t="s">
        <v>55</v>
      </c>
    </row>
    <row r="138" spans="1:10" hidden="1" x14ac:dyDescent="0.25">
      <c r="A138" s="1" t="s">
        <v>73</v>
      </c>
      <c r="B138" s="1">
        <v>430</v>
      </c>
      <c r="C138" s="1" t="s">
        <v>597</v>
      </c>
      <c r="D138" s="1" t="s">
        <v>592</v>
      </c>
      <c r="E138" s="1" t="s">
        <v>115</v>
      </c>
      <c r="F138" s="1" t="s">
        <v>232</v>
      </c>
      <c r="G138" s="4">
        <v>0</v>
      </c>
      <c r="I138" s="1" t="s">
        <v>569</v>
      </c>
      <c r="J138" s="1" t="s">
        <v>55</v>
      </c>
    </row>
    <row r="139" spans="1:10" hidden="1" x14ac:dyDescent="0.25">
      <c r="A139" s="1" t="s">
        <v>180</v>
      </c>
      <c r="B139" s="1">
        <v>441</v>
      </c>
      <c r="C139" s="1" t="s">
        <v>598</v>
      </c>
      <c r="D139" s="1" t="s">
        <v>571</v>
      </c>
      <c r="E139" s="1" t="s">
        <v>599</v>
      </c>
      <c r="F139" s="1" t="s">
        <v>232</v>
      </c>
      <c r="G139" s="4">
        <v>0.73</v>
      </c>
      <c r="I139" s="1" t="s">
        <v>569</v>
      </c>
      <c r="J139" s="1" t="s">
        <v>55</v>
      </c>
    </row>
    <row r="140" spans="1:10" hidden="1" x14ac:dyDescent="0.25">
      <c r="A140" s="1" t="s">
        <v>67</v>
      </c>
      <c r="B140" s="1">
        <v>443</v>
      </c>
      <c r="C140" s="1" t="s">
        <v>603</v>
      </c>
      <c r="D140" s="1" t="s">
        <v>601</v>
      </c>
      <c r="E140" s="1" t="s">
        <v>105</v>
      </c>
      <c r="F140" s="1" t="s">
        <v>83</v>
      </c>
      <c r="G140" s="4">
        <v>0</v>
      </c>
      <c r="I140" s="1" t="s">
        <v>569</v>
      </c>
      <c r="J140" s="1" t="s">
        <v>55</v>
      </c>
    </row>
    <row r="141" spans="1:10" hidden="1" x14ac:dyDescent="0.25">
      <c r="A141" s="1" t="s">
        <v>73</v>
      </c>
      <c r="B141" s="1">
        <v>446</v>
      </c>
      <c r="C141" s="1" t="s">
        <v>606</v>
      </c>
      <c r="D141" s="1" t="s">
        <v>571</v>
      </c>
      <c r="E141" s="1" t="s">
        <v>607</v>
      </c>
      <c r="F141" s="1" t="s">
        <v>41</v>
      </c>
      <c r="G141" s="4">
        <v>0.46</v>
      </c>
      <c r="I141" s="1" t="s">
        <v>569</v>
      </c>
      <c r="J141" s="1" t="s">
        <v>55</v>
      </c>
    </row>
    <row r="142" spans="1:10" hidden="1" x14ac:dyDescent="0.25">
      <c r="A142" s="1" t="s">
        <v>180</v>
      </c>
      <c r="B142" s="1">
        <v>448</v>
      </c>
      <c r="C142" s="1" t="s">
        <v>612</v>
      </c>
      <c r="D142" s="1" t="s">
        <v>610</v>
      </c>
      <c r="E142" s="1" t="s">
        <v>105</v>
      </c>
      <c r="F142" s="1" t="s">
        <v>41</v>
      </c>
      <c r="G142" s="4">
        <v>0</v>
      </c>
      <c r="I142" s="1" t="s">
        <v>569</v>
      </c>
      <c r="J142" s="1" t="s">
        <v>55</v>
      </c>
    </row>
    <row r="143" spans="1:10" hidden="1" x14ac:dyDescent="0.25">
      <c r="A143" s="1" t="s">
        <v>180</v>
      </c>
      <c r="B143" s="1">
        <v>449</v>
      </c>
      <c r="C143" s="1" t="s">
        <v>613</v>
      </c>
      <c r="D143" s="1" t="s">
        <v>610</v>
      </c>
      <c r="E143" s="1" t="s">
        <v>109</v>
      </c>
      <c r="F143" s="1" t="s">
        <v>41</v>
      </c>
      <c r="G143" s="4">
        <v>0</v>
      </c>
      <c r="I143" s="1" t="s">
        <v>569</v>
      </c>
      <c r="J143" s="1" t="s">
        <v>55</v>
      </c>
    </row>
    <row r="144" spans="1:10" hidden="1" x14ac:dyDescent="0.25">
      <c r="A144" s="1" t="s">
        <v>180</v>
      </c>
      <c r="B144" s="1">
        <v>450</v>
      </c>
      <c r="C144" s="1" t="s">
        <v>615</v>
      </c>
      <c r="D144" s="1" t="s">
        <v>610</v>
      </c>
      <c r="E144" s="1" t="s">
        <v>115</v>
      </c>
      <c r="F144" s="1" t="s">
        <v>41</v>
      </c>
      <c r="G144" s="4">
        <v>0</v>
      </c>
      <c r="I144" s="1" t="s">
        <v>569</v>
      </c>
      <c r="J144" s="1" t="s">
        <v>55</v>
      </c>
    </row>
    <row r="145" spans="1:10" hidden="1" x14ac:dyDescent="0.25">
      <c r="A145" s="1" t="s">
        <v>136</v>
      </c>
      <c r="B145" s="1">
        <v>451</v>
      </c>
      <c r="C145" s="1" t="s">
        <v>617</v>
      </c>
      <c r="D145" s="1" t="s">
        <v>571</v>
      </c>
      <c r="E145" s="1" t="s">
        <v>618</v>
      </c>
      <c r="F145" s="1" t="s">
        <v>41</v>
      </c>
      <c r="G145" s="4">
        <v>0.6</v>
      </c>
      <c r="I145" s="1" t="s">
        <v>569</v>
      </c>
      <c r="J145" s="1" t="s">
        <v>55</v>
      </c>
    </row>
    <row r="146" spans="1:10" hidden="1" x14ac:dyDescent="0.25">
      <c r="A146" s="1" t="s">
        <v>76</v>
      </c>
      <c r="B146" s="1">
        <v>453</v>
      </c>
      <c r="C146" s="1" t="s">
        <v>622</v>
      </c>
      <c r="D146" s="1" t="s">
        <v>620</v>
      </c>
      <c r="E146" s="1" t="s">
        <v>105</v>
      </c>
      <c r="F146" s="1" t="s">
        <v>41</v>
      </c>
      <c r="G146" s="4">
        <v>0</v>
      </c>
      <c r="I146" s="1" t="s">
        <v>569</v>
      </c>
      <c r="J146" s="1" t="s">
        <v>55</v>
      </c>
    </row>
    <row r="147" spans="1:10" hidden="1" x14ac:dyDescent="0.25">
      <c r="A147" s="1" t="s">
        <v>76</v>
      </c>
      <c r="B147" s="1">
        <v>454</v>
      </c>
      <c r="C147" s="1" t="s">
        <v>623</v>
      </c>
      <c r="D147" s="1" t="s">
        <v>620</v>
      </c>
      <c r="E147" s="1" t="s">
        <v>109</v>
      </c>
      <c r="F147" s="1" t="s">
        <v>41</v>
      </c>
      <c r="G147" s="4">
        <v>0</v>
      </c>
      <c r="I147" s="1" t="s">
        <v>569</v>
      </c>
      <c r="J147" s="1" t="s">
        <v>55</v>
      </c>
    </row>
    <row r="148" spans="1:10" hidden="1" x14ac:dyDescent="0.25">
      <c r="A148" s="1" t="s">
        <v>73</v>
      </c>
      <c r="B148" s="1">
        <v>455</v>
      </c>
      <c r="C148" s="1" t="s">
        <v>624</v>
      </c>
      <c r="D148" s="1" t="s">
        <v>620</v>
      </c>
      <c r="E148" s="1" t="s">
        <v>115</v>
      </c>
      <c r="F148" s="1" t="s">
        <v>41</v>
      </c>
      <c r="G148" s="4">
        <v>0</v>
      </c>
      <c r="I148" s="1" t="s">
        <v>569</v>
      </c>
      <c r="J148" s="1" t="s">
        <v>55</v>
      </c>
    </row>
    <row r="149" spans="1:10" hidden="1" x14ac:dyDescent="0.25">
      <c r="A149" s="1" t="s">
        <v>119</v>
      </c>
      <c r="B149" s="1">
        <v>456</v>
      </c>
      <c r="C149" s="1" t="s">
        <v>625</v>
      </c>
      <c r="D149" s="1" t="s">
        <v>571</v>
      </c>
      <c r="E149" s="1" t="s">
        <v>626</v>
      </c>
      <c r="F149" s="1" t="s">
        <v>41</v>
      </c>
      <c r="G149" s="4">
        <v>0.6</v>
      </c>
      <c r="I149" s="1" t="s">
        <v>569</v>
      </c>
      <c r="J149" s="1" t="s">
        <v>55</v>
      </c>
    </row>
    <row r="150" spans="1:10" hidden="1" x14ac:dyDescent="0.25">
      <c r="A150" s="1" t="s">
        <v>73</v>
      </c>
      <c r="B150" s="1">
        <v>458</v>
      </c>
      <c r="C150" s="1" t="s">
        <v>629</v>
      </c>
      <c r="D150" s="1" t="s">
        <v>628</v>
      </c>
      <c r="E150" s="1" t="s">
        <v>105</v>
      </c>
      <c r="F150" s="1" t="s">
        <v>41</v>
      </c>
      <c r="G150" s="4">
        <v>0</v>
      </c>
      <c r="I150" s="1" t="s">
        <v>569</v>
      </c>
      <c r="J150" s="1" t="s">
        <v>55</v>
      </c>
    </row>
    <row r="151" spans="1:10" hidden="1" x14ac:dyDescent="0.25">
      <c r="A151" s="1" t="s">
        <v>73</v>
      </c>
      <c r="B151" s="1">
        <v>459</v>
      </c>
      <c r="C151" s="1" t="s">
        <v>630</v>
      </c>
      <c r="D151" s="1" t="s">
        <v>628</v>
      </c>
      <c r="E151" s="1" t="s">
        <v>109</v>
      </c>
      <c r="F151" s="1" t="s">
        <v>41</v>
      </c>
      <c r="G151" s="4">
        <v>0</v>
      </c>
      <c r="I151" s="1" t="s">
        <v>569</v>
      </c>
      <c r="J151" s="1" t="s">
        <v>55</v>
      </c>
    </row>
    <row r="152" spans="1:10" hidden="1" x14ac:dyDescent="0.25">
      <c r="A152" s="1" t="s">
        <v>73</v>
      </c>
      <c r="B152" s="1">
        <v>460</v>
      </c>
      <c r="C152" s="1" t="s">
        <v>631</v>
      </c>
      <c r="D152" s="1" t="s">
        <v>628</v>
      </c>
      <c r="E152" s="1" t="s">
        <v>115</v>
      </c>
      <c r="F152" s="1" t="s">
        <v>41</v>
      </c>
      <c r="G152" s="4">
        <v>0</v>
      </c>
      <c r="I152" s="1" t="s">
        <v>569</v>
      </c>
      <c r="J152" s="1" t="s">
        <v>55</v>
      </c>
    </row>
    <row r="153" spans="1:10" hidden="1" x14ac:dyDescent="0.25">
      <c r="A153" s="1" t="s">
        <v>180</v>
      </c>
      <c r="B153" s="1">
        <v>461</v>
      </c>
      <c r="C153" s="1" t="s">
        <v>632</v>
      </c>
      <c r="D153" s="1" t="s">
        <v>571</v>
      </c>
      <c r="E153" s="1" t="s">
        <v>633</v>
      </c>
      <c r="F153" s="1" t="s">
        <v>41</v>
      </c>
      <c r="G153" s="4">
        <v>0.36</v>
      </c>
      <c r="I153" s="1" t="s">
        <v>569</v>
      </c>
      <c r="J153" s="1" t="s">
        <v>55</v>
      </c>
    </row>
    <row r="154" spans="1:10" hidden="1" x14ac:dyDescent="0.25">
      <c r="A154" s="1" t="s">
        <v>180</v>
      </c>
      <c r="B154" s="1">
        <v>463</v>
      </c>
      <c r="C154" s="1" t="s">
        <v>636</v>
      </c>
      <c r="D154" s="1" t="s">
        <v>635</v>
      </c>
      <c r="E154" s="1" t="s">
        <v>105</v>
      </c>
      <c r="F154" s="1" t="s">
        <v>41</v>
      </c>
      <c r="G154" s="4">
        <v>0</v>
      </c>
      <c r="I154" s="1" t="s">
        <v>569</v>
      </c>
      <c r="J154" s="1" t="s">
        <v>55</v>
      </c>
    </row>
    <row r="155" spans="1:10" hidden="1" x14ac:dyDescent="0.25">
      <c r="A155" s="1" t="s">
        <v>67</v>
      </c>
      <c r="B155" s="1">
        <v>464</v>
      </c>
      <c r="C155" s="1" t="s">
        <v>637</v>
      </c>
      <c r="D155" s="1" t="s">
        <v>635</v>
      </c>
      <c r="E155" s="1" t="s">
        <v>109</v>
      </c>
      <c r="F155" s="1" t="s">
        <v>41</v>
      </c>
      <c r="G155" s="4">
        <v>0</v>
      </c>
      <c r="I155" s="1" t="s">
        <v>569</v>
      </c>
      <c r="J155" s="1" t="s">
        <v>55</v>
      </c>
    </row>
    <row r="156" spans="1:10" hidden="1" x14ac:dyDescent="0.25">
      <c r="A156" s="1" t="s">
        <v>67</v>
      </c>
      <c r="B156" s="1">
        <v>465</v>
      </c>
      <c r="C156" s="1" t="s">
        <v>638</v>
      </c>
      <c r="D156" s="1" t="s">
        <v>635</v>
      </c>
      <c r="E156" s="1" t="s">
        <v>115</v>
      </c>
      <c r="F156" s="1" t="s">
        <v>232</v>
      </c>
      <c r="G156" s="4">
        <v>0</v>
      </c>
      <c r="I156" s="1" t="s">
        <v>569</v>
      </c>
      <c r="J156" s="1" t="s">
        <v>55</v>
      </c>
    </row>
    <row r="157" spans="1:10" hidden="1" x14ac:dyDescent="0.25">
      <c r="A157" s="1" t="s">
        <v>180</v>
      </c>
      <c r="B157" s="1">
        <v>466</v>
      </c>
      <c r="C157" s="1" t="s">
        <v>639</v>
      </c>
      <c r="D157" s="1" t="s">
        <v>571</v>
      </c>
      <c r="E157" s="1" t="s">
        <v>640</v>
      </c>
      <c r="F157" s="1" t="s">
        <v>41</v>
      </c>
      <c r="G157" s="4">
        <v>0.5</v>
      </c>
      <c r="I157" s="1" t="s">
        <v>569</v>
      </c>
      <c r="J157" s="1" t="s">
        <v>55</v>
      </c>
    </row>
    <row r="158" spans="1:10" hidden="1" x14ac:dyDescent="0.25">
      <c r="A158" s="1" t="s">
        <v>180</v>
      </c>
      <c r="B158" s="1">
        <v>468</v>
      </c>
      <c r="C158" s="1" t="s">
        <v>643</v>
      </c>
      <c r="D158" s="1" t="s">
        <v>642</v>
      </c>
      <c r="E158" s="1" t="s">
        <v>105</v>
      </c>
      <c r="F158" s="1" t="s">
        <v>41</v>
      </c>
      <c r="G158" s="4">
        <v>0</v>
      </c>
      <c r="I158" s="1" t="s">
        <v>569</v>
      </c>
      <c r="J158" s="1" t="s">
        <v>55</v>
      </c>
    </row>
    <row r="159" spans="1:10" hidden="1" x14ac:dyDescent="0.25">
      <c r="A159" s="1" t="s">
        <v>180</v>
      </c>
      <c r="B159" s="1">
        <v>469</v>
      </c>
      <c r="C159" s="1" t="s">
        <v>644</v>
      </c>
      <c r="D159" s="1" t="s">
        <v>642</v>
      </c>
      <c r="E159" s="1" t="s">
        <v>109</v>
      </c>
      <c r="F159" s="1" t="s">
        <v>41</v>
      </c>
      <c r="G159" s="4">
        <v>0</v>
      </c>
      <c r="I159" s="1" t="s">
        <v>569</v>
      </c>
      <c r="J159" s="1" t="s">
        <v>55</v>
      </c>
    </row>
    <row r="160" spans="1:10" hidden="1" x14ac:dyDescent="0.25">
      <c r="A160" s="1" t="s">
        <v>67</v>
      </c>
      <c r="B160" s="1">
        <v>470</v>
      </c>
      <c r="C160" s="1" t="s">
        <v>645</v>
      </c>
      <c r="D160" s="1" t="s">
        <v>642</v>
      </c>
      <c r="E160" s="1" t="s">
        <v>115</v>
      </c>
      <c r="F160" s="1" t="s">
        <v>41</v>
      </c>
      <c r="G160" s="4">
        <v>0</v>
      </c>
      <c r="I160" s="1" t="s">
        <v>569</v>
      </c>
      <c r="J160" s="1" t="s">
        <v>55</v>
      </c>
    </row>
    <row r="161" spans="1:10" hidden="1" x14ac:dyDescent="0.25">
      <c r="A161" s="1" t="s">
        <v>180</v>
      </c>
      <c r="B161" s="1">
        <v>471</v>
      </c>
      <c r="C161" s="1" t="s">
        <v>646</v>
      </c>
      <c r="D161" s="1" t="s">
        <v>571</v>
      </c>
      <c r="E161" s="1" t="s">
        <v>647</v>
      </c>
      <c r="F161" s="1" t="s">
        <v>41</v>
      </c>
      <c r="G161" s="4">
        <v>0.5</v>
      </c>
      <c r="I161" s="1" t="s">
        <v>569</v>
      </c>
      <c r="J161" s="1" t="s">
        <v>55</v>
      </c>
    </row>
    <row r="162" spans="1:10" hidden="1" x14ac:dyDescent="0.25">
      <c r="A162" s="1" t="s">
        <v>180</v>
      </c>
      <c r="B162" s="1">
        <v>473</v>
      </c>
      <c r="C162" s="1" t="s">
        <v>650</v>
      </c>
      <c r="D162" s="1" t="s">
        <v>649</v>
      </c>
      <c r="E162" s="1" t="s">
        <v>105</v>
      </c>
      <c r="F162" s="1" t="s">
        <v>41</v>
      </c>
      <c r="G162" s="4">
        <v>0</v>
      </c>
      <c r="I162" s="1" t="s">
        <v>569</v>
      </c>
      <c r="J162" s="1" t="s">
        <v>55</v>
      </c>
    </row>
    <row r="163" spans="1:10" hidden="1" x14ac:dyDescent="0.25">
      <c r="A163" s="1" t="s">
        <v>180</v>
      </c>
      <c r="B163" s="1">
        <v>474</v>
      </c>
      <c r="C163" s="1" t="s">
        <v>651</v>
      </c>
      <c r="D163" s="1" t="s">
        <v>649</v>
      </c>
      <c r="E163" s="1" t="s">
        <v>109</v>
      </c>
      <c r="F163" s="1" t="s">
        <v>41</v>
      </c>
      <c r="G163" s="4">
        <v>0</v>
      </c>
      <c r="I163" s="1" t="s">
        <v>569</v>
      </c>
      <c r="J163" s="1" t="s">
        <v>55</v>
      </c>
    </row>
    <row r="164" spans="1:10" hidden="1" x14ac:dyDescent="0.25">
      <c r="A164" s="1" t="s">
        <v>67</v>
      </c>
      <c r="B164" s="1">
        <v>475</v>
      </c>
      <c r="C164" s="1" t="s">
        <v>652</v>
      </c>
      <c r="D164" s="1" t="s">
        <v>649</v>
      </c>
      <c r="E164" s="1" t="s">
        <v>115</v>
      </c>
      <c r="F164" s="1" t="s">
        <v>41</v>
      </c>
      <c r="G164" s="4">
        <v>0</v>
      </c>
      <c r="I164" s="1" t="s">
        <v>569</v>
      </c>
      <c r="J164" s="1" t="s">
        <v>55</v>
      </c>
    </row>
    <row r="165" spans="1:10" hidden="1" x14ac:dyDescent="0.25">
      <c r="A165" s="1" t="s">
        <v>73</v>
      </c>
      <c r="B165" s="1">
        <v>481</v>
      </c>
      <c r="C165" s="1" t="s">
        <v>653</v>
      </c>
      <c r="D165" s="1" t="s">
        <v>571</v>
      </c>
      <c r="E165" s="1" t="s">
        <v>654</v>
      </c>
      <c r="F165" s="1" t="s">
        <v>232</v>
      </c>
      <c r="G165" s="4">
        <v>0.5</v>
      </c>
      <c r="I165" s="1" t="s">
        <v>569</v>
      </c>
      <c r="J165" s="1" t="s">
        <v>55</v>
      </c>
    </row>
    <row r="166" spans="1:10" hidden="1" x14ac:dyDescent="0.25">
      <c r="A166" s="1" t="s">
        <v>180</v>
      </c>
      <c r="B166" s="1">
        <v>483</v>
      </c>
      <c r="C166" s="1" t="s">
        <v>658</v>
      </c>
      <c r="D166" s="1" t="s">
        <v>656</v>
      </c>
      <c r="E166" s="1" t="s">
        <v>105</v>
      </c>
      <c r="F166" s="1" t="s">
        <v>232</v>
      </c>
      <c r="G166" s="4">
        <v>0</v>
      </c>
      <c r="I166" s="1" t="s">
        <v>569</v>
      </c>
      <c r="J166" s="1" t="s">
        <v>55</v>
      </c>
    </row>
    <row r="167" spans="1:10" hidden="1" x14ac:dyDescent="0.25">
      <c r="A167" s="1" t="s">
        <v>180</v>
      </c>
      <c r="B167" s="1">
        <v>484</v>
      </c>
      <c r="C167" s="1" t="s">
        <v>659</v>
      </c>
      <c r="D167" s="1" t="s">
        <v>656</v>
      </c>
      <c r="E167" s="1" t="s">
        <v>109</v>
      </c>
      <c r="F167" s="1" t="s">
        <v>83</v>
      </c>
      <c r="G167" s="4">
        <v>0</v>
      </c>
      <c r="I167" s="1" t="s">
        <v>569</v>
      </c>
      <c r="J167" s="1" t="s">
        <v>55</v>
      </c>
    </row>
    <row r="168" spans="1:10" hidden="1" x14ac:dyDescent="0.25">
      <c r="A168" s="1" t="s">
        <v>180</v>
      </c>
      <c r="B168" s="1">
        <v>496</v>
      </c>
      <c r="C168" s="1" t="s">
        <v>661</v>
      </c>
      <c r="D168" s="1" t="s">
        <v>571</v>
      </c>
      <c r="E168" s="1" t="s">
        <v>662</v>
      </c>
      <c r="F168" s="1" t="s">
        <v>232</v>
      </c>
      <c r="G168" s="4">
        <v>0.67</v>
      </c>
      <c r="I168" s="1" t="s">
        <v>569</v>
      </c>
      <c r="J168" s="1" t="s">
        <v>55</v>
      </c>
    </row>
    <row r="169" spans="1:10" hidden="1" x14ac:dyDescent="0.25">
      <c r="A169" s="1" t="s">
        <v>67</v>
      </c>
      <c r="B169" s="1">
        <v>498</v>
      </c>
      <c r="C169" s="1" t="s">
        <v>667</v>
      </c>
      <c r="D169" s="1" t="s">
        <v>664</v>
      </c>
      <c r="E169" s="1" t="s">
        <v>105</v>
      </c>
      <c r="F169" s="1" t="s">
        <v>83</v>
      </c>
      <c r="G169" s="4">
        <v>0</v>
      </c>
      <c r="I169" s="1" t="s">
        <v>569</v>
      </c>
      <c r="J169" s="1" t="s">
        <v>55</v>
      </c>
    </row>
    <row r="170" spans="1:10" hidden="1" x14ac:dyDescent="0.25">
      <c r="A170" s="1" t="s">
        <v>73</v>
      </c>
      <c r="B170" s="1">
        <v>501</v>
      </c>
      <c r="C170" s="1" t="s">
        <v>670</v>
      </c>
      <c r="D170" s="1" t="s">
        <v>571</v>
      </c>
      <c r="E170" s="1" t="s">
        <v>671</v>
      </c>
      <c r="F170" s="1" t="s">
        <v>41</v>
      </c>
      <c r="G170" s="4">
        <v>0</v>
      </c>
      <c r="I170" s="1" t="s">
        <v>569</v>
      </c>
      <c r="J170" s="1" t="s">
        <v>55</v>
      </c>
    </row>
    <row r="171" spans="1:10" x14ac:dyDescent="0.25">
      <c r="A171" s="1" t="s">
        <v>73</v>
      </c>
      <c r="B171" s="1">
        <v>502</v>
      </c>
      <c r="C171" s="1" t="s">
        <v>672</v>
      </c>
      <c r="D171" s="1" t="s">
        <v>673</v>
      </c>
      <c r="E171" s="1" t="s">
        <v>101</v>
      </c>
      <c r="F171" s="1" t="s">
        <v>41</v>
      </c>
      <c r="G171" s="4">
        <v>0</v>
      </c>
      <c r="I171" s="1" t="s">
        <v>569</v>
      </c>
      <c r="J171" s="1" t="s">
        <v>55</v>
      </c>
    </row>
    <row r="172" spans="1:10" hidden="1" x14ac:dyDescent="0.25">
      <c r="A172" s="1" t="s">
        <v>180</v>
      </c>
      <c r="B172" s="1">
        <v>503</v>
      </c>
      <c r="C172" s="1" t="s">
        <v>674</v>
      </c>
      <c r="D172" s="1" t="s">
        <v>673</v>
      </c>
      <c r="E172" s="1" t="s">
        <v>105</v>
      </c>
      <c r="F172" s="1" t="s">
        <v>41</v>
      </c>
      <c r="G172" s="4">
        <v>0</v>
      </c>
      <c r="I172" s="1" t="s">
        <v>569</v>
      </c>
      <c r="J172" s="1" t="s">
        <v>55</v>
      </c>
    </row>
    <row r="173" spans="1:10" hidden="1" x14ac:dyDescent="0.25">
      <c r="A173" s="1" t="s">
        <v>180</v>
      </c>
      <c r="B173" s="1">
        <v>504</v>
      </c>
      <c r="C173" s="1" t="s">
        <v>675</v>
      </c>
      <c r="D173" s="1" t="s">
        <v>673</v>
      </c>
      <c r="E173" s="1" t="s">
        <v>109</v>
      </c>
      <c r="F173" s="1" t="s">
        <v>232</v>
      </c>
      <c r="G173" s="4">
        <v>0</v>
      </c>
      <c r="I173" s="1" t="s">
        <v>569</v>
      </c>
      <c r="J173" s="1" t="s">
        <v>55</v>
      </c>
    </row>
    <row r="174" spans="1:10" hidden="1" x14ac:dyDescent="0.25">
      <c r="A174" s="1" t="s">
        <v>180</v>
      </c>
      <c r="B174" s="1">
        <v>505</v>
      </c>
      <c r="C174" s="1" t="s">
        <v>676</v>
      </c>
      <c r="D174" s="1" t="s">
        <v>673</v>
      </c>
      <c r="E174" s="1" t="s">
        <v>115</v>
      </c>
      <c r="F174" s="1" t="s">
        <v>83</v>
      </c>
      <c r="G174" s="4">
        <v>0</v>
      </c>
      <c r="I174" s="1" t="s">
        <v>569</v>
      </c>
      <c r="J174" s="1" t="s">
        <v>55</v>
      </c>
    </row>
    <row r="175" spans="1:10" hidden="1" x14ac:dyDescent="0.25">
      <c r="A175" s="1" t="s">
        <v>73</v>
      </c>
      <c r="B175" s="1">
        <v>506</v>
      </c>
      <c r="C175" s="1" t="s">
        <v>677</v>
      </c>
      <c r="D175" s="1" t="s">
        <v>571</v>
      </c>
      <c r="E175" s="1" t="s">
        <v>678</v>
      </c>
      <c r="F175" s="1" t="s">
        <v>41</v>
      </c>
      <c r="G175" s="4">
        <v>0.8</v>
      </c>
      <c r="I175" s="1" t="s">
        <v>569</v>
      </c>
      <c r="J175" s="1" t="s">
        <v>55</v>
      </c>
    </row>
    <row r="176" spans="1:10" hidden="1" x14ac:dyDescent="0.25">
      <c r="A176" s="1" t="s">
        <v>67</v>
      </c>
      <c r="B176" s="1">
        <v>509</v>
      </c>
      <c r="C176" s="1" t="s">
        <v>685</v>
      </c>
      <c r="D176" s="1" t="s">
        <v>681</v>
      </c>
      <c r="E176" s="1" t="s">
        <v>109</v>
      </c>
      <c r="F176" s="1" t="s">
        <v>41</v>
      </c>
      <c r="G176" s="4">
        <v>0</v>
      </c>
      <c r="I176" s="1" t="s">
        <v>569</v>
      </c>
      <c r="J176" s="1" t="s">
        <v>55</v>
      </c>
    </row>
    <row r="177" spans="1:10" hidden="1" x14ac:dyDescent="0.25">
      <c r="A177" s="1" t="s">
        <v>67</v>
      </c>
      <c r="B177" s="1">
        <v>510</v>
      </c>
      <c r="C177" s="1" t="s">
        <v>687</v>
      </c>
      <c r="D177" s="1" t="s">
        <v>681</v>
      </c>
      <c r="E177" s="1" t="s">
        <v>115</v>
      </c>
      <c r="F177" s="1" t="s">
        <v>83</v>
      </c>
      <c r="G177" s="4">
        <v>0</v>
      </c>
      <c r="I177" s="1" t="s">
        <v>569</v>
      </c>
      <c r="J177" s="1" t="s">
        <v>55</v>
      </c>
    </row>
    <row r="178" spans="1:10" hidden="1" x14ac:dyDescent="0.25">
      <c r="A178" s="1" t="s">
        <v>73</v>
      </c>
      <c r="B178" s="1">
        <v>511</v>
      </c>
      <c r="C178" s="1" t="s">
        <v>689</v>
      </c>
      <c r="D178" s="1" t="s">
        <v>571</v>
      </c>
      <c r="E178" s="1" t="s">
        <v>690</v>
      </c>
      <c r="F178" s="1" t="s">
        <v>41</v>
      </c>
      <c r="G178" s="4">
        <v>0.8</v>
      </c>
      <c r="I178" s="1" t="s">
        <v>569</v>
      </c>
      <c r="J178" s="1" t="s">
        <v>55</v>
      </c>
    </row>
    <row r="179" spans="1:10" hidden="1" x14ac:dyDescent="0.25">
      <c r="A179" s="1" t="s">
        <v>67</v>
      </c>
      <c r="B179" s="1">
        <v>514</v>
      </c>
      <c r="C179" s="1" t="s">
        <v>695</v>
      </c>
      <c r="D179" s="1" t="s">
        <v>692</v>
      </c>
      <c r="E179" s="1" t="s">
        <v>109</v>
      </c>
      <c r="F179" s="1" t="s">
        <v>41</v>
      </c>
      <c r="G179" s="4">
        <v>0</v>
      </c>
      <c r="I179" s="1" t="s">
        <v>569</v>
      </c>
      <c r="J179" s="1" t="s">
        <v>55</v>
      </c>
    </row>
    <row r="180" spans="1:10" hidden="1" x14ac:dyDescent="0.25">
      <c r="A180" s="1" t="s">
        <v>67</v>
      </c>
      <c r="B180" s="1">
        <v>515</v>
      </c>
      <c r="C180" s="1" t="s">
        <v>696</v>
      </c>
      <c r="D180" s="1" t="s">
        <v>692</v>
      </c>
      <c r="E180" s="1" t="s">
        <v>115</v>
      </c>
      <c r="F180" s="1" t="s">
        <v>83</v>
      </c>
      <c r="G180" s="4">
        <v>0</v>
      </c>
      <c r="I180" s="1" t="s">
        <v>569</v>
      </c>
      <c r="J180" s="1" t="s">
        <v>55</v>
      </c>
    </row>
    <row r="181" spans="1:10" hidden="1" x14ac:dyDescent="0.25">
      <c r="A181" s="1" t="s">
        <v>73</v>
      </c>
      <c r="B181" s="1">
        <v>516</v>
      </c>
      <c r="C181" s="1" t="s">
        <v>697</v>
      </c>
      <c r="D181" s="1" t="s">
        <v>571</v>
      </c>
      <c r="E181" s="1" t="s">
        <v>698</v>
      </c>
      <c r="F181" s="1" t="s">
        <v>41</v>
      </c>
      <c r="G181" s="4">
        <v>0.8</v>
      </c>
      <c r="I181" s="1" t="s">
        <v>569</v>
      </c>
      <c r="J181" s="1" t="s">
        <v>55</v>
      </c>
    </row>
    <row r="182" spans="1:10" hidden="1" x14ac:dyDescent="0.25">
      <c r="A182" s="1" t="s">
        <v>180</v>
      </c>
      <c r="B182" s="1">
        <v>519</v>
      </c>
      <c r="C182" s="1" t="s">
        <v>702</v>
      </c>
      <c r="D182" s="1" t="s">
        <v>700</v>
      </c>
      <c r="E182" s="1" t="s">
        <v>109</v>
      </c>
      <c r="F182" s="1" t="s">
        <v>41</v>
      </c>
      <c r="G182" s="4">
        <v>0</v>
      </c>
      <c r="I182" s="1" t="s">
        <v>569</v>
      </c>
      <c r="J182" s="1" t="s">
        <v>55</v>
      </c>
    </row>
    <row r="183" spans="1:10" hidden="1" x14ac:dyDescent="0.25">
      <c r="A183" s="1" t="s">
        <v>67</v>
      </c>
      <c r="B183" s="1">
        <v>520</v>
      </c>
      <c r="C183" s="1" t="s">
        <v>703</v>
      </c>
      <c r="D183" s="1" t="s">
        <v>700</v>
      </c>
      <c r="E183" s="1" t="s">
        <v>115</v>
      </c>
      <c r="F183" s="1" t="s">
        <v>83</v>
      </c>
      <c r="G183" s="4">
        <v>0</v>
      </c>
      <c r="I183" s="1" t="s">
        <v>569</v>
      </c>
      <c r="J183" s="1" t="s">
        <v>55</v>
      </c>
    </row>
    <row r="184" spans="1:10" hidden="1" x14ac:dyDescent="0.25">
      <c r="A184" s="1" t="s">
        <v>73</v>
      </c>
      <c r="B184" s="1">
        <v>521</v>
      </c>
      <c r="C184" s="1" t="s">
        <v>704</v>
      </c>
      <c r="D184" s="1" t="s">
        <v>571</v>
      </c>
      <c r="E184" s="1" t="s">
        <v>705</v>
      </c>
      <c r="F184" s="1" t="s">
        <v>41</v>
      </c>
      <c r="G184" s="4">
        <v>0.8</v>
      </c>
      <c r="I184" s="1" t="s">
        <v>569</v>
      </c>
      <c r="J184" s="1" t="s">
        <v>55</v>
      </c>
    </row>
    <row r="185" spans="1:10" hidden="1" x14ac:dyDescent="0.25">
      <c r="A185" s="1" t="s">
        <v>67</v>
      </c>
      <c r="B185" s="1">
        <v>524</v>
      </c>
      <c r="C185" s="1" t="s">
        <v>709</v>
      </c>
      <c r="D185" s="1" t="s">
        <v>707</v>
      </c>
      <c r="E185" s="1" t="s">
        <v>109</v>
      </c>
      <c r="F185" s="1" t="s">
        <v>41</v>
      </c>
      <c r="G185" s="4">
        <v>0</v>
      </c>
      <c r="I185" s="1" t="s">
        <v>569</v>
      </c>
      <c r="J185" s="1" t="s">
        <v>55</v>
      </c>
    </row>
    <row r="186" spans="1:10" hidden="1" x14ac:dyDescent="0.25">
      <c r="A186" s="1" t="s">
        <v>67</v>
      </c>
      <c r="B186" s="1">
        <v>525</v>
      </c>
      <c r="C186" s="1" t="s">
        <v>710</v>
      </c>
      <c r="D186" s="1" t="s">
        <v>707</v>
      </c>
      <c r="E186" s="1" t="s">
        <v>115</v>
      </c>
      <c r="F186" s="1" t="s">
        <v>83</v>
      </c>
      <c r="G186" s="4">
        <v>0</v>
      </c>
      <c r="I186" s="1" t="s">
        <v>569</v>
      </c>
      <c r="J186" s="1" t="s">
        <v>55</v>
      </c>
    </row>
    <row r="187" spans="1:10" hidden="1" x14ac:dyDescent="0.25">
      <c r="A187" s="1" t="s">
        <v>73</v>
      </c>
      <c r="B187" s="1">
        <v>526</v>
      </c>
      <c r="C187" s="1" t="s">
        <v>711</v>
      </c>
      <c r="D187" s="1" t="s">
        <v>571</v>
      </c>
      <c r="E187" s="1" t="s">
        <v>712</v>
      </c>
      <c r="F187" s="1" t="s">
        <v>41</v>
      </c>
      <c r="G187" s="4">
        <v>0.8</v>
      </c>
      <c r="I187" s="1" t="s">
        <v>569</v>
      </c>
      <c r="J187" s="1" t="s">
        <v>55</v>
      </c>
    </row>
    <row r="188" spans="1:10" hidden="1" x14ac:dyDescent="0.25">
      <c r="A188" s="1" t="s">
        <v>67</v>
      </c>
      <c r="B188" s="1">
        <v>529</v>
      </c>
      <c r="C188" s="1" t="s">
        <v>716</v>
      </c>
      <c r="D188" s="1" t="s">
        <v>714</v>
      </c>
      <c r="E188" s="1" t="s">
        <v>109</v>
      </c>
      <c r="F188" s="1" t="s">
        <v>41</v>
      </c>
      <c r="G188" s="4">
        <v>0</v>
      </c>
      <c r="I188" s="1" t="s">
        <v>569</v>
      </c>
      <c r="J188" s="1" t="s">
        <v>55</v>
      </c>
    </row>
    <row r="189" spans="1:10" hidden="1" x14ac:dyDescent="0.25">
      <c r="A189" s="1" t="s">
        <v>67</v>
      </c>
      <c r="B189" s="1">
        <v>530</v>
      </c>
      <c r="C189" s="1" t="s">
        <v>717</v>
      </c>
      <c r="D189" s="1" t="s">
        <v>714</v>
      </c>
      <c r="E189" s="1" t="s">
        <v>115</v>
      </c>
      <c r="F189" s="1" t="s">
        <v>83</v>
      </c>
      <c r="G189" s="4">
        <v>0</v>
      </c>
      <c r="I189" s="1" t="s">
        <v>569</v>
      </c>
      <c r="J189" s="1" t="s">
        <v>55</v>
      </c>
    </row>
    <row r="190" spans="1:10" hidden="1" x14ac:dyDescent="0.25">
      <c r="A190" s="1" t="s">
        <v>73</v>
      </c>
      <c r="B190" s="1">
        <v>531</v>
      </c>
      <c r="C190" s="1" t="s">
        <v>718</v>
      </c>
      <c r="D190" s="1" t="s">
        <v>571</v>
      </c>
      <c r="E190" s="1" t="s">
        <v>719</v>
      </c>
      <c r="F190" s="1" t="s">
        <v>41</v>
      </c>
      <c r="G190" s="4">
        <v>0.8</v>
      </c>
      <c r="I190" s="1" t="s">
        <v>569</v>
      </c>
      <c r="J190" s="1" t="s">
        <v>55</v>
      </c>
    </row>
    <row r="191" spans="1:10" hidden="1" x14ac:dyDescent="0.25">
      <c r="A191" s="1" t="s">
        <v>67</v>
      </c>
      <c r="B191" s="1">
        <v>534</v>
      </c>
      <c r="C191" s="1" t="s">
        <v>723</v>
      </c>
      <c r="D191" s="1" t="s">
        <v>721</v>
      </c>
      <c r="E191" s="1" t="s">
        <v>109</v>
      </c>
      <c r="F191" s="1" t="s">
        <v>41</v>
      </c>
      <c r="G191" s="4">
        <v>0</v>
      </c>
      <c r="I191" s="1" t="s">
        <v>569</v>
      </c>
      <c r="J191" s="1" t="s">
        <v>55</v>
      </c>
    </row>
    <row r="192" spans="1:10" hidden="1" x14ac:dyDescent="0.25">
      <c r="A192" s="1" t="s">
        <v>67</v>
      </c>
      <c r="B192" s="1">
        <v>535</v>
      </c>
      <c r="C192" s="1" t="s">
        <v>724</v>
      </c>
      <c r="D192" s="1" t="s">
        <v>721</v>
      </c>
      <c r="E192" s="1" t="s">
        <v>115</v>
      </c>
      <c r="F192" s="1" t="s">
        <v>83</v>
      </c>
      <c r="G192" s="4">
        <v>0</v>
      </c>
      <c r="I192" s="1" t="s">
        <v>569</v>
      </c>
      <c r="J192" s="1" t="s">
        <v>55</v>
      </c>
    </row>
    <row r="193" spans="1:10" hidden="1" x14ac:dyDescent="0.25">
      <c r="A193" s="1" t="s">
        <v>73</v>
      </c>
      <c r="B193" s="1">
        <v>536</v>
      </c>
      <c r="C193" s="1" t="s">
        <v>725</v>
      </c>
      <c r="D193" s="1" t="s">
        <v>571</v>
      </c>
      <c r="E193" s="1" t="s">
        <v>726</v>
      </c>
      <c r="F193" s="1" t="s">
        <v>41</v>
      </c>
      <c r="G193" s="4">
        <v>0.8</v>
      </c>
      <c r="I193" s="1" t="s">
        <v>569</v>
      </c>
      <c r="J193" s="1" t="s">
        <v>55</v>
      </c>
    </row>
    <row r="194" spans="1:10" hidden="1" x14ac:dyDescent="0.25">
      <c r="A194" s="1" t="s">
        <v>67</v>
      </c>
      <c r="B194" s="1">
        <v>539</v>
      </c>
      <c r="C194" s="1" t="s">
        <v>730</v>
      </c>
      <c r="D194" s="1" t="s">
        <v>728</v>
      </c>
      <c r="E194" s="1" t="s">
        <v>109</v>
      </c>
      <c r="F194" s="1" t="s">
        <v>41</v>
      </c>
      <c r="G194" s="4">
        <v>0</v>
      </c>
      <c r="I194" s="1" t="s">
        <v>569</v>
      </c>
      <c r="J194" s="1" t="s">
        <v>55</v>
      </c>
    </row>
    <row r="195" spans="1:10" hidden="1" x14ac:dyDescent="0.25">
      <c r="A195" s="1" t="s">
        <v>67</v>
      </c>
      <c r="B195" s="1">
        <v>540</v>
      </c>
      <c r="C195" s="1" t="s">
        <v>731</v>
      </c>
      <c r="D195" s="1" t="s">
        <v>728</v>
      </c>
      <c r="E195" s="1" t="s">
        <v>115</v>
      </c>
      <c r="F195" s="1" t="s">
        <v>83</v>
      </c>
      <c r="G195" s="4">
        <v>0</v>
      </c>
      <c r="I195" s="1" t="s">
        <v>569</v>
      </c>
      <c r="J195" s="1" t="s">
        <v>55</v>
      </c>
    </row>
    <row r="196" spans="1:10" hidden="1" x14ac:dyDescent="0.25">
      <c r="A196" s="1" t="s">
        <v>73</v>
      </c>
      <c r="B196" s="1">
        <v>541</v>
      </c>
      <c r="C196" s="1" t="s">
        <v>732</v>
      </c>
      <c r="D196" s="1" t="s">
        <v>571</v>
      </c>
      <c r="E196" s="1" t="s">
        <v>733</v>
      </c>
      <c r="F196" s="1" t="s">
        <v>41</v>
      </c>
      <c r="G196" s="4">
        <v>0.8</v>
      </c>
      <c r="I196" s="1" t="s">
        <v>569</v>
      </c>
      <c r="J196" s="1" t="s">
        <v>55</v>
      </c>
    </row>
    <row r="197" spans="1:10" hidden="1" x14ac:dyDescent="0.25">
      <c r="A197" s="1" t="s">
        <v>67</v>
      </c>
      <c r="B197" s="1">
        <v>544</v>
      </c>
      <c r="C197" s="1" t="s">
        <v>737</v>
      </c>
      <c r="D197" s="1" t="s">
        <v>735</v>
      </c>
      <c r="E197" s="1" t="s">
        <v>109</v>
      </c>
      <c r="F197" s="1" t="s">
        <v>41</v>
      </c>
      <c r="G197" s="4">
        <v>0</v>
      </c>
      <c r="I197" s="1" t="s">
        <v>569</v>
      </c>
      <c r="J197" s="1" t="s">
        <v>55</v>
      </c>
    </row>
    <row r="198" spans="1:10" hidden="1" x14ac:dyDescent="0.25">
      <c r="A198" s="1" t="s">
        <v>67</v>
      </c>
      <c r="B198" s="1">
        <v>545</v>
      </c>
      <c r="C198" s="1" t="s">
        <v>738</v>
      </c>
      <c r="D198" s="1" t="s">
        <v>735</v>
      </c>
      <c r="E198" s="1" t="s">
        <v>115</v>
      </c>
      <c r="F198" s="1" t="s">
        <v>83</v>
      </c>
      <c r="G198" s="4">
        <v>0</v>
      </c>
      <c r="I198" s="1" t="s">
        <v>569</v>
      </c>
      <c r="J198" s="1" t="s">
        <v>55</v>
      </c>
    </row>
    <row r="199" spans="1:10" hidden="1" x14ac:dyDescent="0.25">
      <c r="A199" s="1" t="s">
        <v>73</v>
      </c>
      <c r="B199" s="1">
        <v>546</v>
      </c>
      <c r="C199" s="1" t="s">
        <v>739</v>
      </c>
      <c r="D199" s="1" t="s">
        <v>571</v>
      </c>
      <c r="E199" s="1" t="s">
        <v>740</v>
      </c>
      <c r="F199" s="1" t="s">
        <v>41</v>
      </c>
      <c r="G199" s="4">
        <v>0.8</v>
      </c>
      <c r="I199" s="1" t="s">
        <v>569</v>
      </c>
      <c r="J199" s="1" t="s">
        <v>55</v>
      </c>
    </row>
    <row r="200" spans="1:10" hidden="1" x14ac:dyDescent="0.25">
      <c r="A200" s="1" t="s">
        <v>67</v>
      </c>
      <c r="B200" s="1">
        <v>549</v>
      </c>
      <c r="C200" s="1" t="s">
        <v>744</v>
      </c>
      <c r="D200" s="1" t="s">
        <v>742</v>
      </c>
      <c r="E200" s="1" t="s">
        <v>109</v>
      </c>
      <c r="F200" s="1" t="s">
        <v>41</v>
      </c>
      <c r="G200" s="4">
        <v>0</v>
      </c>
      <c r="I200" s="1" t="s">
        <v>569</v>
      </c>
      <c r="J200" s="1" t="s">
        <v>55</v>
      </c>
    </row>
    <row r="201" spans="1:10" hidden="1" x14ac:dyDescent="0.25">
      <c r="A201" s="1" t="s">
        <v>67</v>
      </c>
      <c r="B201" s="1">
        <v>550</v>
      </c>
      <c r="C201" s="1" t="s">
        <v>745</v>
      </c>
      <c r="D201" s="1" t="s">
        <v>742</v>
      </c>
      <c r="E201" s="1" t="s">
        <v>115</v>
      </c>
      <c r="F201" s="1" t="s">
        <v>83</v>
      </c>
      <c r="G201" s="4">
        <v>0</v>
      </c>
      <c r="I201" s="1" t="s">
        <v>569</v>
      </c>
      <c r="J201" s="1" t="s">
        <v>55</v>
      </c>
    </row>
    <row r="202" spans="1:10" hidden="1" x14ac:dyDescent="0.25">
      <c r="A202" s="1" t="s">
        <v>73</v>
      </c>
      <c r="B202" s="1">
        <v>551</v>
      </c>
      <c r="C202" s="1" t="s">
        <v>746</v>
      </c>
      <c r="D202" s="1" t="s">
        <v>571</v>
      </c>
      <c r="E202" s="1" t="s">
        <v>747</v>
      </c>
      <c r="F202" s="1" t="s">
        <v>41</v>
      </c>
      <c r="G202" s="4">
        <v>0.8</v>
      </c>
      <c r="I202" s="1" t="s">
        <v>569</v>
      </c>
      <c r="J202" s="1" t="s">
        <v>55</v>
      </c>
    </row>
    <row r="203" spans="1:10" hidden="1" x14ac:dyDescent="0.25">
      <c r="A203" s="1" t="s">
        <v>67</v>
      </c>
      <c r="B203" s="1">
        <v>554</v>
      </c>
      <c r="C203" s="1" t="s">
        <v>751</v>
      </c>
      <c r="D203" s="1" t="s">
        <v>749</v>
      </c>
      <c r="E203" s="1" t="s">
        <v>109</v>
      </c>
      <c r="F203" s="1" t="s">
        <v>41</v>
      </c>
      <c r="G203" s="4">
        <v>0</v>
      </c>
      <c r="I203" s="1" t="s">
        <v>569</v>
      </c>
      <c r="J203" s="1" t="s">
        <v>55</v>
      </c>
    </row>
    <row r="204" spans="1:10" hidden="1" x14ac:dyDescent="0.25">
      <c r="A204" s="1" t="s">
        <v>67</v>
      </c>
      <c r="B204" s="1">
        <v>555</v>
      </c>
      <c r="C204" s="1" t="s">
        <v>752</v>
      </c>
      <c r="D204" s="1" t="s">
        <v>749</v>
      </c>
      <c r="E204" s="1" t="s">
        <v>115</v>
      </c>
      <c r="F204" s="1" t="s">
        <v>83</v>
      </c>
      <c r="G204" s="4">
        <v>0</v>
      </c>
      <c r="I204" s="1" t="s">
        <v>569</v>
      </c>
      <c r="J204" s="1" t="s">
        <v>55</v>
      </c>
    </row>
    <row r="205" spans="1:10" hidden="1" x14ac:dyDescent="0.25">
      <c r="A205" s="1" t="s">
        <v>73</v>
      </c>
      <c r="B205" s="1">
        <v>556</v>
      </c>
      <c r="C205" s="1" t="s">
        <v>753</v>
      </c>
      <c r="D205" s="1" t="s">
        <v>571</v>
      </c>
      <c r="E205" s="1" t="s">
        <v>754</v>
      </c>
      <c r="F205" s="1" t="s">
        <v>41</v>
      </c>
      <c r="G205" s="4">
        <v>0.8</v>
      </c>
      <c r="I205" s="1" t="s">
        <v>569</v>
      </c>
      <c r="J205" s="1" t="s">
        <v>55</v>
      </c>
    </row>
    <row r="206" spans="1:10" hidden="1" x14ac:dyDescent="0.25">
      <c r="A206" s="1" t="s">
        <v>67</v>
      </c>
      <c r="B206" s="1">
        <v>559</v>
      </c>
      <c r="C206" s="1" t="s">
        <v>758</v>
      </c>
      <c r="D206" s="1" t="s">
        <v>756</v>
      </c>
      <c r="E206" s="1" t="s">
        <v>109</v>
      </c>
      <c r="F206" s="1" t="s">
        <v>41</v>
      </c>
      <c r="G206" s="4">
        <v>0</v>
      </c>
      <c r="I206" s="1" t="s">
        <v>569</v>
      </c>
      <c r="J206" s="1" t="s">
        <v>55</v>
      </c>
    </row>
    <row r="207" spans="1:10" hidden="1" x14ac:dyDescent="0.25">
      <c r="A207" s="1" t="s">
        <v>67</v>
      </c>
      <c r="B207" s="1">
        <v>560</v>
      </c>
      <c r="C207" s="1" t="s">
        <v>759</v>
      </c>
      <c r="D207" s="1" t="s">
        <v>756</v>
      </c>
      <c r="E207" s="1" t="s">
        <v>115</v>
      </c>
      <c r="F207" s="1" t="s">
        <v>83</v>
      </c>
      <c r="G207" s="4">
        <v>0</v>
      </c>
      <c r="I207" s="1" t="s">
        <v>569</v>
      </c>
      <c r="J207" s="1" t="s">
        <v>55</v>
      </c>
    </row>
    <row r="208" spans="1:10" hidden="1" x14ac:dyDescent="0.25">
      <c r="A208" s="1" t="s">
        <v>73</v>
      </c>
      <c r="B208" s="1">
        <v>561</v>
      </c>
      <c r="C208" s="1" t="s">
        <v>760</v>
      </c>
      <c r="D208" s="1" t="s">
        <v>571</v>
      </c>
      <c r="E208" s="1" t="s">
        <v>761</v>
      </c>
      <c r="F208" s="1" t="s">
        <v>41</v>
      </c>
      <c r="G208" s="4">
        <v>0.8</v>
      </c>
      <c r="I208" s="1" t="s">
        <v>569</v>
      </c>
      <c r="J208" s="1" t="s">
        <v>55</v>
      </c>
    </row>
    <row r="209" spans="1:10" hidden="1" x14ac:dyDescent="0.25">
      <c r="A209" s="1" t="s">
        <v>67</v>
      </c>
      <c r="B209" s="1">
        <v>564</v>
      </c>
      <c r="C209" s="1" t="s">
        <v>765</v>
      </c>
      <c r="D209" s="1" t="s">
        <v>763</v>
      </c>
      <c r="E209" s="1" t="s">
        <v>109</v>
      </c>
      <c r="F209" s="1" t="s">
        <v>41</v>
      </c>
      <c r="G209" s="4">
        <v>0</v>
      </c>
      <c r="I209" s="1" t="s">
        <v>569</v>
      </c>
      <c r="J209" s="1" t="s">
        <v>55</v>
      </c>
    </row>
    <row r="210" spans="1:10" hidden="1" x14ac:dyDescent="0.25">
      <c r="A210" s="1" t="s">
        <v>67</v>
      </c>
      <c r="B210" s="1">
        <v>565</v>
      </c>
      <c r="C210" s="1" t="s">
        <v>766</v>
      </c>
      <c r="D210" s="1" t="s">
        <v>763</v>
      </c>
      <c r="E210" s="1" t="s">
        <v>115</v>
      </c>
      <c r="F210" s="1" t="s">
        <v>83</v>
      </c>
      <c r="G210" s="4">
        <v>0</v>
      </c>
      <c r="I210" s="1" t="s">
        <v>569</v>
      </c>
      <c r="J210" s="1" t="s">
        <v>55</v>
      </c>
    </row>
    <row r="211" spans="1:10" hidden="1" x14ac:dyDescent="0.25">
      <c r="A211" s="1" t="s">
        <v>73</v>
      </c>
      <c r="B211" s="1">
        <v>566</v>
      </c>
      <c r="C211" s="1" t="s">
        <v>767</v>
      </c>
      <c r="D211" s="1" t="s">
        <v>571</v>
      </c>
      <c r="E211" s="1" t="s">
        <v>768</v>
      </c>
      <c r="F211" s="1" t="s">
        <v>41</v>
      </c>
      <c r="G211" s="4">
        <v>0.8</v>
      </c>
      <c r="I211" s="1" t="s">
        <v>569</v>
      </c>
      <c r="J211" s="1" t="s">
        <v>55</v>
      </c>
    </row>
    <row r="212" spans="1:10" hidden="1" x14ac:dyDescent="0.25">
      <c r="A212" s="1" t="s">
        <v>67</v>
      </c>
      <c r="B212" s="1">
        <v>569</v>
      </c>
      <c r="C212" s="1" t="s">
        <v>772</v>
      </c>
      <c r="D212" s="1" t="s">
        <v>770</v>
      </c>
      <c r="E212" s="1" t="s">
        <v>109</v>
      </c>
      <c r="F212" s="1" t="s">
        <v>41</v>
      </c>
      <c r="G212" s="4">
        <v>0</v>
      </c>
      <c r="I212" s="1" t="s">
        <v>569</v>
      </c>
      <c r="J212" s="1" t="s">
        <v>55</v>
      </c>
    </row>
    <row r="213" spans="1:10" hidden="1" x14ac:dyDescent="0.25">
      <c r="A213" s="1" t="s">
        <v>67</v>
      </c>
      <c r="B213" s="1">
        <v>570</v>
      </c>
      <c r="C213" s="1" t="s">
        <v>773</v>
      </c>
      <c r="D213" s="1" t="s">
        <v>770</v>
      </c>
      <c r="E213" s="1" t="s">
        <v>115</v>
      </c>
      <c r="F213" s="1" t="s">
        <v>83</v>
      </c>
      <c r="G213" s="4">
        <v>0</v>
      </c>
      <c r="I213" s="1" t="s">
        <v>569</v>
      </c>
      <c r="J213" s="1" t="s">
        <v>55</v>
      </c>
    </row>
    <row r="214" spans="1:10" hidden="1" x14ac:dyDescent="0.25">
      <c r="A214" s="1" t="s">
        <v>73</v>
      </c>
      <c r="B214" s="1">
        <v>571</v>
      </c>
      <c r="C214" s="1" t="s">
        <v>774</v>
      </c>
      <c r="D214" s="1" t="s">
        <v>571</v>
      </c>
      <c r="E214" s="1" t="s">
        <v>775</v>
      </c>
      <c r="F214" s="1" t="s">
        <v>41</v>
      </c>
      <c r="G214" s="4">
        <v>0.8</v>
      </c>
      <c r="I214" s="1" t="s">
        <v>569</v>
      </c>
      <c r="J214" s="1" t="s">
        <v>55</v>
      </c>
    </row>
    <row r="215" spans="1:10" hidden="1" x14ac:dyDescent="0.25">
      <c r="A215" s="1" t="s">
        <v>67</v>
      </c>
      <c r="B215" s="1">
        <v>574</v>
      </c>
      <c r="C215" s="1" t="s">
        <v>779</v>
      </c>
      <c r="D215" s="1" t="s">
        <v>777</v>
      </c>
      <c r="E215" s="1" t="s">
        <v>109</v>
      </c>
      <c r="F215" s="1" t="s">
        <v>41</v>
      </c>
      <c r="G215" s="4">
        <v>0</v>
      </c>
      <c r="I215" s="1" t="s">
        <v>569</v>
      </c>
      <c r="J215" s="1" t="s">
        <v>55</v>
      </c>
    </row>
    <row r="216" spans="1:10" hidden="1" x14ac:dyDescent="0.25">
      <c r="A216" s="1" t="s">
        <v>67</v>
      </c>
      <c r="B216" s="1">
        <v>575</v>
      </c>
      <c r="C216" s="1" t="s">
        <v>780</v>
      </c>
      <c r="D216" s="1" t="s">
        <v>777</v>
      </c>
      <c r="E216" s="1" t="s">
        <v>115</v>
      </c>
      <c r="F216" s="1" t="s">
        <v>83</v>
      </c>
      <c r="G216" s="4">
        <v>0</v>
      </c>
      <c r="I216" s="1" t="s">
        <v>569</v>
      </c>
      <c r="J216" s="1" t="s">
        <v>55</v>
      </c>
    </row>
    <row r="217" spans="1:10" hidden="1" x14ac:dyDescent="0.25">
      <c r="A217" s="1" t="s">
        <v>73</v>
      </c>
      <c r="B217" s="1">
        <v>576</v>
      </c>
      <c r="C217" s="1" t="s">
        <v>781</v>
      </c>
      <c r="D217" s="1" t="s">
        <v>571</v>
      </c>
      <c r="E217" s="1" t="s">
        <v>782</v>
      </c>
      <c r="F217" s="1" t="s">
        <v>41</v>
      </c>
      <c r="G217" s="4">
        <v>0.8</v>
      </c>
      <c r="I217" s="1" t="s">
        <v>569</v>
      </c>
      <c r="J217" s="1" t="s">
        <v>55</v>
      </c>
    </row>
    <row r="218" spans="1:10" hidden="1" x14ac:dyDescent="0.25">
      <c r="A218" s="1" t="s">
        <v>67</v>
      </c>
      <c r="B218" s="1">
        <v>579</v>
      </c>
      <c r="C218" s="1" t="s">
        <v>786</v>
      </c>
      <c r="D218" s="1" t="s">
        <v>784</v>
      </c>
      <c r="E218" s="1" t="s">
        <v>109</v>
      </c>
      <c r="F218" s="1" t="s">
        <v>41</v>
      </c>
      <c r="G218" s="4">
        <v>0</v>
      </c>
      <c r="I218" s="1" t="s">
        <v>569</v>
      </c>
      <c r="J218" s="1" t="s">
        <v>55</v>
      </c>
    </row>
    <row r="219" spans="1:10" hidden="1" x14ac:dyDescent="0.25">
      <c r="A219" s="1" t="s">
        <v>67</v>
      </c>
      <c r="B219" s="1">
        <v>580</v>
      </c>
      <c r="C219" s="1" t="s">
        <v>787</v>
      </c>
      <c r="D219" s="1" t="s">
        <v>784</v>
      </c>
      <c r="E219" s="1" t="s">
        <v>115</v>
      </c>
      <c r="F219" s="1" t="s">
        <v>83</v>
      </c>
      <c r="G219" s="4">
        <v>0</v>
      </c>
      <c r="I219" s="1" t="s">
        <v>569</v>
      </c>
      <c r="J219" s="1" t="s">
        <v>55</v>
      </c>
    </row>
    <row r="220" spans="1:10" hidden="1" x14ac:dyDescent="0.25">
      <c r="A220" s="1" t="s">
        <v>73</v>
      </c>
      <c r="B220" s="1">
        <v>581</v>
      </c>
      <c r="C220" s="1" t="s">
        <v>788</v>
      </c>
      <c r="D220" s="1" t="s">
        <v>571</v>
      </c>
      <c r="E220" s="1" t="s">
        <v>789</v>
      </c>
      <c r="F220" s="1" t="s">
        <v>41</v>
      </c>
      <c r="G220" s="4">
        <v>0.8</v>
      </c>
      <c r="I220" s="1" t="s">
        <v>569</v>
      </c>
      <c r="J220" s="1" t="s">
        <v>55</v>
      </c>
    </row>
    <row r="221" spans="1:10" hidden="1" x14ac:dyDescent="0.25">
      <c r="A221" s="1" t="s">
        <v>67</v>
      </c>
      <c r="B221" s="1">
        <v>584</v>
      </c>
      <c r="C221" s="1" t="s">
        <v>793</v>
      </c>
      <c r="D221" s="1" t="s">
        <v>791</v>
      </c>
      <c r="E221" s="1" t="s">
        <v>109</v>
      </c>
      <c r="F221" s="1" t="s">
        <v>41</v>
      </c>
      <c r="G221" s="4">
        <v>0</v>
      </c>
      <c r="I221" s="1" t="s">
        <v>569</v>
      </c>
      <c r="J221" s="1" t="s">
        <v>55</v>
      </c>
    </row>
    <row r="222" spans="1:10" hidden="1" x14ac:dyDescent="0.25">
      <c r="A222" s="1" t="s">
        <v>67</v>
      </c>
      <c r="B222" s="1">
        <v>585</v>
      </c>
      <c r="C222" s="1" t="s">
        <v>794</v>
      </c>
      <c r="D222" s="1" t="s">
        <v>791</v>
      </c>
      <c r="E222" s="1" t="s">
        <v>115</v>
      </c>
      <c r="F222" s="1" t="s">
        <v>83</v>
      </c>
      <c r="G222" s="4">
        <v>0</v>
      </c>
      <c r="I222" s="1" t="s">
        <v>569</v>
      </c>
      <c r="J222" s="1" t="s">
        <v>55</v>
      </c>
    </row>
    <row r="223" spans="1:10" hidden="1" x14ac:dyDescent="0.25">
      <c r="A223" s="1" t="s">
        <v>73</v>
      </c>
      <c r="B223" s="1">
        <v>586</v>
      </c>
      <c r="C223" s="1" t="s">
        <v>795</v>
      </c>
      <c r="D223" s="1" t="s">
        <v>571</v>
      </c>
      <c r="E223" s="1" t="s">
        <v>796</v>
      </c>
      <c r="F223" s="1" t="s">
        <v>41</v>
      </c>
      <c r="G223" s="4">
        <v>0.8</v>
      </c>
      <c r="I223" s="1" t="s">
        <v>569</v>
      </c>
      <c r="J223" s="1" t="s">
        <v>55</v>
      </c>
    </row>
    <row r="224" spans="1:10" hidden="1" x14ac:dyDescent="0.25">
      <c r="A224" s="1" t="s">
        <v>67</v>
      </c>
      <c r="B224" s="1">
        <v>589</v>
      </c>
      <c r="C224" s="1" t="s">
        <v>800</v>
      </c>
      <c r="D224" s="1" t="s">
        <v>798</v>
      </c>
      <c r="E224" s="1" t="s">
        <v>109</v>
      </c>
      <c r="F224" s="1" t="s">
        <v>41</v>
      </c>
      <c r="G224" s="4">
        <v>0</v>
      </c>
      <c r="I224" s="1" t="s">
        <v>569</v>
      </c>
      <c r="J224" s="1" t="s">
        <v>55</v>
      </c>
    </row>
    <row r="225" spans="1:10" hidden="1" x14ac:dyDescent="0.25">
      <c r="A225" s="1" t="s">
        <v>67</v>
      </c>
      <c r="B225" s="1">
        <v>590</v>
      </c>
      <c r="C225" s="1" t="s">
        <v>801</v>
      </c>
      <c r="D225" s="1" t="s">
        <v>798</v>
      </c>
      <c r="E225" s="1" t="s">
        <v>115</v>
      </c>
      <c r="F225" s="1" t="s">
        <v>83</v>
      </c>
      <c r="G225" s="4">
        <v>0</v>
      </c>
      <c r="I225" s="1" t="s">
        <v>569</v>
      </c>
      <c r="J225" s="1" t="s">
        <v>55</v>
      </c>
    </row>
    <row r="226" spans="1:10" hidden="1" x14ac:dyDescent="0.25">
      <c r="A226" s="1" t="s">
        <v>73</v>
      </c>
      <c r="B226" s="1">
        <v>591</v>
      </c>
      <c r="C226" s="1" t="s">
        <v>802</v>
      </c>
      <c r="D226" s="1" t="s">
        <v>571</v>
      </c>
      <c r="E226" s="1" t="s">
        <v>803</v>
      </c>
      <c r="F226" s="1" t="s">
        <v>41</v>
      </c>
      <c r="G226" s="4">
        <v>0.8</v>
      </c>
      <c r="I226" s="1" t="s">
        <v>569</v>
      </c>
      <c r="J226" s="1" t="s">
        <v>55</v>
      </c>
    </row>
    <row r="227" spans="1:10" hidden="1" x14ac:dyDescent="0.25">
      <c r="A227" s="1" t="s">
        <v>67</v>
      </c>
      <c r="B227" s="1">
        <v>594</v>
      </c>
      <c r="C227" s="1" t="s">
        <v>807</v>
      </c>
      <c r="D227" s="1" t="s">
        <v>805</v>
      </c>
      <c r="E227" s="1" t="s">
        <v>109</v>
      </c>
      <c r="F227" s="1" t="s">
        <v>41</v>
      </c>
      <c r="G227" s="4">
        <v>0</v>
      </c>
      <c r="I227" s="1" t="s">
        <v>569</v>
      </c>
      <c r="J227" s="1" t="s">
        <v>55</v>
      </c>
    </row>
    <row r="228" spans="1:10" hidden="1" x14ac:dyDescent="0.25">
      <c r="A228" s="1" t="s">
        <v>67</v>
      </c>
      <c r="B228" s="1">
        <v>595</v>
      </c>
      <c r="C228" s="1" t="s">
        <v>808</v>
      </c>
      <c r="D228" s="1" t="s">
        <v>805</v>
      </c>
      <c r="E228" s="1" t="s">
        <v>115</v>
      </c>
      <c r="F228" s="1" t="s">
        <v>83</v>
      </c>
      <c r="G228" s="4">
        <v>0</v>
      </c>
      <c r="I228" s="1" t="s">
        <v>569</v>
      </c>
      <c r="J228" s="1" t="s">
        <v>55</v>
      </c>
    </row>
    <row r="229" spans="1:10" hidden="1" x14ac:dyDescent="0.25">
      <c r="A229" s="1" t="s">
        <v>73</v>
      </c>
      <c r="B229" s="1">
        <v>596</v>
      </c>
      <c r="C229" s="1" t="s">
        <v>809</v>
      </c>
      <c r="D229" s="1" t="s">
        <v>571</v>
      </c>
      <c r="E229" s="1" t="s">
        <v>810</v>
      </c>
      <c r="F229" s="1" t="s">
        <v>41</v>
      </c>
      <c r="G229" s="4">
        <v>0.8</v>
      </c>
      <c r="I229" s="1" t="s">
        <v>569</v>
      </c>
      <c r="J229" s="1" t="s">
        <v>55</v>
      </c>
    </row>
    <row r="230" spans="1:10" hidden="1" x14ac:dyDescent="0.25">
      <c r="A230" s="1" t="s">
        <v>67</v>
      </c>
      <c r="B230" s="1">
        <v>599</v>
      </c>
      <c r="C230" s="1" t="s">
        <v>814</v>
      </c>
      <c r="D230" s="1" t="s">
        <v>812</v>
      </c>
      <c r="E230" s="1" t="s">
        <v>109</v>
      </c>
      <c r="F230" s="1" t="s">
        <v>41</v>
      </c>
      <c r="G230" s="4">
        <v>0</v>
      </c>
      <c r="I230" s="1" t="s">
        <v>569</v>
      </c>
      <c r="J230" s="1" t="s">
        <v>55</v>
      </c>
    </row>
    <row r="231" spans="1:10" hidden="1" x14ac:dyDescent="0.25">
      <c r="A231" s="1" t="s">
        <v>67</v>
      </c>
      <c r="B231" s="1">
        <v>600</v>
      </c>
      <c r="C231" s="1" t="s">
        <v>815</v>
      </c>
      <c r="D231" s="1" t="s">
        <v>812</v>
      </c>
      <c r="E231" s="1" t="s">
        <v>115</v>
      </c>
      <c r="F231" s="1" t="s">
        <v>83</v>
      </c>
      <c r="G231" s="4">
        <v>0</v>
      </c>
      <c r="I231" s="1" t="s">
        <v>569</v>
      </c>
      <c r="J231" s="1" t="s">
        <v>55</v>
      </c>
    </row>
    <row r="232" spans="1:10" hidden="1" x14ac:dyDescent="0.25">
      <c r="A232" s="1" t="s">
        <v>73</v>
      </c>
      <c r="B232" s="1">
        <v>601</v>
      </c>
      <c r="C232" s="1" t="s">
        <v>816</v>
      </c>
      <c r="D232" s="1" t="s">
        <v>571</v>
      </c>
      <c r="E232" s="1" t="s">
        <v>817</v>
      </c>
      <c r="F232" s="1" t="s">
        <v>41</v>
      </c>
      <c r="G232" s="4">
        <v>0.8</v>
      </c>
      <c r="I232" s="1" t="s">
        <v>569</v>
      </c>
      <c r="J232" s="1" t="s">
        <v>55</v>
      </c>
    </row>
    <row r="233" spans="1:10" hidden="1" x14ac:dyDescent="0.25">
      <c r="A233" s="1" t="s">
        <v>67</v>
      </c>
      <c r="B233" s="1">
        <v>604</v>
      </c>
      <c r="C233" s="1" t="s">
        <v>821</v>
      </c>
      <c r="D233" s="1" t="s">
        <v>819</v>
      </c>
      <c r="E233" s="1" t="s">
        <v>109</v>
      </c>
      <c r="F233" s="1" t="s">
        <v>41</v>
      </c>
      <c r="G233" s="4">
        <v>0</v>
      </c>
      <c r="I233" s="1" t="s">
        <v>569</v>
      </c>
      <c r="J233" s="1" t="s">
        <v>55</v>
      </c>
    </row>
    <row r="234" spans="1:10" hidden="1" x14ac:dyDescent="0.25">
      <c r="A234" s="1" t="s">
        <v>67</v>
      </c>
      <c r="B234" s="1">
        <v>605</v>
      </c>
      <c r="C234" s="1" t="s">
        <v>822</v>
      </c>
      <c r="D234" s="1" t="s">
        <v>819</v>
      </c>
      <c r="E234" s="1" t="s">
        <v>115</v>
      </c>
      <c r="F234" s="1" t="s">
        <v>83</v>
      </c>
      <c r="G234" s="4">
        <v>0</v>
      </c>
      <c r="I234" s="1" t="s">
        <v>569</v>
      </c>
      <c r="J234" s="1" t="s">
        <v>55</v>
      </c>
    </row>
    <row r="235" spans="1:10" hidden="1" x14ac:dyDescent="0.25">
      <c r="A235" s="1" t="s">
        <v>73</v>
      </c>
      <c r="B235" s="1">
        <v>606</v>
      </c>
      <c r="C235" s="1" t="s">
        <v>823</v>
      </c>
      <c r="D235" s="1" t="s">
        <v>571</v>
      </c>
      <c r="E235" s="1" t="s">
        <v>824</v>
      </c>
      <c r="F235" s="1" t="s">
        <v>41</v>
      </c>
      <c r="G235" s="4">
        <v>0.8</v>
      </c>
      <c r="I235" s="1" t="s">
        <v>569</v>
      </c>
      <c r="J235" s="1" t="s">
        <v>55</v>
      </c>
    </row>
    <row r="236" spans="1:10" hidden="1" x14ac:dyDescent="0.25">
      <c r="A236" s="1" t="s">
        <v>67</v>
      </c>
      <c r="B236" s="1">
        <v>609</v>
      </c>
      <c r="C236" s="1" t="s">
        <v>828</v>
      </c>
      <c r="D236" s="1" t="s">
        <v>826</v>
      </c>
      <c r="E236" s="1" t="s">
        <v>109</v>
      </c>
      <c r="F236" s="1" t="s">
        <v>41</v>
      </c>
      <c r="G236" s="4">
        <v>0</v>
      </c>
      <c r="I236" s="1" t="s">
        <v>569</v>
      </c>
      <c r="J236" s="1" t="s">
        <v>55</v>
      </c>
    </row>
    <row r="237" spans="1:10" hidden="1" x14ac:dyDescent="0.25">
      <c r="A237" s="1" t="s">
        <v>67</v>
      </c>
      <c r="B237" s="1">
        <v>610</v>
      </c>
      <c r="C237" s="1" t="s">
        <v>829</v>
      </c>
      <c r="D237" s="1" t="s">
        <v>826</v>
      </c>
      <c r="E237" s="1" t="s">
        <v>115</v>
      </c>
      <c r="F237" s="1" t="s">
        <v>41</v>
      </c>
      <c r="G237" s="4">
        <v>0</v>
      </c>
      <c r="I237" s="1" t="s">
        <v>569</v>
      </c>
      <c r="J237" s="1" t="s">
        <v>55</v>
      </c>
    </row>
    <row r="238" spans="1:10" hidden="1" x14ac:dyDescent="0.25">
      <c r="A238" s="1" t="s">
        <v>73</v>
      </c>
      <c r="B238" s="1">
        <v>611</v>
      </c>
      <c r="C238" s="1" t="s">
        <v>830</v>
      </c>
      <c r="D238" s="1" t="s">
        <v>571</v>
      </c>
      <c r="E238" s="1" t="s">
        <v>831</v>
      </c>
      <c r="F238" s="1" t="s">
        <v>41</v>
      </c>
      <c r="G238" s="4">
        <v>0.7</v>
      </c>
      <c r="I238" s="1" t="s">
        <v>569</v>
      </c>
      <c r="J238" s="1" t="s">
        <v>55</v>
      </c>
    </row>
    <row r="239" spans="1:10" hidden="1" x14ac:dyDescent="0.25">
      <c r="A239" s="1" t="s">
        <v>180</v>
      </c>
      <c r="B239" s="1">
        <v>613</v>
      </c>
      <c r="C239" s="1" t="s">
        <v>834</v>
      </c>
      <c r="D239" s="1" t="s">
        <v>833</v>
      </c>
      <c r="E239" s="1" t="s">
        <v>105</v>
      </c>
      <c r="F239" s="1" t="s">
        <v>41</v>
      </c>
      <c r="G239" s="4">
        <v>0</v>
      </c>
      <c r="I239" s="1" t="s">
        <v>569</v>
      </c>
      <c r="J239" s="1" t="s">
        <v>55</v>
      </c>
    </row>
    <row r="240" spans="1:10" hidden="1" x14ac:dyDescent="0.25">
      <c r="A240" s="1" t="s">
        <v>67</v>
      </c>
      <c r="B240" s="1">
        <v>614</v>
      </c>
      <c r="C240" s="1" t="s">
        <v>835</v>
      </c>
      <c r="D240" s="1" t="s">
        <v>833</v>
      </c>
      <c r="E240" s="1" t="s">
        <v>109</v>
      </c>
      <c r="F240" s="1" t="s">
        <v>41</v>
      </c>
      <c r="G240" s="4">
        <v>0</v>
      </c>
      <c r="I240" s="1" t="s">
        <v>569</v>
      </c>
      <c r="J240" s="1" t="s">
        <v>55</v>
      </c>
    </row>
    <row r="241" spans="1:10" hidden="1" x14ac:dyDescent="0.25">
      <c r="A241" s="1" t="s">
        <v>67</v>
      </c>
      <c r="B241" s="1">
        <v>615</v>
      </c>
      <c r="C241" s="1" t="s">
        <v>836</v>
      </c>
      <c r="D241" s="1" t="s">
        <v>833</v>
      </c>
      <c r="E241" s="1" t="s">
        <v>115</v>
      </c>
      <c r="F241" s="1" t="s">
        <v>41</v>
      </c>
      <c r="G241" s="4">
        <v>0</v>
      </c>
      <c r="I241" s="1" t="s">
        <v>569</v>
      </c>
      <c r="J241" s="1" t="s">
        <v>55</v>
      </c>
    </row>
    <row r="242" spans="1:10" hidden="1" x14ac:dyDescent="0.25">
      <c r="A242" s="1" t="s">
        <v>73</v>
      </c>
      <c r="B242" s="1">
        <v>616</v>
      </c>
      <c r="C242" s="1" t="s">
        <v>837</v>
      </c>
      <c r="D242" s="1" t="s">
        <v>571</v>
      </c>
      <c r="E242" s="1" t="s">
        <v>838</v>
      </c>
      <c r="F242" s="1" t="s">
        <v>41</v>
      </c>
      <c r="G242" s="4">
        <v>0.73</v>
      </c>
      <c r="I242" s="1" t="s">
        <v>569</v>
      </c>
      <c r="J242" s="1" t="s">
        <v>55</v>
      </c>
    </row>
    <row r="243" spans="1:10" hidden="1" x14ac:dyDescent="0.25">
      <c r="A243" s="1" t="s">
        <v>180</v>
      </c>
      <c r="B243" s="1">
        <v>618</v>
      </c>
      <c r="C243" s="1" t="s">
        <v>841</v>
      </c>
      <c r="D243" s="1" t="s">
        <v>840</v>
      </c>
      <c r="E243" s="1" t="s">
        <v>105</v>
      </c>
      <c r="F243" s="1" t="s">
        <v>41</v>
      </c>
      <c r="G243" s="4">
        <v>0</v>
      </c>
      <c r="I243" s="1" t="s">
        <v>569</v>
      </c>
      <c r="J243" s="1" t="s">
        <v>55</v>
      </c>
    </row>
    <row r="244" spans="1:10" hidden="1" x14ac:dyDescent="0.25">
      <c r="A244" s="1" t="s">
        <v>67</v>
      </c>
      <c r="B244" s="1">
        <v>619</v>
      </c>
      <c r="C244" s="1" t="s">
        <v>842</v>
      </c>
      <c r="D244" s="1" t="s">
        <v>840</v>
      </c>
      <c r="E244" s="1" t="s">
        <v>109</v>
      </c>
      <c r="F244" s="1" t="s">
        <v>41</v>
      </c>
      <c r="G244" s="4">
        <v>0</v>
      </c>
      <c r="I244" s="1" t="s">
        <v>569</v>
      </c>
      <c r="J244" s="1" t="s">
        <v>55</v>
      </c>
    </row>
    <row r="245" spans="1:10" hidden="1" x14ac:dyDescent="0.25">
      <c r="A245" s="1" t="s">
        <v>67</v>
      </c>
      <c r="B245" s="1">
        <v>620</v>
      </c>
      <c r="C245" s="1" t="s">
        <v>843</v>
      </c>
      <c r="D245" s="1" t="s">
        <v>840</v>
      </c>
      <c r="E245" s="1" t="s">
        <v>115</v>
      </c>
      <c r="F245" s="1" t="s">
        <v>41</v>
      </c>
      <c r="G245" s="4">
        <v>0</v>
      </c>
      <c r="I245" s="1" t="s">
        <v>569</v>
      </c>
      <c r="J245" s="1" t="s">
        <v>55</v>
      </c>
    </row>
    <row r="246" spans="1:10" hidden="1" x14ac:dyDescent="0.25">
      <c r="A246" s="1" t="s">
        <v>180</v>
      </c>
      <c r="B246" s="1">
        <v>621</v>
      </c>
      <c r="C246" s="1" t="s">
        <v>844</v>
      </c>
      <c r="D246" s="1" t="s">
        <v>571</v>
      </c>
      <c r="E246" s="1" t="s">
        <v>845</v>
      </c>
      <c r="F246" s="1" t="s">
        <v>232</v>
      </c>
      <c r="G246" s="4">
        <v>0.49</v>
      </c>
      <c r="I246" s="1" t="s">
        <v>569</v>
      </c>
      <c r="J246" s="1" t="s">
        <v>44</v>
      </c>
    </row>
    <row r="247" spans="1:10" hidden="1" x14ac:dyDescent="0.25">
      <c r="A247" s="1" t="s">
        <v>73</v>
      </c>
      <c r="B247" s="1">
        <v>626</v>
      </c>
      <c r="C247" s="1" t="s">
        <v>853</v>
      </c>
      <c r="D247" s="1" t="s">
        <v>571</v>
      </c>
      <c r="E247" s="1" t="s">
        <v>854</v>
      </c>
      <c r="F247" s="1" t="s">
        <v>41</v>
      </c>
      <c r="G247" s="4">
        <v>0.54</v>
      </c>
      <c r="I247" s="1" t="s">
        <v>569</v>
      </c>
      <c r="J247" s="1" t="s">
        <v>55</v>
      </c>
    </row>
    <row r="248" spans="1:10" hidden="1" x14ac:dyDescent="0.25">
      <c r="A248" s="1" t="s">
        <v>180</v>
      </c>
      <c r="B248" s="1">
        <v>628</v>
      </c>
      <c r="C248" s="1" t="s">
        <v>857</v>
      </c>
      <c r="D248" s="1" t="s">
        <v>856</v>
      </c>
      <c r="E248" s="1" t="s">
        <v>105</v>
      </c>
      <c r="F248" s="1" t="s">
        <v>41</v>
      </c>
      <c r="G248" s="4">
        <v>0</v>
      </c>
      <c r="I248" s="1" t="s">
        <v>569</v>
      </c>
      <c r="J248" s="1" t="s">
        <v>55</v>
      </c>
    </row>
    <row r="249" spans="1:10" hidden="1" x14ac:dyDescent="0.25">
      <c r="A249" s="1" t="s">
        <v>180</v>
      </c>
      <c r="B249" s="1">
        <v>629</v>
      </c>
      <c r="C249" s="1" t="s">
        <v>858</v>
      </c>
      <c r="D249" s="1" t="s">
        <v>856</v>
      </c>
      <c r="E249" s="1" t="s">
        <v>109</v>
      </c>
      <c r="F249" s="1" t="s">
        <v>41</v>
      </c>
      <c r="G249" s="4">
        <v>0</v>
      </c>
      <c r="I249" s="1" t="s">
        <v>569</v>
      </c>
      <c r="J249" s="1" t="s">
        <v>55</v>
      </c>
    </row>
    <row r="250" spans="1:10" hidden="1" x14ac:dyDescent="0.25">
      <c r="A250" s="1" t="s">
        <v>180</v>
      </c>
      <c r="B250" s="1">
        <v>630</v>
      </c>
      <c r="C250" s="1" t="s">
        <v>859</v>
      </c>
      <c r="D250" s="1" t="s">
        <v>856</v>
      </c>
      <c r="E250" s="1" t="s">
        <v>115</v>
      </c>
      <c r="F250" s="1" t="s">
        <v>41</v>
      </c>
      <c r="G250" s="4">
        <v>0</v>
      </c>
      <c r="I250" s="1" t="s">
        <v>569</v>
      </c>
      <c r="J250" s="1" t="s">
        <v>55</v>
      </c>
    </row>
    <row r="251" spans="1:10" hidden="1" x14ac:dyDescent="0.25">
      <c r="A251" s="1" t="s">
        <v>73</v>
      </c>
      <c r="B251" s="1">
        <v>631</v>
      </c>
      <c r="C251" s="1" t="s">
        <v>860</v>
      </c>
      <c r="D251" s="1" t="s">
        <v>571</v>
      </c>
      <c r="E251" s="1" t="s">
        <v>861</v>
      </c>
      <c r="F251" s="1" t="s">
        <v>232</v>
      </c>
      <c r="G251" s="4">
        <v>0.67</v>
      </c>
      <c r="I251" s="1" t="s">
        <v>569</v>
      </c>
      <c r="J251" s="1" t="s">
        <v>44</v>
      </c>
    </row>
    <row r="252" spans="1:10" hidden="1" x14ac:dyDescent="0.25">
      <c r="A252" s="1" t="s">
        <v>180</v>
      </c>
      <c r="B252" s="1">
        <v>636</v>
      </c>
      <c r="C252" s="1" t="s">
        <v>867</v>
      </c>
      <c r="D252" s="1" t="s">
        <v>50</v>
      </c>
      <c r="E252" s="1" t="s">
        <v>868</v>
      </c>
      <c r="F252" s="1" t="s">
        <v>232</v>
      </c>
      <c r="G252" s="4">
        <v>0.5</v>
      </c>
      <c r="I252" s="1" t="s">
        <v>869</v>
      </c>
      <c r="J252" s="1" t="s">
        <v>44</v>
      </c>
    </row>
    <row r="253" spans="1:10" hidden="1" x14ac:dyDescent="0.25">
      <c r="A253" s="1" t="s">
        <v>180</v>
      </c>
      <c r="B253" s="1">
        <v>637</v>
      </c>
      <c r="C253" s="1" t="s">
        <v>870</v>
      </c>
      <c r="D253" s="1" t="s">
        <v>871</v>
      </c>
      <c r="E253" s="1" t="s">
        <v>872</v>
      </c>
      <c r="F253" s="1" t="s">
        <v>232</v>
      </c>
      <c r="G253" s="4">
        <v>0.67</v>
      </c>
      <c r="I253" s="1" t="s">
        <v>869</v>
      </c>
      <c r="J253" s="1" t="s">
        <v>44</v>
      </c>
    </row>
    <row r="254" spans="1:10" hidden="1" x14ac:dyDescent="0.25">
      <c r="A254" s="1" t="s">
        <v>314</v>
      </c>
      <c r="B254" s="1">
        <v>8</v>
      </c>
      <c r="C254" s="1" t="s">
        <v>74</v>
      </c>
      <c r="D254" s="1" t="s">
        <v>63</v>
      </c>
      <c r="E254" s="1" t="s">
        <v>75</v>
      </c>
      <c r="F254" s="1" t="s">
        <v>83</v>
      </c>
      <c r="G254" s="4">
        <v>0</v>
      </c>
      <c r="I254" s="1" t="s">
        <v>61</v>
      </c>
      <c r="J254" s="1" t="s">
        <v>55</v>
      </c>
    </row>
    <row r="255" spans="1:10" hidden="1" x14ac:dyDescent="0.25">
      <c r="A255" s="1" t="s">
        <v>314</v>
      </c>
      <c r="B255" s="1">
        <v>24</v>
      </c>
      <c r="C255" s="1" t="s">
        <v>893</v>
      </c>
      <c r="D255" s="1" t="s">
        <v>50</v>
      </c>
      <c r="E255" s="1" t="s">
        <v>894</v>
      </c>
      <c r="F255" s="1" t="s">
        <v>232</v>
      </c>
      <c r="G255" s="4">
        <v>0.11</v>
      </c>
      <c r="I255" s="1" t="s">
        <v>896</v>
      </c>
      <c r="J255" s="1" t="s">
        <v>55</v>
      </c>
    </row>
    <row r="256" spans="1:10" hidden="1" x14ac:dyDescent="0.25">
      <c r="A256" s="1" t="s">
        <v>314</v>
      </c>
      <c r="B256" s="1">
        <v>25</v>
      </c>
      <c r="C256" s="1" t="s">
        <v>899</v>
      </c>
      <c r="D256" s="1" t="s">
        <v>900</v>
      </c>
      <c r="E256" s="1" t="s">
        <v>901</v>
      </c>
      <c r="F256" s="1" t="s">
        <v>83</v>
      </c>
      <c r="G256" s="4">
        <v>0</v>
      </c>
      <c r="I256" s="1" t="s">
        <v>896</v>
      </c>
      <c r="J256" s="1" t="s">
        <v>55</v>
      </c>
    </row>
    <row r="257" spans="1:10" hidden="1" x14ac:dyDescent="0.25">
      <c r="A257" s="1" t="s">
        <v>314</v>
      </c>
      <c r="B257" s="1">
        <v>30</v>
      </c>
      <c r="C257" s="1" t="s">
        <v>905</v>
      </c>
      <c r="D257" s="1" t="s">
        <v>900</v>
      </c>
      <c r="E257" s="1" t="s">
        <v>906</v>
      </c>
      <c r="F257" s="1" t="s">
        <v>83</v>
      </c>
      <c r="G257" s="4">
        <v>0</v>
      </c>
      <c r="I257" s="1" t="s">
        <v>896</v>
      </c>
      <c r="J257" s="1" t="s">
        <v>55</v>
      </c>
    </row>
    <row r="258" spans="1:10" hidden="1" x14ac:dyDescent="0.25">
      <c r="A258" s="1" t="s">
        <v>314</v>
      </c>
      <c r="B258" s="1">
        <v>35</v>
      </c>
      <c r="C258" s="1" t="s">
        <v>909</v>
      </c>
      <c r="D258" s="1" t="s">
        <v>900</v>
      </c>
      <c r="E258" s="1" t="s">
        <v>910</v>
      </c>
      <c r="F258" s="1" t="s">
        <v>83</v>
      </c>
      <c r="G258" s="4">
        <v>0</v>
      </c>
      <c r="I258" s="1" t="s">
        <v>896</v>
      </c>
      <c r="J258" s="1" t="s">
        <v>55</v>
      </c>
    </row>
    <row r="259" spans="1:10" hidden="1" x14ac:dyDescent="0.25">
      <c r="A259" s="1" t="s">
        <v>314</v>
      </c>
      <c r="B259" s="1">
        <v>40</v>
      </c>
      <c r="C259" s="1" t="s">
        <v>913</v>
      </c>
      <c r="D259" s="1" t="s">
        <v>900</v>
      </c>
      <c r="E259" s="1" t="s">
        <v>914</v>
      </c>
      <c r="F259" s="1" t="s">
        <v>232</v>
      </c>
      <c r="G259" s="4">
        <v>0.43</v>
      </c>
      <c r="I259" s="1" t="s">
        <v>896</v>
      </c>
      <c r="J259" s="1" t="s">
        <v>55</v>
      </c>
    </row>
    <row r="260" spans="1:10" hidden="1" x14ac:dyDescent="0.25">
      <c r="A260" s="1" t="s">
        <v>314</v>
      </c>
      <c r="B260" s="1">
        <v>107</v>
      </c>
      <c r="C260" s="1" t="s">
        <v>918</v>
      </c>
      <c r="D260" s="1" t="s">
        <v>160</v>
      </c>
      <c r="E260" s="1" t="s">
        <v>919</v>
      </c>
      <c r="F260" s="1" t="s">
        <v>83</v>
      </c>
      <c r="G260" s="4">
        <v>0</v>
      </c>
      <c r="I260" s="1" t="s">
        <v>158</v>
      </c>
      <c r="J260" s="1" t="s">
        <v>55</v>
      </c>
    </row>
    <row r="261" spans="1:10" hidden="1" x14ac:dyDescent="0.25">
      <c r="A261" s="1" t="s">
        <v>314</v>
      </c>
      <c r="B261" s="1">
        <v>138</v>
      </c>
      <c r="C261" s="1" t="s">
        <v>923</v>
      </c>
      <c r="D261" s="1" t="s">
        <v>292</v>
      </c>
      <c r="E261" s="1" t="s">
        <v>924</v>
      </c>
      <c r="F261" s="1" t="s">
        <v>83</v>
      </c>
      <c r="G261" s="4">
        <v>0</v>
      </c>
      <c r="I261" s="1" t="s">
        <v>290</v>
      </c>
      <c r="J261" s="1" t="s">
        <v>55</v>
      </c>
    </row>
    <row r="262" spans="1:10" hidden="1" x14ac:dyDescent="0.25">
      <c r="A262" s="1" t="s">
        <v>314</v>
      </c>
      <c r="B262" s="1">
        <v>148</v>
      </c>
      <c r="C262" s="1" t="s">
        <v>926</v>
      </c>
      <c r="D262" s="1" t="s">
        <v>292</v>
      </c>
      <c r="E262" s="1" t="s">
        <v>927</v>
      </c>
      <c r="F262" s="1" t="s">
        <v>83</v>
      </c>
      <c r="G262" s="4">
        <v>0</v>
      </c>
      <c r="I262" s="1" t="s">
        <v>290</v>
      </c>
      <c r="J262" s="1" t="s">
        <v>55</v>
      </c>
    </row>
    <row r="263" spans="1:10" hidden="1" x14ac:dyDescent="0.25">
      <c r="A263" s="1" t="s">
        <v>314</v>
      </c>
      <c r="B263" s="1">
        <v>153</v>
      </c>
      <c r="C263" s="1" t="s">
        <v>929</v>
      </c>
      <c r="D263" s="1" t="s">
        <v>292</v>
      </c>
      <c r="E263" s="1" t="s">
        <v>930</v>
      </c>
      <c r="F263" s="1" t="s">
        <v>83</v>
      </c>
      <c r="G263" s="4">
        <v>0</v>
      </c>
      <c r="I263" s="1" t="s">
        <v>290</v>
      </c>
      <c r="J263" s="1" t="s">
        <v>55</v>
      </c>
    </row>
    <row r="264" spans="1:10" hidden="1" x14ac:dyDescent="0.25">
      <c r="A264" s="1" t="s">
        <v>314</v>
      </c>
      <c r="B264" s="1">
        <v>158</v>
      </c>
      <c r="C264" s="1" t="s">
        <v>933</v>
      </c>
      <c r="D264" s="1" t="s">
        <v>292</v>
      </c>
      <c r="E264" s="1" t="s">
        <v>934</v>
      </c>
      <c r="F264" s="1" t="s">
        <v>83</v>
      </c>
      <c r="G264" s="4">
        <v>0</v>
      </c>
      <c r="I264" s="1" t="s">
        <v>290</v>
      </c>
      <c r="J264" s="1" t="s">
        <v>55</v>
      </c>
    </row>
    <row r="265" spans="1:10" hidden="1" x14ac:dyDescent="0.25">
      <c r="A265" s="1" t="s">
        <v>314</v>
      </c>
      <c r="B265" s="1">
        <v>178</v>
      </c>
      <c r="C265" s="1" t="s">
        <v>936</v>
      </c>
      <c r="D265" s="1" t="s">
        <v>292</v>
      </c>
      <c r="E265" s="1" t="s">
        <v>937</v>
      </c>
      <c r="F265" s="1" t="s">
        <v>83</v>
      </c>
      <c r="G265" s="4">
        <v>0</v>
      </c>
      <c r="I265" s="1" t="s">
        <v>290</v>
      </c>
      <c r="J265" s="1" t="s">
        <v>55</v>
      </c>
    </row>
    <row r="266" spans="1:10" hidden="1" x14ac:dyDescent="0.25">
      <c r="A266" s="1" t="s">
        <v>314</v>
      </c>
      <c r="B266" s="1">
        <v>198</v>
      </c>
      <c r="C266" s="1" t="s">
        <v>940</v>
      </c>
      <c r="D266" s="1" t="s">
        <v>292</v>
      </c>
      <c r="E266" s="1" t="s">
        <v>941</v>
      </c>
      <c r="F266" s="1" t="s">
        <v>83</v>
      </c>
      <c r="G266" s="4">
        <v>0</v>
      </c>
      <c r="I266" s="1" t="s">
        <v>290</v>
      </c>
      <c r="J266" s="1" t="s">
        <v>55</v>
      </c>
    </row>
    <row r="267" spans="1:10" hidden="1" x14ac:dyDescent="0.25">
      <c r="A267" s="1" t="s">
        <v>314</v>
      </c>
      <c r="B267" s="1">
        <v>203</v>
      </c>
      <c r="C267" s="1" t="s">
        <v>943</v>
      </c>
      <c r="D267" s="1" t="s">
        <v>292</v>
      </c>
      <c r="E267" s="1" t="s">
        <v>944</v>
      </c>
      <c r="F267" s="1" t="s">
        <v>83</v>
      </c>
      <c r="G267" s="4">
        <v>0</v>
      </c>
      <c r="I267" s="1" t="s">
        <v>290</v>
      </c>
      <c r="J267" s="1" t="s">
        <v>55</v>
      </c>
    </row>
    <row r="268" spans="1:10" hidden="1" x14ac:dyDescent="0.25">
      <c r="A268" s="1" t="s">
        <v>314</v>
      </c>
      <c r="B268" s="1">
        <v>208</v>
      </c>
      <c r="C268" s="1" t="s">
        <v>946</v>
      </c>
      <c r="D268" s="1" t="s">
        <v>292</v>
      </c>
      <c r="E268" s="1" t="s">
        <v>947</v>
      </c>
      <c r="F268" s="1" t="s">
        <v>83</v>
      </c>
      <c r="G268" s="4">
        <v>0</v>
      </c>
      <c r="I268" s="1" t="s">
        <v>290</v>
      </c>
      <c r="J268" s="1" t="s">
        <v>55</v>
      </c>
    </row>
    <row r="269" spans="1:10" hidden="1" x14ac:dyDescent="0.25">
      <c r="A269" s="1" t="s">
        <v>314</v>
      </c>
      <c r="B269" s="1">
        <v>218</v>
      </c>
      <c r="C269" s="1" t="s">
        <v>949</v>
      </c>
      <c r="D269" s="1" t="s">
        <v>292</v>
      </c>
      <c r="E269" s="1" t="s">
        <v>950</v>
      </c>
      <c r="F269" s="1" t="s">
        <v>83</v>
      </c>
      <c r="G269" s="4">
        <v>0</v>
      </c>
      <c r="I269" s="1" t="s">
        <v>290</v>
      </c>
      <c r="J269" s="1" t="s">
        <v>55</v>
      </c>
    </row>
    <row r="270" spans="1:10" hidden="1" x14ac:dyDescent="0.25">
      <c r="A270" s="1" t="s">
        <v>314</v>
      </c>
      <c r="B270" s="1">
        <v>239</v>
      </c>
      <c r="C270" s="1" t="s">
        <v>952</v>
      </c>
      <c r="D270" s="1" t="s">
        <v>367</v>
      </c>
      <c r="E270" s="1" t="s">
        <v>953</v>
      </c>
      <c r="F270" s="1" t="s">
        <v>83</v>
      </c>
      <c r="G270" s="4">
        <v>0</v>
      </c>
      <c r="I270" s="1" t="s">
        <v>365</v>
      </c>
      <c r="J270" s="1" t="s">
        <v>55</v>
      </c>
    </row>
    <row r="271" spans="1:10" hidden="1" x14ac:dyDescent="0.25">
      <c r="A271" s="1" t="s">
        <v>314</v>
      </c>
      <c r="B271" s="1">
        <v>269</v>
      </c>
      <c r="C271" s="1" t="s">
        <v>956</v>
      </c>
      <c r="D271" s="1" t="s">
        <v>367</v>
      </c>
      <c r="E271" s="1" t="s">
        <v>957</v>
      </c>
      <c r="F271" s="1" t="s">
        <v>83</v>
      </c>
      <c r="G271" s="4">
        <v>0</v>
      </c>
      <c r="I271" s="1" t="s">
        <v>365</v>
      </c>
      <c r="J271" s="1" t="s">
        <v>55</v>
      </c>
    </row>
    <row r="272" spans="1:10" hidden="1" x14ac:dyDescent="0.25">
      <c r="A272" s="1" t="s">
        <v>314</v>
      </c>
      <c r="B272" s="1">
        <v>295</v>
      </c>
      <c r="C272" s="1" t="s">
        <v>960</v>
      </c>
      <c r="D272" s="1" t="s">
        <v>440</v>
      </c>
      <c r="E272" s="1" t="s">
        <v>961</v>
      </c>
      <c r="F272" s="1" t="s">
        <v>83</v>
      </c>
      <c r="G272" s="4">
        <v>0</v>
      </c>
      <c r="I272" s="1" t="s">
        <v>438</v>
      </c>
      <c r="J272" s="1" t="s">
        <v>55</v>
      </c>
    </row>
    <row r="273" spans="1:10" hidden="1" x14ac:dyDescent="0.25">
      <c r="A273" s="1" t="s">
        <v>314</v>
      </c>
      <c r="B273" s="1">
        <v>340</v>
      </c>
      <c r="C273" s="1" t="s">
        <v>532</v>
      </c>
      <c r="D273" s="1" t="s">
        <v>440</v>
      </c>
      <c r="E273" s="1" t="s">
        <v>964</v>
      </c>
      <c r="F273" s="1" t="s">
        <v>83</v>
      </c>
      <c r="G273" s="4">
        <v>0</v>
      </c>
      <c r="I273" s="1" t="s">
        <v>438</v>
      </c>
      <c r="J273" s="1" t="s">
        <v>55</v>
      </c>
    </row>
    <row r="274" spans="1:10" hidden="1" x14ac:dyDescent="0.25">
      <c r="A274" s="1" t="s">
        <v>314</v>
      </c>
      <c r="B274" s="1">
        <v>345</v>
      </c>
      <c r="C274" s="1" t="s">
        <v>541</v>
      </c>
      <c r="D274" s="1" t="s">
        <v>440</v>
      </c>
      <c r="E274" s="1" t="s">
        <v>967</v>
      </c>
      <c r="F274" s="1" t="s">
        <v>83</v>
      </c>
      <c r="G274" s="4">
        <v>0</v>
      </c>
      <c r="I274" s="1" t="s">
        <v>438</v>
      </c>
      <c r="J274" s="1" t="s">
        <v>55</v>
      </c>
    </row>
    <row r="275" spans="1:10" hidden="1" x14ac:dyDescent="0.25">
      <c r="A275" s="1" t="s">
        <v>314</v>
      </c>
      <c r="B275" s="1">
        <v>350</v>
      </c>
      <c r="C275" s="1" t="s">
        <v>550</v>
      </c>
      <c r="D275" s="1" t="s">
        <v>440</v>
      </c>
      <c r="E275" s="1" t="s">
        <v>970</v>
      </c>
      <c r="F275" s="1" t="s">
        <v>83</v>
      </c>
      <c r="G275" s="4">
        <v>0</v>
      </c>
      <c r="I275" s="1" t="s">
        <v>438</v>
      </c>
      <c r="J275" s="1" t="s">
        <v>55</v>
      </c>
    </row>
    <row r="276" spans="1:10" hidden="1" x14ac:dyDescent="0.25">
      <c r="A276" s="1" t="s">
        <v>314</v>
      </c>
      <c r="B276" s="1">
        <v>370</v>
      </c>
      <c r="C276" s="1" t="s">
        <v>558</v>
      </c>
      <c r="D276" s="1" t="s">
        <v>440</v>
      </c>
      <c r="E276" s="1" t="s">
        <v>974</v>
      </c>
      <c r="F276" s="1" t="s">
        <v>83</v>
      </c>
      <c r="G276" s="4">
        <v>0</v>
      </c>
      <c r="I276" s="1" t="s">
        <v>438</v>
      </c>
      <c r="J276" s="1" t="s">
        <v>55</v>
      </c>
    </row>
    <row r="277" spans="1:10" hidden="1" x14ac:dyDescent="0.25">
      <c r="A277" s="1" t="s">
        <v>314</v>
      </c>
      <c r="B277" s="1">
        <v>375</v>
      </c>
      <c r="C277" s="1" t="s">
        <v>977</v>
      </c>
      <c r="D277" s="1" t="s">
        <v>440</v>
      </c>
      <c r="E277" s="1" t="s">
        <v>978</v>
      </c>
      <c r="F277" s="1" t="s">
        <v>83</v>
      </c>
      <c r="G277" s="4">
        <v>0</v>
      </c>
      <c r="I277" s="1" t="s">
        <v>438</v>
      </c>
      <c r="J277" s="1" t="s">
        <v>55</v>
      </c>
    </row>
    <row r="278" spans="1:10" hidden="1" x14ac:dyDescent="0.25">
      <c r="A278" s="1" t="s">
        <v>314</v>
      </c>
      <c r="B278" s="1">
        <v>380</v>
      </c>
      <c r="C278" s="1" t="s">
        <v>981</v>
      </c>
      <c r="D278" s="1" t="s">
        <v>440</v>
      </c>
      <c r="E278" s="1" t="s">
        <v>982</v>
      </c>
      <c r="F278" s="1" t="s">
        <v>83</v>
      </c>
      <c r="G278" s="4">
        <v>0</v>
      </c>
      <c r="I278" s="1" t="s">
        <v>438</v>
      </c>
      <c r="J278" s="1" t="s">
        <v>55</v>
      </c>
    </row>
    <row r="279" spans="1:10" hidden="1" x14ac:dyDescent="0.25">
      <c r="A279" s="1" t="s">
        <v>314</v>
      </c>
      <c r="B279" s="1">
        <v>385</v>
      </c>
      <c r="C279" s="1" t="s">
        <v>985</v>
      </c>
      <c r="D279" s="1" t="s">
        <v>440</v>
      </c>
      <c r="E279" s="1" t="s">
        <v>986</v>
      </c>
      <c r="F279" s="1" t="s">
        <v>83</v>
      </c>
      <c r="G279" s="4">
        <v>0</v>
      </c>
      <c r="I279" s="1" t="s">
        <v>438</v>
      </c>
      <c r="J279" s="1" t="s">
        <v>55</v>
      </c>
    </row>
    <row r="280" spans="1:10" hidden="1" x14ac:dyDescent="0.25">
      <c r="A280" s="1" t="s">
        <v>314</v>
      </c>
      <c r="B280" s="1">
        <v>406</v>
      </c>
      <c r="C280" s="1" t="s">
        <v>589</v>
      </c>
      <c r="D280" s="1" t="s">
        <v>571</v>
      </c>
      <c r="E280" s="1" t="s">
        <v>989</v>
      </c>
      <c r="F280" s="1" t="s">
        <v>83</v>
      </c>
      <c r="G280" s="4">
        <v>0</v>
      </c>
      <c r="I280" s="1" t="s">
        <v>569</v>
      </c>
      <c r="J280" s="1" t="s">
        <v>44</v>
      </c>
    </row>
    <row r="281" spans="1:10" hidden="1" x14ac:dyDescent="0.25">
      <c r="A281" s="1" t="s">
        <v>314</v>
      </c>
      <c r="B281" s="1">
        <v>411</v>
      </c>
      <c r="C281" s="1" t="s">
        <v>992</v>
      </c>
      <c r="D281" s="1" t="s">
        <v>571</v>
      </c>
      <c r="E281" s="1" t="s">
        <v>993</v>
      </c>
      <c r="F281" s="1" t="s">
        <v>83</v>
      </c>
      <c r="G281" s="4">
        <v>0</v>
      </c>
      <c r="I281" s="1" t="s">
        <v>569</v>
      </c>
      <c r="J281" s="1" t="s">
        <v>55</v>
      </c>
    </row>
    <row r="282" spans="1:10" hidden="1" x14ac:dyDescent="0.25">
      <c r="A282" s="1" t="s">
        <v>314</v>
      </c>
      <c r="B282" s="1">
        <v>451</v>
      </c>
      <c r="C282" s="1" t="s">
        <v>646</v>
      </c>
      <c r="D282" s="1" t="s">
        <v>571</v>
      </c>
      <c r="E282" s="1" t="s">
        <v>996</v>
      </c>
      <c r="F282" s="1" t="s">
        <v>83</v>
      </c>
      <c r="G282" s="4">
        <v>0</v>
      </c>
      <c r="I282" s="1" t="s">
        <v>569</v>
      </c>
      <c r="J282" s="1" t="s">
        <v>55</v>
      </c>
    </row>
    <row r="283" spans="1:10" hidden="1" x14ac:dyDescent="0.25">
      <c r="A283" s="1" t="s">
        <v>314</v>
      </c>
      <c r="B283" s="1">
        <v>461</v>
      </c>
      <c r="C283" s="1" t="s">
        <v>653</v>
      </c>
      <c r="D283" s="1" t="s">
        <v>571</v>
      </c>
      <c r="E283" s="1" t="s">
        <v>999</v>
      </c>
      <c r="F283" s="1" t="s">
        <v>83</v>
      </c>
      <c r="G283" s="4">
        <v>0</v>
      </c>
      <c r="I283" s="1" t="s">
        <v>569</v>
      </c>
      <c r="J283" s="1" t="s">
        <v>55</v>
      </c>
    </row>
    <row r="284" spans="1:10" hidden="1" x14ac:dyDescent="0.25">
      <c r="A284" s="1" t="s">
        <v>314</v>
      </c>
      <c r="B284" s="1">
        <v>466</v>
      </c>
      <c r="C284" s="1" t="s">
        <v>1002</v>
      </c>
      <c r="D284" s="1" t="s">
        <v>571</v>
      </c>
      <c r="E284" s="1" t="s">
        <v>1003</v>
      </c>
      <c r="F284" s="1" t="s">
        <v>83</v>
      </c>
      <c r="G284" s="4">
        <v>0</v>
      </c>
      <c r="I284" s="1" t="s">
        <v>569</v>
      </c>
      <c r="J284" s="1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9"/>
  <sheetViews>
    <sheetView workbookViewId="0">
      <selection sqref="A1:XFD1048576"/>
    </sheetView>
  </sheetViews>
  <sheetFormatPr defaultRowHeight="15" x14ac:dyDescent="0.25"/>
  <cols>
    <col min="1" max="1" width="10.85546875" bestFit="1" customWidth="1"/>
    <col min="2" max="2" width="7.28515625" bestFit="1" customWidth="1"/>
    <col min="3" max="3" width="10.28515625" bestFit="1" customWidth="1"/>
    <col min="4" max="4" width="30.42578125" bestFit="1" customWidth="1"/>
    <col min="5" max="5" width="37.28515625" bestFit="1" customWidth="1"/>
    <col min="6" max="6" width="12.42578125" bestFit="1" customWidth="1"/>
    <col min="7" max="7" width="16" bestFit="1" customWidth="1"/>
    <col min="8" max="8" width="23.5703125" bestFit="1" customWidth="1"/>
    <col min="9" max="9" width="32.140625" bestFit="1" customWidth="1"/>
    <col min="10" max="10" width="11.140625" bestFit="1" customWidth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10</v>
      </c>
      <c r="C2" s="1" t="s">
        <v>81</v>
      </c>
      <c r="D2" s="1" t="s">
        <v>63</v>
      </c>
      <c r="E2" s="1" t="s">
        <v>82</v>
      </c>
      <c r="F2" s="1" t="s">
        <v>83</v>
      </c>
      <c r="G2" s="1">
        <v>0</v>
      </c>
      <c r="H2" s="1"/>
      <c r="I2" s="1" t="s">
        <v>61</v>
      </c>
      <c r="J2" s="1" t="s">
        <v>55</v>
      </c>
    </row>
    <row r="3" spans="1:10" x14ac:dyDescent="0.25">
      <c r="A3" s="1" t="s">
        <v>194</v>
      </c>
      <c r="B3" s="1">
        <v>90</v>
      </c>
      <c r="C3" s="1" t="s">
        <v>192</v>
      </c>
      <c r="D3" s="1" t="s">
        <v>189</v>
      </c>
      <c r="E3" s="1" t="s">
        <v>109</v>
      </c>
      <c r="F3" s="1" t="s">
        <v>83</v>
      </c>
      <c r="G3" s="1">
        <v>0</v>
      </c>
      <c r="H3" s="1"/>
      <c r="I3" s="1" t="s">
        <v>158</v>
      </c>
      <c r="J3" s="1" t="s">
        <v>55</v>
      </c>
    </row>
    <row r="4" spans="1:10" x14ac:dyDescent="0.25">
      <c r="A4" s="1" t="s">
        <v>194</v>
      </c>
      <c r="B4" s="1">
        <v>91</v>
      </c>
      <c r="C4" s="1" t="s">
        <v>195</v>
      </c>
      <c r="D4" s="1" t="s">
        <v>189</v>
      </c>
      <c r="E4" s="1" t="s">
        <v>115</v>
      </c>
      <c r="F4" s="1" t="s">
        <v>83</v>
      </c>
      <c r="G4" s="1">
        <v>0</v>
      </c>
      <c r="H4" s="1"/>
      <c r="I4" s="1" t="s">
        <v>158</v>
      </c>
      <c r="J4" s="1" t="s">
        <v>55</v>
      </c>
    </row>
    <row r="5" spans="1:10" x14ac:dyDescent="0.25">
      <c r="A5" s="1" t="s">
        <v>194</v>
      </c>
      <c r="B5" s="1">
        <v>95</v>
      </c>
      <c r="C5" s="1" t="s">
        <v>202</v>
      </c>
      <c r="D5" s="1" t="s">
        <v>200</v>
      </c>
      <c r="E5" s="1" t="s">
        <v>109</v>
      </c>
      <c r="F5" s="1" t="s">
        <v>83</v>
      </c>
      <c r="G5" s="1">
        <v>0</v>
      </c>
      <c r="H5" s="1"/>
      <c r="I5" s="1" t="s">
        <v>158</v>
      </c>
      <c r="J5" s="1" t="s">
        <v>55</v>
      </c>
    </row>
    <row r="6" spans="1:10" x14ac:dyDescent="0.25">
      <c r="A6" s="1" t="s">
        <v>194</v>
      </c>
      <c r="B6" s="1">
        <v>96</v>
      </c>
      <c r="C6" s="1" t="s">
        <v>203</v>
      </c>
      <c r="D6" s="1" t="s">
        <v>200</v>
      </c>
      <c r="E6" s="1" t="s">
        <v>115</v>
      </c>
      <c r="F6" s="1" t="s">
        <v>83</v>
      </c>
      <c r="G6" s="1">
        <v>0</v>
      </c>
      <c r="H6" s="1"/>
      <c r="I6" s="1" t="s">
        <v>158</v>
      </c>
      <c r="J6" s="1" t="s">
        <v>55</v>
      </c>
    </row>
    <row r="7" spans="1:10" x14ac:dyDescent="0.25">
      <c r="A7" s="1" t="s">
        <v>194</v>
      </c>
      <c r="B7" s="1">
        <v>100</v>
      </c>
      <c r="C7" s="1" t="s">
        <v>209</v>
      </c>
      <c r="D7" s="1" t="s">
        <v>207</v>
      </c>
      <c r="E7" s="1" t="s">
        <v>109</v>
      </c>
      <c r="F7" s="1" t="s">
        <v>83</v>
      </c>
      <c r="G7" s="1">
        <v>0</v>
      </c>
      <c r="H7" s="1"/>
      <c r="I7" s="1" t="s">
        <v>158</v>
      </c>
      <c r="J7" s="1" t="s">
        <v>55</v>
      </c>
    </row>
    <row r="8" spans="1:10" x14ac:dyDescent="0.25">
      <c r="A8" s="1" t="s">
        <v>194</v>
      </c>
      <c r="B8" s="1">
        <v>101</v>
      </c>
      <c r="C8" s="1" t="s">
        <v>210</v>
      </c>
      <c r="D8" s="1" t="s">
        <v>207</v>
      </c>
      <c r="E8" s="1" t="s">
        <v>115</v>
      </c>
      <c r="F8" s="1" t="s">
        <v>83</v>
      </c>
      <c r="G8" s="1">
        <v>0</v>
      </c>
      <c r="H8" s="1"/>
      <c r="I8" s="1" t="s">
        <v>158</v>
      </c>
      <c r="J8" s="1" t="s">
        <v>55</v>
      </c>
    </row>
    <row r="9" spans="1:10" x14ac:dyDescent="0.25">
      <c r="A9" s="1" t="s">
        <v>194</v>
      </c>
      <c r="B9" s="1">
        <v>105</v>
      </c>
      <c r="C9" s="1" t="s">
        <v>216</v>
      </c>
      <c r="D9" s="1" t="s">
        <v>214</v>
      </c>
      <c r="E9" s="1" t="s">
        <v>109</v>
      </c>
      <c r="F9" s="1" t="s">
        <v>83</v>
      </c>
      <c r="G9" s="1">
        <v>0</v>
      </c>
      <c r="H9" s="1"/>
      <c r="I9" s="1" t="s">
        <v>158</v>
      </c>
      <c r="J9" s="1" t="s">
        <v>55</v>
      </c>
    </row>
    <row r="10" spans="1:10" x14ac:dyDescent="0.25">
      <c r="A10" s="1" t="s">
        <v>194</v>
      </c>
      <c r="B10" s="1">
        <v>106</v>
      </c>
      <c r="C10" s="1" t="s">
        <v>217</v>
      </c>
      <c r="D10" s="1" t="s">
        <v>214</v>
      </c>
      <c r="E10" s="1" t="s">
        <v>115</v>
      </c>
      <c r="F10" s="1" t="s">
        <v>83</v>
      </c>
      <c r="G10" s="1">
        <v>0</v>
      </c>
      <c r="H10" s="1"/>
      <c r="I10" s="1" t="s">
        <v>158</v>
      </c>
      <c r="J10" s="1" t="s">
        <v>55</v>
      </c>
    </row>
    <row r="11" spans="1:10" x14ac:dyDescent="0.25">
      <c r="A11" s="1" t="s">
        <v>194</v>
      </c>
      <c r="B11" s="1">
        <v>251</v>
      </c>
      <c r="C11" s="1" t="s">
        <v>382</v>
      </c>
      <c r="D11" s="1" t="s">
        <v>381</v>
      </c>
      <c r="E11" s="1" t="s">
        <v>105</v>
      </c>
      <c r="F11" s="1" t="s">
        <v>83</v>
      </c>
      <c r="G11" s="1">
        <v>0</v>
      </c>
      <c r="H11" s="1"/>
      <c r="I11" s="1" t="s">
        <v>365</v>
      </c>
      <c r="J11" s="1" t="s">
        <v>55</v>
      </c>
    </row>
    <row r="12" spans="1:10" x14ac:dyDescent="0.25">
      <c r="A12" s="1" t="s">
        <v>194</v>
      </c>
      <c r="B12" s="1">
        <v>252</v>
      </c>
      <c r="C12" s="1" t="s">
        <v>384</v>
      </c>
      <c r="D12" s="1" t="s">
        <v>381</v>
      </c>
      <c r="E12" s="1" t="s">
        <v>109</v>
      </c>
      <c r="F12" s="1" t="s">
        <v>83</v>
      </c>
      <c r="G12" s="1">
        <v>0</v>
      </c>
      <c r="H12" s="1"/>
      <c r="I12" s="1" t="s">
        <v>365</v>
      </c>
      <c r="J12" s="1" t="s">
        <v>55</v>
      </c>
    </row>
    <row r="13" spans="1:10" x14ac:dyDescent="0.25">
      <c r="A13" s="1" t="s">
        <v>194</v>
      </c>
      <c r="B13" s="1">
        <v>253</v>
      </c>
      <c r="C13" s="1" t="s">
        <v>386</v>
      </c>
      <c r="D13" s="1" t="s">
        <v>381</v>
      </c>
      <c r="E13" s="1" t="s">
        <v>115</v>
      </c>
      <c r="F13" s="1" t="s">
        <v>83</v>
      </c>
      <c r="G13" s="1">
        <v>0</v>
      </c>
      <c r="H13" s="1"/>
      <c r="I13" s="1" t="s">
        <v>365</v>
      </c>
      <c r="J13" s="1" t="s">
        <v>55</v>
      </c>
    </row>
    <row r="14" spans="1:10" x14ac:dyDescent="0.25">
      <c r="A14" s="1" t="s">
        <v>67</v>
      </c>
      <c r="B14" s="1">
        <v>271</v>
      </c>
      <c r="C14" s="1" t="s">
        <v>410</v>
      </c>
      <c r="D14" s="1" t="s">
        <v>409</v>
      </c>
      <c r="E14" s="1" t="s">
        <v>105</v>
      </c>
      <c r="F14" s="1" t="s">
        <v>83</v>
      </c>
      <c r="G14" s="1">
        <v>0</v>
      </c>
      <c r="H14" s="1"/>
      <c r="I14" s="1" t="s">
        <v>365</v>
      </c>
      <c r="J14" s="1" t="s">
        <v>55</v>
      </c>
    </row>
    <row r="15" spans="1:10" x14ac:dyDescent="0.25">
      <c r="A15" s="1" t="s">
        <v>194</v>
      </c>
      <c r="B15" s="1">
        <v>272</v>
      </c>
      <c r="C15" s="1" t="s">
        <v>411</v>
      </c>
      <c r="D15" s="1" t="s">
        <v>409</v>
      </c>
      <c r="E15" s="1" t="s">
        <v>109</v>
      </c>
      <c r="F15" s="1" t="s">
        <v>83</v>
      </c>
      <c r="G15" s="1">
        <v>0</v>
      </c>
      <c r="H15" s="1"/>
      <c r="I15" s="1" t="s">
        <v>365</v>
      </c>
      <c r="J15" s="1" t="s">
        <v>55</v>
      </c>
    </row>
    <row r="16" spans="1:10" x14ac:dyDescent="0.25">
      <c r="A16" s="1" t="s">
        <v>194</v>
      </c>
      <c r="B16" s="1">
        <v>273</v>
      </c>
      <c r="C16" s="1" t="s">
        <v>412</v>
      </c>
      <c r="D16" s="1" t="s">
        <v>409</v>
      </c>
      <c r="E16" s="1" t="s">
        <v>115</v>
      </c>
      <c r="F16" s="1" t="s">
        <v>83</v>
      </c>
      <c r="G16" s="1">
        <v>0</v>
      </c>
      <c r="H16" s="1"/>
      <c r="I16" s="1" t="s">
        <v>365</v>
      </c>
      <c r="J16" s="1" t="s">
        <v>55</v>
      </c>
    </row>
    <row r="17" spans="1:10" x14ac:dyDescent="0.25">
      <c r="A17" s="1" t="s">
        <v>67</v>
      </c>
      <c r="B17" s="1">
        <v>276</v>
      </c>
      <c r="C17" s="1" t="s">
        <v>417</v>
      </c>
      <c r="D17" s="1" t="s">
        <v>416</v>
      </c>
      <c r="E17" s="1" t="s">
        <v>105</v>
      </c>
      <c r="F17" s="1" t="s">
        <v>83</v>
      </c>
      <c r="G17" s="1">
        <v>0</v>
      </c>
      <c r="H17" s="1"/>
      <c r="I17" s="1" t="s">
        <v>365</v>
      </c>
      <c r="J17" s="1" t="s">
        <v>55</v>
      </c>
    </row>
    <row r="18" spans="1:10" x14ac:dyDescent="0.25">
      <c r="A18" s="1" t="s">
        <v>194</v>
      </c>
      <c r="B18" s="1">
        <v>277</v>
      </c>
      <c r="C18" s="1" t="s">
        <v>418</v>
      </c>
      <c r="D18" s="1" t="s">
        <v>416</v>
      </c>
      <c r="E18" s="1" t="s">
        <v>109</v>
      </c>
      <c r="F18" s="1" t="s">
        <v>83</v>
      </c>
      <c r="G18" s="1">
        <v>0</v>
      </c>
      <c r="H18" s="1"/>
      <c r="I18" s="1" t="s">
        <v>365</v>
      </c>
      <c r="J18" s="1" t="s">
        <v>55</v>
      </c>
    </row>
    <row r="19" spans="1:10" x14ac:dyDescent="0.25">
      <c r="A19" s="1" t="s">
        <v>194</v>
      </c>
      <c r="B19" s="1">
        <v>278</v>
      </c>
      <c r="C19" s="1" t="s">
        <v>419</v>
      </c>
      <c r="D19" s="1" t="s">
        <v>416</v>
      </c>
      <c r="E19" s="1" t="s">
        <v>115</v>
      </c>
      <c r="F19" s="1" t="s">
        <v>83</v>
      </c>
      <c r="G19" s="1">
        <v>0</v>
      </c>
      <c r="H19" s="1"/>
      <c r="I19" s="1" t="s">
        <v>365</v>
      </c>
      <c r="J19" s="1" t="s">
        <v>55</v>
      </c>
    </row>
    <row r="20" spans="1:10" x14ac:dyDescent="0.25">
      <c r="A20" s="1" t="s">
        <v>67</v>
      </c>
      <c r="B20" s="1">
        <v>281</v>
      </c>
      <c r="C20" s="1" t="s">
        <v>424</v>
      </c>
      <c r="D20" s="1" t="s">
        <v>423</v>
      </c>
      <c r="E20" s="1" t="s">
        <v>105</v>
      </c>
      <c r="F20" s="1" t="s">
        <v>83</v>
      </c>
      <c r="G20" s="1">
        <v>0</v>
      </c>
      <c r="H20" s="1"/>
      <c r="I20" s="1" t="s">
        <v>365</v>
      </c>
      <c r="J20" s="1" t="s">
        <v>55</v>
      </c>
    </row>
    <row r="21" spans="1:10" x14ac:dyDescent="0.25">
      <c r="A21" s="1" t="s">
        <v>194</v>
      </c>
      <c r="B21" s="1">
        <v>282</v>
      </c>
      <c r="C21" s="1" t="s">
        <v>425</v>
      </c>
      <c r="D21" s="1" t="s">
        <v>423</v>
      </c>
      <c r="E21" s="1" t="s">
        <v>109</v>
      </c>
      <c r="F21" s="1" t="s">
        <v>83</v>
      </c>
      <c r="G21" s="1">
        <v>0</v>
      </c>
      <c r="H21" s="1"/>
      <c r="I21" s="1" t="s">
        <v>365</v>
      </c>
      <c r="J21" s="1" t="s">
        <v>55</v>
      </c>
    </row>
    <row r="22" spans="1:10" x14ac:dyDescent="0.25">
      <c r="A22" s="1" t="s">
        <v>194</v>
      </c>
      <c r="B22" s="1">
        <v>283</v>
      </c>
      <c r="C22" s="1" t="s">
        <v>426</v>
      </c>
      <c r="D22" s="1" t="s">
        <v>423</v>
      </c>
      <c r="E22" s="1" t="s">
        <v>115</v>
      </c>
      <c r="F22" s="1" t="s">
        <v>83</v>
      </c>
      <c r="G22" s="1">
        <v>0</v>
      </c>
      <c r="H22" s="1"/>
      <c r="I22" s="1" t="s">
        <v>365</v>
      </c>
      <c r="J22" s="1" t="s">
        <v>55</v>
      </c>
    </row>
    <row r="23" spans="1:10" x14ac:dyDescent="0.25">
      <c r="A23" s="1" t="s">
        <v>67</v>
      </c>
      <c r="B23" s="1">
        <v>291</v>
      </c>
      <c r="C23" s="1" t="s">
        <v>432</v>
      </c>
      <c r="D23" s="1" t="s">
        <v>430</v>
      </c>
      <c r="E23" s="1" t="s">
        <v>105</v>
      </c>
      <c r="F23" s="1" t="s">
        <v>83</v>
      </c>
      <c r="G23" s="1">
        <v>0</v>
      </c>
      <c r="H23" s="1"/>
      <c r="I23" s="1" t="s">
        <v>365</v>
      </c>
      <c r="J23" s="1" t="s">
        <v>55</v>
      </c>
    </row>
    <row r="24" spans="1:10" x14ac:dyDescent="0.25">
      <c r="A24" s="1" t="s">
        <v>194</v>
      </c>
      <c r="B24" s="1">
        <v>292</v>
      </c>
      <c r="C24" s="1" t="s">
        <v>433</v>
      </c>
      <c r="D24" s="1" t="s">
        <v>430</v>
      </c>
      <c r="E24" s="1" t="s">
        <v>109</v>
      </c>
      <c r="F24" s="1" t="s">
        <v>83</v>
      </c>
      <c r="G24" s="1">
        <v>0</v>
      </c>
      <c r="H24" s="1"/>
      <c r="I24" s="1" t="s">
        <v>365</v>
      </c>
      <c r="J24" s="1" t="s">
        <v>55</v>
      </c>
    </row>
    <row r="25" spans="1:10" x14ac:dyDescent="0.25">
      <c r="A25" s="1" t="s">
        <v>194</v>
      </c>
      <c r="B25" s="1">
        <v>293</v>
      </c>
      <c r="C25" s="1" t="s">
        <v>434</v>
      </c>
      <c r="D25" s="1" t="s">
        <v>430</v>
      </c>
      <c r="E25" s="1" t="s">
        <v>115</v>
      </c>
      <c r="F25" s="1" t="s">
        <v>83</v>
      </c>
      <c r="G25" s="1">
        <v>0</v>
      </c>
      <c r="H25" s="1"/>
      <c r="I25" s="1" t="s">
        <v>365</v>
      </c>
      <c r="J25" s="1" t="s">
        <v>55</v>
      </c>
    </row>
    <row r="26" spans="1:10" x14ac:dyDescent="0.25">
      <c r="A26" s="1" t="s">
        <v>67</v>
      </c>
      <c r="B26" s="1">
        <v>302</v>
      </c>
      <c r="C26" s="1" t="s">
        <v>445</v>
      </c>
      <c r="D26" s="1" t="s">
        <v>443</v>
      </c>
      <c r="E26" s="1" t="s">
        <v>105</v>
      </c>
      <c r="F26" s="1" t="s">
        <v>83</v>
      </c>
      <c r="G26" s="1">
        <v>0</v>
      </c>
      <c r="H26" s="1"/>
      <c r="I26" s="1" t="s">
        <v>438</v>
      </c>
      <c r="J26" s="1" t="s">
        <v>55</v>
      </c>
    </row>
    <row r="27" spans="1:10" x14ac:dyDescent="0.25">
      <c r="A27" s="1" t="s">
        <v>67</v>
      </c>
      <c r="B27" s="1">
        <v>303</v>
      </c>
      <c r="C27" s="1" t="s">
        <v>446</v>
      </c>
      <c r="D27" s="1" t="s">
        <v>443</v>
      </c>
      <c r="E27" s="1" t="s">
        <v>109</v>
      </c>
      <c r="F27" s="1" t="s">
        <v>83</v>
      </c>
      <c r="G27" s="1">
        <v>0</v>
      </c>
      <c r="H27" s="1"/>
      <c r="I27" s="1" t="s">
        <v>438</v>
      </c>
      <c r="J27" s="1" t="s">
        <v>55</v>
      </c>
    </row>
    <row r="28" spans="1:10" x14ac:dyDescent="0.25">
      <c r="A28" s="1" t="s">
        <v>194</v>
      </c>
      <c r="B28" s="1">
        <v>304</v>
      </c>
      <c r="C28" s="1" t="s">
        <v>447</v>
      </c>
      <c r="D28" s="1" t="s">
        <v>443</v>
      </c>
      <c r="E28" s="1" t="s">
        <v>115</v>
      </c>
      <c r="F28" s="1" t="s">
        <v>83</v>
      </c>
      <c r="G28" s="1">
        <v>0</v>
      </c>
      <c r="H28" s="1"/>
      <c r="I28" s="1" t="s">
        <v>438</v>
      </c>
      <c r="J28" s="1" t="s">
        <v>55</v>
      </c>
    </row>
    <row r="29" spans="1:10" x14ac:dyDescent="0.25">
      <c r="A29" s="1" t="s">
        <v>194</v>
      </c>
      <c r="B29" s="1">
        <v>322</v>
      </c>
      <c r="C29" s="1" t="s">
        <v>475</v>
      </c>
      <c r="D29" s="1" t="s">
        <v>473</v>
      </c>
      <c r="E29" s="1" t="s">
        <v>105</v>
      </c>
      <c r="F29" s="1" t="s">
        <v>83</v>
      </c>
      <c r="G29" s="1">
        <v>0</v>
      </c>
      <c r="H29" s="1"/>
      <c r="I29" s="1" t="s">
        <v>438</v>
      </c>
      <c r="J29" s="1" t="s">
        <v>55</v>
      </c>
    </row>
    <row r="30" spans="1:10" x14ac:dyDescent="0.25">
      <c r="A30" s="1" t="s">
        <v>478</v>
      </c>
      <c r="B30" s="1">
        <v>323</v>
      </c>
      <c r="C30" s="1" t="s">
        <v>476</v>
      </c>
      <c r="D30" s="1" t="s">
        <v>473</v>
      </c>
      <c r="E30" s="1" t="s">
        <v>109</v>
      </c>
      <c r="F30" s="1" t="s">
        <v>83</v>
      </c>
      <c r="G30" s="1">
        <v>0</v>
      </c>
      <c r="H30" s="1"/>
      <c r="I30" s="1" t="s">
        <v>438</v>
      </c>
      <c r="J30" s="1" t="s">
        <v>55</v>
      </c>
    </row>
    <row r="31" spans="1:10" x14ac:dyDescent="0.25">
      <c r="A31" s="1" t="s">
        <v>478</v>
      </c>
      <c r="B31" s="1">
        <v>324</v>
      </c>
      <c r="C31" s="1" t="s">
        <v>479</v>
      </c>
      <c r="D31" s="1" t="s">
        <v>473</v>
      </c>
      <c r="E31" s="1" t="s">
        <v>115</v>
      </c>
      <c r="F31" s="1" t="s">
        <v>83</v>
      </c>
      <c r="G31" s="1">
        <v>0</v>
      </c>
      <c r="H31" s="1"/>
      <c r="I31" s="1" t="s">
        <v>438</v>
      </c>
      <c r="J31" s="1" t="s">
        <v>55</v>
      </c>
    </row>
    <row r="32" spans="1:10" x14ac:dyDescent="0.25">
      <c r="A32" s="1" t="s">
        <v>478</v>
      </c>
      <c r="B32" s="1">
        <v>327</v>
      </c>
      <c r="C32" s="1" t="s">
        <v>486</v>
      </c>
      <c r="D32" s="1" t="s">
        <v>484</v>
      </c>
      <c r="E32" s="1" t="s">
        <v>105</v>
      </c>
      <c r="F32" s="1" t="s">
        <v>83</v>
      </c>
      <c r="G32" s="1">
        <v>0</v>
      </c>
      <c r="H32" s="1"/>
      <c r="I32" s="1" t="s">
        <v>438</v>
      </c>
      <c r="J32" s="1" t="s">
        <v>55</v>
      </c>
    </row>
    <row r="33" spans="1:10" x14ac:dyDescent="0.25">
      <c r="A33" s="1" t="s">
        <v>478</v>
      </c>
      <c r="B33" s="1">
        <v>328</v>
      </c>
      <c r="C33" s="1" t="s">
        <v>487</v>
      </c>
      <c r="D33" s="1" t="s">
        <v>484</v>
      </c>
      <c r="E33" s="1" t="s">
        <v>109</v>
      </c>
      <c r="F33" s="1" t="s">
        <v>83</v>
      </c>
      <c r="G33" s="1">
        <v>0</v>
      </c>
      <c r="H33" s="1"/>
      <c r="I33" s="1" t="s">
        <v>438</v>
      </c>
      <c r="J33" s="1" t="s">
        <v>55</v>
      </c>
    </row>
    <row r="34" spans="1:10" x14ac:dyDescent="0.25">
      <c r="A34" s="1" t="s">
        <v>478</v>
      </c>
      <c r="B34" s="1">
        <v>329</v>
      </c>
      <c r="C34" s="1" t="s">
        <v>489</v>
      </c>
      <c r="D34" s="1" t="s">
        <v>484</v>
      </c>
      <c r="E34" s="1" t="s">
        <v>115</v>
      </c>
      <c r="F34" s="1" t="s">
        <v>83</v>
      </c>
      <c r="G34" s="1">
        <v>0</v>
      </c>
      <c r="H34" s="1"/>
      <c r="I34" s="1" t="s">
        <v>438</v>
      </c>
      <c r="J34" s="1" t="s">
        <v>55</v>
      </c>
    </row>
    <row r="35" spans="1:10" x14ac:dyDescent="0.25">
      <c r="A35" s="1" t="s">
        <v>194</v>
      </c>
      <c r="B35" s="1">
        <v>347</v>
      </c>
      <c r="C35" s="1" t="s">
        <v>516</v>
      </c>
      <c r="D35" s="1" t="s">
        <v>514</v>
      </c>
      <c r="E35" s="1" t="s">
        <v>105</v>
      </c>
      <c r="F35" s="1" t="s">
        <v>83</v>
      </c>
      <c r="G35" s="1">
        <v>0</v>
      </c>
      <c r="H35" s="1"/>
      <c r="I35" s="1" t="s">
        <v>438</v>
      </c>
      <c r="J35" s="1" t="s">
        <v>55</v>
      </c>
    </row>
    <row r="36" spans="1:10" x14ac:dyDescent="0.25">
      <c r="A36" s="1" t="s">
        <v>194</v>
      </c>
      <c r="B36" s="1">
        <v>348</v>
      </c>
      <c r="C36" s="1" t="s">
        <v>518</v>
      </c>
      <c r="D36" s="1" t="s">
        <v>514</v>
      </c>
      <c r="E36" s="1" t="s">
        <v>109</v>
      </c>
      <c r="F36" s="1" t="s">
        <v>83</v>
      </c>
      <c r="G36" s="1">
        <v>0</v>
      </c>
      <c r="H36" s="1"/>
      <c r="I36" s="1" t="s">
        <v>438</v>
      </c>
      <c r="J36" s="1" t="s">
        <v>55</v>
      </c>
    </row>
    <row r="37" spans="1:10" x14ac:dyDescent="0.25">
      <c r="A37" s="1" t="s">
        <v>194</v>
      </c>
      <c r="B37" s="1">
        <v>349</v>
      </c>
      <c r="C37" s="1" t="s">
        <v>520</v>
      </c>
      <c r="D37" s="1" t="s">
        <v>514</v>
      </c>
      <c r="E37" s="1" t="s">
        <v>115</v>
      </c>
      <c r="F37" s="1" t="s">
        <v>83</v>
      </c>
      <c r="G37" s="1">
        <v>0</v>
      </c>
      <c r="H37" s="1"/>
      <c r="I37" s="1" t="s">
        <v>438</v>
      </c>
      <c r="J37" s="1" t="s">
        <v>55</v>
      </c>
    </row>
    <row r="38" spans="1:10" x14ac:dyDescent="0.25">
      <c r="A38" s="1" t="s">
        <v>180</v>
      </c>
      <c r="B38" s="1">
        <v>352</v>
      </c>
      <c r="C38" s="1" t="s">
        <v>527</v>
      </c>
      <c r="D38" s="1" t="s">
        <v>525</v>
      </c>
      <c r="E38" s="1" t="s">
        <v>105</v>
      </c>
      <c r="F38" s="1" t="s">
        <v>83</v>
      </c>
      <c r="G38" s="1">
        <v>0</v>
      </c>
      <c r="H38" s="1"/>
      <c r="I38" s="1" t="s">
        <v>438</v>
      </c>
      <c r="J38" s="1" t="s">
        <v>55</v>
      </c>
    </row>
    <row r="39" spans="1:10" x14ac:dyDescent="0.25">
      <c r="A39" s="1" t="s">
        <v>180</v>
      </c>
      <c r="B39" s="1">
        <v>353</v>
      </c>
      <c r="C39" s="1" t="s">
        <v>528</v>
      </c>
      <c r="D39" s="1" t="s">
        <v>525</v>
      </c>
      <c r="E39" s="1" t="s">
        <v>109</v>
      </c>
      <c r="F39" s="1" t="s">
        <v>83</v>
      </c>
      <c r="G39" s="1">
        <v>0</v>
      </c>
      <c r="H39" s="1"/>
      <c r="I39" s="1" t="s">
        <v>438</v>
      </c>
      <c r="J39" s="1" t="s">
        <v>55</v>
      </c>
    </row>
    <row r="40" spans="1:10" x14ac:dyDescent="0.25">
      <c r="A40" s="1" t="s">
        <v>180</v>
      </c>
      <c r="B40" s="1">
        <v>354</v>
      </c>
      <c r="C40" s="1" t="s">
        <v>530</v>
      </c>
      <c r="D40" s="1" t="s">
        <v>525</v>
      </c>
      <c r="E40" s="1" t="s">
        <v>115</v>
      </c>
      <c r="F40" s="1" t="s">
        <v>83</v>
      </c>
      <c r="G40" s="1">
        <v>0</v>
      </c>
      <c r="H40" s="1"/>
      <c r="I40" s="1" t="s">
        <v>438</v>
      </c>
      <c r="J40" s="1" t="s">
        <v>55</v>
      </c>
    </row>
    <row r="41" spans="1:10" x14ac:dyDescent="0.25">
      <c r="A41" s="1" t="s">
        <v>194</v>
      </c>
      <c r="B41" s="1">
        <v>444</v>
      </c>
      <c r="C41" s="1" t="s">
        <v>604</v>
      </c>
      <c r="D41" s="1" t="s">
        <v>601</v>
      </c>
      <c r="E41" s="1" t="s">
        <v>109</v>
      </c>
      <c r="F41" s="1" t="s">
        <v>83</v>
      </c>
      <c r="G41" s="1">
        <v>0</v>
      </c>
      <c r="H41" s="1"/>
      <c r="I41" s="1" t="s">
        <v>569</v>
      </c>
      <c r="J41" s="1" t="s">
        <v>55</v>
      </c>
    </row>
    <row r="42" spans="1:10" x14ac:dyDescent="0.25">
      <c r="A42" s="1" t="s">
        <v>194</v>
      </c>
      <c r="B42" s="1">
        <v>445</v>
      </c>
      <c r="C42" s="1" t="s">
        <v>605</v>
      </c>
      <c r="D42" s="1" t="s">
        <v>601</v>
      </c>
      <c r="E42" s="1" t="s">
        <v>115</v>
      </c>
      <c r="F42" s="1" t="s">
        <v>83</v>
      </c>
      <c r="G42" s="1">
        <v>0</v>
      </c>
      <c r="H42" s="1"/>
      <c r="I42" s="1" t="s">
        <v>569</v>
      </c>
      <c r="J42" s="1" t="s">
        <v>55</v>
      </c>
    </row>
    <row r="43" spans="1:10" x14ac:dyDescent="0.25">
      <c r="A43" s="1" t="s">
        <v>180</v>
      </c>
      <c r="B43" s="1">
        <v>485</v>
      </c>
      <c r="C43" s="1" t="s">
        <v>660</v>
      </c>
      <c r="D43" s="1" t="s">
        <v>656</v>
      </c>
      <c r="E43" s="1" t="s">
        <v>115</v>
      </c>
      <c r="F43" s="1" t="s">
        <v>83</v>
      </c>
      <c r="G43" s="1">
        <v>0</v>
      </c>
      <c r="H43" s="1"/>
      <c r="I43" s="1" t="s">
        <v>569</v>
      </c>
      <c r="J43" s="1" t="s">
        <v>55</v>
      </c>
    </row>
    <row r="44" spans="1:10" x14ac:dyDescent="0.25">
      <c r="A44" s="1" t="s">
        <v>67</v>
      </c>
      <c r="B44" s="1">
        <v>499</v>
      </c>
      <c r="C44" s="1" t="s">
        <v>668</v>
      </c>
      <c r="D44" s="1" t="s">
        <v>664</v>
      </c>
      <c r="E44" s="1" t="s">
        <v>109</v>
      </c>
      <c r="F44" s="1" t="s">
        <v>83</v>
      </c>
      <c r="G44" s="1">
        <v>0</v>
      </c>
      <c r="H44" s="1"/>
      <c r="I44" s="1" t="s">
        <v>569</v>
      </c>
      <c r="J44" s="1" t="s">
        <v>55</v>
      </c>
    </row>
    <row r="45" spans="1:10" x14ac:dyDescent="0.25">
      <c r="A45" s="1" t="s">
        <v>194</v>
      </c>
      <c r="B45" s="1">
        <v>500</v>
      </c>
      <c r="C45" s="1" t="s">
        <v>669</v>
      </c>
      <c r="D45" s="1" t="s">
        <v>664</v>
      </c>
      <c r="E45" s="1" t="s">
        <v>115</v>
      </c>
      <c r="F45" s="1" t="s">
        <v>83</v>
      </c>
      <c r="G45" s="1">
        <v>0</v>
      </c>
      <c r="H45" s="1"/>
      <c r="I45" s="1" t="s">
        <v>569</v>
      </c>
      <c r="J45" s="1" t="s">
        <v>55</v>
      </c>
    </row>
    <row r="46" spans="1:10" x14ac:dyDescent="0.25">
      <c r="A46" s="1" t="s">
        <v>180</v>
      </c>
      <c r="B46" s="1">
        <v>623</v>
      </c>
      <c r="C46" s="1" t="s">
        <v>849</v>
      </c>
      <c r="D46" s="1" t="s">
        <v>847</v>
      </c>
      <c r="E46" s="1" t="s">
        <v>105</v>
      </c>
      <c r="F46" s="1" t="s">
        <v>83</v>
      </c>
      <c r="G46" s="1">
        <v>0</v>
      </c>
      <c r="H46" s="1"/>
      <c r="I46" s="1" t="s">
        <v>569</v>
      </c>
      <c r="J46" s="1" t="s">
        <v>44</v>
      </c>
    </row>
    <row r="47" spans="1:10" x14ac:dyDescent="0.25">
      <c r="A47" s="1" t="s">
        <v>180</v>
      </c>
      <c r="B47" s="1">
        <v>624</v>
      </c>
      <c r="C47" s="1" t="s">
        <v>850</v>
      </c>
      <c r="D47" s="1" t="s">
        <v>847</v>
      </c>
      <c r="E47" s="1" t="s">
        <v>109</v>
      </c>
      <c r="F47" s="1" t="s">
        <v>83</v>
      </c>
      <c r="G47" s="1">
        <v>0</v>
      </c>
      <c r="H47" s="1"/>
      <c r="I47" s="1" t="s">
        <v>569</v>
      </c>
      <c r="J47" s="1" t="s">
        <v>44</v>
      </c>
    </row>
    <row r="48" spans="1:10" x14ac:dyDescent="0.25">
      <c r="A48" s="1" t="s">
        <v>67</v>
      </c>
      <c r="B48" s="1">
        <v>625</v>
      </c>
      <c r="C48" s="1" t="s">
        <v>851</v>
      </c>
      <c r="D48" s="1" t="s">
        <v>847</v>
      </c>
      <c r="E48" s="1" t="s">
        <v>115</v>
      </c>
      <c r="F48" s="1" t="s">
        <v>83</v>
      </c>
      <c r="G48" s="1">
        <v>0</v>
      </c>
      <c r="H48" s="1"/>
      <c r="I48" s="1" t="s">
        <v>569</v>
      </c>
      <c r="J48" s="1" t="s">
        <v>44</v>
      </c>
    </row>
    <row r="49" spans="1:10" x14ac:dyDescent="0.25">
      <c r="A49" s="1" t="s">
        <v>180</v>
      </c>
      <c r="B49" s="1">
        <v>633</v>
      </c>
      <c r="C49" s="1" t="s">
        <v>864</v>
      </c>
      <c r="D49" s="1" t="s">
        <v>863</v>
      </c>
      <c r="E49" s="1" t="s">
        <v>105</v>
      </c>
      <c r="F49" s="1" t="s">
        <v>83</v>
      </c>
      <c r="G49" s="1">
        <v>0</v>
      </c>
      <c r="H49" s="1"/>
      <c r="I49" s="1" t="s">
        <v>569</v>
      </c>
      <c r="J49" s="1" t="s">
        <v>44</v>
      </c>
    </row>
    <row r="50" spans="1:10" x14ac:dyDescent="0.25">
      <c r="A50" s="1" t="s">
        <v>180</v>
      </c>
      <c r="B50" s="1">
        <v>634</v>
      </c>
      <c r="C50" s="1" t="s">
        <v>865</v>
      </c>
      <c r="D50" s="1" t="s">
        <v>863</v>
      </c>
      <c r="E50" s="1" t="s">
        <v>109</v>
      </c>
      <c r="F50" s="1" t="s">
        <v>83</v>
      </c>
      <c r="G50" s="1">
        <v>0</v>
      </c>
      <c r="H50" s="1"/>
      <c r="I50" s="1" t="s">
        <v>569</v>
      </c>
      <c r="J50" s="1" t="s">
        <v>44</v>
      </c>
    </row>
    <row r="51" spans="1:10" x14ac:dyDescent="0.25">
      <c r="A51" s="1" t="s">
        <v>67</v>
      </c>
      <c r="B51" s="1">
        <v>635</v>
      </c>
      <c r="C51" s="1" t="s">
        <v>866</v>
      </c>
      <c r="D51" s="1" t="s">
        <v>863</v>
      </c>
      <c r="E51" s="1" t="s">
        <v>115</v>
      </c>
      <c r="F51" s="1" t="s">
        <v>83</v>
      </c>
      <c r="G51" s="1">
        <v>0</v>
      </c>
      <c r="H51" s="1"/>
      <c r="I51" s="1" t="s">
        <v>569</v>
      </c>
      <c r="J51" s="1" t="s">
        <v>44</v>
      </c>
    </row>
    <row r="52" spans="1:10" x14ac:dyDescent="0.25">
      <c r="A52" s="1" t="s">
        <v>67</v>
      </c>
      <c r="B52" s="1">
        <v>639</v>
      </c>
      <c r="C52" s="1" t="s">
        <v>877</v>
      </c>
      <c r="D52" s="1" t="s">
        <v>874</v>
      </c>
      <c r="E52" s="1" t="s">
        <v>105</v>
      </c>
      <c r="F52" s="1" t="s">
        <v>83</v>
      </c>
      <c r="G52" s="1">
        <v>0</v>
      </c>
      <c r="H52" s="1"/>
      <c r="I52" s="1" t="s">
        <v>869</v>
      </c>
      <c r="J52" s="1" t="s">
        <v>44</v>
      </c>
    </row>
    <row r="53" spans="1:10" x14ac:dyDescent="0.25">
      <c r="A53" s="1" t="s">
        <v>67</v>
      </c>
      <c r="B53" s="1">
        <v>640</v>
      </c>
      <c r="C53" s="1" t="s">
        <v>878</v>
      </c>
      <c r="D53" s="1" t="s">
        <v>874</v>
      </c>
      <c r="E53" s="1" t="s">
        <v>109</v>
      </c>
      <c r="F53" s="1" t="s">
        <v>83</v>
      </c>
      <c r="G53" s="1">
        <v>0</v>
      </c>
      <c r="H53" s="1"/>
      <c r="I53" s="1" t="s">
        <v>869</v>
      </c>
      <c r="J53" s="1" t="s">
        <v>44</v>
      </c>
    </row>
    <row r="54" spans="1:10" x14ac:dyDescent="0.25">
      <c r="A54" s="1" t="s">
        <v>67</v>
      </c>
      <c r="B54" s="1">
        <v>641</v>
      </c>
      <c r="C54" s="1" t="s">
        <v>879</v>
      </c>
      <c r="D54" s="1" t="s">
        <v>874</v>
      </c>
      <c r="E54" s="1" t="s">
        <v>115</v>
      </c>
      <c r="F54" s="1" t="s">
        <v>83</v>
      </c>
      <c r="G54" s="1">
        <v>0</v>
      </c>
      <c r="H54" s="1"/>
      <c r="I54" s="1" t="s">
        <v>869</v>
      </c>
      <c r="J54" s="1" t="s">
        <v>44</v>
      </c>
    </row>
    <row r="55" spans="1:10" hidden="1" x14ac:dyDescent="0.25">
      <c r="A55" s="1" t="s">
        <v>67</v>
      </c>
      <c r="B55" s="1">
        <v>642</v>
      </c>
      <c r="C55" s="1" t="s">
        <v>880</v>
      </c>
      <c r="D55" s="1" t="s">
        <v>871</v>
      </c>
      <c r="E55" s="1" t="s">
        <v>881</v>
      </c>
      <c r="F55" s="1" t="s">
        <v>83</v>
      </c>
      <c r="G55" s="1">
        <v>0.13</v>
      </c>
      <c r="H55" s="1"/>
      <c r="I55" s="1" t="s">
        <v>869</v>
      </c>
      <c r="J55" s="1" t="s">
        <v>44</v>
      </c>
    </row>
    <row r="56" spans="1:10" hidden="1" x14ac:dyDescent="0.25">
      <c r="A56" s="1" t="s">
        <v>67</v>
      </c>
      <c r="B56" s="1">
        <v>643</v>
      </c>
      <c r="C56" s="1" t="s">
        <v>882</v>
      </c>
      <c r="D56" s="1" t="s">
        <v>883</v>
      </c>
      <c r="E56" s="1" t="s">
        <v>101</v>
      </c>
      <c r="F56" s="1" t="s">
        <v>83</v>
      </c>
      <c r="G56" s="1">
        <v>0.5</v>
      </c>
      <c r="H56" s="1"/>
      <c r="I56" s="1" t="s">
        <v>869</v>
      </c>
      <c r="J56" s="1" t="s">
        <v>44</v>
      </c>
    </row>
    <row r="57" spans="1:10" x14ac:dyDescent="0.25">
      <c r="A57" s="1" t="s">
        <v>67</v>
      </c>
      <c r="B57" s="1">
        <v>644</v>
      </c>
      <c r="C57" s="1" t="s">
        <v>885</v>
      </c>
      <c r="D57" s="1" t="s">
        <v>883</v>
      </c>
      <c r="E57" s="1" t="s">
        <v>105</v>
      </c>
      <c r="F57" s="1" t="s">
        <v>83</v>
      </c>
      <c r="G57" s="1">
        <v>0</v>
      </c>
      <c r="H57" s="1"/>
      <c r="I57" s="1" t="s">
        <v>869</v>
      </c>
      <c r="J57" s="1" t="s">
        <v>44</v>
      </c>
    </row>
    <row r="58" spans="1:10" x14ac:dyDescent="0.25">
      <c r="A58" s="1" t="s">
        <v>67</v>
      </c>
      <c r="B58" s="1">
        <v>645</v>
      </c>
      <c r="C58" s="1" t="s">
        <v>886</v>
      </c>
      <c r="D58" s="1" t="s">
        <v>883</v>
      </c>
      <c r="E58" s="1" t="s">
        <v>109</v>
      </c>
      <c r="F58" s="1" t="s">
        <v>83</v>
      </c>
      <c r="G58" s="1">
        <v>0</v>
      </c>
      <c r="H58" s="1"/>
      <c r="I58" s="1" t="s">
        <v>869</v>
      </c>
      <c r="J58" s="1" t="s">
        <v>44</v>
      </c>
    </row>
    <row r="59" spans="1:10" x14ac:dyDescent="0.25">
      <c r="A59" s="1" t="s">
        <v>67</v>
      </c>
      <c r="B59" s="1">
        <v>646</v>
      </c>
      <c r="C59" s="1" t="s">
        <v>887</v>
      </c>
      <c r="D59" s="1" t="s">
        <v>883</v>
      </c>
      <c r="E59" s="1" t="s">
        <v>115</v>
      </c>
      <c r="F59" s="1" t="s">
        <v>83</v>
      </c>
      <c r="G59" s="1">
        <v>0</v>
      </c>
      <c r="H59" s="1"/>
      <c r="I59" s="1" t="s">
        <v>869</v>
      </c>
      <c r="J59" s="1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BFD8DC0-2E4A-450D-8FBB-E1331FDA5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E6BE2-BF50-4049-A09C-E93F7B30F9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BBACE8-FBFF-4946-B7CE-AE44E0AE6F59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2026-07-08T22:54:30Z</dcterms:created>
  <dcterms:modified xsi:type="dcterms:W3CDTF">2026-07-08T23:52:34Z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2026-07-08T22:55:56Z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5f4d2182-d1d6-46ab-b5eb-dea273e59b30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