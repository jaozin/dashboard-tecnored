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6/"/>
    </mc:Choice>
  </mc:AlternateContent>
  <xr:revisionPtr revIDLastSave="113" documentId="11_2F3A371B0B50B7DE251397681F356114E0CB385E" xr6:coauthVersionLast="47" xr6:coauthVersionMax="47" xr10:uidLastSave="{8B334DA3-D35A-44E3-B13C-C6D85D69CEE5}"/>
  <bookViews>
    <workbookView xWindow="28680" yWindow="-120" windowWidth="29040" windowHeight="15720" activeTab="5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C34" i="2"/>
  <c r="D34" i="2"/>
  <c r="E34" i="2"/>
  <c r="B16" i="2"/>
  <c r="C16" i="2"/>
  <c r="D16" i="2"/>
  <c r="E16" i="2"/>
  <c r="F16" i="2"/>
  <c r="G16" i="2"/>
  <c r="H16" i="2"/>
</calcChain>
</file>

<file path=xl/sharedStrings.xml><?xml version="1.0" encoding="utf-8"?>
<sst xmlns="http://schemas.openxmlformats.org/spreadsheetml/2006/main" count="10973" uniqueCount="1029">
  <si>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</si>
  <si>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</si>
  <si>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</si>
  <si>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</si>
  <si>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</si>
  <si>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</si>
  <si>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</si>
  <si>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</si>
  <si>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</si>
  <si>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Status</t>
  </si>
  <si>
    <t>Predecessoras</t>
  </si>
  <si>
    <t>Sucessoras</t>
  </si>
  <si>
    <t>Início da Linha de Base</t>
  </si>
  <si>
    <t>Término da linha de base</t>
  </si>
  <si>
    <t>Nomes dos recursos</t>
  </si>
  <si>
    <t>Sprint</t>
  </si>
  <si>
    <t>Crítica</t>
  </si>
  <si>
    <t>Disciplina</t>
  </si>
  <si>
    <t>Início_LB_R0</t>
  </si>
  <si>
    <t>Término_LB_R0</t>
  </si>
  <si>
    <t>Comparação</t>
  </si>
  <si>
    <t>Unnamed: 20</t>
  </si>
  <si>
    <t>Concat_Plan</t>
  </si>
  <si>
    <t>Nome do Resumo da Tarefa.1</t>
  </si>
  <si>
    <t>Nome da Tarefa.1</t>
  </si>
  <si>
    <t>Concat_Proj</t>
  </si>
  <si>
    <t>Unnamed: 25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</si>
  <si>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</si>
  <si>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</si>
  <si>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</si>
  <si>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</si>
  <si>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</si>
  <si>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</si>
  <si>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</si>
  <si>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</si>
  <si>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</si>
  <si>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</si>
  <si>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</si>
  <si>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</si>
  <si>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</si>
  <si>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432 hrs</t>
  </si>
  <si>
    <t>Atrasada</t>
  </si>
  <si>
    <t>Seg 27/04/26</t>
  </si>
  <si>
    <t>Sprint 2</t>
  </si>
  <si>
    <t>Sim</t>
  </si>
  <si>
    <t>GERAL</t>
  </si>
  <si>
    <t>1.1</t>
  </si>
  <si>
    <t>F0009 - Programa Marabá</t>
  </si>
  <si>
    <t>área 0306 - sopradores</t>
  </si>
  <si>
    <t>1.1.1</t>
  </si>
  <si>
    <t>Área 0306 - Sopradores</t>
  </si>
  <si>
    <t>kom - início de projeto</t>
  </si>
  <si>
    <t>1 dia</t>
  </si>
  <si>
    <t>Concluída</t>
  </si>
  <si>
    <t>15;26TI+25 dias;46</t>
  </si>
  <si>
    <t>Não</t>
  </si>
  <si>
    <t>1.1.2</t>
  </si>
  <si>
    <t>marcos</t>
  </si>
  <si>
    <t>288 hrs</t>
  </si>
  <si>
    <t>Ter 19/05/26</t>
  </si>
  <si>
    <t>Sprint 4</t>
  </si>
  <si>
    <t>MARCOS</t>
  </si>
  <si>
    <t>1.1.2.1</t>
  </si>
  <si>
    <t>Marcos</t>
  </si>
  <si>
    <t>critério de projeto de processo</t>
  </si>
  <si>
    <t>53;62</t>
  </si>
  <si>
    <t>Sex 05/06/26</t>
  </si>
  <si>
    <t>Sprint 10</t>
  </si>
  <si>
    <t>1.1.2.2</t>
  </si>
  <si>
    <t>critério de projeto de mecânica</t>
  </si>
  <si>
    <t>69;128TI+5 dias;78TI+5 dias;73</t>
  </si>
  <si>
    <t>1.1.2.3</t>
  </si>
  <si>
    <t>critério de projeto de elétrica</t>
  </si>
  <si>
    <t>Sprint 8</t>
  </si>
  <si>
    <t>1.1.2.4</t>
  </si>
  <si>
    <t>critério de projeto de automação</t>
  </si>
  <si>
    <t>Sprint 7</t>
  </si>
  <si>
    <t>Tarefa Incluída</t>
  </si>
  <si>
    <t>1.1.2.5</t>
  </si>
  <si>
    <t>critério de projeto de tubulação</t>
  </si>
  <si>
    <t>Sex 22/05/26</t>
  </si>
  <si>
    <t>1.1.2.6</t>
  </si>
  <si>
    <t>critério de projeto de estrutura metálica</t>
  </si>
  <si>
    <t>Tarefa futura</t>
  </si>
  <si>
    <t>1.1.3</t>
  </si>
  <si>
    <t>pendências</t>
  </si>
  <si>
    <t>8 hrs</t>
  </si>
  <si>
    <t>Qua 29/04/26</t>
  </si>
  <si>
    <t>PENDÊNCIAS</t>
  </si>
  <si>
    <t>1.1.3.1</t>
  </si>
  <si>
    <t>Pendências</t>
  </si>
  <si>
    <t>recebimento de dados de entrada</t>
  </si>
  <si>
    <t>1.1.4</t>
  </si>
  <si>
    <t>planejamento</t>
  </si>
  <si>
    <t>216 hrs</t>
  </si>
  <si>
    <t>PLANEJAMENTO</t>
  </si>
  <si>
    <t>1.1.4.1</t>
  </si>
  <si>
    <t>Planejamento</t>
  </si>
  <si>
    <t>ld-f0009-0306-mb-f-00001</t>
  </si>
  <si>
    <t>1.1.4.1.1</t>
  </si>
  <si>
    <t>LD-F0009-0306-MB-F-00001</t>
  </si>
  <si>
    <t>emissão inicial</t>
  </si>
  <si>
    <t>3 dias</t>
  </si>
  <si>
    <t>16;20</t>
  </si>
  <si>
    <t>1.1.4.1.2</t>
  </si>
  <si>
    <t>análise tecnored</t>
  </si>
  <si>
    <t>17TI+7 dias</t>
  </si>
  <si>
    <t>Qui 30/04/26</t>
  </si>
  <si>
    <t>1.1.4.1.3</t>
  </si>
  <si>
    <t>atendimento de comentários</t>
  </si>
  <si>
    <t>2,6 dias</t>
  </si>
  <si>
    <t>16TI+7 dias</t>
  </si>
  <si>
    <t>18TI+13 dias</t>
  </si>
  <si>
    <t>Sex 01/05/26</t>
  </si>
  <si>
    <t>1.1.4.1.4</t>
  </si>
  <si>
    <t>aprovação</t>
  </si>
  <si>
    <t>2 dias</t>
  </si>
  <si>
    <t>17TI+13 dias</t>
  </si>
  <si>
    <t>Sex 29/05/26</t>
  </si>
  <si>
    <t>Sprint 6</t>
  </si>
  <si>
    <t>1.1.4.2</t>
  </si>
  <si>
    <t>cr-f0009-0306-mb-f-00001</t>
  </si>
  <si>
    <t>184 hrs</t>
  </si>
  <si>
    <t>1.1.4.2.1</t>
  </si>
  <si>
    <t>CR-F0009-0306-MB-F-00001</t>
  </si>
  <si>
    <t>21;52;68;240;296;407;149</t>
  </si>
  <si>
    <t>1.1.4.2.2</t>
  </si>
  <si>
    <t>22TI+7 dias</t>
  </si>
  <si>
    <t>Ter 05/05/26</t>
  </si>
  <si>
    <t>1.1.4.2.3</t>
  </si>
  <si>
    <t>21TI+7 dias</t>
  </si>
  <si>
    <t>23TI+9 dias</t>
  </si>
  <si>
    <t>Qua 06/05/26</t>
  </si>
  <si>
    <t>1.1.4.2.4</t>
  </si>
  <si>
    <t>22TI+9 dias</t>
  </si>
  <si>
    <t>Qui 28/05/26</t>
  </si>
  <si>
    <t>Sprint 5</t>
  </si>
  <si>
    <t>1.1.5</t>
  </si>
  <si>
    <t>coordenação</t>
  </si>
  <si>
    <t>384 hrs</t>
  </si>
  <si>
    <t>COORDENAÇÃO</t>
  </si>
  <si>
    <t>1.1.5.1</t>
  </si>
  <si>
    <t>Coordenação</t>
  </si>
  <si>
    <t>rm-f0009-0306-mb-g-00001</t>
  </si>
  <si>
    <t>48 hrs</t>
  </si>
  <si>
    <t>Seg 01/06/26</t>
  </si>
  <si>
    <t>Sprint 9</t>
  </si>
  <si>
    <t>1.1.5.1.1</t>
  </si>
  <si>
    <t>RM-F0009-0306-MB-G-00001</t>
  </si>
  <si>
    <t>3TI+25 dias</t>
  </si>
  <si>
    <t>27;36TI+5 dias;31TI+5 dias</t>
  </si>
  <si>
    <t>1.1.5.1.2</t>
  </si>
  <si>
    <t>28;41</t>
  </si>
  <si>
    <t>Qui 04/06/26</t>
  </si>
  <si>
    <t>1.1.5.1.3</t>
  </si>
  <si>
    <t>1.1.5.1.4</t>
  </si>
  <si>
    <t>Ter 09/06/26</t>
  </si>
  <si>
    <t>1.1.5.4</t>
  </si>
  <si>
    <t>rl-f0009-0306-mb-g-00001</t>
  </si>
  <si>
    <t>32 hrs</t>
  </si>
  <si>
    <t>Ter 30/06/26</t>
  </si>
  <si>
    <t>1.1.5.4.1</t>
  </si>
  <si>
    <t>RL-F0009-0306-MB-G-00001</t>
  </si>
  <si>
    <t>1.1.5.4.2</t>
  </si>
  <si>
    <t>Qui 02/07/26</t>
  </si>
  <si>
    <t>1.1.5.4.3</t>
  </si>
  <si>
    <t>Sex 03/07/26</t>
  </si>
  <si>
    <t>1.1.5.4.4</t>
  </si>
  <si>
    <t>No Prazo</t>
  </si>
  <si>
    <t>Ter 07/07/26</t>
  </si>
  <si>
    <t>1.1.5.5</t>
  </si>
  <si>
    <t>lp-f0009-0306-mb-g-00001</t>
  </si>
  <si>
    <t>360 hrs</t>
  </si>
  <si>
    <t>1.1.5.5.1</t>
  </si>
  <si>
    <t>LP-F0009-0306-MB-G-00001</t>
  </si>
  <si>
    <t>47TI+25 dias</t>
  </si>
  <si>
    <t>1.1.5.5.2</t>
  </si>
  <si>
    <t>46TI+25 dias</t>
  </si>
  <si>
    <t>48TI+5 dias</t>
  </si>
  <si>
    <t>Qui 11/06/26</t>
  </si>
  <si>
    <t>1.1.5.5.3</t>
  </si>
  <si>
    <t>47TI+5 dias</t>
  </si>
  <si>
    <t>Sex 26/06/26</t>
  </si>
  <si>
    <t>1.1.5.5.4</t>
  </si>
  <si>
    <t>1.1.6</t>
  </si>
  <si>
    <t>processo</t>
  </si>
  <si>
    <t>PROCESSOS</t>
  </si>
  <si>
    <t>1.1.6.3</t>
  </si>
  <si>
    <t>Processo</t>
  </si>
  <si>
    <t>fg-f0009-0306-mb-p-00001</t>
  </si>
  <si>
    <t>1.1.6.3.1</t>
  </si>
  <si>
    <t>FG-F0009-0306-MB-P-00001</t>
  </si>
  <si>
    <t>52;5</t>
  </si>
  <si>
    <t>63;57TI+10 dias;442TI-4 dias;447TI-4 dias;452TI-4 dias;189TI+3 dias;194;169TI+3 dias</t>
  </si>
  <si>
    <t>1.1.6.3.2</t>
  </si>
  <si>
    <t>Seg 08/06/26</t>
  </si>
  <si>
    <t>1.1.6.3.3</t>
  </si>
  <si>
    <t>1.1.6.3.4</t>
  </si>
  <si>
    <t>1.1.7</t>
  </si>
  <si>
    <t>mecânica</t>
  </si>
  <si>
    <t>240 hrs</t>
  </si>
  <si>
    <t>Ter 26/05/26</t>
  </si>
  <si>
    <t>MECÂNICA</t>
  </si>
  <si>
    <t>1.1.7.3</t>
  </si>
  <si>
    <t>Mecânica</t>
  </si>
  <si>
    <t>le-f0009-0306-mb-m-00001</t>
  </si>
  <si>
    <t>1.1.7.3.1</t>
  </si>
  <si>
    <t>LE-F0009-0306-MB-M-00001</t>
  </si>
  <si>
    <t>68;6TI+5 dias</t>
  </si>
  <si>
    <t>79;316</t>
  </si>
  <si>
    <t>1.1.7.3.2</t>
  </si>
  <si>
    <t>1.1.7.3.3</t>
  </si>
  <si>
    <t>81;73</t>
  </si>
  <si>
    <t>1.1.7.3.4</t>
  </si>
  <si>
    <t>Ter 02/06/26</t>
  </si>
  <si>
    <t>1.1.7.4</t>
  </si>
  <si>
    <t>pq-f0009-0306-mb-m-00001</t>
  </si>
  <si>
    <t>104 hrs</t>
  </si>
  <si>
    <t>1.1.7.4.1</t>
  </si>
  <si>
    <t>PQ-F0009-0306-MB-M-00001</t>
  </si>
  <si>
    <t>73TI+30 dias</t>
  </si>
  <si>
    <t>1.1.7.4.2</t>
  </si>
  <si>
    <t>1.1.7.4.3</t>
  </si>
  <si>
    <t>1.1.7.4.4</t>
  </si>
  <si>
    <t>Qua 10/06/26</t>
  </si>
  <si>
    <t>1.1.7.5</t>
  </si>
  <si>
    <t>ag-f0009-0306-mb-l-00001</t>
  </si>
  <si>
    <t>56 hrs</t>
  </si>
  <si>
    <t>Qui 18/06/26</t>
  </si>
  <si>
    <t>1.1.7.5.1</t>
  </si>
  <si>
    <t>AG-F0009-0306-MB-L-00001</t>
  </si>
  <si>
    <t>4 dias</t>
  </si>
  <si>
    <t>1.1.7.5.2</t>
  </si>
  <si>
    <t>Qui 25/06/26</t>
  </si>
  <si>
    <t>1.1.7.5.3</t>
  </si>
  <si>
    <t>Sprint 11</t>
  </si>
  <si>
    <t>1.1.7.5.4</t>
  </si>
  <si>
    <t>1.1.7.6</t>
  </si>
  <si>
    <t>ag-f0009-0306-mb-l-00002</t>
  </si>
  <si>
    <t>1.1.7.6.1</t>
  </si>
  <si>
    <t>AG-F0009-0306-MB-L-00002</t>
  </si>
  <si>
    <t>1.1.7.6.2</t>
  </si>
  <si>
    <t>1.1.7.6.3</t>
  </si>
  <si>
    <t>1.1.7.6.4</t>
  </si>
  <si>
    <t>1.1.7.7</t>
  </si>
  <si>
    <t>ag-f0009-0306-mb-l-00003</t>
  </si>
  <si>
    <t>1.1.7.7.1</t>
  </si>
  <si>
    <t>AG-F0009-0306-MB-L-00003</t>
  </si>
  <si>
    <t>1.1.7.7.2</t>
  </si>
  <si>
    <t>1.1.7.7.3</t>
  </si>
  <si>
    <t>1.1.7.7.4</t>
  </si>
  <si>
    <t>1.1.7.8</t>
  </si>
  <si>
    <t>ag-f0009-0306-mb-l-00004</t>
  </si>
  <si>
    <t>1.1.7.8.1</t>
  </si>
  <si>
    <t>AG-F0009-0306-MB-L-00004</t>
  </si>
  <si>
    <t>1.1.7.8.2</t>
  </si>
  <si>
    <t>1.1.7.8.3</t>
  </si>
  <si>
    <t>1.1.7.8.4</t>
  </si>
  <si>
    <t>1.1.7.9</t>
  </si>
  <si>
    <t>pl-f0009-0306-mb-m-00001</t>
  </si>
  <si>
    <t>80 hrs</t>
  </si>
  <si>
    <t>Qua 03/06/26</t>
  </si>
  <si>
    <t>1.1.7.9.1</t>
  </si>
  <si>
    <t>PL-F0009-0306-MB-M-00001</t>
  </si>
  <si>
    <t>6 dias</t>
  </si>
  <si>
    <t>1.1.7.9.2</t>
  </si>
  <si>
    <t>Seg 15/06/26</t>
  </si>
  <si>
    <t>1.1.7.9.3</t>
  </si>
  <si>
    <t>Ter 16/06/26</t>
  </si>
  <si>
    <t>1.1.7.9.4</t>
  </si>
  <si>
    <t>1.1.7.11</t>
  </si>
  <si>
    <t>mc-f0009-0306-mb-m-00001</t>
  </si>
  <si>
    <t>64 hrs</t>
  </si>
  <si>
    <t>1.1.7.11.1</t>
  </si>
  <si>
    <t>MC-F0009-0306-MB-M-00001</t>
  </si>
  <si>
    <t>119;133;143;138</t>
  </si>
  <si>
    <t>1.1.7.11.2</t>
  </si>
  <si>
    <t>120;260</t>
  </si>
  <si>
    <t>1.1.7.11.3</t>
  </si>
  <si>
    <t>1.1.7.11.4</t>
  </si>
  <si>
    <t>1.1.7.12</t>
  </si>
  <si>
    <t>mc-f0009-0306-mb-m-00002</t>
  </si>
  <si>
    <t>1.1.7.12.1</t>
  </si>
  <si>
    <t>MC-F0009-0306-MB-M-00002</t>
  </si>
  <si>
    <t>124;133;143;138</t>
  </si>
  <si>
    <t>1.1.7.12.2</t>
  </si>
  <si>
    <t>125;260</t>
  </si>
  <si>
    <t>1.1.7.12.3</t>
  </si>
  <si>
    <t>1.1.7.12.4</t>
  </si>
  <si>
    <t>1.1.7.13</t>
  </si>
  <si>
    <t>ml-f0009-0306-mb-m-00001</t>
  </si>
  <si>
    <t>72 hrs</t>
  </si>
  <si>
    <t>1.1.7.13.1</t>
  </si>
  <si>
    <t>ML-F0009-0306-MB-M-00001</t>
  </si>
  <si>
    <t>5 dias</t>
  </si>
  <si>
    <t>129;184;234</t>
  </si>
  <si>
    <t>1.1.7.13.2</t>
  </si>
  <si>
    <t>130;108;113;118;123</t>
  </si>
  <si>
    <t>1.1.7.13.3</t>
  </si>
  <si>
    <t>131;214;219;224;301</t>
  </si>
  <si>
    <t>1.1.7.13.4</t>
  </si>
  <si>
    <t>1.1.7.14</t>
  </si>
  <si>
    <t>fd-f0009-0306-mb-m-00001</t>
  </si>
  <si>
    <t>1.1.7.14.1</t>
  </si>
  <si>
    <t>FD-F0009-0306-MB-M-00001</t>
  </si>
  <si>
    <t>118;123</t>
  </si>
  <si>
    <t>1.1.7.14.2</t>
  </si>
  <si>
    <t>1.1.7.14.3</t>
  </si>
  <si>
    <t>1.1.7.14.4</t>
  </si>
  <si>
    <t>1.1.7.15</t>
  </si>
  <si>
    <t>fd-f0009-0306-mb-m-00002</t>
  </si>
  <si>
    <t>1.1.7.15.1</t>
  </si>
  <si>
    <t>FD-F0009-0306-MB-M-00002</t>
  </si>
  <si>
    <t>1.1.7.15.2</t>
  </si>
  <si>
    <t>1.1.7.15.3</t>
  </si>
  <si>
    <t>1.1.7.15.4</t>
  </si>
  <si>
    <t>1.1.7.16</t>
  </si>
  <si>
    <t>fd-f0009-0306-mb-m-00003</t>
  </si>
  <si>
    <t>1.1.7.16.1</t>
  </si>
  <si>
    <t>FD-F0009-0306-MB-M-00003</t>
  </si>
  <si>
    <t>1.1.7.16.2</t>
  </si>
  <si>
    <t>1.1.7.16.3</t>
  </si>
  <si>
    <t>1.1.7.16.4</t>
  </si>
  <si>
    <t>1.1.8</t>
  </si>
  <si>
    <t>tubulação/utilidades</t>
  </si>
  <si>
    <t>176 hrs</t>
  </si>
  <si>
    <t>TUBULAÇÃO / UTILIDADES</t>
  </si>
  <si>
    <t>1.1.8.3</t>
  </si>
  <si>
    <t>Tubulação/Utilidades</t>
  </si>
  <si>
    <t>ml-f0009-0306-mb-t-00001</t>
  </si>
  <si>
    <t>1.1.8.3.1</t>
  </si>
  <si>
    <t>ML-F0009-0306-MB-T-00001</t>
  </si>
  <si>
    <t>1.1.8.3.2</t>
  </si>
  <si>
    <t>161;199;204;209</t>
  </si>
  <si>
    <t>1.1.8.3.3</t>
  </si>
  <si>
    <t>1.1.8.3.4</t>
  </si>
  <si>
    <t>1.1.8.7</t>
  </si>
  <si>
    <t>pq-f0009-0306-mb-t-00001</t>
  </si>
  <si>
    <t>Sex 19/06/26</t>
  </si>
  <si>
    <t>1.1.8.7.1</t>
  </si>
  <si>
    <t>PQ-F0009-0306-MB-T-00001</t>
  </si>
  <si>
    <t>1.1.8.7.2</t>
  </si>
  <si>
    <t>Qua 24/06/26</t>
  </si>
  <si>
    <t>1.1.8.7.3</t>
  </si>
  <si>
    <t>1.1.8.7.4</t>
  </si>
  <si>
    <t>Seg 29/06/26</t>
  </si>
  <si>
    <t>1.1.8.8</t>
  </si>
  <si>
    <t>mc-f0009-0306-mb-t-00001</t>
  </si>
  <si>
    <t>Nenhum Sprint</t>
  </si>
  <si>
    <t>1.1.8.8.1</t>
  </si>
  <si>
    <t>MC-F0009-0306-MB-T-00001</t>
  </si>
  <si>
    <t>128;190</t>
  </si>
  <si>
    <t>185;169;174;229II</t>
  </si>
  <si>
    <t>1.1.8.8.2</t>
  </si>
  <si>
    <t>186;179</t>
  </si>
  <si>
    <t>1.1.8.8.3</t>
  </si>
  <si>
    <t>1.1.8.8.4</t>
  </si>
  <si>
    <t>1.1.8.9</t>
  </si>
  <si>
    <t>fg-f0009-0306-mb-t-00001</t>
  </si>
  <si>
    <t>40 hrs</t>
  </si>
  <si>
    <t>1.1.8.9.1</t>
  </si>
  <si>
    <t>FG-F0009-0306-MB-T-00001</t>
  </si>
  <si>
    <t>62TI+3 dias</t>
  </si>
  <si>
    <t>1.1.8.9.2</t>
  </si>
  <si>
    <t>191;184</t>
  </si>
  <si>
    <t>Seg 22/06/26</t>
  </si>
  <si>
    <t>1.1.8.9.3</t>
  </si>
  <si>
    <t>Ter 23/06/26</t>
  </si>
  <si>
    <t>1.1.8.9.4</t>
  </si>
  <si>
    <t>1.1.8.11</t>
  </si>
  <si>
    <t>ag-f0009-0306-mb-t-00001</t>
  </si>
  <si>
    <t>1.1.8.11.1</t>
  </si>
  <si>
    <t>AG-F0009-0306-MB-T-00001</t>
  </si>
  <si>
    <t>1.1.8.11.2</t>
  </si>
  <si>
    <t>1.1.8.11.3</t>
  </si>
  <si>
    <t>1.1.8.11.4</t>
  </si>
  <si>
    <t>1.1.8.12</t>
  </si>
  <si>
    <t>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</si>
  <si>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</si>
  <si>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</si>
  <si>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</si>
  <si>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</si>
  <si>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</si>
  <si>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</si>
  <si>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>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</si>
  <si>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</si>
  <si>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</si>
  <si>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</si>
  <si>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</si>
  <si>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</si>
  <si>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</si>
  <si>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>lk-f0009-0306-mb-t-00001</t>
  </si>
  <si>
    <t>1.1.8.17.1</t>
  </si>
  <si>
    <t>LK-F0009-0306-MB-T-00001</t>
  </si>
  <si>
    <t>184II</t>
  </si>
  <si>
    <t>1.1.8.17.2</t>
  </si>
  <si>
    <t>1.1.8.17.3</t>
  </si>
  <si>
    <t>1.1.8.17.4</t>
  </si>
  <si>
    <t>1.1.9</t>
  </si>
  <si>
    <t>estrutura metálica</t>
  </si>
  <si>
    <t>136 hrs</t>
  </si>
  <si>
    <t>ESTRUTURA METÁLICA</t>
  </si>
  <si>
    <t>1.1.9.2</t>
  </si>
  <si>
    <t>Estrutura metálica</t>
  </si>
  <si>
    <t>ml-f0009-0306-mb-s-00001</t>
  </si>
  <si>
    <t>1.1.9.2.1</t>
  </si>
  <si>
    <t>ML-F0009-0306-MB-S-00001</t>
  </si>
  <si>
    <t>260TI-3 dias</t>
  </si>
  <si>
    <t>246;88;93;98;103;255;265;270;275;280;285</t>
  </si>
  <si>
    <t>1.1.9.2.2</t>
  </si>
  <si>
    <t>247;301</t>
  </si>
  <si>
    <t>1.1.9.2.3</t>
  </si>
  <si>
    <t>1.1.9.2.4</t>
  </si>
  <si>
    <t>1.1.9.3</t>
  </si>
  <si>
    <t>pq-f0009-0306-mb-s-00001</t>
  </si>
  <si>
    <t>1.1.9.3.1</t>
  </si>
  <si>
    <t>PQ-F0009-0306-MB-S-00001</t>
  </si>
  <si>
    <t>1.1.9.3.2</t>
  </si>
  <si>
    <t>1.1.9.3.3</t>
  </si>
  <si>
    <t>1.1.9.3.4</t>
  </si>
  <si>
    <t>1.1.9.5</t>
  </si>
  <si>
    <t>mc-f0009-0306-mb-s-00001</t>
  </si>
  <si>
    <t>1.1.9.5.1</t>
  </si>
  <si>
    <t>MC-F0009-0306-MB-S-00001</t>
  </si>
  <si>
    <t>119;124</t>
  </si>
  <si>
    <t>261;245TI-3 dias;633TI-2 dias;290TT</t>
  </si>
  <si>
    <t>1.1.9.5.2</t>
  </si>
  <si>
    <t>1.1.9.5.3</t>
  </si>
  <si>
    <t>Qua 17/06/26</t>
  </si>
  <si>
    <t>1.1.9.5.4</t>
  </si>
  <si>
    <t>1.1.9.6</t>
  </si>
  <si>
    <t>ag-f0009-0306-mb-s-00001</t>
  </si>
  <si>
    <t>1.1.9.6.1</t>
  </si>
  <si>
    <t>AG-F0009-0306-MB-S-00001</t>
  </si>
  <si>
    <t>1.1.9.6.2</t>
  </si>
  <si>
    <t>1.1.9.6.3</t>
  </si>
  <si>
    <t>Qua 01/07/26</t>
  </si>
  <si>
    <t>1.1.9.6.4</t>
  </si>
  <si>
    <t>1.1.9.7</t>
  </si>
  <si>
    <t>ag-f0009-0306-mb-s-00002</t>
  </si>
  <si>
    <t>1.1.9.7.1</t>
  </si>
  <si>
    <t>AG-F0009-0306-MB-S-00002</t>
  </si>
  <si>
    <t>1.1.9.7.2</t>
  </si>
  <si>
    <t>1.1.9.7.3</t>
  </si>
  <si>
    <t>1.1.9.7.4</t>
  </si>
  <si>
    <t>1.1.9.8</t>
  </si>
  <si>
    <t>ag-f0009-0306-mb-s-00003</t>
  </si>
  <si>
    <t>1.1.9.8.1</t>
  </si>
  <si>
    <t>AG-F0009-0306-MB-S-00003</t>
  </si>
  <si>
    <t>1.1.9.8.2</t>
  </si>
  <si>
    <t>1.1.9.8.3</t>
  </si>
  <si>
    <t>1.1.9.8.4</t>
  </si>
  <si>
    <t>1.1.9.9</t>
  </si>
  <si>
    <t>ag-f0009-0306-mb-s-00004</t>
  </si>
  <si>
    <t>1.1.9.9.1</t>
  </si>
  <si>
    <t>AG-F0009-0306-MB-S-00004</t>
  </si>
  <si>
    <t>1.1.9.9.2</t>
  </si>
  <si>
    <t>1.1.9.9.3</t>
  </si>
  <si>
    <t>1.1.9.9.4</t>
  </si>
  <si>
    <t>1.1.9.11</t>
  </si>
  <si>
    <t>pl-f0009-0306-mb-s-00001</t>
  </si>
  <si>
    <t>1.1.9.11.1</t>
  </si>
  <si>
    <t>PL-F0009-0306-MB-S-00001</t>
  </si>
  <si>
    <t>260TT</t>
  </si>
  <si>
    <t>1.1.9.11.2</t>
  </si>
  <si>
    <t>1.1.9.11.3</t>
  </si>
  <si>
    <t>1.1.9.11.4</t>
  </si>
  <si>
    <t>1.1.10</t>
  </si>
  <si>
    <t>elétrica</t>
  </si>
  <si>
    <t>248 hrs</t>
  </si>
  <si>
    <t>ELÉTRICA</t>
  </si>
  <si>
    <t>1.1.10.2</t>
  </si>
  <si>
    <t>Elétrica</t>
  </si>
  <si>
    <t>ml-f0009-0306-mb-e-00001</t>
  </si>
  <si>
    <t>Sex 12/06/26</t>
  </si>
  <si>
    <t>1.1.10.2.1</t>
  </si>
  <si>
    <t>ML-F0009-0306-MB-E-00001</t>
  </si>
  <si>
    <t>130;246</t>
  </si>
  <si>
    <t>1.1.10.2.2</t>
  </si>
  <si>
    <t>1.1.10.2.3</t>
  </si>
  <si>
    <t>1.1.10.2.4</t>
  </si>
  <si>
    <t>1.1.10.3</t>
  </si>
  <si>
    <t>rl-f0009-0306-mb-e-00001</t>
  </si>
  <si>
    <t>46 hrs</t>
  </si>
  <si>
    <t>1.1.10.3.1</t>
  </si>
  <si>
    <t>RL-F0009-0306-MB-E-00001</t>
  </si>
  <si>
    <t>316TI-1 dia</t>
  </si>
  <si>
    <t>307;376;361;366;371</t>
  </si>
  <si>
    <t>1.1.10.3.2</t>
  </si>
  <si>
    <t>1.1.10.3.3</t>
  </si>
  <si>
    <t>309TT</t>
  </si>
  <si>
    <t>1.1.10.3.4</t>
  </si>
  <si>
    <t>308TT</t>
  </si>
  <si>
    <t>1.1.10.5</t>
  </si>
  <si>
    <t>lr-f0009-0306-mb-e-00001</t>
  </si>
  <si>
    <t>1.1.10.5.1</t>
  </si>
  <si>
    <t>LR-F0009-0306-MB-E-00001</t>
  </si>
  <si>
    <t>317;306TI-1 dia</t>
  </si>
  <si>
    <t>1.1.10.5.2</t>
  </si>
  <si>
    <t>1.1.10.5.3</t>
  </si>
  <si>
    <t>319TT</t>
  </si>
  <si>
    <t>1.1.10.5.4</t>
  </si>
  <si>
    <t>318TT</t>
  </si>
  <si>
    <t>1.1.10.6</t>
  </si>
  <si>
    <t>lm-f0009-0306-mb-e-00001</t>
  </si>
  <si>
    <t>24 hrs</t>
  </si>
  <si>
    <t>1.1.10.6.1</t>
  </si>
  <si>
    <t>LM-F0009-0306-MB-E-00001</t>
  </si>
  <si>
    <t>322;331;326</t>
  </si>
  <si>
    <t>1.1.10.6.2</t>
  </si>
  <si>
    <t>1.1.10.6.3</t>
  </si>
  <si>
    <t>324TT</t>
  </si>
  <si>
    <t>Sprint 12</t>
  </si>
  <si>
    <t>1.1.10.6.4</t>
  </si>
  <si>
    <t>323TT</t>
  </si>
  <si>
    <t>1.1.10.7</t>
  </si>
  <si>
    <t>pq-f0009-0306-mb-e-00001</t>
  </si>
  <si>
    <t>1.1.10.7.1</t>
  </si>
  <si>
    <t>PQ-F0009-0306-MB-E-00001</t>
  </si>
  <si>
    <t>1.1.10.7.2</t>
  </si>
  <si>
    <t>1.1.10.7.3</t>
  </si>
  <si>
    <t>329TT</t>
  </si>
  <si>
    <t>1.1.10.7.4</t>
  </si>
  <si>
    <t>328TT</t>
  </si>
  <si>
    <t>1.1.10.9</t>
  </si>
  <si>
    <t>mc-f0009-0306-mb-e-00001</t>
  </si>
  <si>
    <t>1.1.10.9.1</t>
  </si>
  <si>
    <t>MC-F0009-0306-MB-E-00001</t>
  </si>
  <si>
    <t>337;311</t>
  </si>
  <si>
    <t>1.1.10.9.2</t>
  </si>
  <si>
    <t>1.1.10.9.3</t>
  </si>
  <si>
    <t>339TT</t>
  </si>
  <si>
    <t>1.1.10.9.4</t>
  </si>
  <si>
    <t>338TT</t>
  </si>
  <si>
    <t>1.1.10.10</t>
  </si>
  <si>
    <t>mc-f0009-0306-mb-e-00002</t>
  </si>
  <si>
    <t>1.1.10.10.1</t>
  </si>
  <si>
    <t>MC-F0009-0306-MB-E-00002</t>
  </si>
  <si>
    <t>342;311</t>
  </si>
  <si>
    <t>1.1.10.10.2</t>
  </si>
  <si>
    <t>1.1.10.10.3</t>
  </si>
  <si>
    <t>344TT</t>
  </si>
  <si>
    <t>1.1.10.10.4</t>
  </si>
  <si>
    <t>343TT</t>
  </si>
  <si>
    <t>1.1.10.11</t>
  </si>
  <si>
    <t>ag-f0009-0306-mb-e-00001</t>
  </si>
  <si>
    <t>1.1.10.11.1</t>
  </si>
  <si>
    <t>AG-F0009-0306-MB-E-00001</t>
  </si>
  <si>
    <t>1.1.10.11.2</t>
  </si>
  <si>
    <t>348;321</t>
  </si>
  <si>
    <t>1.1.10.11.3</t>
  </si>
  <si>
    <t>349TT</t>
  </si>
  <si>
    <t>1.1.10.11.4</t>
  </si>
  <si>
    <t>348TT</t>
  </si>
  <si>
    <t>1.1.10.12</t>
  </si>
  <si>
    <t>ag-f0009-0306-mb-e-00002</t>
  </si>
  <si>
    <t>1.1.10.12.1</t>
  </si>
  <si>
    <t>AG-F0009-0306-MB-E-00002</t>
  </si>
  <si>
    <t>361TI-2 dias</t>
  </si>
  <si>
    <t>1.1.10.12.2</t>
  </si>
  <si>
    <t>1.1.10.12.3</t>
  </si>
  <si>
    <t>354TT</t>
  </si>
  <si>
    <t>1.1.10.12.4</t>
  </si>
  <si>
    <t>353TT</t>
  </si>
  <si>
    <t>1.1.10.13</t>
  </si>
  <si>
    <t>ag-f0009-0306-mb-e-00003</t>
  </si>
  <si>
    <t>1.1.10.13.1</t>
  </si>
  <si>
    <t>AG-F0009-0306-MB-E-00003</t>
  </si>
  <si>
    <t>1.1.10.13.2</t>
  </si>
  <si>
    <t>1.1.10.13.3</t>
  </si>
  <si>
    <t>359TT</t>
  </si>
  <si>
    <t>1.1.10.13.4</t>
  </si>
  <si>
    <t>358TT</t>
  </si>
  <si>
    <t>1.1.10.14</t>
  </si>
  <si>
    <t>du-f0009-0306-mb-e-00001</t>
  </si>
  <si>
    <t>1.1.10.14.1</t>
  </si>
  <si>
    <t>DU-F0009-0306-MB-E-00001</t>
  </si>
  <si>
    <t>362;386TI-2 dias;381TI-2 dias;391TI-2 dias;396TI-2 dias;401TI-2 dias;356TI-2 dias;351TI-2 dias</t>
  </si>
  <si>
    <t>1.1.10.14.2</t>
  </si>
  <si>
    <t>1.1.10.14.3</t>
  </si>
  <si>
    <t>1.1.10.14.4</t>
  </si>
  <si>
    <t>1.1.10.18</t>
  </si>
  <si>
    <t>fd-f0009-0306-mb-e-00001</t>
  </si>
  <si>
    <t>1.1.10.18.1</t>
  </si>
  <si>
    <t>FD-F0009-0306-MB-E-00001</t>
  </si>
  <si>
    <t>1.1.10.18.2</t>
  </si>
  <si>
    <t>1.1.10.18.3</t>
  </si>
  <si>
    <t>384TT</t>
  </si>
  <si>
    <t>1.1.10.18.4</t>
  </si>
  <si>
    <t>383TT</t>
  </si>
  <si>
    <t>1.1.11</t>
  </si>
  <si>
    <t>automação e instrumentação</t>
  </si>
  <si>
    <t>153,6 hrs</t>
  </si>
  <si>
    <t>AUTOMAÇÃO E INSTRUMENTAÇÃO</t>
  </si>
  <si>
    <t>1.1.11.2</t>
  </si>
  <si>
    <t>Automação e instrumentação</t>
  </si>
  <si>
    <t>li-f0009-0306-mb-j-00001</t>
  </si>
  <si>
    <t>1.1.11.2.1</t>
  </si>
  <si>
    <t>LI-F0009-0306-MB-J-00001</t>
  </si>
  <si>
    <t>413;457;462;467;472</t>
  </si>
  <si>
    <t>1.1.11.2.2</t>
  </si>
  <si>
    <t>1.1.11.2.3</t>
  </si>
  <si>
    <t>1.1.11.2.4</t>
  </si>
  <si>
    <t>1.1.11.3</t>
  </si>
  <si>
    <t>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</si>
  <si>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</si>
  <si>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</si>
  <si>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</si>
  <si>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</si>
  <si>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</si>
  <si>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</si>
  <si>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>ll-f0009-0306-mb-j-00001</t>
  </si>
  <si>
    <t>1.1.11.4.1</t>
  </si>
  <si>
    <t>LL-F0009-0306-MB-J-00001</t>
  </si>
  <si>
    <t>477TI-5 dias</t>
  </si>
  <si>
    <t>423;497II;432II;492II</t>
  </si>
  <si>
    <t>1.1.11.4.2</t>
  </si>
  <si>
    <t>1.1.11.4.3</t>
  </si>
  <si>
    <t>1.1.11.4.4</t>
  </si>
  <si>
    <t>1.1.11.7</t>
  </si>
  <si>
    <t>pq-f0009-0306-mb-j-00001</t>
  </si>
  <si>
    <t>1.1.11.7.1</t>
  </si>
  <si>
    <t>PQ-F0009-0306-MB-J-00001</t>
  </si>
  <si>
    <t>492TI-5 dias</t>
  </si>
  <si>
    <t>1.1.11.7.2</t>
  </si>
  <si>
    <t>1.1.11.7.3</t>
  </si>
  <si>
    <t>1.1.11.7.4</t>
  </si>
  <si>
    <t>1.1.11.8</t>
  </si>
  <si>
    <t>fg-f0009-0306-mb-j-00001</t>
  </si>
  <si>
    <t>1.1.11.8.1</t>
  </si>
  <si>
    <t>FG-F0009-0306-MB-J-00001</t>
  </si>
  <si>
    <t>62TI-4 dias</t>
  </si>
  <si>
    <t>1.1.11.8.2</t>
  </si>
  <si>
    <t>1.1.11.8.3</t>
  </si>
  <si>
    <t>445TT</t>
  </si>
  <si>
    <t>1.1.11.8.4</t>
  </si>
  <si>
    <t>444TT</t>
  </si>
  <si>
    <t>1.1.11.9</t>
  </si>
  <si>
    <t>fg-f0009-0306-mb-j-00002</t>
  </si>
  <si>
    <t>1.1.11.9.1</t>
  </si>
  <si>
    <t>FG-F0009-0306-MB-J-00002</t>
  </si>
  <si>
    <t>448;412</t>
  </si>
  <si>
    <t>1.1.11.9.2</t>
  </si>
  <si>
    <t>1.1.11.9.3</t>
  </si>
  <si>
    <t>1.1.11.9.4</t>
  </si>
  <si>
    <t>1.1.11.10</t>
  </si>
  <si>
    <t>fg-f0009-0306-mb-j-00003</t>
  </si>
  <si>
    <t>1.1.11.10.1</t>
  </si>
  <si>
    <t>FG-F0009-0306-MB-J-00003</t>
  </si>
  <si>
    <t>1.1.11.10.2</t>
  </si>
  <si>
    <t>1.1.11.10.3</t>
  </si>
  <si>
    <t>1.1.11.10.4</t>
  </si>
  <si>
    <t>1.1.11.11</t>
  </si>
  <si>
    <t>ag-f0009-0306-mb-j-00001</t>
  </si>
  <si>
    <t>1.1.11.11.1</t>
  </si>
  <si>
    <t>AG-F0009-0306-MB-J-00001</t>
  </si>
  <si>
    <t>1.1.11.11.2</t>
  </si>
  <si>
    <t>1.1.11.11.3</t>
  </si>
  <si>
    <t>1.1.11.11.4</t>
  </si>
  <si>
    <t>1.1.11.12</t>
  </si>
  <si>
    <t>ag-f0009-0306-mb-j-00002</t>
  </si>
  <si>
    <t>1.1.11.12.1</t>
  </si>
  <si>
    <t>AG-F0009-0306-MB-J-00002</t>
  </si>
  <si>
    <t>1.1.11.12.2</t>
  </si>
  <si>
    <t>1.1.11.12.3</t>
  </si>
  <si>
    <t>1.1.11.12.4</t>
  </si>
  <si>
    <t>1.1.11.13</t>
  </si>
  <si>
    <t>ag-f0009-0306-mb-j-00003</t>
  </si>
  <si>
    <t>1.1.11.13.1</t>
  </si>
  <si>
    <t>AG-F0009-0306-MB-J-00003</t>
  </si>
  <si>
    <t>1.1.11.13.2</t>
  </si>
  <si>
    <t>1.1.11.13.3</t>
  </si>
  <si>
    <t>1.1.11.13.4</t>
  </si>
  <si>
    <t>1.1.11.15</t>
  </si>
  <si>
    <t>di-f0009-0306-mb-j-00001</t>
  </si>
  <si>
    <t>1.1.11.15.1</t>
  </si>
  <si>
    <t>DI-F0009-0306-MB-J-00001</t>
  </si>
  <si>
    <t>478;422TI-5 dias;427TI-5 dias;617</t>
  </si>
  <si>
    <t>1.1.11.15.2</t>
  </si>
  <si>
    <t>1.1.11.15.3</t>
  </si>
  <si>
    <t>1.1.11.15.4</t>
  </si>
  <si>
    <t>1.1.11.18</t>
  </si>
  <si>
    <t>lm-f0009-0306-mb-j-00001</t>
  </si>
  <si>
    <t>1.1.11.18.1</t>
  </si>
  <si>
    <t>LM-F0009-0306-MB-J-00001</t>
  </si>
  <si>
    <t>422II;427II</t>
  </si>
  <si>
    <t>493;437TI-5 dias</t>
  </si>
  <si>
    <t>1.1.11.18.2</t>
  </si>
  <si>
    <t>1.1.11.18.3</t>
  </si>
  <si>
    <t>1.1.11.18.4</t>
  </si>
  <si>
    <t>1.1.11.19</t>
  </si>
  <si>
    <t>et-f0009-0306-mb-j-00001</t>
  </si>
  <si>
    <t>1.1.11.19.1</t>
  </si>
  <si>
    <t>ET-F0009-0306-MB-J-00001</t>
  </si>
  <si>
    <t>1.1.11.19.2</t>
  </si>
  <si>
    <t>1.1.11.19.3</t>
  </si>
  <si>
    <t>1.1.11.19.4</t>
  </si>
  <si>
    <t>1.1.11.20</t>
  </si>
  <si>
    <t>fd-f0009-0306-mb-j-00001</t>
  </si>
  <si>
    <t>1.1.11.20.1</t>
  </si>
  <si>
    <t>FD-F0009-0306-MB-J-00001</t>
  </si>
  <si>
    <t>7 dias</t>
  </si>
  <si>
    <t>503;507II;512II;517II;522II;527II;532II;537II;542II;547II;552II;557II;562II;567II;572II;612II;587II;582II;577II;607II;602II;597II;592II</t>
  </si>
  <si>
    <t>1.1.11.20.2</t>
  </si>
  <si>
    <t>1.1.11.20.3</t>
  </si>
  <si>
    <t>Seg 06/07/26</t>
  </si>
  <si>
    <t>1.1.11.20.4</t>
  </si>
  <si>
    <t>Qua 08/07/26</t>
  </si>
  <si>
    <t>1.1.11.21</t>
  </si>
  <si>
    <t>fd-f0009-0306-mb-j-00002</t>
  </si>
  <si>
    <t>1.1.11.21.1</t>
  </si>
  <si>
    <t>FD-F0009-0306-MB-J-00002</t>
  </si>
  <si>
    <t>502II</t>
  </si>
  <si>
    <t>1.1.11.21.2</t>
  </si>
  <si>
    <t>1.1.11.21.3</t>
  </si>
  <si>
    <t>1.1.11.21.4</t>
  </si>
  <si>
    <t>1.1.11.22</t>
  </si>
  <si>
    <t>fd-f0009-0306-mb-j-00003</t>
  </si>
  <si>
    <t>1.1.11.22.1</t>
  </si>
  <si>
    <t>FD-F0009-0306-MB-J-00003</t>
  </si>
  <si>
    <t>1.1.11.22.2</t>
  </si>
  <si>
    <t>1.1.11.22.3</t>
  </si>
  <si>
    <t>1.1.11.22.4</t>
  </si>
  <si>
    <t>1.1.11.23</t>
  </si>
  <si>
    <t>fd-f0009-0306-mb-j-00004</t>
  </si>
  <si>
    <t>1.1.11.23.1</t>
  </si>
  <si>
    <t>FD-F0009-0306-MB-J-00004</t>
  </si>
  <si>
    <t>1.1.11.23.2</t>
  </si>
  <si>
    <t>1.1.11.23.3</t>
  </si>
  <si>
    <t>1.1.11.23.4</t>
  </si>
  <si>
    <t>1.1.11.24</t>
  </si>
  <si>
    <t>fd-f0009-0306-mb-j-00005</t>
  </si>
  <si>
    <t>1.1.11.24.1</t>
  </si>
  <si>
    <t>FD-F0009-0306-MB-J-00005</t>
  </si>
  <si>
    <t>1.1.11.24.2</t>
  </si>
  <si>
    <t>1.1.11.24.3</t>
  </si>
  <si>
    <t>1.1.11.24.4</t>
  </si>
  <si>
    <t>1.1.11.25</t>
  </si>
  <si>
    <t>fd-f0009-0306-mb-j-00006</t>
  </si>
  <si>
    <t>1.1.11.25.1</t>
  </si>
  <si>
    <t>FD-F0009-0306-MB-J-00006</t>
  </si>
  <si>
    <t>1.1.11.25.2</t>
  </si>
  <si>
    <t>1.1.11.25.3</t>
  </si>
  <si>
    <t>1.1.11.25.4</t>
  </si>
  <si>
    <t>1.1.11.26</t>
  </si>
  <si>
    <t>fd-f0009-0306-mb-j-00007</t>
  </si>
  <si>
    <t>1.1.11.26.1</t>
  </si>
  <si>
    <t>FD-F0009-0306-MB-J-00007</t>
  </si>
  <si>
    <t>1.1.11.26.2</t>
  </si>
  <si>
    <t>1.1.11.26.3</t>
  </si>
  <si>
    <t>1.1.11.26.4</t>
  </si>
  <si>
    <t>1.1.11.27</t>
  </si>
  <si>
    <t>fd-f0009-0306-mb-j-00008</t>
  </si>
  <si>
    <t>1.1.11.27.1</t>
  </si>
  <si>
    <t>FD-F0009-0306-MB-J-00008</t>
  </si>
  <si>
    <t>1.1.11.27.2</t>
  </si>
  <si>
    <t>1.1.11.27.3</t>
  </si>
  <si>
    <t>1.1.11.27.4</t>
  </si>
  <si>
    <t>1.1.11.28</t>
  </si>
  <si>
    <t>fd-f0009-0306-mb-j-00009</t>
  </si>
  <si>
    <t>1.1.11.28.1</t>
  </si>
  <si>
    <t>FD-F0009-0306-MB-J-00009</t>
  </si>
  <si>
    <t>1.1.11.28.2</t>
  </si>
  <si>
    <t>1.1.11.28.3</t>
  </si>
  <si>
    <t>1.1.11.28.4</t>
  </si>
  <si>
    <t>1.1.11.29</t>
  </si>
  <si>
    <t>fd-f0009-0306-mb-j-00010</t>
  </si>
  <si>
    <t>1.1.11.29.1</t>
  </si>
  <si>
    <t>FD-F0009-0306-MB-J-00010</t>
  </si>
  <si>
    <t>1.1.11.29.2</t>
  </si>
  <si>
    <t>1.1.11.29.3</t>
  </si>
  <si>
    <t>1.1.11.29.4</t>
  </si>
  <si>
    <t>1.1.11.30</t>
  </si>
  <si>
    <t>fd-f0009-0306-mb-j-00011</t>
  </si>
  <si>
    <t>1.1.11.30.1</t>
  </si>
  <si>
    <t>FD-F0009-0306-MB-J-00011</t>
  </si>
  <si>
    <t>1.1.11.30.2</t>
  </si>
  <si>
    <t>1.1.11.30.3</t>
  </si>
  <si>
    <t>1.1.11.30.4</t>
  </si>
  <si>
    <t>1.1.11.31</t>
  </si>
  <si>
    <t>fd-f0009-0306-mb-j-00012</t>
  </si>
  <si>
    <t>1.1.11.31.1</t>
  </si>
  <si>
    <t>FD-F0009-0306-MB-J-00012</t>
  </si>
  <si>
    <t>1.1.11.31.2</t>
  </si>
  <si>
    <t>1.1.11.31.3</t>
  </si>
  <si>
    <t>1.1.11.31.4</t>
  </si>
  <si>
    <t>1.1.11.32</t>
  </si>
  <si>
    <t>fd-f0009-0306-mb-j-00013</t>
  </si>
  <si>
    <t>76 hrs</t>
  </si>
  <si>
    <t>1.1.11.32.1</t>
  </si>
  <si>
    <t>FD-F0009-0306-MB-J-00013</t>
  </si>
  <si>
    <t>1.1.11.32.2</t>
  </si>
  <si>
    <t>1.1.11.32.3</t>
  </si>
  <si>
    <t>1.1.11.32.4</t>
  </si>
  <si>
    <t>1.1.11.33</t>
  </si>
  <si>
    <t>fd-f0009-0306-mb-j-00014</t>
  </si>
  <si>
    <t>1.1.11.33.1</t>
  </si>
  <si>
    <t>FD-F0009-0306-MB-J-00014</t>
  </si>
  <si>
    <t>1.1.11.33.2</t>
  </si>
  <si>
    <t>1.1.11.33.3</t>
  </si>
  <si>
    <t>1.1.11.33.4</t>
  </si>
  <si>
    <t>1.1.11.34</t>
  </si>
  <si>
    <t>fd-f0009-0306-mb-j-00015</t>
  </si>
  <si>
    <t>1.1.11.34.1</t>
  </si>
  <si>
    <t>FD-F0009-0306-MB-J-00015</t>
  </si>
  <si>
    <t>1.1.11.34.2</t>
  </si>
  <si>
    <t>1.1.11.34.3</t>
  </si>
  <si>
    <t>1.1.11.34.4</t>
  </si>
  <si>
    <t>1.1.11.35</t>
  </si>
  <si>
    <t>fd-f0009-0306-mb-j-00016</t>
  </si>
  <si>
    <t>1.1.11.35.1</t>
  </si>
  <si>
    <t>FD-F0009-0306-MB-J-00016</t>
  </si>
  <si>
    <t>1.1.11.35.2</t>
  </si>
  <si>
    <t>1.1.11.35.3</t>
  </si>
  <si>
    <t>1.1.11.35.4</t>
  </si>
  <si>
    <t>1.1.11.36</t>
  </si>
  <si>
    <t>fd-f0009-0306-mb-j-00017</t>
  </si>
  <si>
    <t>1.1.11.36.1</t>
  </si>
  <si>
    <t>FD-F0009-0306-MB-J-00017</t>
  </si>
  <si>
    <t>1.1.11.36.2</t>
  </si>
  <si>
    <t>1.1.11.36.3</t>
  </si>
  <si>
    <t>1.1.11.36.4</t>
  </si>
  <si>
    <t>1.1.11.37</t>
  </si>
  <si>
    <t>fd-f0009-0306-mb-j-00018</t>
  </si>
  <si>
    <t>1.1.11.37.1</t>
  </si>
  <si>
    <t>FD-F0009-0306-MB-J-00018</t>
  </si>
  <si>
    <t>1.1.11.37.2</t>
  </si>
  <si>
    <t>1.1.11.37.3</t>
  </si>
  <si>
    <t>1.1.11.37.4</t>
  </si>
  <si>
    <t>1.1.11.38</t>
  </si>
  <si>
    <t>fd-f0009-0306-mb-j-00019</t>
  </si>
  <si>
    <t>1.1.11.38.1</t>
  </si>
  <si>
    <t>FD-F0009-0306-MB-J-00019</t>
  </si>
  <si>
    <t>1.1.11.38.2</t>
  </si>
  <si>
    <t>1.1.11.38.3</t>
  </si>
  <si>
    <t>1.1.11.38.4</t>
  </si>
  <si>
    <t>1.1.11.39</t>
  </si>
  <si>
    <t>fd-f0009-0306-mb-j-00020</t>
  </si>
  <si>
    <t>1.1.11.39.1</t>
  </si>
  <si>
    <t>FD-F0009-0306-MB-J-00020</t>
  </si>
  <si>
    <t>1.1.11.39.2</t>
  </si>
  <si>
    <t>1.1.11.39.3</t>
  </si>
  <si>
    <t>1.1.11.39.4</t>
  </si>
  <si>
    <t>1.1.11.40</t>
  </si>
  <si>
    <t>fd-f0009-0306-mb-j-00021</t>
  </si>
  <si>
    <t>1.1.11.40.1</t>
  </si>
  <si>
    <t>FD-F0009-0306-MB-J-00021</t>
  </si>
  <si>
    <t>1.1.11.40.2</t>
  </si>
  <si>
    <t>1.1.11.40.3</t>
  </si>
  <si>
    <t>1.1.11.40.4</t>
  </si>
  <si>
    <t>1.1.11.41</t>
  </si>
  <si>
    <t>fd-f0009-0306-mb-j-00022</t>
  </si>
  <si>
    <t>1.1.11.41.1</t>
  </si>
  <si>
    <t>FD-F0009-0306-MB-J-00022</t>
  </si>
  <si>
    <t>1.1.11.41.2</t>
  </si>
  <si>
    <t>1.1.11.41.3</t>
  </si>
  <si>
    <t>1.1.11.41.4</t>
  </si>
  <si>
    <t>1.1.11.42</t>
  </si>
  <si>
    <t>fd-f0009-0306-mb-j-00023</t>
  </si>
  <si>
    <t>1.1.11.42.1</t>
  </si>
  <si>
    <t>FD-F0009-0306-MB-J-00023</t>
  </si>
  <si>
    <t>1.1.11.42.2</t>
  </si>
  <si>
    <t>1.1.11.42.3</t>
  </si>
  <si>
    <t>1.1.11.42.4</t>
  </si>
  <si>
    <t>1.1.11.43</t>
  </si>
  <si>
    <t>lb-f0009-0306-mb-j-00001</t>
  </si>
  <si>
    <t>65,6 hrs</t>
  </si>
  <si>
    <t>1.1.11.43.1</t>
  </si>
  <si>
    <t>LB-F0009-0306-MB-J-00001</t>
  </si>
  <si>
    <t>1.1.11.43.2</t>
  </si>
  <si>
    <t>1.1.11.43.3</t>
  </si>
  <si>
    <t>1.1.11.43.4</t>
  </si>
  <si>
    <t>1.1.11.44</t>
  </si>
  <si>
    <t>re-f0009-0306-mb-j-00001</t>
  </si>
  <si>
    <t>1.1.11.44.1</t>
  </si>
  <si>
    <t>RE-F0009-0306-MB-J-00001</t>
  </si>
  <si>
    <t>1.1.11.44.2</t>
  </si>
  <si>
    <t>1.1.11.44.3</t>
  </si>
  <si>
    <t>1.1.11.44.4</t>
  </si>
  <si>
    <t>1.1.11.45</t>
  </si>
  <si>
    <t>dt-f0009-0306-mb-j-00001</t>
  </si>
  <si>
    <t>1.1.11.45.1</t>
  </si>
  <si>
    <t>DT-F0009-0306-MB-J-00001</t>
  </si>
  <si>
    <t>1.1.11.45.2</t>
  </si>
  <si>
    <t>1.1.11.45.3</t>
  </si>
  <si>
    <t>1.1.11.45.4</t>
  </si>
  <si>
    <t>1.1.12</t>
  </si>
  <si>
    <t>civil</t>
  </si>
  <si>
    <t>CIVIL</t>
  </si>
  <si>
    <t>1.1.12.1</t>
  </si>
  <si>
    <t>Civil</t>
  </si>
  <si>
    <t>mc-f0009-0306-mb-c-00001</t>
  </si>
  <si>
    <t>1.1.12.1.1</t>
  </si>
  <si>
    <t>MC-F0009-0306-MB-C-00001</t>
  </si>
  <si>
    <t>260TI-2 dias</t>
  </si>
  <si>
    <t>634;638TT</t>
  </si>
  <si>
    <t>1.1.12.1.2</t>
  </si>
  <si>
    <t>1.1.12.1.3</t>
  </si>
  <si>
    <t>1.1.12.1.4</t>
  </si>
  <si>
    <t>1.1.12.2</t>
  </si>
  <si>
    <t>pq-f0009-0306-mb-c-00001</t>
  </si>
  <si>
    <t>1.1.12.2.1</t>
  </si>
  <si>
    <t>PQ-F0009-0306-MB-C-00001</t>
  </si>
  <si>
    <t>633TT</t>
  </si>
  <si>
    <t>1.1.12.2.2</t>
  </si>
  <si>
    <t>1.1.12.2.3</t>
  </si>
  <si>
    <t>1.1.12.2.4</t>
  </si>
  <si>
    <t>0 dias</t>
  </si>
  <si>
    <t>Tarefa Excluída</t>
  </si>
  <si>
    <t>Marcos -          Critério de Projeto de automação</t>
  </si>
  <si>
    <t xml:space="preserve">         Critério de Projeto de Automação</t>
  </si>
  <si>
    <t>Marcos -          Critério de Projeto de Automação</t>
  </si>
  <si>
    <t>1.1.5.2</t>
  </si>
  <si>
    <t>rm-f0009-0306-mb-g-00002</t>
  </si>
  <si>
    <t>Coordenação -          RM-F0009-0306-MB-G-00002</t>
  </si>
  <si>
    <t xml:space="preserve">         RM-F0009-0306-MB-G-00002</t>
  </si>
  <si>
    <t>1.1.7.10</t>
  </si>
  <si>
    <t>pl-f0009-0306-mb-m-00002</t>
  </si>
  <si>
    <t>12 dias</t>
  </si>
  <si>
    <t>Mecânica -          PL-F0009-0306-MB-M-00002</t>
  </si>
  <si>
    <t xml:space="preserve">         PL-F0009-0306-MB-M-00002</t>
  </si>
  <si>
    <t>1.1.8.2</t>
  </si>
  <si>
    <t>md-f0009-0306-mb-u-00001</t>
  </si>
  <si>
    <t>Tubulação/Utilidades -          MD-F0009-0306-MB-U-00001</t>
  </si>
  <si>
    <t>1.1.8.4</t>
  </si>
  <si>
    <t>et-f0009-0306-mb-t-00001</t>
  </si>
  <si>
    <t>Tubulação/Utilidades -          ET-F0009-0306-MB-T-00001</t>
  </si>
  <si>
    <t>1.1.8.5</t>
  </si>
  <si>
    <t>fd-f0009-0306-mb-t-00001</t>
  </si>
  <si>
    <t>Tubulação/Utilidades -          FD-F0009-0306-MB-T-00001</t>
  </si>
  <si>
    <t xml:space="preserve">         FD-F0009-0306-MB-T-00001</t>
  </si>
  <si>
    <t>1.1.8.6</t>
  </si>
  <si>
    <t>fd-f0009-0306-mb-t-00002</t>
  </si>
  <si>
    <t>Tubulação/Utilidades -          FD-F0009-0306-MB-T-00002</t>
  </si>
  <si>
    <t>1.1.8.10</t>
  </si>
  <si>
    <t>fg-f0009-0306-mb-t-00002</t>
  </si>
  <si>
    <t>14 dias</t>
  </si>
  <si>
    <t>Tubulação/Utilidades -          FG-F0009-0306-MB-T-00002</t>
  </si>
  <si>
    <t>1.1.8.14</t>
  </si>
  <si>
    <t>ag-f0009-0306-mb-t-00004</t>
  </si>
  <si>
    <t>Tubulação/Utilidades -          AG-F0009-0306-MB-T-00004</t>
  </si>
  <si>
    <t>1.1.8.15</t>
  </si>
  <si>
    <t>ag-f0009-0306-mb-t-00005</t>
  </si>
  <si>
    <t>Tubulação/Utilidades -          AG-F0009-0306-MB-T-00005</t>
  </si>
  <si>
    <t>1.1.8.16</t>
  </si>
  <si>
    <t>ag-f0009-0306-mb-t-00006</t>
  </si>
  <si>
    <t>Tubulação/Utilidades -          AG-F0009-0306-MB-T-00006</t>
  </si>
  <si>
    <t>1.1.8.18</t>
  </si>
  <si>
    <t>mc-f0009-0306-mb-t-00002</t>
  </si>
  <si>
    <t>Tubulação/Utilidades -          MC-F0009-0306-MB-T-00002</t>
  </si>
  <si>
    <t>1.1.9.4</t>
  </si>
  <si>
    <t>lm-f0009-0306-mb-s-00001</t>
  </si>
  <si>
    <t>Estrutura metálica -          LM-F0009-0306-MB-S-00001</t>
  </si>
  <si>
    <t xml:space="preserve">         LM-F0009-0306-MB-S-00001</t>
  </si>
  <si>
    <t>1.1.9.10</t>
  </si>
  <si>
    <t>ag-f0009-0306-mb-s-00005</t>
  </si>
  <si>
    <t>9 dias</t>
  </si>
  <si>
    <t>Estrutura metálica -          AG-F0009-0306-MB-S-00005</t>
  </si>
  <si>
    <t xml:space="preserve">         AG-F0009-0306-MB-S-00005</t>
  </si>
  <si>
    <t>1.1.10.4</t>
  </si>
  <si>
    <t>le-f0009-0306-mb-e-00001</t>
  </si>
  <si>
    <t>Elétrica -          LE-F0009-0306-MB-E-00001</t>
  </si>
  <si>
    <t xml:space="preserve">         LE-F0009-0306-MB-E-00001</t>
  </si>
  <si>
    <t>du-f0009-0306-mb-e-00002</t>
  </si>
  <si>
    <t>Elétrica -          DU-F0009-0306-MB-E-00002</t>
  </si>
  <si>
    <t xml:space="preserve">         DU-F0009-0306-MB-E-00002</t>
  </si>
  <si>
    <t>du-f0009-0306-mb-e-00003</t>
  </si>
  <si>
    <t>Elétrica -          DU-F0009-0306-MB-E-00003</t>
  </si>
  <si>
    <t xml:space="preserve">         DU-F0009-0306-MB-E-00003</t>
  </si>
  <si>
    <t>1.1.10.15</t>
  </si>
  <si>
    <t>du-f0009-0306-mb-e-00004</t>
  </si>
  <si>
    <t>17 dias</t>
  </si>
  <si>
    <t>Elétrica -          DU-F0009-0306-MB-E-00004</t>
  </si>
  <si>
    <t xml:space="preserve">         DU-F0009-0306-MB-E-00004</t>
  </si>
  <si>
    <t>1.1.10.19</t>
  </si>
  <si>
    <t>fd-f0009-0306-mb-e-00002</t>
  </si>
  <si>
    <t>Elétrica -          FD-F0009-0306-MB-E-00002</t>
  </si>
  <si>
    <t xml:space="preserve">         FD-F0009-0306-MB-E-00002</t>
  </si>
  <si>
    <t>1.1.10.20</t>
  </si>
  <si>
    <t>fd-f0009-0306-mb-e-00003</t>
  </si>
  <si>
    <t>Elétrica -          FD-F0009-0306-MB-E-00003</t>
  </si>
  <si>
    <t xml:space="preserve">         FD-F0009-0306-MB-E-00003</t>
  </si>
  <si>
    <t>1.1.10.21</t>
  </si>
  <si>
    <t>fd-f0009-0306-mb-e-00004</t>
  </si>
  <si>
    <t>Elétrica -          FD-F0009-0306-MB-E-00004</t>
  </si>
  <si>
    <t xml:space="preserve">         FD-F0009-0306-MB-E-00004</t>
  </si>
  <si>
    <t>1.1.10.22</t>
  </si>
  <si>
    <t>fd-f0009-0306-mb-e-00005</t>
  </si>
  <si>
    <t>Elétrica -          FD-F0009-0306-MB-E-00005</t>
  </si>
  <si>
    <t xml:space="preserve">         FD-F0009-0306-MB-E-00005</t>
  </si>
  <si>
    <t>lz-f0009-0306-mb-j-00001</t>
  </si>
  <si>
    <t>Automação e instrumentação -          LZ-F0009-0306-MB-J-00001</t>
  </si>
  <si>
    <t xml:space="preserve">         LZ-F0009-0306-MB-J-00001</t>
  </si>
  <si>
    <t>1.1.11.5</t>
  </si>
  <si>
    <t>le-f0009-0306-mb-j-00002</t>
  </si>
  <si>
    <t>Automação e instrumentação -          LE-F0009-0306-MB-J-00002</t>
  </si>
  <si>
    <t xml:space="preserve">         LE-F0009-0306-MB-J-00002</t>
  </si>
  <si>
    <t>ag-f0009-0306-mb-j-00004</t>
  </si>
  <si>
    <t>Automação e instrumentação -          AG-F0009-0306-MB-J-00004</t>
  </si>
  <si>
    <t xml:space="preserve">         AG-F0009-0306-MB-J-00004</t>
  </si>
  <si>
    <t>li-f0009-0306-mb-j-00002</t>
  </si>
  <si>
    <t>Automação e instrumentação -          LI-F0009-0306-MB-J-00002</t>
  </si>
  <si>
    <t xml:space="preserve">         LI-F0009-0306-MB-J-00002</t>
  </si>
  <si>
    <t>1.1.11.16</t>
  </si>
  <si>
    <t>li-f0009-0306-mb-j-00003</t>
  </si>
  <si>
    <t>Automação e instrumentação -          LI-F0009-0306-MB-J-00003</t>
  </si>
  <si>
    <t xml:space="preserve">         LI-F0009-0306-MB-J-00003</t>
  </si>
  <si>
    <t xml:space="preserve">PQ-F0009-0306-MB-C-00001 - 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</si>
  <si>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</si>
  <si>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</si>
  <si>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</si>
  <si>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</si>
  <si>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</si>
  <si>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</si>
  <si>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</si>
  <si>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</si>
  <si>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</si>
  <si>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</si>
  <si>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</si>
  <si>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</si>
  <si>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</si>
  <si>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</si>
  <si>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</si>
  <si>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</si>
  <si>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</si>
  <si>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</si>
  <si>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</si>
  <si>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TOTAL</t>
  </si>
  <si>
    <t>Coluna1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</si>
</sst>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9" fontId="0" fillId="2" borderId="0" xfId="1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6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vertical="center"/>
    </xf>
  </cellXfs>
  <cellStyles count="2">
    <cellStyle name="Normal" xfId="0" builtinId="0"/>
    <cellStyle name="Porcentagem" xfId="1" builtinId="5"/>
  </cellStyles>
  <dxfs count="19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0.0%"/>
      <alignment horizontal="center" vertical="center" textRotation="0" wrapText="1" indent="0" justifyLastLine="0" shrinkToFit="0" readingOrder="0"/>
    </dxf>
    <dxf>
      <numFmt numFmtId="165" formatCode="0.0%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0.0%"/>
      <alignment horizontal="center" vertical="center" textRotation="0" wrapText="1" indent="0" justifyLastLine="0" shrinkToFit="0" readingOrder="0"/>
    </dxf>
    <dxf>
      <numFmt numFmtId="165" formatCode="0.0%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39</c:v>
                </c:pt>
                <c:pt idx="1">
                  <c:v>2</c:v>
                </c:pt>
                <c:pt idx="2">
                  <c:v>3</c:v>
                </c:pt>
                <c:pt idx="3">
                  <c:v>12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56-43F9-8E98-74180C4EC100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36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56-43F9-8E98-74180C4EC100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Resumo!$D$4:$D$15</c:f>
              <c:numCache>
                <c:formatCode>0.0%</c:formatCode>
                <c:ptCount val="12"/>
                <c:pt idx="0">
                  <c:v>0.92307692307692313</c:v>
                </c:pt>
                <c:pt idx="1">
                  <c:v>0</c:v>
                </c:pt>
                <c:pt idx="2">
                  <c:v>0.33333333333333331</c:v>
                </c:pt>
                <c:pt idx="3">
                  <c:v>0.33333333333333331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0.69230769230769229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56-43F9-8E98-74180C4EC100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Resumo!$E$4:$E$15</c:f>
              <c:numCache>
                <c:formatCode>General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56-43F9-8E98-74180C4EC100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Resumo!$F$4:$F$15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56-43F9-8E98-74180C4EC100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Resumo!$G$4:$G$15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56-43F9-8E98-74180C4EC100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Resumo!$H$4:$H$15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0.23076923076923081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56-43F9-8E98-74180C4EC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Resumo!$B$21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Resumo!$B$22:$B$33</c:f>
              <c:numCache>
                <c:formatCode>General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F806-447E-AD24-5F27E9614ABA}"/>
            </c:ext>
          </c:extLst>
        </c:ser>
        <c:ser>
          <c:idx val="1"/>
          <c:order val="1"/>
          <c:tx>
            <c:strRef>
              <c:f>Resumo!$C$21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Resumo!$C$22:$C$33</c:f>
              <c:numCache>
                <c:formatCode>General</c:formatCode>
                <c:ptCount val="12"/>
                <c:pt idx="0">
                  <c:v>31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F806-447E-AD24-5F27E9614ABA}"/>
            </c:ext>
          </c:extLst>
        </c:ser>
        <c:ser>
          <c:idx val="2"/>
          <c:order val="2"/>
          <c:tx>
            <c:strRef>
              <c:f>Resumo!$D$21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Resumo!$D$22:$D$33</c:f>
              <c:numCache>
                <c:formatCode>General</c:formatCode>
                <c:ptCount val="12"/>
                <c:pt idx="0">
                  <c:v>31</c:v>
                </c:pt>
                <c:pt idx="1">
                  <c:v>0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F806-447E-AD24-5F27E9614ABA}"/>
            </c:ext>
          </c:extLst>
        </c:ser>
        <c:ser>
          <c:idx val="3"/>
          <c:order val="3"/>
          <c:tx>
            <c:strRef>
              <c:f>Resumo!$E$21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Resumo!$E$22:$E$33</c:f>
              <c:numCache>
                <c:formatCode>General</c:formatCode>
                <c:ptCount val="12"/>
                <c:pt idx="0">
                  <c:v>27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F806-447E-AD24-5F27E9614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03/07/2026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S'!$B$2:$B$111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7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4</c:v>
                </c:pt>
                <c:pt idx="89">
                  <c:v>0</c:v>
                </c:pt>
                <c:pt idx="90">
                  <c:v>2</c:v>
                </c:pt>
                <c:pt idx="91">
                  <c:v>5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</c:v>
                </c:pt>
                <c:pt idx="96">
                  <c:v>3</c:v>
                </c:pt>
                <c:pt idx="97">
                  <c:v>1</c:v>
                </c:pt>
                <c:pt idx="98">
                  <c:v>4</c:v>
                </c:pt>
                <c:pt idx="99">
                  <c:v>0</c:v>
                </c:pt>
                <c:pt idx="100">
                  <c:v>0</c:v>
                </c:pt>
                <c:pt idx="101">
                  <c:v>23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3-4196-BDF2-7B3A9DD28704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S'!$D$2:$D$111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9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</c:v>
                </c:pt>
                <c:pt idx="96">
                  <c:v>0</c:v>
                </c:pt>
                <c:pt idx="97">
                  <c:v>5</c:v>
                </c:pt>
                <c:pt idx="98">
                  <c:v>16</c:v>
                </c:pt>
                <c:pt idx="99">
                  <c:v>0</c:v>
                </c:pt>
                <c:pt idx="100">
                  <c:v>0</c:v>
                </c:pt>
                <c:pt idx="101">
                  <c:v>6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2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33-4196-BDF2-7B3A9DD28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S'!$C$2:$C$111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6</c:v>
                </c:pt>
                <c:pt idx="61">
                  <c:v>7</c:v>
                </c:pt>
                <c:pt idx="62">
                  <c:v>9</c:v>
                </c:pt>
                <c:pt idx="63">
                  <c:v>12</c:v>
                </c:pt>
                <c:pt idx="64">
                  <c:v>12</c:v>
                </c:pt>
                <c:pt idx="65">
                  <c:v>12</c:v>
                </c:pt>
                <c:pt idx="66">
                  <c:v>13</c:v>
                </c:pt>
                <c:pt idx="67">
                  <c:v>13</c:v>
                </c:pt>
                <c:pt idx="68">
                  <c:v>20</c:v>
                </c:pt>
                <c:pt idx="69">
                  <c:v>23</c:v>
                </c:pt>
                <c:pt idx="70">
                  <c:v>23</c:v>
                </c:pt>
                <c:pt idx="71">
                  <c:v>23</c:v>
                </c:pt>
                <c:pt idx="72">
                  <c:v>23</c:v>
                </c:pt>
                <c:pt idx="73">
                  <c:v>27</c:v>
                </c:pt>
                <c:pt idx="74">
                  <c:v>28</c:v>
                </c:pt>
                <c:pt idx="75">
                  <c:v>28</c:v>
                </c:pt>
                <c:pt idx="76">
                  <c:v>29</c:v>
                </c:pt>
                <c:pt idx="77">
                  <c:v>32</c:v>
                </c:pt>
                <c:pt idx="78">
                  <c:v>32</c:v>
                </c:pt>
                <c:pt idx="79">
                  <c:v>32</c:v>
                </c:pt>
                <c:pt idx="80">
                  <c:v>32</c:v>
                </c:pt>
                <c:pt idx="81">
                  <c:v>33</c:v>
                </c:pt>
                <c:pt idx="82">
                  <c:v>35</c:v>
                </c:pt>
                <c:pt idx="83">
                  <c:v>37</c:v>
                </c:pt>
                <c:pt idx="84">
                  <c:v>38</c:v>
                </c:pt>
                <c:pt idx="85">
                  <c:v>38</c:v>
                </c:pt>
                <c:pt idx="86">
                  <c:v>38</c:v>
                </c:pt>
                <c:pt idx="87">
                  <c:v>40</c:v>
                </c:pt>
                <c:pt idx="88">
                  <c:v>44</c:v>
                </c:pt>
                <c:pt idx="89">
                  <c:v>44</c:v>
                </c:pt>
                <c:pt idx="90">
                  <c:v>46</c:v>
                </c:pt>
                <c:pt idx="91">
                  <c:v>51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53</c:v>
                </c:pt>
                <c:pt idx="96">
                  <c:v>56</c:v>
                </c:pt>
                <c:pt idx="97">
                  <c:v>57</c:v>
                </c:pt>
                <c:pt idx="98">
                  <c:v>61</c:v>
                </c:pt>
                <c:pt idx="99">
                  <c:v>61</c:v>
                </c:pt>
                <c:pt idx="100">
                  <c:v>61</c:v>
                </c:pt>
                <c:pt idx="101">
                  <c:v>84</c:v>
                </c:pt>
                <c:pt idx="102">
                  <c:v>85</c:v>
                </c:pt>
                <c:pt idx="103">
                  <c:v>87</c:v>
                </c:pt>
                <c:pt idx="104">
                  <c:v>87</c:v>
                </c:pt>
                <c:pt idx="105">
                  <c:v>87</c:v>
                </c:pt>
                <c:pt idx="106">
                  <c:v>87</c:v>
                </c:pt>
                <c:pt idx="107">
                  <c:v>87</c:v>
                </c:pt>
                <c:pt idx="108">
                  <c:v>87</c:v>
                </c:pt>
                <c:pt idx="109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33-4196-BDF2-7B3A9DD28704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S'!$E$2:$E$111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13</c:v>
                </c:pt>
                <c:pt idx="88">
                  <c:v>13</c:v>
                </c:pt>
                <c:pt idx="89">
                  <c:v>13</c:v>
                </c:pt>
                <c:pt idx="90">
                  <c:v>14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23</c:v>
                </c:pt>
                <c:pt idx="95">
                  <c:v>25</c:v>
                </c:pt>
                <c:pt idx="96">
                  <c:v>25</c:v>
                </c:pt>
                <c:pt idx="97">
                  <c:v>30</c:v>
                </c:pt>
                <c:pt idx="98">
                  <c:v>46</c:v>
                </c:pt>
                <c:pt idx="99">
                  <c:v>46</c:v>
                </c:pt>
                <c:pt idx="100">
                  <c:v>46</c:v>
                </c:pt>
                <c:pt idx="101">
                  <c:v>52</c:v>
                </c:pt>
                <c:pt idx="102">
                  <c:v>57</c:v>
                </c:pt>
                <c:pt idx="103">
                  <c:v>62</c:v>
                </c:pt>
                <c:pt idx="104">
                  <c:v>67</c:v>
                </c:pt>
                <c:pt idx="105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33-4196-BDF2-7B3A9DD28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03/07/2026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S'!$B$2:$B$111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7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4</c:v>
                </c:pt>
                <c:pt idx="89">
                  <c:v>0</c:v>
                </c:pt>
                <c:pt idx="90">
                  <c:v>2</c:v>
                </c:pt>
                <c:pt idx="91">
                  <c:v>5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</c:v>
                </c:pt>
                <c:pt idx="96">
                  <c:v>3</c:v>
                </c:pt>
                <c:pt idx="97">
                  <c:v>1</c:v>
                </c:pt>
                <c:pt idx="98">
                  <c:v>4</c:v>
                </c:pt>
                <c:pt idx="99">
                  <c:v>0</c:v>
                </c:pt>
                <c:pt idx="100">
                  <c:v>0</c:v>
                </c:pt>
                <c:pt idx="101">
                  <c:v>23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26-41F7-B8DC-09EA2D41E077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S'!$D$2:$D$111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9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</c:v>
                </c:pt>
                <c:pt idx="96">
                  <c:v>0</c:v>
                </c:pt>
                <c:pt idx="97">
                  <c:v>5</c:v>
                </c:pt>
                <c:pt idx="98">
                  <c:v>16</c:v>
                </c:pt>
                <c:pt idx="99">
                  <c:v>0</c:v>
                </c:pt>
                <c:pt idx="100">
                  <c:v>0</c:v>
                </c:pt>
                <c:pt idx="101">
                  <c:v>6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2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26-41F7-B8DC-09EA2D41E077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S'!$F$2:$F$111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1</c:v>
                </c:pt>
                <c:pt idx="68">
                  <c:v>2</c:v>
                </c:pt>
                <c:pt idx="69">
                  <c:v>3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7</c:v>
                </c:pt>
                <c:pt idx="75">
                  <c:v>3</c:v>
                </c:pt>
                <c:pt idx="76">
                  <c:v>0</c:v>
                </c:pt>
                <c:pt idx="77">
                  <c:v>4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3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2</c:v>
                </c:pt>
                <c:pt idx="89">
                  <c:v>2</c:v>
                </c:pt>
                <c:pt idx="90">
                  <c:v>1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4</c:v>
                </c:pt>
                <c:pt idx="95">
                  <c:v>0</c:v>
                </c:pt>
                <c:pt idx="96">
                  <c:v>2</c:v>
                </c:pt>
                <c:pt idx="97">
                  <c:v>5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2</c:v>
                </c:pt>
                <c:pt idx="102">
                  <c:v>4</c:v>
                </c:pt>
                <c:pt idx="103">
                  <c:v>1</c:v>
                </c:pt>
                <c:pt idx="104">
                  <c:v>4</c:v>
                </c:pt>
                <c:pt idx="105">
                  <c:v>23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26-41F7-B8DC-09EA2D41E077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S'!$G$2:$G$111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26-41F7-B8DC-09EA2D41E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S'!$C$2:$C$111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6</c:v>
                </c:pt>
                <c:pt idx="61">
                  <c:v>7</c:v>
                </c:pt>
                <c:pt idx="62">
                  <c:v>9</c:v>
                </c:pt>
                <c:pt idx="63">
                  <c:v>12</c:v>
                </c:pt>
                <c:pt idx="64">
                  <c:v>12</c:v>
                </c:pt>
                <c:pt idx="65">
                  <c:v>12</c:v>
                </c:pt>
                <c:pt idx="66">
                  <c:v>13</c:v>
                </c:pt>
                <c:pt idx="67">
                  <c:v>13</c:v>
                </c:pt>
                <c:pt idx="68">
                  <c:v>20</c:v>
                </c:pt>
                <c:pt idx="69">
                  <c:v>23</c:v>
                </c:pt>
                <c:pt idx="70">
                  <c:v>23</c:v>
                </c:pt>
                <c:pt idx="71">
                  <c:v>23</c:v>
                </c:pt>
                <c:pt idx="72">
                  <c:v>23</c:v>
                </c:pt>
                <c:pt idx="73">
                  <c:v>27</c:v>
                </c:pt>
                <c:pt idx="74">
                  <c:v>28</c:v>
                </c:pt>
                <c:pt idx="75">
                  <c:v>28</c:v>
                </c:pt>
                <c:pt idx="76">
                  <c:v>29</c:v>
                </c:pt>
                <c:pt idx="77">
                  <c:v>32</c:v>
                </c:pt>
                <c:pt idx="78">
                  <c:v>32</c:v>
                </c:pt>
                <c:pt idx="79">
                  <c:v>32</c:v>
                </c:pt>
                <c:pt idx="80">
                  <c:v>32</c:v>
                </c:pt>
                <c:pt idx="81">
                  <c:v>33</c:v>
                </c:pt>
                <c:pt idx="82">
                  <c:v>35</c:v>
                </c:pt>
                <c:pt idx="83">
                  <c:v>37</c:v>
                </c:pt>
                <c:pt idx="84">
                  <c:v>38</c:v>
                </c:pt>
                <c:pt idx="85">
                  <c:v>38</c:v>
                </c:pt>
                <c:pt idx="86">
                  <c:v>38</c:v>
                </c:pt>
                <c:pt idx="87">
                  <c:v>40</c:v>
                </c:pt>
                <c:pt idx="88">
                  <c:v>44</c:v>
                </c:pt>
                <c:pt idx="89">
                  <c:v>44</c:v>
                </c:pt>
                <c:pt idx="90">
                  <c:v>46</c:v>
                </c:pt>
                <c:pt idx="91">
                  <c:v>51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53</c:v>
                </c:pt>
                <c:pt idx="96">
                  <c:v>56</c:v>
                </c:pt>
                <c:pt idx="97">
                  <c:v>57</c:v>
                </c:pt>
                <c:pt idx="98">
                  <c:v>61</c:v>
                </c:pt>
                <c:pt idx="99">
                  <c:v>61</c:v>
                </c:pt>
                <c:pt idx="100">
                  <c:v>61</c:v>
                </c:pt>
                <c:pt idx="101">
                  <c:v>84</c:v>
                </c:pt>
                <c:pt idx="102">
                  <c:v>85</c:v>
                </c:pt>
                <c:pt idx="103">
                  <c:v>87</c:v>
                </c:pt>
                <c:pt idx="104">
                  <c:v>87</c:v>
                </c:pt>
                <c:pt idx="105">
                  <c:v>87</c:v>
                </c:pt>
                <c:pt idx="106">
                  <c:v>87</c:v>
                </c:pt>
                <c:pt idx="107">
                  <c:v>87</c:v>
                </c:pt>
                <c:pt idx="108">
                  <c:v>87</c:v>
                </c:pt>
                <c:pt idx="109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26-41F7-B8DC-09EA2D41E077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S'!$E$2:$E$111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13</c:v>
                </c:pt>
                <c:pt idx="88">
                  <c:v>13</c:v>
                </c:pt>
                <c:pt idx="89">
                  <c:v>13</c:v>
                </c:pt>
                <c:pt idx="90">
                  <c:v>14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23</c:v>
                </c:pt>
                <c:pt idx="95">
                  <c:v>25</c:v>
                </c:pt>
                <c:pt idx="96">
                  <c:v>25</c:v>
                </c:pt>
                <c:pt idx="97">
                  <c:v>30</c:v>
                </c:pt>
                <c:pt idx="98">
                  <c:v>46</c:v>
                </c:pt>
                <c:pt idx="99">
                  <c:v>46</c:v>
                </c:pt>
                <c:pt idx="100">
                  <c:v>46</c:v>
                </c:pt>
                <c:pt idx="101">
                  <c:v>52</c:v>
                </c:pt>
                <c:pt idx="102">
                  <c:v>57</c:v>
                </c:pt>
                <c:pt idx="103">
                  <c:v>62</c:v>
                </c:pt>
                <c:pt idx="104">
                  <c:v>67</c:v>
                </c:pt>
                <c:pt idx="105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26-41F7-B8DC-09EA2D41E077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S'!$H$2:$H$111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2</c:v>
                </c:pt>
                <c:pt idx="61">
                  <c:v>3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6</c:v>
                </c:pt>
                <c:pt idx="67">
                  <c:v>7</c:v>
                </c:pt>
                <c:pt idx="68">
                  <c:v>9</c:v>
                </c:pt>
                <c:pt idx="69">
                  <c:v>12</c:v>
                </c:pt>
                <c:pt idx="70">
                  <c:v>13</c:v>
                </c:pt>
                <c:pt idx="71">
                  <c:v>13</c:v>
                </c:pt>
                <c:pt idx="72">
                  <c:v>13</c:v>
                </c:pt>
                <c:pt idx="73">
                  <c:v>13</c:v>
                </c:pt>
                <c:pt idx="74">
                  <c:v>20</c:v>
                </c:pt>
                <c:pt idx="75">
                  <c:v>23</c:v>
                </c:pt>
                <c:pt idx="76">
                  <c:v>23</c:v>
                </c:pt>
                <c:pt idx="77">
                  <c:v>27</c:v>
                </c:pt>
                <c:pt idx="78">
                  <c:v>27</c:v>
                </c:pt>
                <c:pt idx="79">
                  <c:v>27</c:v>
                </c:pt>
                <c:pt idx="80">
                  <c:v>28</c:v>
                </c:pt>
                <c:pt idx="81">
                  <c:v>28</c:v>
                </c:pt>
                <c:pt idx="82">
                  <c:v>29</c:v>
                </c:pt>
                <c:pt idx="83">
                  <c:v>32</c:v>
                </c:pt>
                <c:pt idx="84">
                  <c:v>32</c:v>
                </c:pt>
                <c:pt idx="85">
                  <c:v>32</c:v>
                </c:pt>
                <c:pt idx="86">
                  <c:v>32</c:v>
                </c:pt>
                <c:pt idx="87">
                  <c:v>33</c:v>
                </c:pt>
                <c:pt idx="88">
                  <c:v>35</c:v>
                </c:pt>
                <c:pt idx="89">
                  <c:v>37</c:v>
                </c:pt>
                <c:pt idx="90">
                  <c:v>38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44</c:v>
                </c:pt>
                <c:pt idx="95">
                  <c:v>44</c:v>
                </c:pt>
                <c:pt idx="96">
                  <c:v>46</c:v>
                </c:pt>
                <c:pt idx="97">
                  <c:v>51</c:v>
                </c:pt>
                <c:pt idx="98">
                  <c:v>51</c:v>
                </c:pt>
                <c:pt idx="99">
                  <c:v>51</c:v>
                </c:pt>
                <c:pt idx="100">
                  <c:v>51</c:v>
                </c:pt>
                <c:pt idx="101">
                  <c:v>53</c:v>
                </c:pt>
                <c:pt idx="102">
                  <c:v>57</c:v>
                </c:pt>
                <c:pt idx="103">
                  <c:v>58</c:v>
                </c:pt>
                <c:pt idx="104">
                  <c:v>62</c:v>
                </c:pt>
                <c:pt idx="105">
                  <c:v>85</c:v>
                </c:pt>
                <c:pt idx="106">
                  <c:v>85</c:v>
                </c:pt>
                <c:pt idx="107">
                  <c:v>85</c:v>
                </c:pt>
                <c:pt idx="108">
                  <c:v>86</c:v>
                </c:pt>
                <c:pt idx="109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26-41F7-B8DC-09EA2D41E077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S'!$I$2:$I$111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3</c:v>
                </c:pt>
                <c:pt idx="82">
                  <c:v>3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6</c:v>
                </c:pt>
                <c:pt idx="91">
                  <c:v>6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226-41F7-B8DC-09EA2D41E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9205607" cy="5123006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4FBDEDA-639E-4F32-83CD-D50E27B8F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25</xdr:row>
      <xdr:rowOff>0</xdr:rowOff>
    </xdr:from>
    <xdr:ext cx="917439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C6643401-B9A1-4E0C-AC1D-41F5B6A019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32</xdr:col>
      <xdr:colOff>31633</xdr:colOff>
      <xdr:row>30</xdr:row>
      <xdr:rowOff>171383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6F302E2-2896-49DB-A973-DAFE1EC58B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31</xdr:col>
      <xdr:colOff>591945</xdr:colOff>
      <xdr:row>61</xdr:row>
      <xdr:rowOff>168870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6084A0C-DD16-46A2-A16D-8FF580DA4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3BF53D-A820-496A-93A8-C84A41646C0D}" name="Tabela1" displayName="Tabela1" ref="A1:AM529" totalsRowShown="0" headerRowDxfId="182" dataDxfId="181">
  <autoFilter ref="A1:AM529" xr:uid="{783BF53D-A820-496A-93A8-C84A41646C0D}"/>
  <tableColumns count="39">
    <tableColumn id="1" xr3:uid="{CF1C0536-FF83-42B1-9D85-53F096B1F4C0}" name="Id" dataDxfId="180"/>
    <tableColumn id="2" xr3:uid="{7E107769-DA80-4366-A155-409FFFBD20B3}" name="EDT" dataDxfId="179"/>
    <tableColumn id="3" xr3:uid="{41AB7C5C-5082-450F-BEE6-3FDA759E10D8}" name="Nome do Resumo da Tarefa" dataDxfId="178"/>
    <tableColumn id="4" xr3:uid="{6C0FBD99-6958-4A29-9616-47426A2F2CAE}" name="Nome da Tarefa" dataDxfId="177"/>
    <tableColumn id="5" xr3:uid="{0E37FB61-E9C1-4359-871A-26A815D28425}" name="Duração" dataDxfId="176"/>
    <tableColumn id="6" xr3:uid="{373FF243-9829-4DB4-9BBF-4933B8318F2F}" name="Início" dataDxfId="175"/>
    <tableColumn id="7" xr3:uid="{C41BB8A3-334A-47CD-B09C-37DD7E478632}" name="Término" dataDxfId="174"/>
    <tableColumn id="8" xr3:uid="{46500952-039C-4BBC-95CA-D416F3ECC954}" name="% concluída" dataDxfId="173" dataCellStyle="Porcentagem"/>
    <tableColumn id="9" xr3:uid="{4E49F89A-9374-4A07-8959-D297F6DF3550}" name="Término real" dataDxfId="172"/>
    <tableColumn id="10" xr3:uid="{F0F1D1E2-843D-44B9-9AAD-5F6DE87FA6D5}" name="Status" dataDxfId="171"/>
    <tableColumn id="11" xr3:uid="{5919B520-A8D5-48AE-8330-CE5EA4E31429}" name="Predecessoras" dataDxfId="170"/>
    <tableColumn id="12" xr3:uid="{9009E3FA-7E66-440B-8322-B21CABA2331A}" name="Sucessoras" dataDxfId="169"/>
    <tableColumn id="13" xr3:uid="{C7C3C6C5-3B91-4553-B55E-5043671B1608}" name="Início da Linha de Base" dataDxfId="168"/>
    <tableColumn id="14" xr3:uid="{D94FA1D9-EB49-40E7-B3E9-19C6BA4F16D0}" name="Término da linha de base" dataDxfId="167"/>
    <tableColumn id="15" xr3:uid="{D94D0BA9-9778-4E75-A733-B0683113CB47}" name="Nomes dos recursos" dataDxfId="166"/>
    <tableColumn id="16" xr3:uid="{2BE54A7C-6C77-467A-AB3B-E01FBAC9AA6F}" name="Sprint" dataDxfId="165"/>
    <tableColumn id="17" xr3:uid="{2FE455DE-BCCF-4523-AE8B-356C2024B443}" name="Crítica" dataDxfId="164"/>
    <tableColumn id="18" xr3:uid="{0EE8C3DD-3896-4EE0-8DB8-D919B13B1B26}" name="Disciplina" dataDxfId="163"/>
    <tableColumn id="19" xr3:uid="{EF2B80CF-6C76-44E1-B479-30382FAD9E85}" name="Início_LB_R0" dataDxfId="162"/>
    <tableColumn id="20" xr3:uid="{32F680D4-C2AE-49B2-8F2F-1661A1161630}" name="Término_LB_R0" dataDxfId="161"/>
    <tableColumn id="21" xr3:uid="{C29B8FB2-0230-4802-86D9-E80012DC7E01}" name="Comparação" dataDxfId="160"/>
    <tableColumn id="22" xr3:uid="{F5607BAB-72A7-4428-990A-2235B771DF3F}" name="Unnamed: 20" dataDxfId="159"/>
    <tableColumn id="23" xr3:uid="{4AC4342A-1C6A-4C52-A481-CC7CA2BF3616}" name="Concat_Plan" dataDxfId="158"/>
    <tableColumn id="24" xr3:uid="{1984A8EA-D54D-464A-8784-A420B71772EB}" name="Nome do Resumo da Tarefa.1" dataDxfId="157"/>
    <tableColumn id="25" xr3:uid="{CB30A910-F384-44AE-9C90-DA8B254AA736}" name="Nome da Tarefa.1" dataDxfId="156"/>
    <tableColumn id="26" xr3:uid="{7FD55513-BC51-4E97-AE6E-47928621F123}" name="Concat_Proj" dataDxfId="155"/>
    <tableColumn id="27" xr3:uid="{544660B4-1CAE-4802-9CFA-8E38BC3FBF9C}" name="Unnamed: 25" dataDxfId="154"/>
    <tableColumn id="28" xr3:uid="{899CADC5-1AD1-4600-8B8E-E23C9E4C3236}" name="pct_val" dataDxfId="153"/>
    <tableColumn id="29" xr3:uid="{0683CB72-08DB-4F0A-8817-CD9C3067F7AF}" name="Emissão inicial total" dataDxfId="152"/>
    <tableColumn id="30" xr3:uid="{EEF1D82E-917B-459B-BB75-1FF2AB3DFC3E}" name="Emissão inicial concluída" dataDxfId="151"/>
    <tableColumn id="31" xr3:uid="{71F8CF35-8844-4C23-8287-E8A5A756FE36}" name="Emissão Inicial Atrasada" dataDxfId="150"/>
    <tableColumn id="32" xr3:uid="{B2AB7779-E1FA-45F9-BD89-53D21029EA9A}" name="Aprovação total" dataDxfId="149"/>
    <tableColumn id="33" xr3:uid="{48E7C172-C5C5-4314-9171-691183107320}" name="Avaliação do cliente concluída" dataDxfId="148"/>
    <tableColumn id="34" xr3:uid="{05A738DA-4CBF-48B5-9E03-82F6A1005822}" name="Avaliação Cliente Atrasada" dataDxfId="147"/>
    <tableColumn id="35" xr3:uid="{982FD0AB-4D93-456F-80C3-9C9F93315DD4}" name="Atendimento de comentário concluído" dataDxfId="146"/>
    <tableColumn id="36" xr3:uid="{12E13E43-655D-40F5-90B4-9AE7C2226C48}" name="Atendimento Atrasado" dataDxfId="145"/>
    <tableColumn id="37" xr3:uid="{C2CFEECD-DCEC-4410-B82F-336EBCEC5C3D}" name="Aprovação concluída" dataDxfId="144"/>
    <tableColumn id="38" xr3:uid="{68490E0A-6AC0-4BE1-9F59-1CBD2EC5BA11}" name="Aprovação Atrasada" dataDxfId="143"/>
    <tableColumn id="39" xr3:uid="{CF7C7E78-2C47-4864-AB31-52FEA19E6413}" name="Aderência" dataDxfId="1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B0968C-A31A-42D4-A380-3DA473BE3954}" name="Tabela2" displayName="Tabela2" ref="A3:H16" totalsRowCount="1" headerRowDxfId="141" dataDxfId="140">
  <autoFilter ref="A3:H15" xr:uid="{84B0968C-A31A-42D4-A380-3DA473BE3954}"/>
  <tableColumns count="8">
    <tableColumn id="1" xr3:uid="{861B695E-1D12-48BD-BFD0-E0DC451ECA07}" name="Disciplina" totalsRowLabel="TOTAL" dataDxfId="139" totalsRowDxfId="138"/>
    <tableColumn id="2" xr3:uid="{4BFD7C3E-0A5D-40A0-BE58-AC32D5D00823}" name="Emissão inicial total" totalsRowFunction="sum" dataDxfId="137" totalsRowDxfId="136"/>
    <tableColumn id="3" xr3:uid="{4D5D4787-1998-4653-9AA0-8E3C0125457F}" name="Emissão inicial concluída" totalsRowFunction="sum" dataDxfId="135" totalsRowDxfId="134"/>
    <tableColumn id="4" xr3:uid="{DCD5F97A-60B6-4A1E-A1FF-045A73D8713C}" name="%EI" totalsRowFunction="sum" dataDxfId="133" totalsRowDxfId="132"/>
    <tableColumn id="5" xr3:uid="{5996CF27-FCFF-428D-AC13-211B41732706}" name="Avaliação do cliente concluída" totalsRowFunction="sum" dataDxfId="131" totalsRowDxfId="130"/>
    <tableColumn id="6" xr3:uid="{33341372-5C52-425B-AAE1-656A70933E70}" name="Atendimento de comentário concluído" totalsRowFunction="sum" dataDxfId="129" totalsRowDxfId="128"/>
    <tableColumn id="7" xr3:uid="{A24FF0FF-9345-4F1C-AFCD-A4D153BC01A7}" name="Aprovação concluída" totalsRowFunction="sum" dataDxfId="127" totalsRowDxfId="126"/>
    <tableColumn id="8" xr3:uid="{80171182-5BA9-4BC7-B8D5-A5248E129467}" name="%AP" totalsRowFunction="sum" dataDxfId="125" totalsRowDxfId="1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39C954-4F77-4A68-93F4-74C3494BA555}" name="Tabela3" displayName="Tabela3" ref="A21:E34" totalsRowCount="1" headerRowDxfId="123" dataDxfId="122">
  <autoFilter ref="A21:E33" xr:uid="{8839C954-4F77-4A68-93F4-74C3494BA555}"/>
  <tableColumns count="5">
    <tableColumn id="1" xr3:uid="{4864AF31-4472-473E-BF1D-96126919EF3F}" name="Disciplina" totalsRowLabel="TOTAL" dataDxfId="121" totalsRowDxfId="120"/>
    <tableColumn id="2" xr3:uid="{743E7C98-F0EC-41BC-8872-03720406AF22}" name="Emissão Inicial Atrasada" totalsRowFunction="sum" dataDxfId="119" totalsRowDxfId="118"/>
    <tableColumn id="3" xr3:uid="{B47568E3-3A2D-4FC5-83B2-43C8B1F9EF22}" name="Avaliação Cliente Atrasada" totalsRowFunction="sum" dataDxfId="117" totalsRowDxfId="116"/>
    <tableColumn id="4" xr3:uid="{4F5CDDC6-5337-408A-AE64-B84F05FF0F35}" name="Atendimento Atrasado" totalsRowFunction="sum" dataDxfId="115" totalsRowDxfId="114"/>
    <tableColumn id="5" xr3:uid="{EF606448-DA8E-4659-85A5-7CA64D7C71D4}" name="Aprovação Atrasada" totalsRowFunction="sum" dataDxfId="113" totalsRowDxfId="1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E8AF1F-6760-48A9-9767-660B596CDBCF}" name="Tabela4" displayName="Tabela4" ref="A1:O111" totalsRowShown="0" headerRowDxfId="111" dataDxfId="110">
  <autoFilter ref="A1:O111" xr:uid="{9EE8AF1F-6760-48A9-9767-660B596CDBCF}"/>
  <tableColumns count="15">
    <tableColumn id="1" xr3:uid="{F9E80A3A-C691-41FD-A55A-BCE1A7CCFECB}" name="Data" dataDxfId="109"/>
    <tableColumn id="2" xr3:uid="{8DD9A8B5-83F6-4DF1-A33A-53AB208112F8}" name="Emissão prevista na LB" dataDxfId="108"/>
    <tableColumn id="3" xr3:uid="{88F5B21E-C649-40B3-BB2B-8B30870CC579}" name="Emissão prevista na LB acumulada" dataDxfId="107"/>
    <tableColumn id="4" xr3:uid="{C6DC5C2F-9B70-439C-85FE-C222570368D1}" name="Emissão realizada por dia" dataDxfId="106"/>
    <tableColumn id="5" xr3:uid="{E665C88C-FA2B-4737-BCC4-2FAC57A7CA37}" name="Emissão realizada acumulada" dataDxfId="105"/>
    <tableColumn id="6" xr3:uid="{8306038A-5C35-4642-A2B4-9F6A33C2287D}" name="Aprovação prevista na LB" dataDxfId="104"/>
    <tableColumn id="7" xr3:uid="{27AE59E7-126C-415F-BC40-8AB59CABE562}" name="Aprovação realizada por dia" dataDxfId="103"/>
    <tableColumn id="8" xr3:uid="{52459892-3F81-4780-8F93-115CE1B7E563}" name="Aprovação prevista na LB acumulada" dataDxfId="102"/>
    <tableColumn id="9" xr3:uid="{8532D179-72DD-48EF-9B1D-2752959C6B14}" name="Aprovação realizada acumulada" dataDxfId="101"/>
    <tableColumn id="10" xr3:uid="{17F084B0-A29F-49B8-AABC-F026288656C1}" name="Avanço da EI previsto na LB" dataDxfId="100" dataCellStyle="Porcentagem"/>
    <tableColumn id="11" xr3:uid="{101D6475-8153-4A94-9D80-CEB05C6E39BC}" name="Avanço real da EI na LB" dataDxfId="99" dataCellStyle="Porcentagem"/>
    <tableColumn id="12" xr3:uid="{5BFCA355-C8BC-4745-BCEA-E6CC384FDF4F}" name="COMP_EI" dataDxfId="98"/>
    <tableColumn id="13" xr3:uid="{2811E5DF-E8E8-460E-8511-805F87872CB4}" name="Avanço da AP previsto na LB" dataDxfId="97" dataCellStyle="Porcentagem"/>
    <tableColumn id="14" xr3:uid="{502996EA-9A25-446D-A9CF-E4CBC97338DB}" name="Avanço da AP real na LB" dataDxfId="96" dataCellStyle="Porcentagem"/>
    <tableColumn id="15" xr3:uid="{AA7F86A3-5EE1-4A89-87CF-1E6F0C9EE96E}" name="COMP_AP" dataDxfId="9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B81FB4-2A52-426F-8578-F3316BECF092}" name="Tabela5" displayName="Tabela5" ref="A1:AM116" totalsRowShown="0" headerRowDxfId="94" dataDxfId="93">
  <autoFilter ref="A1:AM116" xr:uid="{8AB81FB4-2A52-426F-8578-F3316BECF092}">
    <filterColumn colId="3">
      <filters>
        <filter val="emissão inicial"/>
      </filters>
    </filterColumn>
  </autoFilter>
  <tableColumns count="39">
    <tableColumn id="1" xr3:uid="{37362D6F-753E-421C-A3FC-876086600B81}" name="Id" dataDxfId="92"/>
    <tableColumn id="2" xr3:uid="{09F18DDF-908E-49AC-B8A1-EC0B0F01C1B0}" name="EDT" dataDxfId="91"/>
    <tableColumn id="3" xr3:uid="{6E600A38-1FB5-4813-9E07-172AB083C59C}" name="Nome do Resumo da Tarefa" dataDxfId="90"/>
    <tableColumn id="4" xr3:uid="{74A2733F-7FD1-4E32-A13B-B633C343E39C}" name="Nome da Tarefa" dataDxfId="89"/>
    <tableColumn id="5" xr3:uid="{0761D671-D260-44E1-9B0C-B4473C01258D}" name="Duração" dataDxfId="88"/>
    <tableColumn id="6" xr3:uid="{78E3614C-D4E7-49F8-AB7D-55EF724A1E17}" name="Início" dataDxfId="87"/>
    <tableColumn id="7" xr3:uid="{24FA75DF-ADF9-488E-B869-8E47541779C8}" name="Término" dataDxfId="86"/>
    <tableColumn id="8" xr3:uid="{4B5B58B3-C2EF-4909-AC35-A33EDC56C24F}" name="% concluída" dataDxfId="85"/>
    <tableColumn id="9" xr3:uid="{DFD03F3A-6260-4A33-9B35-E79A8AF48054}" name="Término real" dataDxfId="84"/>
    <tableColumn id="10" xr3:uid="{21ED904E-3009-48CE-9C0A-5644E938B11C}" name="Status" dataDxfId="83"/>
    <tableColumn id="11" xr3:uid="{BE93F327-8FE3-4390-B978-76A1BC988E57}" name="Predecessoras" dataDxfId="82"/>
    <tableColumn id="12" xr3:uid="{1565110E-CA1E-4C08-AEB4-C5AE5796D1C3}" name="Sucessoras" dataDxfId="81"/>
    <tableColumn id="13" xr3:uid="{CB380DCE-78D2-46BD-9817-4C1EF0917C20}" name="Início da Linha de Base" dataDxfId="80"/>
    <tableColumn id="14" xr3:uid="{AFB7035A-5B48-4E1B-87A5-B002AE5D7B11}" name="Término da linha de base" dataDxfId="79"/>
    <tableColumn id="15" xr3:uid="{73087AC4-BE7A-4F40-8FC4-BD074DCE8033}" name="Nomes dos recursos" dataDxfId="78"/>
    <tableColumn id="16" xr3:uid="{C139E40C-33B5-4096-B66A-0653BAC28436}" name="Sprint" dataDxfId="77"/>
    <tableColumn id="17" xr3:uid="{D557F424-8374-486C-8E4A-B8E8C42AA79D}" name="Crítica" dataDxfId="76"/>
    <tableColumn id="18" xr3:uid="{5F94C5CB-D832-4890-8E30-CC4CF85934FA}" name="Disciplina" dataDxfId="75"/>
    <tableColumn id="19" xr3:uid="{C7249F12-DBB4-4218-8A63-B273865D1CCD}" name="Início_LB_R0" dataDxfId="74"/>
    <tableColumn id="20" xr3:uid="{A9FB45FB-684C-44FC-ADA1-10FA1A5AD14A}" name="Término_LB_R0" dataDxfId="73"/>
    <tableColumn id="21" xr3:uid="{D333C681-73EB-46CD-B9E5-995F3D089F06}" name="Comparação" dataDxfId="72"/>
    <tableColumn id="22" xr3:uid="{FDC7BB21-4FAC-4B16-B850-BFAF8973FDB0}" name="Unnamed: 20" dataDxfId="71"/>
    <tableColumn id="23" xr3:uid="{1B5E5DB4-47D7-4FAB-BE10-6B6C2A9B4186}" name="Concat_Plan" dataDxfId="70"/>
    <tableColumn id="24" xr3:uid="{E7BDC7F8-C685-424F-BE9B-8D63E29F508B}" name="Nome do Resumo da Tarefa.1" dataDxfId="69"/>
    <tableColumn id="25" xr3:uid="{E0236BD8-AE72-4FFB-9BD0-B9C58B9DAE5A}" name="Nome da Tarefa.1" dataDxfId="68"/>
    <tableColumn id="26" xr3:uid="{CB11B11D-62D5-4ACF-AD95-340158956EED}" name="Concat_Proj" dataDxfId="67"/>
    <tableColumn id="27" xr3:uid="{75EC42E2-F1B6-4C48-B53C-647392E7755B}" name="Unnamed: 25" dataDxfId="66"/>
    <tableColumn id="28" xr3:uid="{A468CABC-6017-4991-B519-ECBF11D997BF}" name="pct_val" dataDxfId="65"/>
    <tableColumn id="29" xr3:uid="{9B9D4A40-DE09-4F56-989D-ECABFEE65387}" name="Emissão inicial total" dataDxfId="64"/>
    <tableColumn id="30" xr3:uid="{8E3767A3-7A2B-4CCC-9D58-393ED1705744}" name="Emissão inicial concluída" dataDxfId="63"/>
    <tableColumn id="31" xr3:uid="{66E33CA3-7A57-40FA-A796-B9EE4EC90A15}" name="Emissão Inicial Atrasada" dataDxfId="62"/>
    <tableColumn id="32" xr3:uid="{22012AFE-8D37-4308-BA1F-821EC629C306}" name="Aprovação total" dataDxfId="61"/>
    <tableColumn id="33" xr3:uid="{2A75E7F3-2891-4885-865E-63A1DBBF8826}" name="Avaliação do cliente concluída" dataDxfId="60"/>
    <tableColumn id="34" xr3:uid="{F651917A-7F9D-4AB3-9FD3-224237083D4F}" name="Avaliação Cliente Atrasada" dataDxfId="59"/>
    <tableColumn id="35" xr3:uid="{6E2D559D-78B8-467E-A595-352DAEAA9D70}" name="Atendimento de comentário concluído" dataDxfId="58"/>
    <tableColumn id="36" xr3:uid="{FC7D629D-205E-439A-BAC0-F398465A77EF}" name="Atendimento Atrasado" dataDxfId="57"/>
    <tableColumn id="37" xr3:uid="{28FC4542-B1AD-4DD5-92A4-5481D39F54DB}" name="Aprovação concluída" dataDxfId="56"/>
    <tableColumn id="38" xr3:uid="{52F2C488-EFD3-4CC6-ADFB-04380B582552}" name="Aprovação Atrasada" dataDxfId="55"/>
    <tableColumn id="39" xr3:uid="{BB0ADC34-D31C-43F8-82FD-CDBD6CDD1A72}" name="Aderência" dataDxfId="5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E046274-C975-47B5-B07E-98F923DA51F9}" name="Tabela6" displayName="Tabela6" ref="A1:AM253" totalsRowShown="0" headerRowDxfId="53" dataDxfId="52">
  <autoFilter ref="A1:AM253" xr:uid="{EE046274-C975-47B5-B07E-98F923DA51F9}">
    <filterColumn colId="3">
      <filters>
        <filter val="emissão inicial"/>
      </filters>
    </filterColumn>
  </autoFilter>
  <tableColumns count="39">
    <tableColumn id="1" xr3:uid="{9D9A5F40-561E-4557-92C8-FEA885100821}" name="Id" dataDxfId="51"/>
    <tableColumn id="2" xr3:uid="{6D0A3BD4-3DAB-4BA3-BFFC-EB1426B202CE}" name="EDT" dataDxfId="50"/>
    <tableColumn id="3" xr3:uid="{02E183A4-164B-402E-915B-A09EA5241FF5}" name="Nome do Resumo da Tarefa" dataDxfId="49"/>
    <tableColumn id="4" xr3:uid="{28A338A3-F675-4AB5-9D83-CDCD87838E5C}" name="Nome da Tarefa" dataDxfId="48"/>
    <tableColumn id="5" xr3:uid="{C9FE3972-8AAF-4114-B114-3A3036C83D65}" name="Duração" dataDxfId="47"/>
    <tableColumn id="6" xr3:uid="{2F69F97F-E72E-435F-B6F5-4332BBC708A8}" name="Início" dataDxfId="46"/>
    <tableColumn id="7" xr3:uid="{CEB44777-DD8C-4EE4-B7D4-2F73C2D70D59}" name="Término" dataDxfId="45"/>
    <tableColumn id="8" xr3:uid="{AEE0AF9F-277A-46DF-AB61-91730D39F4D3}" name="% concluída" dataDxfId="44" dataCellStyle="Porcentagem"/>
    <tableColumn id="9" xr3:uid="{06CBBB66-1000-4DAE-9454-F0AE0868FC66}" name="Término real" dataDxfId="43"/>
    <tableColumn id="10" xr3:uid="{ED1914C7-1F33-46ED-91EA-58ADD2E25CE4}" name="Status" dataDxfId="42"/>
    <tableColumn id="11" xr3:uid="{DB27BA72-8A00-4CA4-A98C-3F94051CB717}" name="Predecessoras" dataDxfId="41"/>
    <tableColumn id="12" xr3:uid="{F97A107A-714B-4F9E-A629-8B6E7540E5E1}" name="Sucessoras" dataDxfId="40"/>
    <tableColumn id="13" xr3:uid="{8A1C0EB3-8D12-4C7B-84CE-4862C2F6505B}" name="Início da Linha de Base" dataDxfId="39"/>
    <tableColumn id="14" xr3:uid="{E3C044ED-FFAC-433D-A8A6-1B347872D4BC}" name="Término da linha de base" dataDxfId="38"/>
    <tableColumn id="15" xr3:uid="{715FF1BC-2E30-4402-98B8-6AD4E028809A}" name="Nomes dos recursos" dataDxfId="37"/>
    <tableColumn id="16" xr3:uid="{7416349D-D725-4944-87F2-9EA8E6AA3FAD}" name="Sprint" dataDxfId="36"/>
    <tableColumn id="17" xr3:uid="{CA98C17F-87CD-4C05-A08A-4A12EA882746}" name="Crítica" dataDxfId="35"/>
    <tableColumn id="18" xr3:uid="{6DC77503-DB7F-42D2-8270-C4CD8077A289}" name="Disciplina" dataDxfId="34"/>
    <tableColumn id="19" xr3:uid="{917FDE26-7282-44D8-ACC9-EF2CF9D344A3}" name="Início_LB_R0" dataDxfId="33"/>
    <tableColumn id="20" xr3:uid="{5E6D60BA-BB1A-435D-A0DF-93B131B5DF39}" name="Término_LB_R0" dataDxfId="32"/>
    <tableColumn id="21" xr3:uid="{79583386-B2F6-40D1-BC0C-56C7B6D2FFA0}" name="Comparação" dataDxfId="31"/>
    <tableColumn id="22" xr3:uid="{C6840B58-1892-4F98-8161-E9E9B500D1D2}" name="Unnamed: 20" dataDxfId="30"/>
    <tableColumn id="23" xr3:uid="{D596A7EE-DE81-4E2D-8A1E-BE4E42700D32}" name="Concat_Plan" dataDxfId="29"/>
    <tableColumn id="24" xr3:uid="{9A88B5C8-8B29-4E76-A3DB-5FCB65ED9353}" name="Nome do Resumo da Tarefa.1" dataDxfId="28"/>
    <tableColumn id="25" xr3:uid="{2105F95A-F776-4B00-A5F2-87772BD799EE}" name="Nome da Tarefa.1" dataDxfId="27"/>
    <tableColumn id="26" xr3:uid="{0D2071FA-1021-4AE2-9AC1-410F7971C931}" name="Concat_Proj" dataDxfId="26"/>
    <tableColumn id="27" xr3:uid="{BEA201EB-A41A-426C-8D83-CA1EE68B8C27}" name="Unnamed: 25" dataDxfId="25"/>
    <tableColumn id="28" xr3:uid="{60BC7715-E023-4E37-AEA2-D1AF79CA26A1}" name="pct_val" dataDxfId="24"/>
    <tableColumn id="29" xr3:uid="{C62BB762-BBCD-4AA4-BC88-727948A4AA3F}" name="Emissão inicial total" dataDxfId="23"/>
    <tableColumn id="30" xr3:uid="{F4FB82FA-517C-409D-8282-27C2FFF16641}" name="Emissão inicial concluída" dataDxfId="22"/>
    <tableColumn id="31" xr3:uid="{9DAB03E9-8F55-4A8D-8B40-15DBBFE242DA}" name="Emissão Inicial Atrasada" dataDxfId="21"/>
    <tableColumn id="32" xr3:uid="{A4157C62-9165-4C11-93BA-600DCE0BAD45}" name="Aprovação total" dataDxfId="20"/>
    <tableColumn id="33" xr3:uid="{F094A559-B347-49BF-B919-FF266B0C42AE}" name="Avaliação do cliente concluída" dataDxfId="19"/>
    <tableColumn id="34" xr3:uid="{78A24DAE-3C89-49F0-BD46-4C680432182A}" name="Avaliação Cliente Atrasada" dataDxfId="18"/>
    <tableColumn id="35" xr3:uid="{453AE645-C0D3-48B1-85D7-693AAA54BBB8}" name="Atendimento de comentário concluído" dataDxfId="17"/>
    <tableColumn id="36" xr3:uid="{DF447EE3-FCB7-4986-9FD8-E91F3C924500}" name="Atendimento Atrasado" dataDxfId="16"/>
    <tableColumn id="37" xr3:uid="{B9B1298C-3770-4CDC-B876-A7C3D77F9DC7}" name="Aprovação concluída" dataDxfId="15"/>
    <tableColumn id="38" xr3:uid="{44A9084D-D6AA-43EE-BF88-7CA6BCBCBE3A}" name="Aprovação Atrasada" dataDxfId="14"/>
    <tableColumn id="39" xr3:uid="{B7CEB3D3-391E-4530-B8A6-A8FE7BD2858F}" name="Aderência" dataDxfId="1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2B54A6-7EF7-46EF-BE97-15B6BE5A49AD}" name="Tabela7" displayName="Tabela7" ref="A1:K296" totalsRowShown="0" headerRowDxfId="12" dataDxfId="11">
  <autoFilter ref="A1:K296" xr:uid="{D52B54A6-7EF7-46EF-BE97-15B6BE5A49AD}">
    <filterColumn colId="4">
      <filters>
        <filter val="emissão inicial"/>
      </filters>
    </filterColumn>
    <filterColumn colId="6">
      <filters>
        <filter val="100%"/>
      </filters>
    </filterColumn>
  </autoFilter>
  <tableColumns count="11">
    <tableColumn id="1" xr3:uid="{679F9957-2DCA-4369-9554-605EEADCBF1D}" name="Sprint" dataDxfId="10"/>
    <tableColumn id="2" xr3:uid="{505CFAE6-A001-4E86-AC6F-AC17388D52C3}" name="Id" dataDxfId="9"/>
    <tableColumn id="3" xr3:uid="{F5BC10B8-60E4-4F15-93E5-902C99DFCD7A}" name="EDT" dataDxfId="8"/>
    <tableColumn id="4" xr3:uid="{4D259A3D-970E-4C40-870F-29303445235C}" name="Nome do Resumo da Tarefa" dataDxfId="7"/>
    <tableColumn id="5" xr3:uid="{FA091E1D-4669-4F85-B356-73AFF7A7BFB5}" name="Nome da Tarefa" dataDxfId="6"/>
    <tableColumn id="6" xr3:uid="{E5B2B3E3-62F3-431E-8257-A05F633C5CCC}" name="Status" dataDxfId="5"/>
    <tableColumn id="7" xr3:uid="{4CD21216-FF27-4E33-8F81-E2ADBFA1EE7D}" name="% concluída" dataDxfId="4"/>
    <tableColumn id="8" xr3:uid="{AD3EA04E-B800-498B-A41A-4874A7885B85}" name="Nomes dos recursos" dataDxfId="3"/>
    <tableColumn id="9" xr3:uid="{60544169-EFDC-41E3-8F39-C80B856F66BD}" name="Disciplina" dataDxfId="2"/>
    <tableColumn id="10" xr3:uid="{7E2DC700-5535-4E3B-9BD3-B78032F3F5D5}" name="Crítica" dataDxfId="1"/>
    <tableColumn id="11" xr3:uid="{40922888-E9C6-42D5-A47C-D7F45E25DCCD}" name="Coluna1" dataDxfId="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D0B5A9-6DC3-4308-929D-E6F97B9922D6}" name="Tabela8" displayName="Tabela8" ref="A1:K64" totalsRowShown="0" headerRowDxfId="195" dataDxfId="194">
  <autoFilter ref="A1:K64" xr:uid="{69D0B5A9-6DC3-4308-929D-E6F97B9922D6}">
    <filterColumn colId="4">
      <filters>
        <filter val="emissão inicial"/>
      </filters>
    </filterColumn>
  </autoFilter>
  <tableColumns count="11">
    <tableColumn id="1" xr3:uid="{E05898BA-A640-4DA3-9E46-80C53648C653}" name="Sprint" dataDxfId="193"/>
    <tableColumn id="2" xr3:uid="{9A812B3F-1DC4-4DAA-9304-9D51E97E22F3}" name="Id" dataDxfId="192"/>
    <tableColumn id="3" xr3:uid="{2C95DC33-BA5E-44BB-A6FC-E93289C606FC}" name="EDT" dataDxfId="191"/>
    <tableColumn id="4" xr3:uid="{836A7F2E-4A92-4ABB-8A99-DF616A86383F}" name="Nome do Resumo da Tarefa" dataDxfId="190"/>
    <tableColumn id="5" xr3:uid="{4FD2FD82-7B9A-4085-873E-A96C941D5DE3}" name="Nome da Tarefa" dataDxfId="189"/>
    <tableColumn id="6" xr3:uid="{83BACD3C-5628-42E9-B540-5207D70ED823}" name="Status" dataDxfId="188"/>
    <tableColumn id="7" xr3:uid="{FF1493EC-7073-47DD-B0B2-BADF27793AD9}" name="% concluída" dataDxfId="187"/>
    <tableColumn id="8" xr3:uid="{8E491047-59AB-408C-9FD1-C4F205E2C691}" name="Nomes dos recursos" dataDxfId="186"/>
    <tableColumn id="9" xr3:uid="{89CF3887-D00E-4D41-A9E0-A596032032E4}" name="Disciplina" dataDxfId="185"/>
    <tableColumn id="10" xr3:uid="{6DF3246A-09F5-4DC3-B0C0-BE8781059CA0}" name="Crítica" dataDxfId="184"/>
    <tableColumn id="11" xr3:uid="{21E5740E-9E4E-4279-9EAC-E152D762F91E}" name="Coluna1" dataDxfId="18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29"/>
  <sheetViews>
    <sheetView topLeftCell="A95" zoomScale="85" zoomScaleNormal="85" workbookViewId="0">
      <selection activeCell="H10" sqref="H10"/>
    </sheetView>
  </sheetViews>
  <sheetFormatPr defaultRowHeight="15" x14ac:dyDescent="0.25"/>
  <cols>
    <col min="1" max="1" width="8" style="1" bestFit="1" customWidth="1"/>
    <col min="2" max="2" width="10.28515625" style="1" bestFit="1" customWidth="1"/>
    <col min="3" max="3" width="30.42578125" style="1" bestFit="1" customWidth="1"/>
    <col min="4" max="4" width="39.140625" style="1" bestFit="1" customWidth="1"/>
    <col min="5" max="5" width="13.42578125" style="1" bestFit="1" customWidth="1"/>
    <col min="6" max="7" width="18.42578125" style="3" bestFit="1" customWidth="1"/>
    <col min="8" max="8" width="16.28515625" style="4" bestFit="1" customWidth="1"/>
    <col min="9" max="9" width="18.42578125" style="3" bestFit="1" customWidth="1"/>
    <col min="10" max="10" width="13.140625" style="1" bestFit="1" customWidth="1"/>
    <col min="11" max="11" width="18.42578125" style="1" bestFit="1" customWidth="1"/>
    <col min="12" max="12" width="115.5703125" style="1" bestFit="1" customWidth="1"/>
    <col min="13" max="13" width="25.7109375" style="1" bestFit="1" customWidth="1"/>
    <col min="14" max="14" width="28.140625" style="1" bestFit="1" customWidth="1"/>
    <col min="15" max="15" width="23.5703125" style="1" bestFit="1" customWidth="1"/>
    <col min="16" max="16" width="15" style="1" bestFit="1" customWidth="1"/>
    <col min="17" max="17" width="11.7109375" style="1" bestFit="1" customWidth="1"/>
    <col min="18" max="18" width="32.140625" style="1" bestFit="1" customWidth="1"/>
    <col min="19" max="19" width="18.42578125" style="1" bestFit="1" customWidth="1"/>
    <col min="20" max="20" width="19.85546875" style="1" bestFit="1" customWidth="1"/>
    <col min="21" max="21" width="16.7109375" style="1" bestFit="1" customWidth="1"/>
    <col min="22" max="22" width="17.5703125" style="1" bestFit="1" customWidth="1"/>
    <col min="23" max="23" width="59.85546875" style="1" bestFit="1" customWidth="1"/>
    <col min="24" max="24" width="32" style="1" bestFit="1" customWidth="1"/>
    <col min="25" max="25" width="36.7109375" style="1" bestFit="1" customWidth="1"/>
    <col min="26" max="26" width="59.85546875" style="1" bestFit="1" customWidth="1"/>
    <col min="27" max="27" width="17.5703125" style="1" bestFit="1" customWidth="1"/>
    <col min="28" max="28" width="12.5703125" style="1" bestFit="1" customWidth="1"/>
    <col min="29" max="29" width="23.5703125" style="1" bestFit="1" customWidth="1"/>
    <col min="30" max="30" width="27.7109375" style="1" bestFit="1" customWidth="1"/>
    <col min="31" max="31" width="27.140625" style="1" bestFit="1" customWidth="1"/>
    <col min="32" max="32" width="19.85546875" style="1" bestFit="1" customWidth="1"/>
    <col min="33" max="33" width="32.7109375" style="1" bestFit="1" customWidth="1"/>
    <col min="34" max="34" width="29.42578125" style="1" bestFit="1" customWidth="1"/>
    <col min="35" max="35" width="40.5703125" style="1" bestFit="1" customWidth="1"/>
    <col min="36" max="36" width="26.140625" style="1" bestFit="1" customWidth="1"/>
    <col min="37" max="37" width="24" style="1" bestFit="1" customWidth="1"/>
    <col min="38" max="38" width="23.5703125" style="1" bestFit="1" customWidth="1"/>
    <col min="39" max="39" width="14.7109375" style="1" bestFit="1" customWidth="1"/>
    <col min="40" max="16384" width="9.140625" style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1">
        <v>1</v>
      </c>
      <c r="B2" s="1">
        <v>1</v>
      </c>
      <c r="D2" s="1" t="s">
        <v>39</v>
      </c>
      <c r="E2" s="1" t="s">
        <v>40</v>
      </c>
      <c r="F2" s="3">
        <v>46139</v>
      </c>
      <c r="G2" s="3">
        <v>46218</v>
      </c>
      <c r="H2" s="4">
        <v>0.57999999999999996</v>
      </c>
      <c r="J2" s="1" t="s">
        <v>41</v>
      </c>
      <c r="M2" s="1" t="s">
        <v>42</v>
      </c>
      <c r="N2" s="2">
        <v>46211</v>
      </c>
      <c r="P2" s="1" t="s">
        <v>43</v>
      </c>
      <c r="Q2" s="1" t="s">
        <v>44</v>
      </c>
      <c r="R2" s="1" t="s">
        <v>45</v>
      </c>
      <c r="S2" s="2">
        <v>46139</v>
      </c>
      <c r="T2" s="2">
        <v>46210</v>
      </c>
      <c r="AB2" s="1">
        <v>0.57999999999999996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</row>
    <row r="3" spans="1:39" x14ac:dyDescent="0.25">
      <c r="A3" s="1">
        <v>2</v>
      </c>
      <c r="B3" s="1" t="s">
        <v>46</v>
      </c>
      <c r="C3" s="1" t="s">
        <v>47</v>
      </c>
      <c r="D3" s="1" t="s">
        <v>48</v>
      </c>
      <c r="E3" s="1" t="s">
        <v>40</v>
      </c>
      <c r="F3" s="3">
        <v>46139</v>
      </c>
      <c r="G3" s="3">
        <v>46218</v>
      </c>
      <c r="H3" s="4">
        <v>0.57999999999999996</v>
      </c>
      <c r="J3" s="1" t="s">
        <v>41</v>
      </c>
      <c r="M3" s="1" t="s">
        <v>42</v>
      </c>
      <c r="N3" s="2">
        <v>46211</v>
      </c>
      <c r="P3" s="1" t="s">
        <v>43</v>
      </c>
      <c r="Q3" s="1" t="s">
        <v>44</v>
      </c>
      <c r="R3" s="1" t="s">
        <v>45</v>
      </c>
      <c r="S3" s="2">
        <v>46139</v>
      </c>
      <c r="T3" s="2">
        <v>46210</v>
      </c>
      <c r="AB3" s="1">
        <v>0.57999999999999996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</row>
    <row r="4" spans="1:39" x14ac:dyDescent="0.25">
      <c r="A4" s="1">
        <v>3</v>
      </c>
      <c r="B4" s="1" t="s">
        <v>49</v>
      </c>
      <c r="C4" s="1" t="s">
        <v>50</v>
      </c>
      <c r="D4" s="1" t="s">
        <v>51</v>
      </c>
      <c r="E4" s="1" t="s">
        <v>52</v>
      </c>
      <c r="F4" s="3">
        <v>46139</v>
      </c>
      <c r="G4" s="3">
        <v>46139</v>
      </c>
      <c r="H4" s="4">
        <v>1</v>
      </c>
      <c r="I4" s="3">
        <v>46139</v>
      </c>
      <c r="J4" s="1" t="s">
        <v>53</v>
      </c>
      <c r="L4" s="1" t="s">
        <v>54</v>
      </c>
      <c r="M4" s="1" t="s">
        <v>42</v>
      </c>
      <c r="N4" s="2">
        <v>46139</v>
      </c>
      <c r="P4" s="1" t="s">
        <v>43</v>
      </c>
      <c r="Q4" s="1" t="s">
        <v>55</v>
      </c>
      <c r="R4" s="1" t="s">
        <v>45</v>
      </c>
      <c r="S4" s="2">
        <v>46139</v>
      </c>
      <c r="T4" s="2">
        <v>46139</v>
      </c>
      <c r="AB4" s="1">
        <v>1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</row>
    <row r="5" spans="1:39" x14ac:dyDescent="0.25">
      <c r="A5" s="1">
        <v>4</v>
      </c>
      <c r="B5" s="1" t="s">
        <v>56</v>
      </c>
      <c r="C5" s="1" t="s">
        <v>50</v>
      </c>
      <c r="D5" s="1" t="s">
        <v>57</v>
      </c>
      <c r="E5" s="1" t="s">
        <v>58</v>
      </c>
      <c r="F5" s="3">
        <v>46161</v>
      </c>
      <c r="G5" s="3">
        <v>46216</v>
      </c>
      <c r="H5" s="4">
        <v>0.78</v>
      </c>
      <c r="J5" s="1" t="s">
        <v>41</v>
      </c>
      <c r="M5" s="1" t="s">
        <v>59</v>
      </c>
      <c r="N5" s="2">
        <v>46178</v>
      </c>
      <c r="P5" s="1" t="s">
        <v>60</v>
      </c>
      <c r="Q5" s="1" t="s">
        <v>44</v>
      </c>
      <c r="R5" s="1" t="s">
        <v>61</v>
      </c>
      <c r="S5" s="2">
        <v>46161</v>
      </c>
      <c r="T5" s="2">
        <v>46178</v>
      </c>
      <c r="AB5" s="1">
        <v>0.78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</row>
    <row r="6" spans="1:39" x14ac:dyDescent="0.25">
      <c r="A6" s="1">
        <v>5</v>
      </c>
      <c r="B6" s="1" t="s">
        <v>62</v>
      </c>
      <c r="C6" s="1" t="s">
        <v>63</v>
      </c>
      <c r="D6" s="1" t="s">
        <v>64</v>
      </c>
      <c r="E6" s="1" t="s">
        <v>52</v>
      </c>
      <c r="F6" s="3">
        <v>46203</v>
      </c>
      <c r="G6" s="3">
        <v>46203</v>
      </c>
      <c r="H6" s="4">
        <v>0.7</v>
      </c>
      <c r="J6" s="1" t="s">
        <v>41</v>
      </c>
      <c r="L6" s="1" t="s">
        <v>65</v>
      </c>
      <c r="M6" s="1" t="s">
        <v>66</v>
      </c>
      <c r="N6" s="2">
        <v>46178</v>
      </c>
      <c r="P6" s="1" t="s">
        <v>67</v>
      </c>
      <c r="Q6" s="1" t="s">
        <v>55</v>
      </c>
      <c r="R6" s="1" t="s">
        <v>61</v>
      </c>
      <c r="S6" s="2">
        <v>46178</v>
      </c>
      <c r="T6" s="2">
        <v>46178</v>
      </c>
      <c r="AB6" s="1">
        <v>0.7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</row>
    <row r="7" spans="1:39" x14ac:dyDescent="0.25">
      <c r="A7" s="1">
        <v>6</v>
      </c>
      <c r="B7" s="1" t="s">
        <v>68</v>
      </c>
      <c r="C7" s="1" t="s">
        <v>63</v>
      </c>
      <c r="D7" s="1" t="s">
        <v>69</v>
      </c>
      <c r="E7" s="1" t="s">
        <v>52</v>
      </c>
      <c r="F7" s="3">
        <v>46161</v>
      </c>
      <c r="G7" s="3">
        <v>46161</v>
      </c>
      <c r="H7" s="4">
        <v>1</v>
      </c>
      <c r="I7" s="3">
        <v>46161</v>
      </c>
      <c r="J7" s="1" t="s">
        <v>53</v>
      </c>
      <c r="L7" s="1" t="s">
        <v>70</v>
      </c>
      <c r="M7" s="1" t="s">
        <v>59</v>
      </c>
      <c r="N7" s="2">
        <v>46161</v>
      </c>
      <c r="P7" s="1" t="s">
        <v>60</v>
      </c>
      <c r="Q7" s="1" t="s">
        <v>55</v>
      </c>
      <c r="R7" s="1" t="s">
        <v>61</v>
      </c>
      <c r="S7" s="2">
        <v>46161</v>
      </c>
      <c r="T7" s="2">
        <v>46161</v>
      </c>
      <c r="AB7" s="1">
        <v>1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</row>
    <row r="8" spans="1:39" x14ac:dyDescent="0.25">
      <c r="A8" s="1">
        <v>7</v>
      </c>
      <c r="B8" s="1" t="s">
        <v>71</v>
      </c>
      <c r="C8" s="1" t="s">
        <v>63</v>
      </c>
      <c r="D8" s="1" t="s">
        <v>72</v>
      </c>
      <c r="E8" s="1" t="s">
        <v>52</v>
      </c>
      <c r="F8" s="3">
        <v>46188</v>
      </c>
      <c r="G8" s="3">
        <v>46188</v>
      </c>
      <c r="H8" s="4">
        <v>1</v>
      </c>
      <c r="I8" s="3">
        <v>46188</v>
      </c>
      <c r="J8" s="1" t="s">
        <v>53</v>
      </c>
      <c r="L8" s="1">
        <v>297</v>
      </c>
      <c r="M8" s="1" t="s">
        <v>66</v>
      </c>
      <c r="N8" s="2">
        <v>46178</v>
      </c>
      <c r="P8" s="1" t="s">
        <v>73</v>
      </c>
      <c r="Q8" s="1" t="s">
        <v>55</v>
      </c>
      <c r="R8" s="1" t="s">
        <v>61</v>
      </c>
      <c r="S8" s="2">
        <v>46178</v>
      </c>
      <c r="T8" s="2">
        <v>46178</v>
      </c>
      <c r="AB8" s="1">
        <v>1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</row>
    <row r="9" spans="1:39" x14ac:dyDescent="0.25">
      <c r="A9" s="1">
        <v>8</v>
      </c>
      <c r="B9" s="1" t="s">
        <v>74</v>
      </c>
      <c r="C9" s="1" t="s">
        <v>63</v>
      </c>
      <c r="D9" s="1" t="s">
        <v>75</v>
      </c>
      <c r="E9" s="1" t="s">
        <v>52</v>
      </c>
      <c r="F9" s="3">
        <v>46182</v>
      </c>
      <c r="G9" s="3">
        <v>46182</v>
      </c>
      <c r="H9" s="4">
        <v>1</v>
      </c>
      <c r="I9" s="3">
        <v>46182</v>
      </c>
      <c r="J9" s="1" t="s">
        <v>53</v>
      </c>
      <c r="L9" s="1">
        <v>408</v>
      </c>
      <c r="M9" s="1" t="s">
        <v>66</v>
      </c>
      <c r="N9" s="2">
        <v>46178</v>
      </c>
      <c r="P9" s="1" t="s">
        <v>76</v>
      </c>
      <c r="Q9" s="1" t="s">
        <v>55</v>
      </c>
      <c r="R9" s="1" t="s">
        <v>61</v>
      </c>
      <c r="S9" s="2">
        <v>46178</v>
      </c>
      <c r="T9" s="2">
        <v>46178</v>
      </c>
      <c r="U9" s="1" t="s">
        <v>77</v>
      </c>
      <c r="AB9" s="1">
        <v>1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</row>
    <row r="10" spans="1:39" x14ac:dyDescent="0.25">
      <c r="A10" s="1">
        <v>9</v>
      </c>
      <c r="B10" s="1" t="s">
        <v>78</v>
      </c>
      <c r="C10" s="1" t="s">
        <v>63</v>
      </c>
      <c r="D10" s="1" t="s">
        <v>79</v>
      </c>
      <c r="E10" s="1" t="s">
        <v>52</v>
      </c>
      <c r="F10" s="3">
        <v>46164</v>
      </c>
      <c r="G10" s="3">
        <v>46164</v>
      </c>
      <c r="H10" s="4">
        <v>1</v>
      </c>
      <c r="I10" s="3">
        <v>46164</v>
      </c>
      <c r="J10" s="1" t="s">
        <v>53</v>
      </c>
      <c r="L10" s="1">
        <v>150</v>
      </c>
      <c r="M10" s="1" t="s">
        <v>80</v>
      </c>
      <c r="N10" s="2">
        <v>46164</v>
      </c>
      <c r="P10" s="1" t="s">
        <v>60</v>
      </c>
      <c r="Q10" s="1" t="s">
        <v>55</v>
      </c>
      <c r="R10" s="1" t="s">
        <v>61</v>
      </c>
      <c r="S10" s="2">
        <v>46164</v>
      </c>
      <c r="T10" s="2">
        <v>46164</v>
      </c>
      <c r="AB10" s="1">
        <v>1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</row>
    <row r="11" spans="1:39" x14ac:dyDescent="0.25">
      <c r="A11" s="1">
        <v>10</v>
      </c>
      <c r="B11" s="1" t="s">
        <v>81</v>
      </c>
      <c r="C11" s="1" t="s">
        <v>63</v>
      </c>
      <c r="D11" s="1" t="s">
        <v>82</v>
      </c>
      <c r="E11" s="1" t="s">
        <v>52</v>
      </c>
      <c r="F11" s="3">
        <v>46216</v>
      </c>
      <c r="G11" s="3">
        <v>46216</v>
      </c>
      <c r="H11" s="4">
        <v>0</v>
      </c>
      <c r="J11" s="1" t="s">
        <v>83</v>
      </c>
      <c r="L11" s="1">
        <v>240</v>
      </c>
      <c r="M11" s="1" t="s">
        <v>66</v>
      </c>
      <c r="N11" s="2">
        <v>46178</v>
      </c>
      <c r="P11" s="1" t="s">
        <v>43</v>
      </c>
      <c r="Q11" s="1" t="s">
        <v>55</v>
      </c>
      <c r="R11" s="1" t="s">
        <v>61</v>
      </c>
      <c r="S11" s="2">
        <v>46178</v>
      </c>
      <c r="T11" s="2">
        <v>46178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</row>
    <row r="12" spans="1:39" x14ac:dyDescent="0.25">
      <c r="A12" s="1">
        <v>11</v>
      </c>
      <c r="B12" s="1" t="s">
        <v>84</v>
      </c>
      <c r="C12" s="1" t="s">
        <v>50</v>
      </c>
      <c r="D12" s="1" t="s">
        <v>85</v>
      </c>
      <c r="E12" s="1" t="s">
        <v>86</v>
      </c>
      <c r="F12" s="3">
        <v>46141</v>
      </c>
      <c r="G12" s="3">
        <v>46141</v>
      </c>
      <c r="H12" s="4">
        <v>1</v>
      </c>
      <c r="I12" s="3">
        <v>46141</v>
      </c>
      <c r="J12" s="1" t="s">
        <v>53</v>
      </c>
      <c r="M12" s="1" t="s">
        <v>87</v>
      </c>
      <c r="N12" s="2">
        <v>46141</v>
      </c>
      <c r="P12" s="1" t="s">
        <v>43</v>
      </c>
      <c r="Q12" s="1" t="s">
        <v>55</v>
      </c>
      <c r="R12" s="1" t="s">
        <v>88</v>
      </c>
      <c r="S12" s="2">
        <v>46141</v>
      </c>
      <c r="T12" s="2">
        <v>46141</v>
      </c>
      <c r="AB12" s="1">
        <v>1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</row>
    <row r="13" spans="1:39" x14ac:dyDescent="0.25">
      <c r="A13" s="1">
        <v>12</v>
      </c>
      <c r="B13" s="1" t="s">
        <v>89</v>
      </c>
      <c r="C13" s="1" t="s">
        <v>90</v>
      </c>
      <c r="D13" s="1" t="s">
        <v>91</v>
      </c>
      <c r="E13" s="1" t="s">
        <v>52</v>
      </c>
      <c r="F13" s="3">
        <v>46141</v>
      </c>
      <c r="G13" s="3">
        <v>46141</v>
      </c>
      <c r="H13" s="4">
        <v>1</v>
      </c>
      <c r="I13" s="3">
        <v>46141</v>
      </c>
      <c r="J13" s="1" t="s">
        <v>53</v>
      </c>
      <c r="M13" s="1" t="s">
        <v>87</v>
      </c>
      <c r="N13" s="2">
        <v>46141</v>
      </c>
      <c r="P13" s="1" t="s">
        <v>43</v>
      </c>
      <c r="Q13" s="1" t="s">
        <v>55</v>
      </c>
      <c r="R13" s="1" t="s">
        <v>88</v>
      </c>
      <c r="S13" s="2">
        <v>46141</v>
      </c>
      <c r="T13" s="2">
        <v>46141</v>
      </c>
      <c r="AB13" s="1">
        <v>1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</row>
    <row r="14" spans="1:39" x14ac:dyDescent="0.25">
      <c r="A14" s="1">
        <v>13</v>
      </c>
      <c r="B14" s="1" t="s">
        <v>92</v>
      </c>
      <c r="C14" s="1" t="s">
        <v>50</v>
      </c>
      <c r="D14" s="1" t="s">
        <v>93</v>
      </c>
      <c r="E14" s="1" t="s">
        <v>94</v>
      </c>
      <c r="F14" s="3">
        <v>46139</v>
      </c>
      <c r="G14" s="3">
        <v>46175</v>
      </c>
      <c r="H14" s="4">
        <v>1</v>
      </c>
      <c r="I14" s="3">
        <v>46175</v>
      </c>
      <c r="J14" s="1" t="s">
        <v>53</v>
      </c>
      <c r="M14" s="1" t="s">
        <v>42</v>
      </c>
      <c r="N14" s="2">
        <v>46174</v>
      </c>
      <c r="P14" s="1" t="s">
        <v>43</v>
      </c>
      <c r="Q14" s="1" t="s">
        <v>55</v>
      </c>
      <c r="R14" s="1" t="s">
        <v>95</v>
      </c>
      <c r="S14" s="2">
        <v>46139</v>
      </c>
      <c r="T14" s="2">
        <v>46160</v>
      </c>
      <c r="AB14" s="1">
        <v>1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</row>
    <row r="15" spans="1:39" x14ac:dyDescent="0.25">
      <c r="A15" s="1">
        <v>14</v>
      </c>
      <c r="B15" s="1" t="s">
        <v>96</v>
      </c>
      <c r="C15" s="1" t="s">
        <v>97</v>
      </c>
      <c r="D15" s="1" t="s">
        <v>98</v>
      </c>
      <c r="E15" s="1" t="s">
        <v>94</v>
      </c>
      <c r="F15" s="3">
        <v>46139</v>
      </c>
      <c r="G15" s="3">
        <v>46175</v>
      </c>
      <c r="H15" s="4">
        <v>1</v>
      </c>
      <c r="I15" s="3">
        <v>46175</v>
      </c>
      <c r="J15" s="1" t="s">
        <v>53</v>
      </c>
      <c r="M15" s="1" t="s">
        <v>42</v>
      </c>
      <c r="N15" s="2">
        <v>46174</v>
      </c>
      <c r="P15" s="1" t="s">
        <v>43</v>
      </c>
      <c r="Q15" s="1" t="s">
        <v>55</v>
      </c>
      <c r="R15" s="1" t="s">
        <v>95</v>
      </c>
      <c r="S15" s="2">
        <v>46139</v>
      </c>
      <c r="T15" s="2">
        <v>46155</v>
      </c>
      <c r="AB15" s="1">
        <v>1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</row>
    <row r="16" spans="1:39" x14ac:dyDescent="0.25">
      <c r="A16" s="1">
        <v>15</v>
      </c>
      <c r="B16" s="1" t="s">
        <v>99</v>
      </c>
      <c r="C16" s="1" t="s">
        <v>100</v>
      </c>
      <c r="D16" s="1" t="s">
        <v>101</v>
      </c>
      <c r="E16" s="1" t="s">
        <v>102</v>
      </c>
      <c r="F16" s="3">
        <v>46139</v>
      </c>
      <c r="G16" s="3">
        <v>46141</v>
      </c>
      <c r="H16" s="4">
        <v>1</v>
      </c>
      <c r="I16" s="3">
        <v>46141</v>
      </c>
      <c r="J16" s="1" t="s">
        <v>53</v>
      </c>
      <c r="K16" s="1">
        <v>3</v>
      </c>
      <c r="L16" s="1" t="s">
        <v>103</v>
      </c>
      <c r="M16" s="1" t="s">
        <v>42</v>
      </c>
      <c r="N16" s="2">
        <v>46141</v>
      </c>
      <c r="P16" s="1" t="s">
        <v>43</v>
      </c>
      <c r="Q16" s="1" t="s">
        <v>55</v>
      </c>
      <c r="R16" s="1" t="s">
        <v>95</v>
      </c>
      <c r="S16" s="2">
        <v>46139</v>
      </c>
      <c r="AB16" s="1">
        <v>1</v>
      </c>
      <c r="AC16" s="1">
        <v>1</v>
      </c>
      <c r="AD16" s="1">
        <v>1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</row>
    <row r="17" spans="1:39" x14ac:dyDescent="0.25">
      <c r="A17" s="1">
        <v>16</v>
      </c>
      <c r="B17" s="1" t="s">
        <v>104</v>
      </c>
      <c r="C17" s="1" t="s">
        <v>100</v>
      </c>
      <c r="D17" s="1" t="s">
        <v>105</v>
      </c>
      <c r="E17" s="1" t="s">
        <v>52</v>
      </c>
      <c r="F17" s="3">
        <v>46142</v>
      </c>
      <c r="G17" s="3">
        <v>46142</v>
      </c>
      <c r="H17" s="4">
        <v>1</v>
      </c>
      <c r="I17" s="3">
        <v>46142</v>
      </c>
      <c r="J17" s="1" t="s">
        <v>53</v>
      </c>
      <c r="K17" s="1">
        <v>15</v>
      </c>
      <c r="L17" s="1" t="s">
        <v>106</v>
      </c>
      <c r="M17" s="1" t="s">
        <v>107</v>
      </c>
      <c r="N17" s="2">
        <v>46142</v>
      </c>
      <c r="P17" s="1" t="s">
        <v>43</v>
      </c>
      <c r="Q17" s="1" t="s">
        <v>55</v>
      </c>
      <c r="R17" s="1" t="s">
        <v>95</v>
      </c>
      <c r="S17" s="2">
        <v>46142</v>
      </c>
      <c r="T17" s="2">
        <v>46142</v>
      </c>
      <c r="AB17" s="1">
        <v>1</v>
      </c>
      <c r="AC17" s="1">
        <v>0</v>
      </c>
      <c r="AD17" s="1">
        <v>0</v>
      </c>
      <c r="AE17" s="1">
        <v>0</v>
      </c>
      <c r="AF17" s="1">
        <v>0</v>
      </c>
      <c r="AG17" s="1">
        <v>1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</row>
    <row r="18" spans="1:39" x14ac:dyDescent="0.25">
      <c r="A18" s="1">
        <v>17</v>
      </c>
      <c r="B18" s="1" t="s">
        <v>108</v>
      </c>
      <c r="C18" s="1" t="s">
        <v>100</v>
      </c>
      <c r="D18" s="1" t="s">
        <v>109</v>
      </c>
      <c r="E18" s="1" t="s">
        <v>110</v>
      </c>
      <c r="F18" s="3">
        <v>46143</v>
      </c>
      <c r="G18" s="3">
        <v>46154</v>
      </c>
      <c r="H18" s="4">
        <v>1</v>
      </c>
      <c r="I18" s="3">
        <v>46154</v>
      </c>
      <c r="J18" s="1" t="s">
        <v>53</v>
      </c>
      <c r="K18" s="1" t="s">
        <v>111</v>
      </c>
      <c r="L18" s="1" t="s">
        <v>112</v>
      </c>
      <c r="M18" s="1" t="s">
        <v>113</v>
      </c>
      <c r="N18" s="2">
        <v>46154</v>
      </c>
      <c r="P18" s="1" t="s">
        <v>43</v>
      </c>
      <c r="Q18" s="1" t="s">
        <v>55</v>
      </c>
      <c r="R18" s="1" t="s">
        <v>95</v>
      </c>
      <c r="S18" s="2">
        <v>46143</v>
      </c>
      <c r="T18" s="2">
        <v>46154</v>
      </c>
      <c r="AB18" s="1">
        <v>1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1</v>
      </c>
      <c r="AJ18" s="1">
        <v>0</v>
      </c>
      <c r="AK18" s="1">
        <v>0</v>
      </c>
      <c r="AL18" s="1">
        <v>0</v>
      </c>
      <c r="AM18" s="1">
        <v>0</v>
      </c>
    </row>
    <row r="19" spans="1:39" x14ac:dyDescent="0.25">
      <c r="A19" s="1">
        <v>18</v>
      </c>
      <c r="B19" s="1" t="s">
        <v>114</v>
      </c>
      <c r="C19" s="1" t="s">
        <v>100</v>
      </c>
      <c r="D19" s="1" t="s">
        <v>115</v>
      </c>
      <c r="E19" s="1" t="s">
        <v>116</v>
      </c>
      <c r="F19" s="3">
        <v>46174</v>
      </c>
      <c r="G19" s="3">
        <v>46175</v>
      </c>
      <c r="H19" s="4">
        <v>1</v>
      </c>
      <c r="I19" s="3">
        <v>46175</v>
      </c>
      <c r="J19" s="1" t="s">
        <v>53</v>
      </c>
      <c r="K19" s="1" t="s">
        <v>117</v>
      </c>
      <c r="M19" s="1" t="s">
        <v>118</v>
      </c>
      <c r="N19" s="2">
        <v>46174</v>
      </c>
      <c r="P19" s="1" t="s">
        <v>119</v>
      </c>
      <c r="Q19" s="1" t="s">
        <v>55</v>
      </c>
      <c r="R19" s="1" t="s">
        <v>95</v>
      </c>
      <c r="S19" s="2">
        <v>46154</v>
      </c>
      <c r="T19" s="2">
        <v>46155</v>
      </c>
      <c r="AB19" s="1">
        <v>1</v>
      </c>
      <c r="AC19" s="1">
        <v>0</v>
      </c>
      <c r="AD19" s="1">
        <v>0</v>
      </c>
      <c r="AE19" s="1">
        <v>0</v>
      </c>
      <c r="AF19" s="1">
        <v>1</v>
      </c>
      <c r="AG19" s="1">
        <v>0</v>
      </c>
      <c r="AH19" s="1">
        <v>0</v>
      </c>
      <c r="AI19" s="1">
        <v>0</v>
      </c>
      <c r="AJ19" s="1">
        <v>0</v>
      </c>
      <c r="AK19" s="1">
        <v>1</v>
      </c>
      <c r="AL19" s="1">
        <v>0</v>
      </c>
      <c r="AM19" s="1">
        <v>0</v>
      </c>
    </row>
    <row r="20" spans="1:39" x14ac:dyDescent="0.25">
      <c r="A20" s="1">
        <v>19</v>
      </c>
      <c r="B20" s="1" t="s">
        <v>120</v>
      </c>
      <c r="C20" s="1" t="s">
        <v>97</v>
      </c>
      <c r="D20" s="1" t="s">
        <v>121</v>
      </c>
      <c r="E20" s="1" t="s">
        <v>122</v>
      </c>
      <c r="F20" s="3">
        <v>46142</v>
      </c>
      <c r="G20" s="3">
        <v>46174</v>
      </c>
      <c r="H20" s="4">
        <v>1</v>
      </c>
      <c r="I20" s="3">
        <v>46174</v>
      </c>
      <c r="J20" s="1" t="s">
        <v>53</v>
      </c>
      <c r="M20" s="1" t="s">
        <v>107</v>
      </c>
      <c r="N20" s="2">
        <v>46171</v>
      </c>
      <c r="P20" s="1" t="s">
        <v>43</v>
      </c>
      <c r="Q20" s="1" t="s">
        <v>55</v>
      </c>
      <c r="R20" s="1" t="s">
        <v>95</v>
      </c>
      <c r="S20" s="2">
        <v>46142</v>
      </c>
      <c r="T20" s="2">
        <v>46160</v>
      </c>
      <c r="AB20" s="1">
        <v>1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</row>
    <row r="21" spans="1:39" x14ac:dyDescent="0.25">
      <c r="A21" s="1">
        <v>20</v>
      </c>
      <c r="B21" s="1" t="s">
        <v>123</v>
      </c>
      <c r="C21" s="1" t="s">
        <v>124</v>
      </c>
      <c r="D21" s="1" t="s">
        <v>101</v>
      </c>
      <c r="E21" s="1" t="s">
        <v>102</v>
      </c>
      <c r="F21" s="3">
        <v>46142</v>
      </c>
      <c r="G21" s="3">
        <v>46146</v>
      </c>
      <c r="H21" s="4">
        <v>1</v>
      </c>
      <c r="I21" s="3">
        <v>46146</v>
      </c>
      <c r="J21" s="1" t="s">
        <v>53</v>
      </c>
      <c r="K21" s="1">
        <v>15</v>
      </c>
      <c r="L21" s="1" t="s">
        <v>125</v>
      </c>
      <c r="M21" s="1" t="s">
        <v>107</v>
      </c>
      <c r="N21" s="2">
        <v>46146</v>
      </c>
      <c r="P21" s="1" t="s">
        <v>43</v>
      </c>
      <c r="Q21" s="1" t="s">
        <v>55</v>
      </c>
      <c r="R21" s="1" t="s">
        <v>95</v>
      </c>
      <c r="S21" s="2">
        <v>46142</v>
      </c>
      <c r="T21" s="2">
        <v>46146</v>
      </c>
      <c r="AB21" s="1">
        <v>1</v>
      </c>
      <c r="AC21" s="1">
        <v>1</v>
      </c>
      <c r="AD21" s="1">
        <v>1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1</v>
      </c>
    </row>
    <row r="22" spans="1:39" x14ac:dyDescent="0.25">
      <c r="A22" s="1">
        <v>21</v>
      </c>
      <c r="B22" s="1" t="s">
        <v>126</v>
      </c>
      <c r="C22" s="1" t="s">
        <v>124</v>
      </c>
      <c r="D22" s="1" t="s">
        <v>105</v>
      </c>
      <c r="E22" s="1" t="s">
        <v>52</v>
      </c>
      <c r="F22" s="3">
        <v>46147</v>
      </c>
      <c r="G22" s="3">
        <v>46147</v>
      </c>
      <c r="H22" s="4">
        <v>1</v>
      </c>
      <c r="I22" s="3">
        <v>46147</v>
      </c>
      <c r="J22" s="1" t="s">
        <v>53</v>
      </c>
      <c r="K22" s="1">
        <v>20</v>
      </c>
      <c r="L22" s="1" t="s">
        <v>127</v>
      </c>
      <c r="M22" s="1" t="s">
        <v>128</v>
      </c>
      <c r="N22" s="2">
        <v>46147</v>
      </c>
      <c r="P22" s="1" t="s">
        <v>43</v>
      </c>
      <c r="Q22" s="1" t="s">
        <v>55</v>
      </c>
      <c r="R22" s="1" t="s">
        <v>95</v>
      </c>
      <c r="S22" s="2">
        <v>46147</v>
      </c>
      <c r="T22" s="2">
        <v>46147</v>
      </c>
      <c r="AB22" s="1">
        <v>1</v>
      </c>
      <c r="AC22" s="1">
        <v>0</v>
      </c>
      <c r="AD22" s="1">
        <v>0</v>
      </c>
      <c r="AE22" s="1">
        <v>0</v>
      </c>
      <c r="AF22" s="1">
        <v>0</v>
      </c>
      <c r="AG22" s="1">
        <v>1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</row>
    <row r="23" spans="1:39" x14ac:dyDescent="0.25">
      <c r="A23" s="1">
        <v>22</v>
      </c>
      <c r="B23" s="1" t="s">
        <v>129</v>
      </c>
      <c r="C23" s="1" t="s">
        <v>124</v>
      </c>
      <c r="D23" s="1" t="s">
        <v>109</v>
      </c>
      <c r="E23" s="1" t="s">
        <v>110</v>
      </c>
      <c r="F23" s="3">
        <v>46148</v>
      </c>
      <c r="G23" s="3">
        <v>46157</v>
      </c>
      <c r="H23" s="4">
        <v>1</v>
      </c>
      <c r="I23" s="3">
        <v>46157</v>
      </c>
      <c r="J23" s="1" t="s">
        <v>53</v>
      </c>
      <c r="K23" s="1" t="s">
        <v>130</v>
      </c>
      <c r="L23" s="1" t="s">
        <v>131</v>
      </c>
      <c r="M23" s="1" t="s">
        <v>132</v>
      </c>
      <c r="N23" s="2">
        <v>46157</v>
      </c>
      <c r="P23" s="1" t="s">
        <v>43</v>
      </c>
      <c r="Q23" s="1" t="s">
        <v>55</v>
      </c>
      <c r="R23" s="1" t="s">
        <v>95</v>
      </c>
      <c r="S23" s="2">
        <v>46148</v>
      </c>
      <c r="T23" s="2">
        <v>46157</v>
      </c>
      <c r="AB23" s="1">
        <v>1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1</v>
      </c>
      <c r="AJ23" s="1">
        <v>0</v>
      </c>
      <c r="AK23" s="1">
        <v>0</v>
      </c>
      <c r="AL23" s="1">
        <v>0</v>
      </c>
      <c r="AM23" s="1">
        <v>0</v>
      </c>
    </row>
    <row r="24" spans="1:39" x14ac:dyDescent="0.25">
      <c r="A24" s="1">
        <v>23</v>
      </c>
      <c r="B24" s="1" t="s">
        <v>133</v>
      </c>
      <c r="C24" s="1" t="s">
        <v>124</v>
      </c>
      <c r="D24" s="1" t="s">
        <v>115</v>
      </c>
      <c r="E24" s="1" t="s">
        <v>116</v>
      </c>
      <c r="F24" s="3">
        <v>46171</v>
      </c>
      <c r="G24" s="3">
        <v>46174</v>
      </c>
      <c r="H24" s="4">
        <v>1</v>
      </c>
      <c r="I24" s="3">
        <v>46174</v>
      </c>
      <c r="J24" s="1" t="s">
        <v>53</v>
      </c>
      <c r="K24" s="1" t="s">
        <v>134</v>
      </c>
      <c r="M24" s="1" t="s">
        <v>135</v>
      </c>
      <c r="N24" s="2">
        <v>46171</v>
      </c>
      <c r="P24" s="1" t="s">
        <v>136</v>
      </c>
      <c r="Q24" s="1" t="s">
        <v>55</v>
      </c>
      <c r="R24" s="1" t="s">
        <v>95</v>
      </c>
      <c r="S24" s="2">
        <v>46157</v>
      </c>
      <c r="T24" s="2">
        <v>46160</v>
      </c>
      <c r="AB24" s="1">
        <v>1</v>
      </c>
      <c r="AC24" s="1">
        <v>0</v>
      </c>
      <c r="AD24" s="1">
        <v>0</v>
      </c>
      <c r="AE24" s="1">
        <v>0</v>
      </c>
      <c r="AF24" s="1">
        <v>1</v>
      </c>
      <c r="AG24" s="1">
        <v>0</v>
      </c>
      <c r="AH24" s="1">
        <v>0</v>
      </c>
      <c r="AI24" s="1">
        <v>0</v>
      </c>
      <c r="AJ24" s="1">
        <v>0</v>
      </c>
      <c r="AK24" s="1">
        <v>1</v>
      </c>
      <c r="AL24" s="1">
        <v>0</v>
      </c>
      <c r="AM24" s="1">
        <v>0</v>
      </c>
    </row>
    <row r="25" spans="1:39" x14ac:dyDescent="0.25">
      <c r="A25" s="1">
        <v>24</v>
      </c>
      <c r="B25" s="1" t="s">
        <v>137</v>
      </c>
      <c r="C25" s="1" t="s">
        <v>50</v>
      </c>
      <c r="D25" s="1" t="s">
        <v>138</v>
      </c>
      <c r="E25" s="1" t="s">
        <v>139</v>
      </c>
      <c r="F25" s="3">
        <v>46139</v>
      </c>
      <c r="G25" s="3">
        <v>46206</v>
      </c>
      <c r="H25" s="4">
        <v>0.41</v>
      </c>
      <c r="J25" s="1" t="s">
        <v>41</v>
      </c>
      <c r="M25" s="1" t="s">
        <v>42</v>
      </c>
      <c r="N25" s="2">
        <v>46210</v>
      </c>
      <c r="P25" s="1" t="s">
        <v>43</v>
      </c>
      <c r="Q25" s="1" t="s">
        <v>55</v>
      </c>
      <c r="R25" s="1" t="s">
        <v>140</v>
      </c>
      <c r="S25" s="2">
        <v>46139</v>
      </c>
      <c r="T25" s="2">
        <v>46204</v>
      </c>
      <c r="AB25" s="1">
        <v>0.41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</row>
    <row r="26" spans="1:39" x14ac:dyDescent="0.25">
      <c r="A26" s="1">
        <v>25</v>
      </c>
      <c r="B26" s="1" t="s">
        <v>141</v>
      </c>
      <c r="C26" s="1" t="s">
        <v>142</v>
      </c>
      <c r="D26" s="1" t="s">
        <v>143</v>
      </c>
      <c r="E26" s="1" t="s">
        <v>144</v>
      </c>
      <c r="F26" s="3">
        <v>46197</v>
      </c>
      <c r="G26" s="3">
        <v>46204</v>
      </c>
      <c r="H26" s="4">
        <v>0.38</v>
      </c>
      <c r="J26" s="1" t="s">
        <v>41</v>
      </c>
      <c r="M26" s="1" t="s">
        <v>145</v>
      </c>
      <c r="N26" s="2">
        <v>46182</v>
      </c>
      <c r="P26" s="1" t="s">
        <v>146</v>
      </c>
      <c r="Q26" s="1" t="s">
        <v>55</v>
      </c>
      <c r="R26" s="1" t="s">
        <v>140</v>
      </c>
      <c r="S26" s="2">
        <v>46167</v>
      </c>
      <c r="T26" s="2">
        <v>46175</v>
      </c>
      <c r="AB26" s="1">
        <v>0.38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</row>
    <row r="27" spans="1:39" x14ac:dyDescent="0.25">
      <c r="A27" s="1">
        <v>26</v>
      </c>
      <c r="B27" s="1" t="s">
        <v>147</v>
      </c>
      <c r="C27" s="1" t="s">
        <v>148</v>
      </c>
      <c r="D27" s="1" t="s">
        <v>101</v>
      </c>
      <c r="E27" s="1" t="s">
        <v>102</v>
      </c>
      <c r="F27" s="3">
        <v>46197</v>
      </c>
      <c r="G27" s="3">
        <v>46199</v>
      </c>
      <c r="H27" s="4">
        <v>0.75</v>
      </c>
      <c r="J27" s="1" t="s">
        <v>41</v>
      </c>
      <c r="K27" s="1" t="s">
        <v>149</v>
      </c>
      <c r="L27" s="1" t="s">
        <v>150</v>
      </c>
      <c r="M27" s="1" t="s">
        <v>145</v>
      </c>
      <c r="N27" s="2">
        <v>46176</v>
      </c>
      <c r="P27" s="1" t="s">
        <v>146</v>
      </c>
      <c r="Q27" s="1" t="s">
        <v>55</v>
      </c>
      <c r="R27" s="1" t="s">
        <v>140</v>
      </c>
      <c r="S27" s="2">
        <v>46167</v>
      </c>
      <c r="T27" s="2">
        <v>46169</v>
      </c>
      <c r="AB27" s="1">
        <v>0.75</v>
      </c>
      <c r="AC27" s="1">
        <v>1</v>
      </c>
      <c r="AD27" s="1">
        <v>0</v>
      </c>
      <c r="AE27" s="1">
        <v>1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</row>
    <row r="28" spans="1:39" x14ac:dyDescent="0.25">
      <c r="A28" s="1">
        <v>27</v>
      </c>
      <c r="B28" s="1" t="s">
        <v>151</v>
      </c>
      <c r="C28" s="1" t="s">
        <v>148</v>
      </c>
      <c r="D28" s="1" t="s">
        <v>105</v>
      </c>
      <c r="E28" s="1" t="s">
        <v>52</v>
      </c>
      <c r="F28" s="3">
        <v>46202</v>
      </c>
      <c r="G28" s="3">
        <v>46202</v>
      </c>
      <c r="H28" s="4">
        <v>0</v>
      </c>
      <c r="J28" s="1" t="s">
        <v>41</v>
      </c>
      <c r="K28" s="1">
        <v>26</v>
      </c>
      <c r="L28" s="1" t="s">
        <v>152</v>
      </c>
      <c r="M28" s="1" t="s">
        <v>153</v>
      </c>
      <c r="N28" s="2">
        <v>46177</v>
      </c>
      <c r="P28" s="1" t="s">
        <v>67</v>
      </c>
      <c r="Q28" s="1" t="s">
        <v>55</v>
      </c>
      <c r="R28" s="1" t="s">
        <v>140</v>
      </c>
      <c r="S28" s="2">
        <v>46170</v>
      </c>
      <c r="T28" s="2">
        <v>46170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1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</row>
    <row r="29" spans="1:39" x14ac:dyDescent="0.25">
      <c r="A29" s="1">
        <v>28</v>
      </c>
      <c r="B29" s="1" t="s">
        <v>154</v>
      </c>
      <c r="C29" s="1" t="s">
        <v>148</v>
      </c>
      <c r="D29" s="1" t="s">
        <v>109</v>
      </c>
      <c r="E29" s="1" t="s">
        <v>52</v>
      </c>
      <c r="F29" s="3">
        <v>46203</v>
      </c>
      <c r="G29" s="3">
        <v>46203</v>
      </c>
      <c r="H29" s="4">
        <v>0</v>
      </c>
      <c r="J29" s="1" t="s">
        <v>41</v>
      </c>
      <c r="K29" s="1">
        <v>27</v>
      </c>
      <c r="L29" s="1">
        <v>29</v>
      </c>
      <c r="M29" s="1" t="s">
        <v>66</v>
      </c>
      <c r="N29" s="2">
        <v>46181</v>
      </c>
      <c r="P29" s="1" t="s">
        <v>67</v>
      </c>
      <c r="Q29" s="1" t="s">
        <v>55</v>
      </c>
      <c r="R29" s="1" t="s">
        <v>140</v>
      </c>
      <c r="S29" s="2">
        <v>46171</v>
      </c>
      <c r="T29" s="2">
        <v>46174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1</v>
      </c>
      <c r="AK29" s="1">
        <v>0</v>
      </c>
      <c r="AL29" s="1">
        <v>0</v>
      </c>
      <c r="AM29" s="1">
        <v>0</v>
      </c>
    </row>
    <row r="30" spans="1:39" x14ac:dyDescent="0.25">
      <c r="A30" s="1">
        <v>29</v>
      </c>
      <c r="B30" s="1" t="s">
        <v>155</v>
      </c>
      <c r="C30" s="1" t="s">
        <v>148</v>
      </c>
      <c r="D30" s="1" t="s">
        <v>115</v>
      </c>
      <c r="E30" s="1" t="s">
        <v>52</v>
      </c>
      <c r="F30" s="3">
        <v>46204</v>
      </c>
      <c r="G30" s="3">
        <v>46204</v>
      </c>
      <c r="H30" s="4">
        <v>0</v>
      </c>
      <c r="J30" s="1" t="s">
        <v>41</v>
      </c>
      <c r="K30" s="1">
        <v>28</v>
      </c>
      <c r="M30" s="1" t="s">
        <v>156</v>
      </c>
      <c r="N30" s="2">
        <v>46182</v>
      </c>
      <c r="P30" s="1" t="s">
        <v>67</v>
      </c>
      <c r="Q30" s="1" t="s">
        <v>55</v>
      </c>
      <c r="R30" s="1" t="s">
        <v>140</v>
      </c>
      <c r="S30" s="2">
        <v>46175</v>
      </c>
      <c r="T30" s="2">
        <v>46175</v>
      </c>
      <c r="AB30" s="1">
        <v>0</v>
      </c>
      <c r="AC30" s="1">
        <v>0</v>
      </c>
      <c r="AD30" s="1">
        <v>0</v>
      </c>
      <c r="AE30" s="1">
        <v>0</v>
      </c>
      <c r="AF30" s="1">
        <v>1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1</v>
      </c>
      <c r="AM30" s="1">
        <v>0</v>
      </c>
    </row>
    <row r="31" spans="1:39" x14ac:dyDescent="0.25">
      <c r="A31" s="1">
        <v>40</v>
      </c>
      <c r="B31" s="1" t="s">
        <v>157</v>
      </c>
      <c r="C31" s="1" t="s">
        <v>142</v>
      </c>
      <c r="D31" s="1" t="s">
        <v>158</v>
      </c>
      <c r="E31" s="1" t="s">
        <v>159</v>
      </c>
      <c r="F31" s="3">
        <v>46203</v>
      </c>
      <c r="G31" s="3">
        <v>46206</v>
      </c>
      <c r="H31" s="4">
        <v>0.19</v>
      </c>
      <c r="J31" s="1" t="s">
        <v>41</v>
      </c>
      <c r="M31" s="1" t="s">
        <v>160</v>
      </c>
      <c r="N31" s="2">
        <v>46210</v>
      </c>
      <c r="P31" s="1" t="s">
        <v>67</v>
      </c>
      <c r="Q31" s="1" t="s">
        <v>55</v>
      </c>
      <c r="R31" s="1" t="s">
        <v>140</v>
      </c>
      <c r="S31" s="2">
        <v>46196</v>
      </c>
      <c r="T31" s="2">
        <v>46204</v>
      </c>
      <c r="AB31" s="1">
        <v>0.19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</row>
    <row r="32" spans="1:39" x14ac:dyDescent="0.25">
      <c r="A32" s="1">
        <v>41</v>
      </c>
      <c r="B32" s="1" t="s">
        <v>161</v>
      </c>
      <c r="C32" s="1" t="s">
        <v>162</v>
      </c>
      <c r="D32" s="1" t="s">
        <v>101</v>
      </c>
      <c r="E32" s="1" t="s">
        <v>52</v>
      </c>
      <c r="F32" s="3">
        <v>46203</v>
      </c>
      <c r="G32" s="3">
        <v>46203</v>
      </c>
      <c r="H32" s="4">
        <v>0.75</v>
      </c>
      <c r="J32" s="1" t="s">
        <v>41</v>
      </c>
      <c r="K32" s="1">
        <v>27</v>
      </c>
      <c r="L32" s="1">
        <v>42</v>
      </c>
      <c r="M32" s="1" t="s">
        <v>160</v>
      </c>
      <c r="N32" s="2">
        <v>46204</v>
      </c>
      <c r="P32" s="1" t="s">
        <v>67</v>
      </c>
      <c r="Q32" s="1" t="s">
        <v>55</v>
      </c>
      <c r="R32" s="1" t="s">
        <v>140</v>
      </c>
      <c r="S32" s="2">
        <v>46196</v>
      </c>
      <c r="T32" s="2">
        <v>46198</v>
      </c>
      <c r="AB32" s="1">
        <v>0.75</v>
      </c>
      <c r="AC32" s="1">
        <v>1</v>
      </c>
      <c r="AD32" s="1">
        <v>0</v>
      </c>
      <c r="AE32" s="1">
        <v>1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</row>
    <row r="33" spans="1:39" x14ac:dyDescent="0.25">
      <c r="A33" s="1">
        <v>42</v>
      </c>
      <c r="B33" s="1" t="s">
        <v>163</v>
      </c>
      <c r="C33" s="1" t="s">
        <v>162</v>
      </c>
      <c r="D33" s="1" t="s">
        <v>105</v>
      </c>
      <c r="E33" s="1" t="s">
        <v>52</v>
      </c>
      <c r="F33" s="3">
        <v>46204</v>
      </c>
      <c r="G33" s="3">
        <v>46204</v>
      </c>
      <c r="H33" s="4">
        <v>0</v>
      </c>
      <c r="J33" s="1" t="s">
        <v>41</v>
      </c>
      <c r="K33" s="1">
        <v>41</v>
      </c>
      <c r="L33" s="1">
        <v>43</v>
      </c>
      <c r="M33" s="1" t="s">
        <v>164</v>
      </c>
      <c r="N33" s="2">
        <v>46205</v>
      </c>
      <c r="P33" s="1" t="s">
        <v>67</v>
      </c>
      <c r="Q33" s="1" t="s">
        <v>55</v>
      </c>
      <c r="R33" s="1" t="s">
        <v>140</v>
      </c>
      <c r="S33" s="2">
        <v>46199</v>
      </c>
      <c r="T33" s="2">
        <v>46199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1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</row>
    <row r="34" spans="1:39" x14ac:dyDescent="0.25">
      <c r="A34" s="1">
        <v>43</v>
      </c>
      <c r="B34" s="1" t="s">
        <v>165</v>
      </c>
      <c r="C34" s="1" t="s">
        <v>162</v>
      </c>
      <c r="D34" s="1" t="s">
        <v>109</v>
      </c>
      <c r="E34" s="1" t="s">
        <v>52</v>
      </c>
      <c r="F34" s="3">
        <v>46205</v>
      </c>
      <c r="G34" s="3">
        <v>46205</v>
      </c>
      <c r="H34" s="4">
        <v>0</v>
      </c>
      <c r="J34" s="1" t="s">
        <v>41</v>
      </c>
      <c r="K34" s="1">
        <v>42</v>
      </c>
      <c r="L34" s="1">
        <v>44</v>
      </c>
      <c r="M34" s="1" t="s">
        <v>166</v>
      </c>
      <c r="N34" s="2">
        <v>46209</v>
      </c>
      <c r="P34" s="1" t="s">
        <v>67</v>
      </c>
      <c r="Q34" s="1" t="s">
        <v>55</v>
      </c>
      <c r="R34" s="1" t="s">
        <v>140</v>
      </c>
      <c r="S34" s="2">
        <v>46202</v>
      </c>
      <c r="T34" s="2">
        <v>46203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1</v>
      </c>
      <c r="AK34" s="1">
        <v>0</v>
      </c>
      <c r="AL34" s="1">
        <v>0</v>
      </c>
      <c r="AM34" s="1">
        <v>0</v>
      </c>
    </row>
    <row r="35" spans="1:39" x14ac:dyDescent="0.25">
      <c r="A35" s="1">
        <v>44</v>
      </c>
      <c r="B35" s="1" t="s">
        <v>167</v>
      </c>
      <c r="C35" s="1" t="s">
        <v>162</v>
      </c>
      <c r="D35" s="1" t="s">
        <v>115</v>
      </c>
      <c r="E35" s="1" t="s">
        <v>52</v>
      </c>
      <c r="F35" s="3">
        <v>46206</v>
      </c>
      <c r="G35" s="3">
        <v>46206</v>
      </c>
      <c r="H35" s="4">
        <v>0</v>
      </c>
      <c r="J35" s="1" t="s">
        <v>168</v>
      </c>
      <c r="K35" s="1">
        <v>43</v>
      </c>
      <c r="M35" s="1" t="s">
        <v>169</v>
      </c>
      <c r="N35" s="2">
        <v>46210</v>
      </c>
      <c r="P35" s="1" t="s">
        <v>67</v>
      </c>
      <c r="Q35" s="1" t="s">
        <v>55</v>
      </c>
      <c r="R35" s="1" t="s">
        <v>140</v>
      </c>
      <c r="S35" s="2">
        <v>46204</v>
      </c>
      <c r="T35" s="2">
        <v>46204</v>
      </c>
      <c r="AB35" s="1">
        <v>0</v>
      </c>
      <c r="AC35" s="1">
        <v>0</v>
      </c>
      <c r="AD35" s="1">
        <v>0</v>
      </c>
      <c r="AE35" s="1">
        <v>0</v>
      </c>
      <c r="AF35" s="1">
        <v>1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</row>
    <row r="36" spans="1:39" x14ac:dyDescent="0.25">
      <c r="A36" s="1">
        <v>45</v>
      </c>
      <c r="B36" s="1" t="s">
        <v>170</v>
      </c>
      <c r="C36" s="1" t="s">
        <v>142</v>
      </c>
      <c r="D36" s="1" t="s">
        <v>171</v>
      </c>
      <c r="E36" s="1" t="s">
        <v>172</v>
      </c>
      <c r="F36" s="3">
        <v>46139</v>
      </c>
      <c r="G36" s="3">
        <v>46203</v>
      </c>
      <c r="H36" s="4">
        <v>0.56999999999999995</v>
      </c>
      <c r="J36" s="1" t="s">
        <v>41</v>
      </c>
      <c r="M36" s="1" t="s">
        <v>42</v>
      </c>
      <c r="N36" s="2">
        <v>46203</v>
      </c>
      <c r="P36" s="1" t="s">
        <v>43</v>
      </c>
      <c r="Q36" s="1" t="s">
        <v>55</v>
      </c>
      <c r="R36" s="1" t="s">
        <v>140</v>
      </c>
      <c r="S36" s="2">
        <v>46139</v>
      </c>
      <c r="T36" s="2">
        <v>46203</v>
      </c>
      <c r="AB36" s="1">
        <v>0.56999999999999995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</row>
    <row r="37" spans="1:39" x14ac:dyDescent="0.25">
      <c r="A37" s="1">
        <v>46</v>
      </c>
      <c r="B37" s="1" t="s">
        <v>173</v>
      </c>
      <c r="C37" s="1" t="s">
        <v>174</v>
      </c>
      <c r="D37" s="1" t="s">
        <v>101</v>
      </c>
      <c r="E37" s="1" t="s">
        <v>102</v>
      </c>
      <c r="F37" s="3">
        <v>46139</v>
      </c>
      <c r="G37" s="3">
        <v>46141</v>
      </c>
      <c r="H37" s="4">
        <v>1</v>
      </c>
      <c r="I37" s="3">
        <v>46141</v>
      </c>
      <c r="J37" s="1" t="s">
        <v>53</v>
      </c>
      <c r="K37" s="1">
        <v>3</v>
      </c>
      <c r="L37" s="1" t="s">
        <v>175</v>
      </c>
      <c r="M37" s="1" t="s">
        <v>42</v>
      </c>
      <c r="N37" s="2">
        <v>46141</v>
      </c>
      <c r="P37" s="1" t="s">
        <v>43</v>
      </c>
      <c r="Q37" s="1" t="s">
        <v>55</v>
      </c>
      <c r="R37" s="1" t="s">
        <v>140</v>
      </c>
      <c r="S37" s="2">
        <v>46139</v>
      </c>
      <c r="T37" s="2">
        <v>46141</v>
      </c>
      <c r="AB37" s="1">
        <v>1</v>
      </c>
      <c r="AC37" s="1">
        <v>1</v>
      </c>
      <c r="AD37" s="1">
        <v>1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1</v>
      </c>
    </row>
    <row r="38" spans="1:39" x14ac:dyDescent="0.25">
      <c r="A38" s="1">
        <v>47</v>
      </c>
      <c r="B38" s="1" t="s">
        <v>176</v>
      </c>
      <c r="C38" s="1" t="s">
        <v>174</v>
      </c>
      <c r="D38" s="1" t="s">
        <v>105</v>
      </c>
      <c r="E38" s="1" t="s">
        <v>52</v>
      </c>
      <c r="F38" s="3">
        <v>46191</v>
      </c>
      <c r="G38" s="3">
        <v>46191</v>
      </c>
      <c r="H38" s="4">
        <v>1</v>
      </c>
      <c r="I38" s="3">
        <v>46191</v>
      </c>
      <c r="J38" s="1" t="s">
        <v>53</v>
      </c>
      <c r="K38" s="1" t="s">
        <v>177</v>
      </c>
      <c r="L38" s="1" t="s">
        <v>178</v>
      </c>
      <c r="M38" s="1" t="s">
        <v>179</v>
      </c>
      <c r="N38" s="2">
        <v>46184</v>
      </c>
      <c r="P38" s="1" t="s">
        <v>73</v>
      </c>
      <c r="Q38" s="1" t="s">
        <v>55</v>
      </c>
      <c r="R38" s="1" t="s">
        <v>140</v>
      </c>
      <c r="S38" s="2">
        <v>46184</v>
      </c>
      <c r="T38" s="2">
        <v>46184</v>
      </c>
      <c r="AB38" s="1">
        <v>1</v>
      </c>
      <c r="AC38" s="1">
        <v>0</v>
      </c>
      <c r="AD38" s="1">
        <v>0</v>
      </c>
      <c r="AE38" s="1">
        <v>0</v>
      </c>
      <c r="AF38" s="1">
        <v>0</v>
      </c>
      <c r="AG38" s="1">
        <v>1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</row>
    <row r="39" spans="1:39" x14ac:dyDescent="0.25">
      <c r="A39" s="1">
        <v>48</v>
      </c>
      <c r="B39" s="1" t="s">
        <v>180</v>
      </c>
      <c r="C39" s="1" t="s">
        <v>174</v>
      </c>
      <c r="D39" s="1" t="s">
        <v>109</v>
      </c>
      <c r="E39" s="1" t="s">
        <v>116</v>
      </c>
      <c r="F39" s="3">
        <v>46199</v>
      </c>
      <c r="G39" s="3">
        <v>46202</v>
      </c>
      <c r="H39" s="4">
        <v>0</v>
      </c>
      <c r="J39" s="1" t="s">
        <v>41</v>
      </c>
      <c r="K39" s="1" t="s">
        <v>181</v>
      </c>
      <c r="L39" s="1">
        <v>49</v>
      </c>
      <c r="M39" s="1" t="s">
        <v>182</v>
      </c>
      <c r="N39" s="2">
        <v>46202</v>
      </c>
      <c r="P39" s="1" t="s">
        <v>146</v>
      </c>
      <c r="Q39" s="1" t="s">
        <v>55</v>
      </c>
      <c r="R39" s="1" t="s">
        <v>140</v>
      </c>
      <c r="S39" s="2">
        <v>46199</v>
      </c>
      <c r="T39" s="2">
        <v>46202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1</v>
      </c>
      <c r="AK39" s="1">
        <v>0</v>
      </c>
      <c r="AL39" s="1">
        <v>0</v>
      </c>
      <c r="AM39" s="1">
        <v>0</v>
      </c>
    </row>
    <row r="40" spans="1:39" x14ac:dyDescent="0.25">
      <c r="A40" s="1">
        <v>49</v>
      </c>
      <c r="B40" s="1" t="s">
        <v>183</v>
      </c>
      <c r="C40" s="1" t="s">
        <v>174</v>
      </c>
      <c r="D40" s="1" t="s">
        <v>115</v>
      </c>
      <c r="E40" s="1" t="s">
        <v>52</v>
      </c>
      <c r="F40" s="3">
        <v>46203</v>
      </c>
      <c r="G40" s="3">
        <v>46203</v>
      </c>
      <c r="H40" s="4">
        <v>0</v>
      </c>
      <c r="J40" s="1" t="s">
        <v>41</v>
      </c>
      <c r="K40" s="1">
        <v>48</v>
      </c>
      <c r="M40" s="1" t="s">
        <v>160</v>
      </c>
      <c r="N40" s="2">
        <v>46203</v>
      </c>
      <c r="P40" s="1" t="s">
        <v>67</v>
      </c>
      <c r="Q40" s="1" t="s">
        <v>55</v>
      </c>
      <c r="R40" s="1" t="s">
        <v>140</v>
      </c>
      <c r="S40" s="2">
        <v>46203</v>
      </c>
      <c r="T40" s="2">
        <v>46203</v>
      </c>
      <c r="AB40" s="1">
        <v>0</v>
      </c>
      <c r="AC40" s="1">
        <v>0</v>
      </c>
      <c r="AD40" s="1">
        <v>0</v>
      </c>
      <c r="AE40" s="1">
        <v>0</v>
      </c>
      <c r="AF40" s="1">
        <v>1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1</v>
      </c>
      <c r="AM40" s="1">
        <v>0</v>
      </c>
    </row>
    <row r="41" spans="1:39" x14ac:dyDescent="0.25">
      <c r="A41" s="1">
        <v>50</v>
      </c>
      <c r="B41" s="1" t="s">
        <v>184</v>
      </c>
      <c r="C41" s="1" t="s">
        <v>50</v>
      </c>
      <c r="D41" s="1" t="s">
        <v>185</v>
      </c>
      <c r="E41" s="1" t="s">
        <v>159</v>
      </c>
      <c r="F41" s="3">
        <v>46178</v>
      </c>
      <c r="G41" s="3">
        <v>46184</v>
      </c>
      <c r="H41" s="4">
        <v>1</v>
      </c>
      <c r="I41" s="3">
        <v>46184</v>
      </c>
      <c r="J41" s="1" t="s">
        <v>53</v>
      </c>
      <c r="M41" s="1" t="s">
        <v>66</v>
      </c>
      <c r="N41" s="2">
        <v>46184</v>
      </c>
      <c r="P41" s="1" t="s">
        <v>119</v>
      </c>
      <c r="Q41" s="1" t="s">
        <v>55</v>
      </c>
      <c r="R41" s="1" t="s">
        <v>186</v>
      </c>
      <c r="S41" s="2">
        <v>46147</v>
      </c>
      <c r="T41" s="2">
        <v>46195</v>
      </c>
      <c r="AB41" s="1">
        <v>1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</row>
    <row r="42" spans="1:39" x14ac:dyDescent="0.25">
      <c r="A42" s="1">
        <v>61</v>
      </c>
      <c r="B42" s="1" t="s">
        <v>187</v>
      </c>
      <c r="C42" s="1" t="s">
        <v>188</v>
      </c>
      <c r="D42" s="1" t="s">
        <v>189</v>
      </c>
      <c r="E42" s="1" t="s">
        <v>159</v>
      </c>
      <c r="F42" s="3">
        <v>46178</v>
      </c>
      <c r="G42" s="3">
        <v>46184</v>
      </c>
      <c r="H42" s="4">
        <v>1</v>
      </c>
      <c r="I42" s="3">
        <v>46184</v>
      </c>
      <c r="J42" s="1" t="s">
        <v>53</v>
      </c>
      <c r="M42" s="1" t="s">
        <v>66</v>
      </c>
      <c r="N42" s="2">
        <v>46184</v>
      </c>
      <c r="P42" s="1" t="s">
        <v>119</v>
      </c>
      <c r="Q42" s="1" t="s">
        <v>55</v>
      </c>
      <c r="R42" s="1" t="s">
        <v>186</v>
      </c>
      <c r="S42" s="2">
        <v>46156</v>
      </c>
      <c r="T42" s="2">
        <v>46162</v>
      </c>
      <c r="AB42" s="1">
        <v>1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</row>
    <row r="43" spans="1:39" x14ac:dyDescent="0.25">
      <c r="A43" s="1">
        <v>62</v>
      </c>
      <c r="B43" s="1" t="s">
        <v>190</v>
      </c>
      <c r="C43" s="1" t="s">
        <v>191</v>
      </c>
      <c r="D43" s="1" t="s">
        <v>101</v>
      </c>
      <c r="E43" s="1" t="s">
        <v>52</v>
      </c>
      <c r="F43" s="3">
        <v>46178</v>
      </c>
      <c r="G43" s="3">
        <v>46178</v>
      </c>
      <c r="H43" s="4">
        <v>1</v>
      </c>
      <c r="I43" s="3">
        <v>46178</v>
      </c>
      <c r="J43" s="1" t="s">
        <v>53</v>
      </c>
      <c r="K43" s="1" t="s">
        <v>192</v>
      </c>
      <c r="L43" s="1" t="s">
        <v>193</v>
      </c>
      <c r="M43" s="1" t="s">
        <v>66</v>
      </c>
      <c r="N43" s="2">
        <v>46178</v>
      </c>
      <c r="P43" s="1" t="s">
        <v>119</v>
      </c>
      <c r="Q43" s="1" t="s">
        <v>55</v>
      </c>
      <c r="R43" s="1" t="s">
        <v>186</v>
      </c>
      <c r="S43" s="2">
        <v>46156</v>
      </c>
      <c r="T43" s="2">
        <v>46156</v>
      </c>
      <c r="AB43" s="1">
        <v>1</v>
      </c>
      <c r="AC43" s="1">
        <v>1</v>
      </c>
      <c r="AD43" s="1">
        <v>1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1</v>
      </c>
    </row>
    <row r="44" spans="1:39" x14ac:dyDescent="0.25">
      <c r="A44" s="1">
        <v>63</v>
      </c>
      <c r="B44" s="1" t="s">
        <v>194</v>
      </c>
      <c r="C44" s="1" t="s">
        <v>191</v>
      </c>
      <c r="D44" s="1" t="s">
        <v>105</v>
      </c>
      <c r="E44" s="1" t="s">
        <v>52</v>
      </c>
      <c r="F44" s="3">
        <v>46181</v>
      </c>
      <c r="G44" s="3">
        <v>46181</v>
      </c>
      <c r="H44" s="4">
        <v>1</v>
      </c>
      <c r="I44" s="3">
        <v>46181</v>
      </c>
      <c r="J44" s="1" t="s">
        <v>53</v>
      </c>
      <c r="K44" s="1">
        <v>62</v>
      </c>
      <c r="L44" s="1">
        <v>64</v>
      </c>
      <c r="M44" s="1" t="s">
        <v>195</v>
      </c>
      <c r="N44" s="2">
        <v>46181</v>
      </c>
      <c r="P44" s="1" t="s">
        <v>76</v>
      </c>
      <c r="Q44" s="1" t="s">
        <v>55</v>
      </c>
      <c r="R44" s="1" t="s">
        <v>186</v>
      </c>
      <c r="S44" s="2">
        <v>46157</v>
      </c>
      <c r="T44" s="2">
        <v>46157</v>
      </c>
      <c r="AB44" s="1">
        <v>1</v>
      </c>
      <c r="AC44" s="1">
        <v>0</v>
      </c>
      <c r="AD44" s="1">
        <v>0</v>
      </c>
      <c r="AE44" s="1">
        <v>0</v>
      </c>
      <c r="AF44" s="1">
        <v>0</v>
      </c>
      <c r="AG44" s="1">
        <v>1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</row>
    <row r="45" spans="1:39" x14ac:dyDescent="0.25">
      <c r="A45" s="1">
        <v>64</v>
      </c>
      <c r="B45" s="1" t="s">
        <v>196</v>
      </c>
      <c r="C45" s="1" t="s">
        <v>191</v>
      </c>
      <c r="D45" s="1" t="s">
        <v>109</v>
      </c>
      <c r="E45" s="1" t="s">
        <v>116</v>
      </c>
      <c r="F45" s="3">
        <v>46182</v>
      </c>
      <c r="G45" s="3">
        <v>46183</v>
      </c>
      <c r="H45" s="4">
        <v>1</v>
      </c>
      <c r="I45" s="3">
        <v>46183</v>
      </c>
      <c r="J45" s="1" t="s">
        <v>53</v>
      </c>
      <c r="K45" s="1">
        <v>63</v>
      </c>
      <c r="L45" s="1">
        <v>65</v>
      </c>
      <c r="M45" s="1" t="s">
        <v>156</v>
      </c>
      <c r="N45" s="2">
        <v>46183</v>
      </c>
      <c r="P45" s="1" t="s">
        <v>76</v>
      </c>
      <c r="Q45" s="1" t="s">
        <v>55</v>
      </c>
      <c r="R45" s="1" t="s">
        <v>186</v>
      </c>
      <c r="S45" s="2">
        <v>46160</v>
      </c>
      <c r="T45" s="2">
        <v>46161</v>
      </c>
      <c r="AB45" s="1">
        <v>1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1</v>
      </c>
      <c r="AJ45" s="1">
        <v>0</v>
      </c>
      <c r="AK45" s="1">
        <v>0</v>
      </c>
      <c r="AL45" s="1">
        <v>0</v>
      </c>
      <c r="AM45" s="1">
        <v>0</v>
      </c>
    </row>
    <row r="46" spans="1:39" x14ac:dyDescent="0.25">
      <c r="A46" s="1">
        <v>65</v>
      </c>
      <c r="B46" s="1" t="s">
        <v>197</v>
      </c>
      <c r="C46" s="1" t="s">
        <v>191</v>
      </c>
      <c r="D46" s="1" t="s">
        <v>115</v>
      </c>
      <c r="E46" s="1" t="s">
        <v>52</v>
      </c>
      <c r="F46" s="3">
        <v>46184</v>
      </c>
      <c r="G46" s="3">
        <v>46184</v>
      </c>
      <c r="H46" s="4">
        <v>1</v>
      </c>
      <c r="I46" s="3">
        <v>46184</v>
      </c>
      <c r="J46" s="1" t="s">
        <v>53</v>
      </c>
      <c r="K46" s="1">
        <v>64</v>
      </c>
      <c r="M46" s="1" t="s">
        <v>179</v>
      </c>
      <c r="N46" s="2">
        <v>46184</v>
      </c>
      <c r="P46" s="1" t="s">
        <v>76</v>
      </c>
      <c r="Q46" s="1" t="s">
        <v>55</v>
      </c>
      <c r="R46" s="1" t="s">
        <v>186</v>
      </c>
      <c r="S46" s="2">
        <v>46162</v>
      </c>
      <c r="T46" s="2">
        <v>46162</v>
      </c>
      <c r="AB46" s="1">
        <v>1</v>
      </c>
      <c r="AC46" s="1">
        <v>0</v>
      </c>
      <c r="AD46" s="1">
        <v>0</v>
      </c>
      <c r="AE46" s="1">
        <v>0</v>
      </c>
      <c r="AF46" s="1">
        <v>1</v>
      </c>
      <c r="AG46" s="1">
        <v>0</v>
      </c>
      <c r="AH46" s="1">
        <v>0</v>
      </c>
      <c r="AI46" s="1">
        <v>0</v>
      </c>
      <c r="AJ46" s="1">
        <v>0</v>
      </c>
      <c r="AK46" s="1">
        <v>1</v>
      </c>
      <c r="AL46" s="1">
        <v>0</v>
      </c>
      <c r="AM46" s="1">
        <v>0</v>
      </c>
    </row>
    <row r="47" spans="1:39" x14ac:dyDescent="0.25">
      <c r="A47" s="1">
        <v>66</v>
      </c>
      <c r="B47" s="1" t="s">
        <v>198</v>
      </c>
      <c r="C47" s="1" t="s">
        <v>50</v>
      </c>
      <c r="D47" s="1" t="s">
        <v>199</v>
      </c>
      <c r="E47" s="1" t="s">
        <v>200</v>
      </c>
      <c r="F47" s="3">
        <v>46168</v>
      </c>
      <c r="G47" s="3">
        <v>46211</v>
      </c>
      <c r="H47" s="4">
        <v>0.54</v>
      </c>
      <c r="J47" s="1" t="s">
        <v>41</v>
      </c>
      <c r="M47" s="1" t="s">
        <v>201</v>
      </c>
      <c r="N47" s="2">
        <v>46203</v>
      </c>
      <c r="P47" s="1" t="s">
        <v>136</v>
      </c>
      <c r="Q47" s="1" t="s">
        <v>55</v>
      </c>
      <c r="R47" s="1" t="s">
        <v>202</v>
      </c>
      <c r="S47" s="2">
        <v>46147</v>
      </c>
      <c r="T47" s="2">
        <v>46195</v>
      </c>
      <c r="AB47" s="1">
        <v>0.54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</row>
    <row r="48" spans="1:39" x14ac:dyDescent="0.25">
      <c r="A48" s="1">
        <v>77</v>
      </c>
      <c r="B48" s="1" t="s">
        <v>203</v>
      </c>
      <c r="C48" s="1" t="s">
        <v>204</v>
      </c>
      <c r="D48" s="1" t="s">
        <v>205</v>
      </c>
      <c r="E48" s="1" t="s">
        <v>144</v>
      </c>
      <c r="F48" s="3">
        <v>46184</v>
      </c>
      <c r="G48" s="3">
        <v>46191</v>
      </c>
      <c r="H48" s="4">
        <v>1</v>
      </c>
      <c r="I48" s="3">
        <v>46191</v>
      </c>
      <c r="J48" s="1" t="s">
        <v>53</v>
      </c>
      <c r="M48" s="1" t="s">
        <v>201</v>
      </c>
      <c r="N48" s="2">
        <v>46175</v>
      </c>
      <c r="P48" s="1" t="s">
        <v>76</v>
      </c>
      <c r="Q48" s="1" t="s">
        <v>55</v>
      </c>
      <c r="R48" s="1" t="s">
        <v>202</v>
      </c>
      <c r="S48" s="2">
        <v>46156</v>
      </c>
      <c r="T48" s="2">
        <v>46163</v>
      </c>
      <c r="AB48" s="1">
        <v>1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</row>
    <row r="49" spans="1:39" x14ac:dyDescent="0.25">
      <c r="A49" s="1">
        <v>78</v>
      </c>
      <c r="B49" s="1" t="s">
        <v>206</v>
      </c>
      <c r="C49" s="1" t="s">
        <v>207</v>
      </c>
      <c r="D49" s="1" t="s">
        <v>101</v>
      </c>
      <c r="E49" s="1" t="s">
        <v>116</v>
      </c>
      <c r="F49" s="3">
        <v>46184</v>
      </c>
      <c r="G49" s="3">
        <v>46185</v>
      </c>
      <c r="H49" s="4">
        <v>1</v>
      </c>
      <c r="I49" s="3">
        <v>46185</v>
      </c>
      <c r="J49" s="1" t="s">
        <v>53</v>
      </c>
      <c r="K49" s="1" t="s">
        <v>208</v>
      </c>
      <c r="L49" s="1" t="s">
        <v>209</v>
      </c>
      <c r="M49" s="1" t="s">
        <v>201</v>
      </c>
      <c r="N49" s="2">
        <v>46169</v>
      </c>
      <c r="P49" s="1" t="s">
        <v>76</v>
      </c>
      <c r="Q49" s="1" t="s">
        <v>55</v>
      </c>
      <c r="R49" s="1" t="s">
        <v>202</v>
      </c>
      <c r="S49" s="2">
        <v>46156</v>
      </c>
      <c r="T49" s="2">
        <v>46157</v>
      </c>
      <c r="AB49" s="1">
        <v>1</v>
      </c>
      <c r="AC49" s="1">
        <v>1</v>
      </c>
      <c r="AD49" s="1">
        <v>1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1</v>
      </c>
    </row>
    <row r="50" spans="1:39" x14ac:dyDescent="0.25">
      <c r="A50" s="1">
        <v>79</v>
      </c>
      <c r="B50" s="1" t="s">
        <v>210</v>
      </c>
      <c r="C50" s="1" t="s">
        <v>207</v>
      </c>
      <c r="D50" s="1" t="s">
        <v>105</v>
      </c>
      <c r="E50" s="1" t="s">
        <v>52</v>
      </c>
      <c r="F50" s="3">
        <v>46188</v>
      </c>
      <c r="G50" s="3">
        <v>46188</v>
      </c>
      <c r="H50" s="4">
        <v>1</v>
      </c>
      <c r="I50" s="3">
        <v>46188</v>
      </c>
      <c r="J50" s="1" t="s">
        <v>53</v>
      </c>
      <c r="K50" s="1">
        <v>78</v>
      </c>
      <c r="L50" s="1">
        <v>80</v>
      </c>
      <c r="M50" s="1" t="s">
        <v>135</v>
      </c>
      <c r="N50" s="2">
        <v>46170</v>
      </c>
      <c r="P50" s="1" t="s">
        <v>73</v>
      </c>
      <c r="Q50" s="1" t="s">
        <v>55</v>
      </c>
      <c r="R50" s="1" t="s">
        <v>202</v>
      </c>
      <c r="S50" s="2">
        <v>46160</v>
      </c>
      <c r="T50" s="2">
        <v>46160</v>
      </c>
      <c r="AB50" s="1">
        <v>1</v>
      </c>
      <c r="AC50" s="1">
        <v>0</v>
      </c>
      <c r="AD50" s="1">
        <v>0</v>
      </c>
      <c r="AE50" s="1">
        <v>0</v>
      </c>
      <c r="AF50" s="1">
        <v>0</v>
      </c>
      <c r="AG50" s="1">
        <v>1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</row>
    <row r="51" spans="1:39" x14ac:dyDescent="0.25">
      <c r="A51" s="1">
        <v>80</v>
      </c>
      <c r="B51" s="1" t="s">
        <v>211</v>
      </c>
      <c r="C51" s="1" t="s">
        <v>207</v>
      </c>
      <c r="D51" s="1" t="s">
        <v>109</v>
      </c>
      <c r="E51" s="1" t="s">
        <v>116</v>
      </c>
      <c r="F51" s="3">
        <v>46189</v>
      </c>
      <c r="G51" s="3">
        <v>46190</v>
      </c>
      <c r="H51" s="4">
        <v>1</v>
      </c>
      <c r="I51" s="3">
        <v>46190</v>
      </c>
      <c r="J51" s="1" t="s">
        <v>53</v>
      </c>
      <c r="K51" s="1">
        <v>79</v>
      </c>
      <c r="L51" s="1" t="s">
        <v>212</v>
      </c>
      <c r="M51" s="1" t="s">
        <v>118</v>
      </c>
      <c r="N51" s="2">
        <v>46174</v>
      </c>
      <c r="P51" s="1" t="s">
        <v>73</v>
      </c>
      <c r="Q51" s="1" t="s">
        <v>55</v>
      </c>
      <c r="R51" s="1" t="s">
        <v>202</v>
      </c>
      <c r="S51" s="2">
        <v>46161</v>
      </c>
      <c r="T51" s="2">
        <v>46162</v>
      </c>
      <c r="AB51" s="1">
        <v>1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1</v>
      </c>
      <c r="AJ51" s="1">
        <v>0</v>
      </c>
      <c r="AK51" s="1">
        <v>0</v>
      </c>
      <c r="AL51" s="1">
        <v>0</v>
      </c>
      <c r="AM51" s="1">
        <v>0</v>
      </c>
    </row>
    <row r="52" spans="1:39" x14ac:dyDescent="0.25">
      <c r="A52" s="1">
        <v>81</v>
      </c>
      <c r="B52" s="1" t="s">
        <v>213</v>
      </c>
      <c r="C52" s="1" t="s">
        <v>207</v>
      </c>
      <c r="D52" s="1" t="s">
        <v>115</v>
      </c>
      <c r="E52" s="1" t="s">
        <v>52</v>
      </c>
      <c r="F52" s="3">
        <v>46191</v>
      </c>
      <c r="G52" s="3">
        <v>46191</v>
      </c>
      <c r="H52" s="4">
        <v>1</v>
      </c>
      <c r="I52" s="3">
        <v>46191</v>
      </c>
      <c r="J52" s="1" t="s">
        <v>53</v>
      </c>
      <c r="K52" s="1">
        <v>80</v>
      </c>
      <c r="M52" s="1" t="s">
        <v>214</v>
      </c>
      <c r="N52" s="2">
        <v>46175</v>
      </c>
      <c r="P52" s="1" t="s">
        <v>73</v>
      </c>
      <c r="Q52" s="1" t="s">
        <v>55</v>
      </c>
      <c r="R52" s="1" t="s">
        <v>202</v>
      </c>
      <c r="S52" s="2">
        <v>46163</v>
      </c>
      <c r="T52" s="2">
        <v>46163</v>
      </c>
      <c r="AB52" s="1">
        <v>1</v>
      </c>
      <c r="AC52" s="1">
        <v>0</v>
      </c>
      <c r="AD52" s="1">
        <v>0</v>
      </c>
      <c r="AE52" s="1">
        <v>0</v>
      </c>
      <c r="AF52" s="1">
        <v>1</v>
      </c>
      <c r="AG52" s="1">
        <v>0</v>
      </c>
      <c r="AH52" s="1">
        <v>0</v>
      </c>
      <c r="AI52" s="1">
        <v>0</v>
      </c>
      <c r="AJ52" s="1">
        <v>0</v>
      </c>
      <c r="AK52" s="1">
        <v>1</v>
      </c>
      <c r="AL52" s="1">
        <v>0</v>
      </c>
      <c r="AM52" s="1">
        <v>0</v>
      </c>
    </row>
    <row r="53" spans="1:39" x14ac:dyDescent="0.25">
      <c r="A53" s="1">
        <v>82</v>
      </c>
      <c r="B53" s="1" t="s">
        <v>215</v>
      </c>
      <c r="C53" s="1" t="s">
        <v>204</v>
      </c>
      <c r="D53" s="1" t="s">
        <v>216</v>
      </c>
      <c r="E53" s="1" t="s">
        <v>217</v>
      </c>
      <c r="F53" s="3">
        <v>46184</v>
      </c>
      <c r="G53" s="3">
        <v>46202</v>
      </c>
      <c r="H53" s="4">
        <v>0.71</v>
      </c>
      <c r="J53" s="1" t="s">
        <v>41</v>
      </c>
      <c r="M53" s="1" t="s">
        <v>214</v>
      </c>
      <c r="N53" s="2">
        <v>46183</v>
      </c>
      <c r="P53" s="1" t="s">
        <v>76</v>
      </c>
      <c r="Q53" s="1" t="s">
        <v>55</v>
      </c>
      <c r="R53" s="1" t="s">
        <v>202</v>
      </c>
      <c r="S53" s="2">
        <v>46168</v>
      </c>
      <c r="T53" s="2">
        <v>46176</v>
      </c>
      <c r="AB53" s="1">
        <v>0.71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</row>
    <row r="54" spans="1:39" x14ac:dyDescent="0.25">
      <c r="A54" s="1">
        <v>83</v>
      </c>
      <c r="B54" s="1" t="s">
        <v>218</v>
      </c>
      <c r="C54" s="1" t="s">
        <v>219</v>
      </c>
      <c r="D54" s="1" t="s">
        <v>101</v>
      </c>
      <c r="E54" s="1" t="s">
        <v>102</v>
      </c>
      <c r="F54" s="3">
        <v>46184</v>
      </c>
      <c r="G54" s="3">
        <v>46188</v>
      </c>
      <c r="H54" s="4">
        <v>1</v>
      </c>
      <c r="I54" s="3">
        <v>46188</v>
      </c>
      <c r="J54" s="1" t="s">
        <v>53</v>
      </c>
      <c r="K54" s="1" t="s">
        <v>220</v>
      </c>
      <c r="L54" s="1">
        <v>84</v>
      </c>
      <c r="M54" s="1" t="s">
        <v>214</v>
      </c>
      <c r="N54" s="2">
        <v>46177</v>
      </c>
      <c r="P54" s="1" t="s">
        <v>76</v>
      </c>
      <c r="Q54" s="1" t="s">
        <v>55</v>
      </c>
      <c r="R54" s="1" t="s">
        <v>202</v>
      </c>
      <c r="S54" s="2">
        <v>46168</v>
      </c>
      <c r="T54" s="2">
        <v>46170</v>
      </c>
      <c r="AB54" s="1">
        <v>1</v>
      </c>
      <c r="AC54" s="1">
        <v>1</v>
      </c>
      <c r="AD54" s="1">
        <v>1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1</v>
      </c>
    </row>
    <row r="55" spans="1:39" x14ac:dyDescent="0.25">
      <c r="A55" s="1">
        <v>84</v>
      </c>
      <c r="B55" s="1" t="s">
        <v>221</v>
      </c>
      <c r="C55" s="1" t="s">
        <v>219</v>
      </c>
      <c r="D55" s="1" t="s">
        <v>105</v>
      </c>
      <c r="E55" s="1" t="s">
        <v>52</v>
      </c>
      <c r="F55" s="3">
        <v>46197</v>
      </c>
      <c r="G55" s="3">
        <v>46197</v>
      </c>
      <c r="H55" s="4">
        <v>1</v>
      </c>
      <c r="I55" s="3">
        <v>46197</v>
      </c>
      <c r="J55" s="1" t="s">
        <v>53</v>
      </c>
      <c r="K55" s="1">
        <v>83</v>
      </c>
      <c r="L55" s="1">
        <v>85</v>
      </c>
      <c r="M55" s="1" t="s">
        <v>66</v>
      </c>
      <c r="N55" s="2">
        <v>46178</v>
      </c>
      <c r="P55" s="1" t="s">
        <v>146</v>
      </c>
      <c r="Q55" s="1" t="s">
        <v>55</v>
      </c>
      <c r="R55" s="1" t="s">
        <v>202</v>
      </c>
      <c r="S55" s="2">
        <v>46171</v>
      </c>
      <c r="T55" s="2">
        <v>46171</v>
      </c>
      <c r="AB55" s="1">
        <v>1</v>
      </c>
      <c r="AC55" s="1">
        <v>0</v>
      </c>
      <c r="AD55" s="1">
        <v>0</v>
      </c>
      <c r="AE55" s="1">
        <v>0</v>
      </c>
      <c r="AF55" s="1">
        <v>0</v>
      </c>
      <c r="AG55" s="1">
        <v>1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</row>
    <row r="56" spans="1:39" x14ac:dyDescent="0.25">
      <c r="A56" s="1">
        <v>85</v>
      </c>
      <c r="B56" s="1" t="s">
        <v>222</v>
      </c>
      <c r="C56" s="1" t="s">
        <v>219</v>
      </c>
      <c r="D56" s="1" t="s">
        <v>109</v>
      </c>
      <c r="E56" s="1" t="s">
        <v>116</v>
      </c>
      <c r="F56" s="3">
        <v>46198</v>
      </c>
      <c r="G56" s="3">
        <v>46199</v>
      </c>
      <c r="H56" s="4">
        <v>0.5</v>
      </c>
      <c r="J56" s="1" t="s">
        <v>41</v>
      </c>
      <c r="K56" s="1">
        <v>84</v>
      </c>
      <c r="L56" s="1">
        <v>86</v>
      </c>
      <c r="M56" s="1" t="s">
        <v>195</v>
      </c>
      <c r="N56" s="2">
        <v>46182</v>
      </c>
      <c r="P56" s="1" t="s">
        <v>146</v>
      </c>
      <c r="Q56" s="1" t="s">
        <v>55</v>
      </c>
      <c r="R56" s="1" t="s">
        <v>202</v>
      </c>
      <c r="S56" s="2">
        <v>46174</v>
      </c>
      <c r="T56" s="2">
        <v>46175</v>
      </c>
      <c r="AB56" s="1">
        <v>0.5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1</v>
      </c>
      <c r="AK56" s="1">
        <v>0</v>
      </c>
      <c r="AL56" s="1">
        <v>0</v>
      </c>
      <c r="AM56" s="1">
        <v>0</v>
      </c>
    </row>
    <row r="57" spans="1:39" x14ac:dyDescent="0.25">
      <c r="A57" s="1">
        <v>86</v>
      </c>
      <c r="B57" s="1" t="s">
        <v>223</v>
      </c>
      <c r="C57" s="1" t="s">
        <v>219</v>
      </c>
      <c r="D57" s="1" t="s">
        <v>115</v>
      </c>
      <c r="E57" s="1" t="s">
        <v>52</v>
      </c>
      <c r="F57" s="3">
        <v>46202</v>
      </c>
      <c r="G57" s="3">
        <v>46202</v>
      </c>
      <c r="H57" s="4">
        <v>0</v>
      </c>
      <c r="J57" s="1" t="s">
        <v>41</v>
      </c>
      <c r="K57" s="1">
        <v>85</v>
      </c>
      <c r="M57" s="1" t="s">
        <v>224</v>
      </c>
      <c r="N57" s="2">
        <v>46183</v>
      </c>
      <c r="P57" s="1" t="s">
        <v>67</v>
      </c>
      <c r="Q57" s="1" t="s">
        <v>55</v>
      </c>
      <c r="R57" s="1" t="s">
        <v>202</v>
      </c>
      <c r="S57" s="2">
        <v>46176</v>
      </c>
      <c r="T57" s="2">
        <v>46176</v>
      </c>
      <c r="AB57" s="1">
        <v>0</v>
      </c>
      <c r="AC57" s="1">
        <v>0</v>
      </c>
      <c r="AD57" s="1">
        <v>0</v>
      </c>
      <c r="AE57" s="1">
        <v>0</v>
      </c>
      <c r="AF57" s="1">
        <v>1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1</v>
      </c>
      <c r="AM57" s="1">
        <v>0</v>
      </c>
    </row>
    <row r="58" spans="1:39" x14ac:dyDescent="0.25">
      <c r="A58" s="1">
        <v>87</v>
      </c>
      <c r="B58" s="1" t="s">
        <v>225</v>
      </c>
      <c r="C58" s="1" t="s">
        <v>204</v>
      </c>
      <c r="D58" s="1" t="s">
        <v>226</v>
      </c>
      <c r="E58" s="1" t="s">
        <v>227</v>
      </c>
      <c r="F58" s="3">
        <v>46203</v>
      </c>
      <c r="G58" s="3">
        <v>46211</v>
      </c>
      <c r="H58" s="4">
        <v>0</v>
      </c>
      <c r="J58" s="1" t="s">
        <v>41</v>
      </c>
      <c r="M58" s="1" t="s">
        <v>228</v>
      </c>
      <c r="N58" s="2">
        <v>46203</v>
      </c>
      <c r="P58" s="1" t="s">
        <v>67</v>
      </c>
      <c r="Q58" s="1" t="s">
        <v>55</v>
      </c>
      <c r="R58" s="1" t="s">
        <v>202</v>
      </c>
      <c r="S58" s="2">
        <v>46183</v>
      </c>
      <c r="T58" s="2">
        <v>46195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</row>
    <row r="59" spans="1:39" x14ac:dyDescent="0.25">
      <c r="A59" s="1">
        <v>88</v>
      </c>
      <c r="B59" s="1" t="s">
        <v>229</v>
      </c>
      <c r="C59" s="1" t="s">
        <v>230</v>
      </c>
      <c r="D59" s="1" t="s">
        <v>101</v>
      </c>
      <c r="E59" s="1" t="s">
        <v>231</v>
      </c>
      <c r="F59" s="3">
        <v>46203</v>
      </c>
      <c r="G59" s="3">
        <v>46206</v>
      </c>
      <c r="H59" s="4">
        <v>0</v>
      </c>
      <c r="J59" s="1" t="s">
        <v>41</v>
      </c>
      <c r="K59" s="1">
        <v>245</v>
      </c>
      <c r="L59" s="1">
        <v>89</v>
      </c>
      <c r="M59" s="1" t="s">
        <v>228</v>
      </c>
      <c r="N59" s="2">
        <v>46197</v>
      </c>
      <c r="P59" s="1" t="s">
        <v>67</v>
      </c>
      <c r="Q59" s="1" t="s">
        <v>55</v>
      </c>
      <c r="R59" s="1" t="s">
        <v>202</v>
      </c>
      <c r="S59" s="2">
        <v>46183</v>
      </c>
      <c r="T59" s="2">
        <v>46189</v>
      </c>
      <c r="AB59" s="1">
        <v>0</v>
      </c>
      <c r="AC59" s="1">
        <v>1</v>
      </c>
      <c r="AD59" s="1">
        <v>0</v>
      </c>
      <c r="AE59" s="1">
        <v>1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</row>
    <row r="60" spans="1:39" x14ac:dyDescent="0.25">
      <c r="A60" s="1">
        <v>89</v>
      </c>
      <c r="B60" s="1" t="s">
        <v>232</v>
      </c>
      <c r="C60" s="1" t="s">
        <v>230</v>
      </c>
      <c r="D60" s="1" t="s">
        <v>105</v>
      </c>
      <c r="E60" s="1" t="s">
        <v>52</v>
      </c>
      <c r="F60" s="3">
        <v>46209</v>
      </c>
      <c r="G60" s="3">
        <v>46209</v>
      </c>
      <c r="H60" s="4">
        <v>0</v>
      </c>
      <c r="J60" s="1" t="s">
        <v>83</v>
      </c>
      <c r="K60" s="1">
        <v>88</v>
      </c>
      <c r="L60" s="1">
        <v>90</v>
      </c>
      <c r="M60" s="1" t="s">
        <v>233</v>
      </c>
      <c r="N60" s="2">
        <v>46198</v>
      </c>
      <c r="P60" s="1" t="s">
        <v>67</v>
      </c>
      <c r="Q60" s="1" t="s">
        <v>55</v>
      </c>
      <c r="R60" s="1" t="s">
        <v>202</v>
      </c>
      <c r="S60" s="2">
        <v>46190</v>
      </c>
      <c r="T60" s="2">
        <v>46190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</row>
    <row r="61" spans="1:39" x14ac:dyDescent="0.25">
      <c r="A61" s="1">
        <v>90</v>
      </c>
      <c r="B61" s="1" t="s">
        <v>234</v>
      </c>
      <c r="C61" s="1" t="s">
        <v>230</v>
      </c>
      <c r="D61" s="1" t="s">
        <v>109</v>
      </c>
      <c r="E61" s="1" t="s">
        <v>52</v>
      </c>
      <c r="F61" s="3">
        <v>46210</v>
      </c>
      <c r="G61" s="3">
        <v>46210</v>
      </c>
      <c r="H61" s="4">
        <v>0</v>
      </c>
      <c r="J61" s="1" t="s">
        <v>83</v>
      </c>
      <c r="K61" s="1">
        <v>89</v>
      </c>
      <c r="L61" s="1">
        <v>91</v>
      </c>
      <c r="M61" s="1" t="s">
        <v>182</v>
      </c>
      <c r="N61" s="2">
        <v>46202</v>
      </c>
      <c r="P61" s="1" t="s">
        <v>235</v>
      </c>
      <c r="Q61" s="1" t="s">
        <v>55</v>
      </c>
      <c r="R61" s="1" t="s">
        <v>202</v>
      </c>
      <c r="S61" s="2">
        <v>46191</v>
      </c>
      <c r="T61" s="2">
        <v>46192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</row>
    <row r="62" spans="1:39" x14ac:dyDescent="0.25">
      <c r="A62" s="1">
        <v>91</v>
      </c>
      <c r="B62" s="1" t="s">
        <v>236</v>
      </c>
      <c r="C62" s="1" t="s">
        <v>230</v>
      </c>
      <c r="D62" s="1" t="s">
        <v>115</v>
      </c>
      <c r="E62" s="1" t="s">
        <v>52</v>
      </c>
      <c r="F62" s="3">
        <v>46211</v>
      </c>
      <c r="G62" s="3">
        <v>46211</v>
      </c>
      <c r="H62" s="4">
        <v>0</v>
      </c>
      <c r="J62" s="1" t="s">
        <v>83</v>
      </c>
      <c r="K62" s="1">
        <v>90</v>
      </c>
      <c r="M62" s="1" t="s">
        <v>160</v>
      </c>
      <c r="N62" s="2">
        <v>46203</v>
      </c>
      <c r="P62" s="1" t="s">
        <v>235</v>
      </c>
      <c r="Q62" s="1" t="s">
        <v>55</v>
      </c>
      <c r="R62" s="1" t="s">
        <v>202</v>
      </c>
      <c r="S62" s="2">
        <v>46195</v>
      </c>
      <c r="T62" s="2">
        <v>46195</v>
      </c>
      <c r="AB62" s="1">
        <v>0</v>
      </c>
      <c r="AC62" s="1">
        <v>0</v>
      </c>
      <c r="AD62" s="1">
        <v>0</v>
      </c>
      <c r="AE62" s="1">
        <v>0</v>
      </c>
      <c r="AF62" s="1">
        <v>1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</row>
    <row r="63" spans="1:39" x14ac:dyDescent="0.25">
      <c r="A63" s="1">
        <v>92</v>
      </c>
      <c r="B63" s="1" t="s">
        <v>237</v>
      </c>
      <c r="C63" s="1" t="s">
        <v>204</v>
      </c>
      <c r="D63" s="1" t="s">
        <v>238</v>
      </c>
      <c r="E63" s="1" t="s">
        <v>227</v>
      </c>
      <c r="F63" s="3">
        <v>46203</v>
      </c>
      <c r="G63" s="3">
        <v>46211</v>
      </c>
      <c r="H63" s="4">
        <v>0</v>
      </c>
      <c r="J63" s="1" t="s">
        <v>41</v>
      </c>
      <c r="M63" s="1" t="s">
        <v>228</v>
      </c>
      <c r="N63" s="2">
        <v>46203</v>
      </c>
      <c r="P63" s="1" t="s">
        <v>67</v>
      </c>
      <c r="Q63" s="1" t="s">
        <v>55</v>
      </c>
      <c r="R63" s="1" t="s">
        <v>202</v>
      </c>
      <c r="S63" s="2">
        <v>46183</v>
      </c>
      <c r="T63" s="2">
        <v>46195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</row>
    <row r="64" spans="1:39" x14ac:dyDescent="0.25">
      <c r="A64" s="1">
        <v>93</v>
      </c>
      <c r="B64" s="1" t="s">
        <v>239</v>
      </c>
      <c r="C64" s="1" t="s">
        <v>240</v>
      </c>
      <c r="D64" s="1" t="s">
        <v>101</v>
      </c>
      <c r="E64" s="1" t="s">
        <v>231</v>
      </c>
      <c r="F64" s="3">
        <v>46203</v>
      </c>
      <c r="G64" s="3">
        <v>46206</v>
      </c>
      <c r="H64" s="4">
        <v>0</v>
      </c>
      <c r="J64" s="1" t="s">
        <v>41</v>
      </c>
      <c r="K64" s="1">
        <v>245</v>
      </c>
      <c r="L64" s="1">
        <v>94</v>
      </c>
      <c r="M64" s="1" t="s">
        <v>228</v>
      </c>
      <c r="N64" s="2">
        <v>46197</v>
      </c>
      <c r="P64" s="1" t="s">
        <v>67</v>
      </c>
      <c r="Q64" s="1" t="s">
        <v>55</v>
      </c>
      <c r="R64" s="1" t="s">
        <v>202</v>
      </c>
      <c r="S64" s="2">
        <v>46183</v>
      </c>
      <c r="T64" s="2">
        <v>46189</v>
      </c>
      <c r="AB64" s="1">
        <v>0</v>
      </c>
      <c r="AC64" s="1">
        <v>1</v>
      </c>
      <c r="AD64" s="1">
        <v>0</v>
      </c>
      <c r="AE64" s="1">
        <v>1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</row>
    <row r="65" spans="1:39" x14ac:dyDescent="0.25">
      <c r="A65" s="1">
        <v>94</v>
      </c>
      <c r="B65" s="1" t="s">
        <v>241</v>
      </c>
      <c r="C65" s="1" t="s">
        <v>240</v>
      </c>
      <c r="D65" s="1" t="s">
        <v>105</v>
      </c>
      <c r="E65" s="1" t="s">
        <v>52</v>
      </c>
      <c r="F65" s="3">
        <v>46209</v>
      </c>
      <c r="G65" s="3">
        <v>46209</v>
      </c>
      <c r="H65" s="4">
        <v>0</v>
      </c>
      <c r="J65" s="1" t="s">
        <v>83</v>
      </c>
      <c r="K65" s="1">
        <v>93</v>
      </c>
      <c r="L65" s="1">
        <v>95</v>
      </c>
      <c r="M65" s="1" t="s">
        <v>233</v>
      </c>
      <c r="N65" s="2">
        <v>46198</v>
      </c>
      <c r="P65" s="1" t="s">
        <v>67</v>
      </c>
      <c r="Q65" s="1" t="s">
        <v>55</v>
      </c>
      <c r="R65" s="1" t="s">
        <v>202</v>
      </c>
      <c r="S65" s="2">
        <v>46190</v>
      </c>
      <c r="T65" s="2">
        <v>46190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</row>
    <row r="66" spans="1:39" x14ac:dyDescent="0.25">
      <c r="A66" s="1">
        <v>95</v>
      </c>
      <c r="B66" s="1" t="s">
        <v>242</v>
      </c>
      <c r="C66" s="1" t="s">
        <v>240</v>
      </c>
      <c r="D66" s="1" t="s">
        <v>109</v>
      </c>
      <c r="E66" s="1" t="s">
        <v>52</v>
      </c>
      <c r="F66" s="3">
        <v>46210</v>
      </c>
      <c r="G66" s="3">
        <v>46210</v>
      </c>
      <c r="H66" s="4">
        <v>0</v>
      </c>
      <c r="J66" s="1" t="s">
        <v>83</v>
      </c>
      <c r="K66" s="1">
        <v>94</v>
      </c>
      <c r="L66" s="1">
        <v>96</v>
      </c>
      <c r="M66" s="1" t="s">
        <v>182</v>
      </c>
      <c r="N66" s="2">
        <v>46202</v>
      </c>
      <c r="P66" s="1" t="s">
        <v>235</v>
      </c>
      <c r="Q66" s="1" t="s">
        <v>55</v>
      </c>
      <c r="R66" s="1" t="s">
        <v>202</v>
      </c>
      <c r="S66" s="2">
        <v>46191</v>
      </c>
      <c r="T66" s="2">
        <v>46192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</row>
    <row r="67" spans="1:39" x14ac:dyDescent="0.25">
      <c r="A67" s="1">
        <v>96</v>
      </c>
      <c r="B67" s="1" t="s">
        <v>243</v>
      </c>
      <c r="C67" s="1" t="s">
        <v>240</v>
      </c>
      <c r="D67" s="1" t="s">
        <v>115</v>
      </c>
      <c r="E67" s="1" t="s">
        <v>52</v>
      </c>
      <c r="F67" s="3">
        <v>46211</v>
      </c>
      <c r="G67" s="3">
        <v>46211</v>
      </c>
      <c r="H67" s="4">
        <v>0</v>
      </c>
      <c r="J67" s="1" t="s">
        <v>83</v>
      </c>
      <c r="K67" s="1">
        <v>95</v>
      </c>
      <c r="M67" s="1" t="s">
        <v>160</v>
      </c>
      <c r="N67" s="2">
        <v>46203</v>
      </c>
      <c r="P67" s="1" t="s">
        <v>235</v>
      </c>
      <c r="Q67" s="1" t="s">
        <v>55</v>
      </c>
      <c r="R67" s="1" t="s">
        <v>202</v>
      </c>
      <c r="S67" s="2">
        <v>46195</v>
      </c>
      <c r="T67" s="2">
        <v>46195</v>
      </c>
      <c r="AB67" s="1">
        <v>0</v>
      </c>
      <c r="AC67" s="1">
        <v>0</v>
      </c>
      <c r="AD67" s="1">
        <v>0</v>
      </c>
      <c r="AE67" s="1">
        <v>0</v>
      </c>
      <c r="AF67" s="1">
        <v>1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</row>
    <row r="68" spans="1:39" x14ac:dyDescent="0.25">
      <c r="A68" s="1">
        <v>97</v>
      </c>
      <c r="B68" s="1" t="s">
        <v>244</v>
      </c>
      <c r="C68" s="1" t="s">
        <v>204</v>
      </c>
      <c r="D68" s="1" t="s">
        <v>245</v>
      </c>
      <c r="E68" s="1" t="s">
        <v>227</v>
      </c>
      <c r="F68" s="3">
        <v>46203</v>
      </c>
      <c r="G68" s="3">
        <v>46211</v>
      </c>
      <c r="H68" s="4">
        <v>0</v>
      </c>
      <c r="J68" s="1" t="s">
        <v>41</v>
      </c>
      <c r="M68" s="1" t="s">
        <v>228</v>
      </c>
      <c r="N68" s="2">
        <v>46203</v>
      </c>
      <c r="P68" s="1" t="s">
        <v>67</v>
      </c>
      <c r="Q68" s="1" t="s">
        <v>55</v>
      </c>
      <c r="R68" s="1" t="s">
        <v>202</v>
      </c>
      <c r="S68" s="2">
        <v>46183</v>
      </c>
      <c r="T68" s="2">
        <v>46195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</row>
    <row r="69" spans="1:39" x14ac:dyDescent="0.25">
      <c r="A69" s="1">
        <v>98</v>
      </c>
      <c r="B69" s="1" t="s">
        <v>246</v>
      </c>
      <c r="C69" s="1" t="s">
        <v>247</v>
      </c>
      <c r="D69" s="1" t="s">
        <v>101</v>
      </c>
      <c r="E69" s="1" t="s">
        <v>231</v>
      </c>
      <c r="F69" s="3">
        <v>46203</v>
      </c>
      <c r="G69" s="3">
        <v>46206</v>
      </c>
      <c r="H69" s="4">
        <v>0</v>
      </c>
      <c r="J69" s="1" t="s">
        <v>41</v>
      </c>
      <c r="K69" s="1">
        <v>245</v>
      </c>
      <c r="L69" s="1">
        <v>99</v>
      </c>
      <c r="M69" s="1" t="s">
        <v>228</v>
      </c>
      <c r="N69" s="2">
        <v>46197</v>
      </c>
      <c r="P69" s="1" t="s">
        <v>67</v>
      </c>
      <c r="Q69" s="1" t="s">
        <v>55</v>
      </c>
      <c r="R69" s="1" t="s">
        <v>202</v>
      </c>
      <c r="S69" s="2">
        <v>46183</v>
      </c>
      <c r="T69" s="2">
        <v>46189</v>
      </c>
      <c r="AB69" s="1">
        <v>0</v>
      </c>
      <c r="AC69" s="1">
        <v>1</v>
      </c>
      <c r="AD69" s="1">
        <v>0</v>
      </c>
      <c r="AE69" s="1">
        <v>1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</row>
    <row r="70" spans="1:39" x14ac:dyDescent="0.25">
      <c r="A70" s="1">
        <v>99</v>
      </c>
      <c r="B70" s="1" t="s">
        <v>248</v>
      </c>
      <c r="C70" s="1" t="s">
        <v>247</v>
      </c>
      <c r="D70" s="1" t="s">
        <v>105</v>
      </c>
      <c r="E70" s="1" t="s">
        <v>52</v>
      </c>
      <c r="F70" s="3">
        <v>46209</v>
      </c>
      <c r="G70" s="3">
        <v>46209</v>
      </c>
      <c r="H70" s="4">
        <v>0</v>
      </c>
      <c r="J70" s="1" t="s">
        <v>83</v>
      </c>
      <c r="K70" s="1">
        <v>98</v>
      </c>
      <c r="L70" s="1">
        <v>100</v>
      </c>
      <c r="M70" s="1" t="s">
        <v>233</v>
      </c>
      <c r="N70" s="2">
        <v>46198</v>
      </c>
      <c r="P70" s="1" t="s">
        <v>67</v>
      </c>
      <c r="Q70" s="1" t="s">
        <v>55</v>
      </c>
      <c r="R70" s="1" t="s">
        <v>202</v>
      </c>
      <c r="S70" s="2">
        <v>46190</v>
      </c>
      <c r="T70" s="2">
        <v>46190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</row>
    <row r="71" spans="1:39" x14ac:dyDescent="0.25">
      <c r="A71" s="1">
        <v>100</v>
      </c>
      <c r="B71" s="1" t="s">
        <v>249</v>
      </c>
      <c r="C71" s="1" t="s">
        <v>247</v>
      </c>
      <c r="D71" s="1" t="s">
        <v>109</v>
      </c>
      <c r="E71" s="1" t="s">
        <v>52</v>
      </c>
      <c r="F71" s="3">
        <v>46210</v>
      </c>
      <c r="G71" s="3">
        <v>46210</v>
      </c>
      <c r="H71" s="4">
        <v>0</v>
      </c>
      <c r="J71" s="1" t="s">
        <v>83</v>
      </c>
      <c r="K71" s="1">
        <v>99</v>
      </c>
      <c r="L71" s="1">
        <v>101</v>
      </c>
      <c r="M71" s="1" t="s">
        <v>182</v>
      </c>
      <c r="N71" s="2">
        <v>46202</v>
      </c>
      <c r="P71" s="1" t="s">
        <v>235</v>
      </c>
      <c r="Q71" s="1" t="s">
        <v>55</v>
      </c>
      <c r="R71" s="1" t="s">
        <v>202</v>
      </c>
      <c r="S71" s="2">
        <v>46191</v>
      </c>
      <c r="T71" s="2">
        <v>46192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</row>
    <row r="72" spans="1:39" x14ac:dyDescent="0.25">
      <c r="A72" s="1">
        <v>101</v>
      </c>
      <c r="B72" s="1" t="s">
        <v>250</v>
      </c>
      <c r="C72" s="1" t="s">
        <v>247</v>
      </c>
      <c r="D72" s="1" t="s">
        <v>115</v>
      </c>
      <c r="E72" s="1" t="s">
        <v>52</v>
      </c>
      <c r="F72" s="3">
        <v>46211</v>
      </c>
      <c r="G72" s="3">
        <v>46211</v>
      </c>
      <c r="H72" s="4">
        <v>0</v>
      </c>
      <c r="J72" s="1" t="s">
        <v>83</v>
      </c>
      <c r="K72" s="1">
        <v>100</v>
      </c>
      <c r="M72" s="1" t="s">
        <v>160</v>
      </c>
      <c r="N72" s="2">
        <v>46203</v>
      </c>
      <c r="P72" s="1" t="s">
        <v>235</v>
      </c>
      <c r="Q72" s="1" t="s">
        <v>55</v>
      </c>
      <c r="R72" s="1" t="s">
        <v>202</v>
      </c>
      <c r="S72" s="2">
        <v>46195</v>
      </c>
      <c r="T72" s="2">
        <v>46195</v>
      </c>
      <c r="AB72" s="1">
        <v>0</v>
      </c>
      <c r="AC72" s="1">
        <v>0</v>
      </c>
      <c r="AD72" s="1">
        <v>0</v>
      </c>
      <c r="AE72" s="1">
        <v>0</v>
      </c>
      <c r="AF72" s="1">
        <v>1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</row>
    <row r="73" spans="1:39" x14ac:dyDescent="0.25">
      <c r="A73" s="1">
        <v>102</v>
      </c>
      <c r="B73" s="1" t="s">
        <v>251</v>
      </c>
      <c r="C73" s="1" t="s">
        <v>204</v>
      </c>
      <c r="D73" s="1" t="s">
        <v>252</v>
      </c>
      <c r="E73" s="1" t="s">
        <v>227</v>
      </c>
      <c r="F73" s="3">
        <v>46203</v>
      </c>
      <c r="G73" s="3">
        <v>46211</v>
      </c>
      <c r="H73" s="4">
        <v>0</v>
      </c>
      <c r="J73" s="1" t="s">
        <v>41</v>
      </c>
      <c r="M73" s="1" t="s">
        <v>228</v>
      </c>
      <c r="N73" s="2">
        <v>46203</v>
      </c>
      <c r="P73" s="1" t="s">
        <v>67</v>
      </c>
      <c r="Q73" s="1" t="s">
        <v>55</v>
      </c>
      <c r="R73" s="1" t="s">
        <v>202</v>
      </c>
      <c r="S73" s="2">
        <v>46183</v>
      </c>
      <c r="T73" s="2">
        <v>46195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</row>
    <row r="74" spans="1:39" x14ac:dyDescent="0.25">
      <c r="A74" s="1">
        <v>103</v>
      </c>
      <c r="B74" s="1" t="s">
        <v>253</v>
      </c>
      <c r="C74" s="1" t="s">
        <v>254</v>
      </c>
      <c r="D74" s="1" t="s">
        <v>101</v>
      </c>
      <c r="E74" s="1" t="s">
        <v>231</v>
      </c>
      <c r="F74" s="3">
        <v>46203</v>
      </c>
      <c r="G74" s="3">
        <v>46206</v>
      </c>
      <c r="H74" s="4">
        <v>0</v>
      </c>
      <c r="J74" s="1" t="s">
        <v>41</v>
      </c>
      <c r="K74" s="1">
        <v>245</v>
      </c>
      <c r="L74" s="1">
        <v>104</v>
      </c>
      <c r="M74" s="1" t="s">
        <v>228</v>
      </c>
      <c r="N74" s="2">
        <v>46197</v>
      </c>
      <c r="P74" s="1" t="s">
        <v>67</v>
      </c>
      <c r="Q74" s="1" t="s">
        <v>55</v>
      </c>
      <c r="R74" s="1" t="s">
        <v>202</v>
      </c>
      <c r="S74" s="2">
        <v>46183</v>
      </c>
      <c r="T74" s="2">
        <v>46189</v>
      </c>
      <c r="AB74" s="1">
        <v>0</v>
      </c>
      <c r="AC74" s="1">
        <v>1</v>
      </c>
      <c r="AD74" s="1">
        <v>0</v>
      </c>
      <c r="AE74" s="1">
        <v>1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</row>
    <row r="75" spans="1:39" x14ac:dyDescent="0.25">
      <c r="A75" s="1">
        <v>104</v>
      </c>
      <c r="B75" s="1" t="s">
        <v>255</v>
      </c>
      <c r="C75" s="1" t="s">
        <v>254</v>
      </c>
      <c r="D75" s="1" t="s">
        <v>105</v>
      </c>
      <c r="E75" s="1" t="s">
        <v>52</v>
      </c>
      <c r="F75" s="3">
        <v>46209</v>
      </c>
      <c r="G75" s="3">
        <v>46209</v>
      </c>
      <c r="H75" s="4">
        <v>0</v>
      </c>
      <c r="J75" s="1" t="s">
        <v>83</v>
      </c>
      <c r="K75" s="1">
        <v>103</v>
      </c>
      <c r="L75" s="1">
        <v>105</v>
      </c>
      <c r="M75" s="1" t="s">
        <v>233</v>
      </c>
      <c r="N75" s="2">
        <v>46198</v>
      </c>
      <c r="P75" s="1" t="s">
        <v>67</v>
      </c>
      <c r="Q75" s="1" t="s">
        <v>55</v>
      </c>
      <c r="R75" s="1" t="s">
        <v>202</v>
      </c>
      <c r="S75" s="2">
        <v>46190</v>
      </c>
      <c r="T75" s="2">
        <v>46190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</row>
    <row r="76" spans="1:39" x14ac:dyDescent="0.25">
      <c r="A76" s="1">
        <v>105</v>
      </c>
      <c r="B76" s="1" t="s">
        <v>256</v>
      </c>
      <c r="C76" s="1" t="s">
        <v>254</v>
      </c>
      <c r="D76" s="1" t="s">
        <v>109</v>
      </c>
      <c r="E76" s="1" t="s">
        <v>52</v>
      </c>
      <c r="F76" s="3">
        <v>46210</v>
      </c>
      <c r="G76" s="3">
        <v>46210</v>
      </c>
      <c r="H76" s="4">
        <v>0</v>
      </c>
      <c r="J76" s="1" t="s">
        <v>83</v>
      </c>
      <c r="K76" s="1">
        <v>104</v>
      </c>
      <c r="L76" s="1">
        <v>106</v>
      </c>
      <c r="M76" s="1" t="s">
        <v>182</v>
      </c>
      <c r="N76" s="2">
        <v>46202</v>
      </c>
      <c r="P76" s="1" t="s">
        <v>235</v>
      </c>
      <c r="Q76" s="1" t="s">
        <v>55</v>
      </c>
      <c r="R76" s="1" t="s">
        <v>202</v>
      </c>
      <c r="S76" s="2">
        <v>46191</v>
      </c>
      <c r="T76" s="2">
        <v>46192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</row>
    <row r="77" spans="1:39" x14ac:dyDescent="0.25">
      <c r="A77" s="1">
        <v>106</v>
      </c>
      <c r="B77" s="1" t="s">
        <v>257</v>
      </c>
      <c r="C77" s="1" t="s">
        <v>254</v>
      </c>
      <c r="D77" s="1" t="s">
        <v>115</v>
      </c>
      <c r="E77" s="1" t="s">
        <v>52</v>
      </c>
      <c r="F77" s="3">
        <v>46211</v>
      </c>
      <c r="G77" s="3">
        <v>46211</v>
      </c>
      <c r="H77" s="4">
        <v>0</v>
      </c>
      <c r="J77" s="1" t="s">
        <v>83</v>
      </c>
      <c r="K77" s="1">
        <v>105</v>
      </c>
      <c r="M77" s="1" t="s">
        <v>160</v>
      </c>
      <c r="N77" s="2">
        <v>46203</v>
      </c>
      <c r="P77" s="1" t="s">
        <v>235</v>
      </c>
      <c r="Q77" s="1" t="s">
        <v>55</v>
      </c>
      <c r="R77" s="1" t="s">
        <v>202</v>
      </c>
      <c r="S77" s="2">
        <v>46195</v>
      </c>
      <c r="T77" s="2">
        <v>46195</v>
      </c>
      <c r="AB77" s="1">
        <v>0</v>
      </c>
      <c r="AC77" s="1">
        <v>0</v>
      </c>
      <c r="AD77" s="1">
        <v>0</v>
      </c>
      <c r="AE77" s="1">
        <v>0</v>
      </c>
      <c r="AF77" s="1">
        <v>1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</row>
    <row r="78" spans="1:39" x14ac:dyDescent="0.25">
      <c r="A78" s="1">
        <v>107</v>
      </c>
      <c r="B78" s="1" t="s">
        <v>258</v>
      </c>
      <c r="C78" s="1" t="s">
        <v>204</v>
      </c>
      <c r="D78" s="1" t="s">
        <v>259</v>
      </c>
      <c r="E78" s="1" t="s">
        <v>260</v>
      </c>
      <c r="F78" s="3">
        <v>46176</v>
      </c>
      <c r="G78" s="3">
        <v>46191</v>
      </c>
      <c r="H78" s="4">
        <v>1</v>
      </c>
      <c r="I78" s="3">
        <v>46191</v>
      </c>
      <c r="J78" s="1" t="s">
        <v>53</v>
      </c>
      <c r="M78" s="1" t="s">
        <v>261</v>
      </c>
      <c r="N78" s="2">
        <v>46191</v>
      </c>
      <c r="P78" s="1" t="s">
        <v>119</v>
      </c>
      <c r="Q78" s="1" t="s">
        <v>55</v>
      </c>
      <c r="R78" s="1" t="s">
        <v>202</v>
      </c>
      <c r="S78" s="2">
        <v>46163</v>
      </c>
      <c r="T78" s="2">
        <v>46178</v>
      </c>
      <c r="AB78" s="1">
        <v>1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</row>
    <row r="79" spans="1:39" x14ac:dyDescent="0.25">
      <c r="A79" s="1">
        <v>108</v>
      </c>
      <c r="B79" s="1" t="s">
        <v>262</v>
      </c>
      <c r="C79" s="1" t="s">
        <v>263</v>
      </c>
      <c r="D79" s="1" t="s">
        <v>101</v>
      </c>
      <c r="E79" s="1" t="s">
        <v>264</v>
      </c>
      <c r="F79" s="3">
        <v>46176</v>
      </c>
      <c r="G79" s="3">
        <v>46185</v>
      </c>
      <c r="H79" s="4">
        <v>1</v>
      </c>
      <c r="I79" s="3">
        <v>46185</v>
      </c>
      <c r="J79" s="1" t="s">
        <v>53</v>
      </c>
      <c r="K79" s="1">
        <v>129</v>
      </c>
      <c r="L79" s="1">
        <v>109</v>
      </c>
      <c r="M79" s="1" t="s">
        <v>261</v>
      </c>
      <c r="N79" s="2">
        <v>46185</v>
      </c>
      <c r="P79" s="1" t="s">
        <v>119</v>
      </c>
      <c r="Q79" s="1" t="s">
        <v>55</v>
      </c>
      <c r="R79" s="1" t="s">
        <v>202</v>
      </c>
      <c r="S79" s="2">
        <v>46163</v>
      </c>
      <c r="T79" s="2">
        <v>46174</v>
      </c>
      <c r="AB79" s="1">
        <v>1</v>
      </c>
      <c r="AC79" s="1">
        <v>1</v>
      </c>
      <c r="AD79" s="1">
        <v>1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1</v>
      </c>
    </row>
    <row r="80" spans="1:39" x14ac:dyDescent="0.25">
      <c r="A80" s="1">
        <v>109</v>
      </c>
      <c r="B80" s="1" t="s">
        <v>265</v>
      </c>
      <c r="C80" s="1" t="s">
        <v>263</v>
      </c>
      <c r="D80" s="1" t="s">
        <v>105</v>
      </c>
      <c r="E80" s="1" t="s">
        <v>52</v>
      </c>
      <c r="F80" s="3">
        <v>46188</v>
      </c>
      <c r="G80" s="3">
        <v>46188</v>
      </c>
      <c r="H80" s="4">
        <v>1</v>
      </c>
      <c r="I80" s="3">
        <v>46188</v>
      </c>
      <c r="J80" s="1" t="s">
        <v>53</v>
      </c>
      <c r="K80" s="1">
        <v>108</v>
      </c>
      <c r="L80" s="1">
        <v>110</v>
      </c>
      <c r="M80" s="1" t="s">
        <v>266</v>
      </c>
      <c r="N80" s="2">
        <v>46188</v>
      </c>
      <c r="P80" s="1" t="s">
        <v>73</v>
      </c>
      <c r="Q80" s="1" t="s">
        <v>55</v>
      </c>
      <c r="R80" s="1" t="s">
        <v>202</v>
      </c>
      <c r="S80" s="2">
        <v>46175</v>
      </c>
      <c r="T80" s="2">
        <v>46175</v>
      </c>
      <c r="AB80" s="1">
        <v>1</v>
      </c>
      <c r="AC80" s="1">
        <v>0</v>
      </c>
      <c r="AD80" s="1">
        <v>0</v>
      </c>
      <c r="AE80" s="1">
        <v>0</v>
      </c>
      <c r="AF80" s="1">
        <v>0</v>
      </c>
      <c r="AG80" s="1">
        <v>1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</row>
    <row r="81" spans="1:39" x14ac:dyDescent="0.25">
      <c r="A81" s="1">
        <v>110</v>
      </c>
      <c r="B81" s="1" t="s">
        <v>267</v>
      </c>
      <c r="C81" s="1" t="s">
        <v>263</v>
      </c>
      <c r="D81" s="1" t="s">
        <v>109</v>
      </c>
      <c r="E81" s="1" t="s">
        <v>116</v>
      </c>
      <c r="F81" s="3">
        <v>46189</v>
      </c>
      <c r="G81" s="3">
        <v>46190</v>
      </c>
      <c r="H81" s="4">
        <v>1</v>
      </c>
      <c r="I81" s="3">
        <v>46190</v>
      </c>
      <c r="J81" s="1" t="s">
        <v>53</v>
      </c>
      <c r="K81" s="1">
        <v>109</v>
      </c>
      <c r="L81" s="1">
        <v>111</v>
      </c>
      <c r="M81" s="1" t="s">
        <v>268</v>
      </c>
      <c r="N81" s="2">
        <v>46190</v>
      </c>
      <c r="P81" s="1" t="s">
        <v>73</v>
      </c>
      <c r="Q81" s="1" t="s">
        <v>55</v>
      </c>
      <c r="R81" s="1" t="s">
        <v>202</v>
      </c>
      <c r="S81" s="2">
        <v>46176</v>
      </c>
      <c r="T81" s="2">
        <v>46177</v>
      </c>
      <c r="AB81" s="1">
        <v>1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1</v>
      </c>
      <c r="AJ81" s="1">
        <v>0</v>
      </c>
      <c r="AK81" s="1">
        <v>0</v>
      </c>
      <c r="AL81" s="1">
        <v>0</v>
      </c>
      <c r="AM81" s="1">
        <v>0</v>
      </c>
    </row>
    <row r="82" spans="1:39" x14ac:dyDescent="0.25">
      <c r="A82" s="1">
        <v>111</v>
      </c>
      <c r="B82" s="1" t="s">
        <v>269</v>
      </c>
      <c r="C82" s="1" t="s">
        <v>263</v>
      </c>
      <c r="D82" s="1" t="s">
        <v>115</v>
      </c>
      <c r="E82" s="1" t="s">
        <v>52</v>
      </c>
      <c r="F82" s="3">
        <v>46191</v>
      </c>
      <c r="G82" s="3">
        <v>46191</v>
      </c>
      <c r="H82" s="4">
        <v>1</v>
      </c>
      <c r="I82" s="3">
        <v>46191</v>
      </c>
      <c r="J82" s="1" t="s">
        <v>53</v>
      </c>
      <c r="K82" s="1">
        <v>110</v>
      </c>
      <c r="M82" s="1" t="s">
        <v>228</v>
      </c>
      <c r="N82" s="2">
        <v>46191</v>
      </c>
      <c r="P82" s="1" t="s">
        <v>73</v>
      </c>
      <c r="Q82" s="1" t="s">
        <v>55</v>
      </c>
      <c r="R82" s="1" t="s">
        <v>202</v>
      </c>
      <c r="S82" s="2">
        <v>46178</v>
      </c>
      <c r="T82" s="2">
        <v>46178</v>
      </c>
      <c r="AB82" s="1">
        <v>1</v>
      </c>
      <c r="AC82" s="1">
        <v>0</v>
      </c>
      <c r="AD82" s="1">
        <v>0</v>
      </c>
      <c r="AE82" s="1">
        <v>0</v>
      </c>
      <c r="AF82" s="1">
        <v>1</v>
      </c>
      <c r="AG82" s="1">
        <v>0</v>
      </c>
      <c r="AH82" s="1">
        <v>0</v>
      </c>
      <c r="AI82" s="1">
        <v>0</v>
      </c>
      <c r="AJ82" s="1">
        <v>0</v>
      </c>
      <c r="AK82" s="1">
        <v>1</v>
      </c>
      <c r="AL82" s="1">
        <v>0</v>
      </c>
      <c r="AM82" s="1">
        <v>0</v>
      </c>
    </row>
    <row r="83" spans="1:39" x14ac:dyDescent="0.25">
      <c r="A83" s="1">
        <v>117</v>
      </c>
      <c r="B83" s="1" t="s">
        <v>270</v>
      </c>
      <c r="C83" s="1" t="s">
        <v>204</v>
      </c>
      <c r="D83" s="1" t="s">
        <v>271</v>
      </c>
      <c r="E83" s="1" t="s">
        <v>272</v>
      </c>
      <c r="F83" s="3">
        <v>46185</v>
      </c>
      <c r="G83" s="3">
        <v>46196</v>
      </c>
      <c r="H83" s="4">
        <v>0.83</v>
      </c>
      <c r="J83" s="1" t="s">
        <v>41</v>
      </c>
      <c r="M83" s="1" t="s">
        <v>261</v>
      </c>
      <c r="N83" s="2">
        <v>46188</v>
      </c>
      <c r="P83" s="1" t="s">
        <v>76</v>
      </c>
      <c r="Q83" s="1" t="s">
        <v>55</v>
      </c>
      <c r="R83" s="1" t="s">
        <v>202</v>
      </c>
      <c r="S83" s="2">
        <v>46163</v>
      </c>
      <c r="T83" s="2">
        <v>46175</v>
      </c>
      <c r="AB83" s="1">
        <v>0.83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</row>
    <row r="84" spans="1:39" x14ac:dyDescent="0.25">
      <c r="A84" s="1">
        <v>118</v>
      </c>
      <c r="B84" s="1" t="s">
        <v>273</v>
      </c>
      <c r="C84" s="1" t="s">
        <v>274</v>
      </c>
      <c r="D84" s="1" t="s">
        <v>101</v>
      </c>
      <c r="E84" s="1" t="s">
        <v>116</v>
      </c>
      <c r="F84" s="3">
        <v>46185</v>
      </c>
      <c r="G84" s="3">
        <v>46188</v>
      </c>
      <c r="H84" s="4">
        <v>1</v>
      </c>
      <c r="I84" s="3">
        <v>46188</v>
      </c>
      <c r="J84" s="1" t="s">
        <v>53</v>
      </c>
      <c r="K84" s="1">
        <v>129</v>
      </c>
      <c r="L84" s="1" t="s">
        <v>275</v>
      </c>
      <c r="M84" s="1" t="s">
        <v>261</v>
      </c>
      <c r="N84" s="2">
        <v>46182</v>
      </c>
      <c r="P84" s="1" t="s">
        <v>76</v>
      </c>
      <c r="Q84" s="1" t="s">
        <v>55</v>
      </c>
      <c r="R84" s="1" t="s">
        <v>202</v>
      </c>
      <c r="S84" s="2">
        <v>46163</v>
      </c>
      <c r="T84" s="2">
        <v>46169</v>
      </c>
      <c r="AB84" s="1">
        <v>1</v>
      </c>
      <c r="AC84" s="1">
        <v>1</v>
      </c>
      <c r="AD84" s="1">
        <v>1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1</v>
      </c>
    </row>
    <row r="85" spans="1:39" x14ac:dyDescent="0.25">
      <c r="A85" s="1">
        <v>119</v>
      </c>
      <c r="B85" s="1" t="s">
        <v>276</v>
      </c>
      <c r="C85" s="1" t="s">
        <v>274</v>
      </c>
      <c r="D85" s="1" t="s">
        <v>105</v>
      </c>
      <c r="E85" s="1" t="s">
        <v>52</v>
      </c>
      <c r="F85" s="3">
        <v>46189</v>
      </c>
      <c r="G85" s="3">
        <v>46190</v>
      </c>
      <c r="H85" s="4">
        <v>1</v>
      </c>
      <c r="I85" s="3">
        <v>46190</v>
      </c>
      <c r="J85" s="1" t="s">
        <v>53</v>
      </c>
      <c r="K85" s="1">
        <v>118</v>
      </c>
      <c r="L85" s="1" t="s">
        <v>277</v>
      </c>
      <c r="M85" s="1" t="s">
        <v>224</v>
      </c>
      <c r="N85" s="2">
        <v>46183</v>
      </c>
      <c r="P85" s="1" t="s">
        <v>73</v>
      </c>
      <c r="Q85" s="1" t="s">
        <v>55</v>
      </c>
      <c r="R85" s="1" t="s">
        <v>202</v>
      </c>
      <c r="S85" s="2">
        <v>46170</v>
      </c>
      <c r="T85" s="2">
        <v>46170</v>
      </c>
      <c r="AB85" s="1">
        <v>1</v>
      </c>
      <c r="AC85" s="1">
        <v>0</v>
      </c>
      <c r="AD85" s="1">
        <v>0</v>
      </c>
      <c r="AE85" s="1">
        <v>0</v>
      </c>
      <c r="AF85" s="1">
        <v>0</v>
      </c>
      <c r="AG85" s="1">
        <v>1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</row>
    <row r="86" spans="1:39" x14ac:dyDescent="0.25">
      <c r="A86" s="1">
        <v>120</v>
      </c>
      <c r="B86" s="1" t="s">
        <v>278</v>
      </c>
      <c r="C86" s="1" t="s">
        <v>274</v>
      </c>
      <c r="D86" s="1" t="s">
        <v>109</v>
      </c>
      <c r="E86" s="1" t="s">
        <v>116</v>
      </c>
      <c r="F86" s="3">
        <v>46191</v>
      </c>
      <c r="G86" s="3">
        <v>46192</v>
      </c>
      <c r="H86" s="4">
        <v>1</v>
      </c>
      <c r="I86" s="3">
        <v>46192</v>
      </c>
      <c r="J86" s="1" t="s">
        <v>53</v>
      </c>
      <c r="K86" s="1">
        <v>119</v>
      </c>
      <c r="L86" s="1">
        <v>121</v>
      </c>
      <c r="M86" s="1" t="s">
        <v>179</v>
      </c>
      <c r="N86" s="2">
        <v>46185</v>
      </c>
      <c r="P86" s="1" t="s">
        <v>73</v>
      </c>
      <c r="Q86" s="1" t="s">
        <v>55</v>
      </c>
      <c r="R86" s="1" t="s">
        <v>202</v>
      </c>
      <c r="S86" s="2">
        <v>46171</v>
      </c>
      <c r="T86" s="2">
        <v>46174</v>
      </c>
      <c r="AB86" s="1">
        <v>1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1</v>
      </c>
      <c r="AJ86" s="1">
        <v>0</v>
      </c>
      <c r="AK86" s="1">
        <v>0</v>
      </c>
      <c r="AL86" s="1">
        <v>0</v>
      </c>
      <c r="AM86" s="1">
        <v>0</v>
      </c>
    </row>
    <row r="87" spans="1:39" x14ac:dyDescent="0.25">
      <c r="A87" s="1">
        <v>121</v>
      </c>
      <c r="B87" s="1" t="s">
        <v>279</v>
      </c>
      <c r="C87" s="1" t="s">
        <v>274</v>
      </c>
      <c r="D87" s="1" t="s">
        <v>115</v>
      </c>
      <c r="E87" s="1" t="s">
        <v>52</v>
      </c>
      <c r="F87" s="3">
        <v>46196</v>
      </c>
      <c r="G87" s="3">
        <v>46196</v>
      </c>
      <c r="H87" s="4">
        <v>0</v>
      </c>
      <c r="J87" s="1" t="s">
        <v>41</v>
      </c>
      <c r="K87" s="1">
        <v>120</v>
      </c>
      <c r="M87" s="1" t="s">
        <v>266</v>
      </c>
      <c r="N87" s="2">
        <v>46188</v>
      </c>
      <c r="P87" s="1" t="s">
        <v>146</v>
      </c>
      <c r="Q87" s="1" t="s">
        <v>55</v>
      </c>
      <c r="R87" s="1" t="s">
        <v>202</v>
      </c>
      <c r="S87" s="2">
        <v>46175</v>
      </c>
      <c r="T87" s="2">
        <v>46175</v>
      </c>
      <c r="AB87" s="1">
        <v>0</v>
      </c>
      <c r="AC87" s="1">
        <v>0</v>
      </c>
      <c r="AD87" s="1">
        <v>0</v>
      </c>
      <c r="AE87" s="1">
        <v>0</v>
      </c>
      <c r="AF87" s="1">
        <v>1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1</v>
      </c>
      <c r="AM87" s="1">
        <v>0</v>
      </c>
    </row>
    <row r="88" spans="1:39" x14ac:dyDescent="0.25">
      <c r="A88" s="1">
        <v>122</v>
      </c>
      <c r="B88" s="1" t="s">
        <v>280</v>
      </c>
      <c r="C88" s="1" t="s">
        <v>204</v>
      </c>
      <c r="D88" s="1" t="s">
        <v>281</v>
      </c>
      <c r="E88" s="1" t="s">
        <v>272</v>
      </c>
      <c r="F88" s="3">
        <v>46185</v>
      </c>
      <c r="G88" s="3">
        <v>46196</v>
      </c>
      <c r="H88" s="4">
        <v>0.83</v>
      </c>
      <c r="J88" s="1" t="s">
        <v>41</v>
      </c>
      <c r="M88" s="1" t="s">
        <v>261</v>
      </c>
      <c r="N88" s="2">
        <v>46188</v>
      </c>
      <c r="P88" s="1" t="s">
        <v>76</v>
      </c>
      <c r="Q88" s="1" t="s">
        <v>55</v>
      </c>
      <c r="R88" s="1" t="s">
        <v>202</v>
      </c>
      <c r="S88" s="2">
        <v>46163</v>
      </c>
      <c r="T88" s="2">
        <v>46175</v>
      </c>
      <c r="U88" s="1" t="s">
        <v>77</v>
      </c>
      <c r="AB88" s="1">
        <v>0.83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</row>
    <row r="89" spans="1:39" x14ac:dyDescent="0.25">
      <c r="A89" s="1">
        <v>123</v>
      </c>
      <c r="B89" s="1" t="s">
        <v>282</v>
      </c>
      <c r="C89" s="1" t="s">
        <v>283</v>
      </c>
      <c r="D89" s="1" t="s">
        <v>101</v>
      </c>
      <c r="E89" s="1" t="s">
        <v>116</v>
      </c>
      <c r="F89" s="3">
        <v>46185</v>
      </c>
      <c r="G89" s="3">
        <v>46188</v>
      </c>
      <c r="H89" s="4">
        <v>1</v>
      </c>
      <c r="I89" s="3">
        <v>46188</v>
      </c>
      <c r="J89" s="1" t="s">
        <v>53</v>
      </c>
      <c r="K89" s="1">
        <v>129</v>
      </c>
      <c r="L89" s="1" t="s">
        <v>284</v>
      </c>
      <c r="M89" s="1" t="s">
        <v>261</v>
      </c>
      <c r="N89" s="2">
        <v>46182</v>
      </c>
      <c r="P89" s="1" t="s">
        <v>76</v>
      </c>
      <c r="Q89" s="1" t="s">
        <v>55</v>
      </c>
      <c r="R89" s="1" t="s">
        <v>202</v>
      </c>
      <c r="S89" s="2">
        <v>46163</v>
      </c>
      <c r="T89" s="2">
        <v>46169</v>
      </c>
      <c r="AB89" s="1">
        <v>1</v>
      </c>
      <c r="AC89" s="1">
        <v>1</v>
      </c>
      <c r="AD89" s="1">
        <v>1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1</v>
      </c>
    </row>
    <row r="90" spans="1:39" x14ac:dyDescent="0.25">
      <c r="A90" s="1">
        <v>124</v>
      </c>
      <c r="B90" s="1" t="s">
        <v>285</v>
      </c>
      <c r="C90" s="1" t="s">
        <v>283</v>
      </c>
      <c r="D90" s="1" t="s">
        <v>105</v>
      </c>
      <c r="E90" s="1" t="s">
        <v>52</v>
      </c>
      <c r="F90" s="3">
        <v>46190</v>
      </c>
      <c r="G90" s="3">
        <v>46190</v>
      </c>
      <c r="H90" s="4">
        <v>1</v>
      </c>
      <c r="I90" s="3">
        <v>46190</v>
      </c>
      <c r="J90" s="1" t="s">
        <v>53</v>
      </c>
      <c r="K90" s="1">
        <v>123</v>
      </c>
      <c r="L90" s="1" t="s">
        <v>286</v>
      </c>
      <c r="M90" s="1" t="s">
        <v>224</v>
      </c>
      <c r="N90" s="2">
        <v>46183</v>
      </c>
      <c r="P90" s="1" t="s">
        <v>73</v>
      </c>
      <c r="Q90" s="1" t="s">
        <v>55</v>
      </c>
      <c r="R90" s="1" t="s">
        <v>202</v>
      </c>
      <c r="S90" s="2">
        <v>46170</v>
      </c>
      <c r="T90" s="2">
        <v>46170</v>
      </c>
      <c r="AB90" s="1">
        <v>1</v>
      </c>
      <c r="AC90" s="1">
        <v>0</v>
      </c>
      <c r="AD90" s="1">
        <v>0</v>
      </c>
      <c r="AE90" s="1">
        <v>0</v>
      </c>
      <c r="AF90" s="1">
        <v>0</v>
      </c>
      <c r="AG90" s="1">
        <v>1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</row>
    <row r="91" spans="1:39" x14ac:dyDescent="0.25">
      <c r="A91" s="1">
        <v>125</v>
      </c>
      <c r="B91" s="1" t="s">
        <v>287</v>
      </c>
      <c r="C91" s="1" t="s">
        <v>283</v>
      </c>
      <c r="D91" s="1" t="s">
        <v>109</v>
      </c>
      <c r="E91" s="1" t="s">
        <v>116</v>
      </c>
      <c r="F91" s="3">
        <v>46191</v>
      </c>
      <c r="G91" s="3">
        <v>46192</v>
      </c>
      <c r="H91" s="4">
        <v>1</v>
      </c>
      <c r="I91" s="3">
        <v>46192</v>
      </c>
      <c r="J91" s="1" t="s">
        <v>53</v>
      </c>
      <c r="K91" s="1">
        <v>124</v>
      </c>
      <c r="L91" s="1">
        <v>126</v>
      </c>
      <c r="M91" s="1" t="s">
        <v>179</v>
      </c>
      <c r="N91" s="2">
        <v>46185</v>
      </c>
      <c r="P91" s="1" t="s">
        <v>73</v>
      </c>
      <c r="Q91" s="1" t="s">
        <v>55</v>
      </c>
      <c r="R91" s="1" t="s">
        <v>202</v>
      </c>
      <c r="S91" s="2">
        <v>46171</v>
      </c>
      <c r="T91" s="2">
        <v>46174</v>
      </c>
      <c r="AB91" s="1">
        <v>1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1</v>
      </c>
      <c r="AJ91" s="1">
        <v>0</v>
      </c>
      <c r="AK91" s="1">
        <v>0</v>
      </c>
      <c r="AL91" s="1">
        <v>0</v>
      </c>
      <c r="AM91" s="1">
        <v>0</v>
      </c>
    </row>
    <row r="92" spans="1:39" x14ac:dyDescent="0.25">
      <c r="A92" s="1">
        <v>126</v>
      </c>
      <c r="B92" s="1" t="s">
        <v>288</v>
      </c>
      <c r="C92" s="1" t="s">
        <v>283</v>
      </c>
      <c r="D92" s="1" t="s">
        <v>115</v>
      </c>
      <c r="E92" s="1" t="s">
        <v>52</v>
      </c>
      <c r="F92" s="3">
        <v>46196</v>
      </c>
      <c r="G92" s="3">
        <v>46196</v>
      </c>
      <c r="H92" s="4">
        <v>0</v>
      </c>
      <c r="J92" s="1" t="s">
        <v>41</v>
      </c>
      <c r="K92" s="1">
        <v>125</v>
      </c>
      <c r="M92" s="1" t="s">
        <v>266</v>
      </c>
      <c r="N92" s="2">
        <v>46188</v>
      </c>
      <c r="P92" s="1" t="s">
        <v>146</v>
      </c>
      <c r="Q92" s="1" t="s">
        <v>55</v>
      </c>
      <c r="R92" s="1" t="s">
        <v>202</v>
      </c>
      <c r="S92" s="2">
        <v>46175</v>
      </c>
      <c r="T92" s="2">
        <v>46175</v>
      </c>
      <c r="AB92" s="1">
        <v>0</v>
      </c>
      <c r="AC92" s="1">
        <v>0</v>
      </c>
      <c r="AD92" s="1">
        <v>0</v>
      </c>
      <c r="AE92" s="1">
        <v>0</v>
      </c>
      <c r="AF92" s="1">
        <v>1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1</v>
      </c>
      <c r="AM92" s="1">
        <v>0</v>
      </c>
    </row>
    <row r="93" spans="1:39" x14ac:dyDescent="0.25">
      <c r="A93" s="1">
        <v>127</v>
      </c>
      <c r="B93" s="1" t="s">
        <v>289</v>
      </c>
      <c r="C93" s="1" t="s">
        <v>204</v>
      </c>
      <c r="D93" s="1" t="s">
        <v>290</v>
      </c>
      <c r="E93" s="1" t="s">
        <v>291</v>
      </c>
      <c r="F93" s="3">
        <v>46168</v>
      </c>
      <c r="G93" s="3">
        <v>46182</v>
      </c>
      <c r="H93" s="4">
        <v>1</v>
      </c>
      <c r="I93" s="3">
        <v>46182</v>
      </c>
      <c r="J93" s="1" t="s">
        <v>53</v>
      </c>
      <c r="M93" s="1" t="s">
        <v>201</v>
      </c>
      <c r="N93" s="2">
        <v>46178</v>
      </c>
      <c r="P93" s="1" t="s">
        <v>136</v>
      </c>
      <c r="Q93" s="1" t="s">
        <v>55</v>
      </c>
      <c r="R93" s="1" t="s">
        <v>202</v>
      </c>
      <c r="S93" s="2">
        <v>46156</v>
      </c>
      <c r="T93" s="2">
        <v>46167</v>
      </c>
      <c r="AB93" s="1">
        <v>1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</row>
    <row r="94" spans="1:39" x14ac:dyDescent="0.25">
      <c r="A94" s="1">
        <v>128</v>
      </c>
      <c r="B94" s="1" t="s">
        <v>292</v>
      </c>
      <c r="C94" s="1" t="s">
        <v>293</v>
      </c>
      <c r="D94" s="1" t="s">
        <v>101</v>
      </c>
      <c r="E94" s="1" t="s">
        <v>294</v>
      </c>
      <c r="F94" s="3">
        <v>46168</v>
      </c>
      <c r="G94" s="3">
        <v>46174</v>
      </c>
      <c r="H94" s="4">
        <v>1</v>
      </c>
      <c r="I94" s="3">
        <v>46174</v>
      </c>
      <c r="J94" s="1" t="s">
        <v>53</v>
      </c>
      <c r="K94" s="1" t="s">
        <v>208</v>
      </c>
      <c r="L94" s="1" t="s">
        <v>295</v>
      </c>
      <c r="M94" s="1" t="s">
        <v>201</v>
      </c>
      <c r="N94" s="2">
        <v>46174</v>
      </c>
      <c r="P94" s="1" t="s">
        <v>136</v>
      </c>
      <c r="Q94" s="1" t="s">
        <v>55</v>
      </c>
      <c r="R94" s="1" t="s">
        <v>202</v>
      </c>
      <c r="S94" s="2">
        <v>46156</v>
      </c>
      <c r="T94" s="2">
        <v>46161</v>
      </c>
      <c r="AB94" s="1">
        <v>1</v>
      </c>
      <c r="AC94" s="1">
        <v>1</v>
      </c>
      <c r="AD94" s="1">
        <v>1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1</v>
      </c>
    </row>
    <row r="95" spans="1:39" x14ac:dyDescent="0.25">
      <c r="A95" s="1">
        <v>129</v>
      </c>
      <c r="B95" s="1" t="s">
        <v>296</v>
      </c>
      <c r="C95" s="1" t="s">
        <v>293</v>
      </c>
      <c r="D95" s="1" t="s">
        <v>105</v>
      </c>
      <c r="E95" s="1" t="s">
        <v>52</v>
      </c>
      <c r="F95" s="3">
        <v>46175</v>
      </c>
      <c r="G95" s="3">
        <v>46175</v>
      </c>
      <c r="H95" s="4">
        <v>1</v>
      </c>
      <c r="I95" s="3">
        <v>46175</v>
      </c>
      <c r="J95" s="1" t="s">
        <v>53</v>
      </c>
      <c r="K95" s="1">
        <v>128</v>
      </c>
      <c r="L95" s="1" t="s">
        <v>297</v>
      </c>
      <c r="M95" s="1" t="s">
        <v>214</v>
      </c>
      <c r="N95" s="2">
        <v>46175</v>
      </c>
      <c r="P95" s="1" t="s">
        <v>119</v>
      </c>
      <c r="Q95" s="1" t="s">
        <v>55</v>
      </c>
      <c r="R95" s="1" t="s">
        <v>202</v>
      </c>
      <c r="S95" s="2">
        <v>46162</v>
      </c>
      <c r="T95" s="2">
        <v>46162</v>
      </c>
      <c r="AB95" s="1">
        <v>1</v>
      </c>
      <c r="AC95" s="1">
        <v>0</v>
      </c>
      <c r="AD95" s="1">
        <v>0</v>
      </c>
      <c r="AE95" s="1">
        <v>0</v>
      </c>
      <c r="AF95" s="1">
        <v>0</v>
      </c>
      <c r="AG95" s="1">
        <v>1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</row>
    <row r="96" spans="1:39" x14ac:dyDescent="0.25">
      <c r="A96" s="1">
        <v>130</v>
      </c>
      <c r="B96" s="1" t="s">
        <v>298</v>
      </c>
      <c r="C96" s="1" t="s">
        <v>293</v>
      </c>
      <c r="D96" s="1" t="s">
        <v>109</v>
      </c>
      <c r="E96" s="1" t="s">
        <v>116</v>
      </c>
      <c r="F96" s="3">
        <v>46176</v>
      </c>
      <c r="G96" s="3">
        <v>46181</v>
      </c>
      <c r="H96" s="4">
        <v>1</v>
      </c>
      <c r="I96" s="3">
        <v>46181</v>
      </c>
      <c r="J96" s="1" t="s">
        <v>53</v>
      </c>
      <c r="K96" s="1">
        <v>129</v>
      </c>
      <c r="L96" s="1" t="s">
        <v>299</v>
      </c>
      <c r="M96" s="1" t="s">
        <v>261</v>
      </c>
      <c r="N96" s="2">
        <v>46177</v>
      </c>
      <c r="P96" s="1" t="s">
        <v>119</v>
      </c>
      <c r="Q96" s="1" t="s">
        <v>55</v>
      </c>
      <c r="R96" s="1" t="s">
        <v>202</v>
      </c>
      <c r="S96" s="2">
        <v>46163</v>
      </c>
      <c r="T96" s="2">
        <v>46164</v>
      </c>
      <c r="AB96" s="1">
        <v>1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1</v>
      </c>
      <c r="AJ96" s="1">
        <v>0</v>
      </c>
      <c r="AK96" s="1">
        <v>0</v>
      </c>
      <c r="AL96" s="1">
        <v>0</v>
      </c>
      <c r="AM96" s="1">
        <v>0</v>
      </c>
    </row>
    <row r="97" spans="1:39" x14ac:dyDescent="0.25">
      <c r="A97" s="1">
        <v>131</v>
      </c>
      <c r="B97" s="1" t="s">
        <v>300</v>
      </c>
      <c r="C97" s="1" t="s">
        <v>293</v>
      </c>
      <c r="D97" s="1" t="s">
        <v>115</v>
      </c>
      <c r="E97" s="1" t="s">
        <v>52</v>
      </c>
      <c r="F97" s="3">
        <v>46182</v>
      </c>
      <c r="G97" s="3">
        <v>46182</v>
      </c>
      <c r="H97" s="4">
        <v>1</v>
      </c>
      <c r="I97" s="3">
        <v>46182</v>
      </c>
      <c r="J97" s="1" t="s">
        <v>53</v>
      </c>
      <c r="K97" s="1">
        <v>130</v>
      </c>
      <c r="M97" s="1" t="s">
        <v>66</v>
      </c>
      <c r="N97" s="2">
        <v>46178</v>
      </c>
      <c r="P97" s="1" t="s">
        <v>76</v>
      </c>
      <c r="Q97" s="1" t="s">
        <v>55</v>
      </c>
      <c r="R97" s="1" t="s">
        <v>202</v>
      </c>
      <c r="S97" s="2">
        <v>46167</v>
      </c>
      <c r="T97" s="2">
        <v>46167</v>
      </c>
      <c r="AB97" s="1">
        <v>1</v>
      </c>
      <c r="AC97" s="1">
        <v>0</v>
      </c>
      <c r="AD97" s="1">
        <v>0</v>
      </c>
      <c r="AE97" s="1">
        <v>0</v>
      </c>
      <c r="AF97" s="1">
        <v>1</v>
      </c>
      <c r="AG97" s="1">
        <v>0</v>
      </c>
      <c r="AH97" s="1">
        <v>0</v>
      </c>
      <c r="AI97" s="1">
        <v>0</v>
      </c>
      <c r="AJ97" s="1">
        <v>0</v>
      </c>
      <c r="AK97" s="1">
        <v>1</v>
      </c>
      <c r="AL97" s="1">
        <v>0</v>
      </c>
      <c r="AM97" s="1">
        <v>0</v>
      </c>
    </row>
    <row r="98" spans="1:39" x14ac:dyDescent="0.25">
      <c r="A98" s="1">
        <v>132</v>
      </c>
      <c r="B98" s="1" t="s">
        <v>301</v>
      </c>
      <c r="C98" s="1" t="s">
        <v>204</v>
      </c>
      <c r="D98" s="1" t="s">
        <v>302</v>
      </c>
      <c r="E98" s="1" t="s">
        <v>227</v>
      </c>
      <c r="F98" s="3">
        <v>46190</v>
      </c>
      <c r="G98" s="3">
        <v>46198</v>
      </c>
      <c r="H98" s="4">
        <v>0.5</v>
      </c>
      <c r="J98" s="1" t="s">
        <v>41</v>
      </c>
      <c r="M98" s="1" t="s">
        <v>224</v>
      </c>
      <c r="N98" s="2">
        <v>46191</v>
      </c>
      <c r="P98" s="1" t="s">
        <v>73</v>
      </c>
      <c r="Q98" s="1" t="s">
        <v>55</v>
      </c>
      <c r="R98" s="1" t="s">
        <v>202</v>
      </c>
      <c r="S98" s="2">
        <v>46170</v>
      </c>
      <c r="T98" s="2">
        <v>46178</v>
      </c>
      <c r="AB98" s="1">
        <v>0.5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</row>
    <row r="99" spans="1:39" x14ac:dyDescent="0.25">
      <c r="A99" s="1">
        <v>133</v>
      </c>
      <c r="B99" s="1" t="s">
        <v>303</v>
      </c>
      <c r="C99" s="1" t="s">
        <v>304</v>
      </c>
      <c r="D99" s="1" t="s">
        <v>101</v>
      </c>
      <c r="E99" s="1" t="s">
        <v>102</v>
      </c>
      <c r="F99" s="3">
        <v>46190</v>
      </c>
      <c r="G99" s="3">
        <v>46192</v>
      </c>
      <c r="H99" s="4">
        <v>1</v>
      </c>
      <c r="I99" s="3">
        <v>46192</v>
      </c>
      <c r="J99" s="1" t="s">
        <v>53</v>
      </c>
      <c r="K99" s="1" t="s">
        <v>305</v>
      </c>
      <c r="L99" s="1">
        <v>134</v>
      </c>
      <c r="M99" s="1" t="s">
        <v>224</v>
      </c>
      <c r="N99" s="2">
        <v>46185</v>
      </c>
      <c r="P99" s="1" t="s">
        <v>73</v>
      </c>
      <c r="Q99" s="1" t="s">
        <v>55</v>
      </c>
      <c r="R99" s="1" t="s">
        <v>202</v>
      </c>
      <c r="S99" s="2">
        <v>46170</v>
      </c>
      <c r="T99" s="2">
        <v>46174</v>
      </c>
      <c r="AB99" s="1">
        <v>1</v>
      </c>
      <c r="AC99" s="1">
        <v>1</v>
      </c>
      <c r="AD99" s="1">
        <v>1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1</v>
      </c>
    </row>
    <row r="100" spans="1:39" x14ac:dyDescent="0.25">
      <c r="A100" s="1">
        <v>134</v>
      </c>
      <c r="B100" s="1" t="s">
        <v>306</v>
      </c>
      <c r="C100" s="1" t="s">
        <v>304</v>
      </c>
      <c r="D100" s="1" t="s">
        <v>105</v>
      </c>
      <c r="E100" s="1" t="s">
        <v>52</v>
      </c>
      <c r="F100" s="3">
        <v>46195</v>
      </c>
      <c r="G100" s="3">
        <v>46195</v>
      </c>
      <c r="H100" s="4">
        <v>0.5</v>
      </c>
      <c r="J100" s="1" t="s">
        <v>41</v>
      </c>
      <c r="K100" s="1">
        <v>133</v>
      </c>
      <c r="L100" s="1">
        <v>135</v>
      </c>
      <c r="M100" s="1" t="s">
        <v>266</v>
      </c>
      <c r="N100" s="2">
        <v>46188</v>
      </c>
      <c r="P100" s="1" t="s">
        <v>146</v>
      </c>
      <c r="Q100" s="1" t="s">
        <v>55</v>
      </c>
      <c r="R100" s="1" t="s">
        <v>202</v>
      </c>
      <c r="S100" s="2">
        <v>46175</v>
      </c>
      <c r="T100" s="2">
        <v>46175</v>
      </c>
      <c r="AB100" s="1">
        <v>0.5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1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</row>
    <row r="101" spans="1:39" x14ac:dyDescent="0.25">
      <c r="A101" s="1">
        <v>135</v>
      </c>
      <c r="B101" s="1" t="s">
        <v>307</v>
      </c>
      <c r="C101" s="1" t="s">
        <v>304</v>
      </c>
      <c r="D101" s="1" t="s">
        <v>109</v>
      </c>
      <c r="E101" s="1" t="s">
        <v>116</v>
      </c>
      <c r="F101" s="3">
        <v>46196</v>
      </c>
      <c r="G101" s="3">
        <v>46197</v>
      </c>
      <c r="H101" s="4">
        <v>0</v>
      </c>
      <c r="J101" s="1" t="s">
        <v>41</v>
      </c>
      <c r="K101" s="1">
        <v>134</v>
      </c>
      <c r="L101" s="1">
        <v>136</v>
      </c>
      <c r="M101" s="1" t="s">
        <v>268</v>
      </c>
      <c r="N101" s="2">
        <v>46190</v>
      </c>
      <c r="P101" s="1" t="s">
        <v>146</v>
      </c>
      <c r="Q101" s="1" t="s">
        <v>55</v>
      </c>
      <c r="R101" s="1" t="s">
        <v>202</v>
      </c>
      <c r="S101" s="2">
        <v>46176</v>
      </c>
      <c r="T101" s="2">
        <v>46177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1</v>
      </c>
      <c r="AK101" s="1">
        <v>0</v>
      </c>
      <c r="AL101" s="1">
        <v>0</v>
      </c>
      <c r="AM101" s="1">
        <v>0</v>
      </c>
    </row>
    <row r="102" spans="1:39" x14ac:dyDescent="0.25">
      <c r="A102" s="1">
        <v>136</v>
      </c>
      <c r="B102" s="1" t="s">
        <v>308</v>
      </c>
      <c r="C102" s="1" t="s">
        <v>304</v>
      </c>
      <c r="D102" s="1" t="s">
        <v>115</v>
      </c>
      <c r="E102" s="1" t="s">
        <v>52</v>
      </c>
      <c r="F102" s="3">
        <v>46198</v>
      </c>
      <c r="G102" s="3">
        <v>46198</v>
      </c>
      <c r="H102" s="4">
        <v>0</v>
      </c>
      <c r="J102" s="1" t="s">
        <v>41</v>
      </c>
      <c r="K102" s="1">
        <v>135</v>
      </c>
      <c r="M102" s="1" t="s">
        <v>228</v>
      </c>
      <c r="N102" s="2">
        <v>46191</v>
      </c>
      <c r="P102" s="1" t="s">
        <v>146</v>
      </c>
      <c r="Q102" s="1" t="s">
        <v>55</v>
      </c>
      <c r="R102" s="1" t="s">
        <v>202</v>
      </c>
      <c r="S102" s="2">
        <v>46178</v>
      </c>
      <c r="T102" s="2">
        <v>46178</v>
      </c>
      <c r="AB102" s="1">
        <v>0</v>
      </c>
      <c r="AC102" s="1">
        <v>0</v>
      </c>
      <c r="AD102" s="1">
        <v>0</v>
      </c>
      <c r="AE102" s="1">
        <v>0</v>
      </c>
      <c r="AF102" s="1">
        <v>1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1</v>
      </c>
      <c r="AM102" s="1">
        <v>0</v>
      </c>
    </row>
    <row r="103" spans="1:39" x14ac:dyDescent="0.25">
      <c r="A103" s="1">
        <v>137</v>
      </c>
      <c r="B103" s="1" t="s">
        <v>309</v>
      </c>
      <c r="C103" s="1" t="s">
        <v>204</v>
      </c>
      <c r="D103" s="1" t="s">
        <v>310</v>
      </c>
      <c r="E103" s="1" t="s">
        <v>227</v>
      </c>
      <c r="F103" s="3">
        <v>46190</v>
      </c>
      <c r="G103" s="3">
        <v>46198</v>
      </c>
      <c r="H103" s="4">
        <v>0.5</v>
      </c>
      <c r="J103" s="1" t="s">
        <v>41</v>
      </c>
      <c r="M103" s="1" t="s">
        <v>224</v>
      </c>
      <c r="N103" s="2">
        <v>46191</v>
      </c>
      <c r="P103" s="1" t="s">
        <v>73</v>
      </c>
      <c r="Q103" s="1" t="s">
        <v>55</v>
      </c>
      <c r="R103" s="1" t="s">
        <v>202</v>
      </c>
      <c r="S103" s="2">
        <v>46170</v>
      </c>
      <c r="T103" s="2">
        <v>46178</v>
      </c>
      <c r="AB103" s="1">
        <v>0.5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</row>
    <row r="104" spans="1:39" x14ac:dyDescent="0.25">
      <c r="A104" s="1">
        <v>138</v>
      </c>
      <c r="B104" s="1" t="s">
        <v>311</v>
      </c>
      <c r="C104" s="1" t="s">
        <v>312</v>
      </c>
      <c r="D104" s="1" t="s">
        <v>101</v>
      </c>
      <c r="E104" s="1" t="s">
        <v>102</v>
      </c>
      <c r="F104" s="3">
        <v>46190</v>
      </c>
      <c r="G104" s="3">
        <v>46192</v>
      </c>
      <c r="H104" s="4">
        <v>1</v>
      </c>
      <c r="I104" s="3">
        <v>46192</v>
      </c>
      <c r="J104" s="1" t="s">
        <v>53</v>
      </c>
      <c r="K104" s="1" t="s">
        <v>305</v>
      </c>
      <c r="L104" s="1">
        <v>139</v>
      </c>
      <c r="M104" s="1" t="s">
        <v>224</v>
      </c>
      <c r="N104" s="2">
        <v>46185</v>
      </c>
      <c r="P104" s="1" t="s">
        <v>73</v>
      </c>
      <c r="Q104" s="1" t="s">
        <v>55</v>
      </c>
      <c r="R104" s="1" t="s">
        <v>202</v>
      </c>
      <c r="S104" s="2">
        <v>46170</v>
      </c>
      <c r="T104" s="2">
        <v>46174</v>
      </c>
      <c r="AB104" s="1">
        <v>1</v>
      </c>
      <c r="AC104" s="1">
        <v>1</v>
      </c>
      <c r="AD104" s="1">
        <v>1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1</v>
      </c>
    </row>
    <row r="105" spans="1:39" x14ac:dyDescent="0.25">
      <c r="A105" s="1">
        <v>139</v>
      </c>
      <c r="B105" s="1" t="s">
        <v>313</v>
      </c>
      <c r="C105" s="1" t="s">
        <v>312</v>
      </c>
      <c r="D105" s="1" t="s">
        <v>105</v>
      </c>
      <c r="E105" s="1" t="s">
        <v>52</v>
      </c>
      <c r="F105" s="3">
        <v>46195</v>
      </c>
      <c r="G105" s="3">
        <v>46195</v>
      </c>
      <c r="H105" s="4">
        <v>0.5</v>
      </c>
      <c r="J105" s="1" t="s">
        <v>41</v>
      </c>
      <c r="K105" s="1">
        <v>138</v>
      </c>
      <c r="L105" s="1">
        <v>140</v>
      </c>
      <c r="M105" s="1" t="s">
        <v>266</v>
      </c>
      <c r="N105" s="2">
        <v>46188</v>
      </c>
      <c r="P105" s="1" t="s">
        <v>146</v>
      </c>
      <c r="Q105" s="1" t="s">
        <v>55</v>
      </c>
      <c r="R105" s="1" t="s">
        <v>202</v>
      </c>
      <c r="S105" s="2">
        <v>46175</v>
      </c>
      <c r="T105" s="2">
        <v>46175</v>
      </c>
      <c r="AB105" s="1">
        <v>0.5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1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</row>
    <row r="106" spans="1:39" x14ac:dyDescent="0.25">
      <c r="A106" s="1">
        <v>140</v>
      </c>
      <c r="B106" s="1" t="s">
        <v>314</v>
      </c>
      <c r="C106" s="1" t="s">
        <v>312</v>
      </c>
      <c r="D106" s="1" t="s">
        <v>109</v>
      </c>
      <c r="E106" s="1" t="s">
        <v>116</v>
      </c>
      <c r="F106" s="3">
        <v>46196</v>
      </c>
      <c r="G106" s="3">
        <v>46197</v>
      </c>
      <c r="H106" s="4">
        <v>0</v>
      </c>
      <c r="J106" s="1" t="s">
        <v>41</v>
      </c>
      <c r="K106" s="1">
        <v>139</v>
      </c>
      <c r="L106" s="1">
        <v>141</v>
      </c>
      <c r="M106" s="1" t="s">
        <v>268</v>
      </c>
      <c r="N106" s="2">
        <v>46190</v>
      </c>
      <c r="P106" s="1" t="s">
        <v>146</v>
      </c>
      <c r="Q106" s="1" t="s">
        <v>55</v>
      </c>
      <c r="R106" s="1" t="s">
        <v>202</v>
      </c>
      <c r="S106" s="2">
        <v>46176</v>
      </c>
      <c r="T106" s="2">
        <v>46177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1</v>
      </c>
      <c r="AK106" s="1">
        <v>0</v>
      </c>
      <c r="AL106" s="1">
        <v>0</v>
      </c>
      <c r="AM106" s="1">
        <v>0</v>
      </c>
    </row>
    <row r="107" spans="1:39" x14ac:dyDescent="0.25">
      <c r="A107" s="1">
        <v>141</v>
      </c>
      <c r="B107" s="1" t="s">
        <v>315</v>
      </c>
      <c r="C107" s="1" t="s">
        <v>312</v>
      </c>
      <c r="D107" s="1" t="s">
        <v>115</v>
      </c>
      <c r="E107" s="1" t="s">
        <v>52</v>
      </c>
      <c r="F107" s="3">
        <v>46198</v>
      </c>
      <c r="G107" s="3">
        <v>46198</v>
      </c>
      <c r="H107" s="4">
        <v>0</v>
      </c>
      <c r="J107" s="1" t="s">
        <v>41</v>
      </c>
      <c r="K107" s="1">
        <v>140</v>
      </c>
      <c r="M107" s="1" t="s">
        <v>228</v>
      </c>
      <c r="N107" s="2">
        <v>46191</v>
      </c>
      <c r="P107" s="1" t="s">
        <v>146</v>
      </c>
      <c r="Q107" s="1" t="s">
        <v>55</v>
      </c>
      <c r="R107" s="1" t="s">
        <v>202</v>
      </c>
      <c r="S107" s="2">
        <v>46178</v>
      </c>
      <c r="T107" s="2">
        <v>46178</v>
      </c>
      <c r="AB107" s="1">
        <v>0</v>
      </c>
      <c r="AC107" s="1">
        <v>0</v>
      </c>
      <c r="AD107" s="1">
        <v>0</v>
      </c>
      <c r="AE107" s="1">
        <v>0</v>
      </c>
      <c r="AF107" s="1">
        <v>1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1</v>
      </c>
      <c r="AM107" s="1">
        <v>0</v>
      </c>
    </row>
    <row r="108" spans="1:39" x14ac:dyDescent="0.25">
      <c r="A108" s="1">
        <v>142</v>
      </c>
      <c r="B108" s="1" t="s">
        <v>316</v>
      </c>
      <c r="C108" s="1" t="s">
        <v>204</v>
      </c>
      <c r="D108" s="1" t="s">
        <v>317</v>
      </c>
      <c r="E108" s="1" t="s">
        <v>227</v>
      </c>
      <c r="F108" s="3">
        <v>46190</v>
      </c>
      <c r="G108" s="3">
        <v>46198</v>
      </c>
      <c r="H108" s="4">
        <v>0.5</v>
      </c>
      <c r="J108" s="1" t="s">
        <v>41</v>
      </c>
      <c r="M108" s="1" t="s">
        <v>224</v>
      </c>
      <c r="N108" s="2">
        <v>46191</v>
      </c>
      <c r="P108" s="1" t="s">
        <v>73</v>
      </c>
      <c r="Q108" s="1" t="s">
        <v>55</v>
      </c>
      <c r="R108" s="1" t="s">
        <v>202</v>
      </c>
      <c r="S108" s="2">
        <v>46170</v>
      </c>
      <c r="T108" s="2">
        <v>46178</v>
      </c>
      <c r="U108" s="1" t="s">
        <v>77</v>
      </c>
      <c r="AB108" s="1">
        <v>0.5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</row>
    <row r="109" spans="1:39" x14ac:dyDescent="0.25">
      <c r="A109" s="1">
        <v>143</v>
      </c>
      <c r="B109" s="1" t="s">
        <v>318</v>
      </c>
      <c r="C109" s="1" t="s">
        <v>319</v>
      </c>
      <c r="D109" s="1" t="s">
        <v>101</v>
      </c>
      <c r="E109" s="1" t="s">
        <v>102</v>
      </c>
      <c r="F109" s="3">
        <v>46190</v>
      </c>
      <c r="G109" s="3">
        <v>46192</v>
      </c>
      <c r="H109" s="4">
        <v>1</v>
      </c>
      <c r="I109" s="3">
        <v>46192</v>
      </c>
      <c r="J109" s="1" t="s">
        <v>53</v>
      </c>
      <c r="K109" s="1" t="s">
        <v>305</v>
      </c>
      <c r="L109" s="1">
        <v>144</v>
      </c>
      <c r="M109" s="1" t="s">
        <v>224</v>
      </c>
      <c r="N109" s="2">
        <v>46185</v>
      </c>
      <c r="P109" s="1" t="s">
        <v>73</v>
      </c>
      <c r="Q109" s="1" t="s">
        <v>55</v>
      </c>
      <c r="R109" s="1" t="s">
        <v>202</v>
      </c>
      <c r="S109" s="2">
        <v>46170</v>
      </c>
      <c r="T109" s="2">
        <v>46174</v>
      </c>
      <c r="AB109" s="1">
        <v>1</v>
      </c>
      <c r="AC109" s="1">
        <v>1</v>
      </c>
      <c r="AD109" s="1">
        <v>1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1</v>
      </c>
    </row>
    <row r="110" spans="1:39" x14ac:dyDescent="0.25">
      <c r="A110" s="1">
        <v>144</v>
      </c>
      <c r="B110" s="1" t="s">
        <v>320</v>
      </c>
      <c r="C110" s="1" t="s">
        <v>319</v>
      </c>
      <c r="D110" s="1" t="s">
        <v>105</v>
      </c>
      <c r="E110" s="1" t="s">
        <v>52</v>
      </c>
      <c r="F110" s="3">
        <v>46195</v>
      </c>
      <c r="G110" s="3">
        <v>46195</v>
      </c>
      <c r="H110" s="4">
        <v>0.5</v>
      </c>
      <c r="J110" s="1" t="s">
        <v>41</v>
      </c>
      <c r="K110" s="1">
        <v>143</v>
      </c>
      <c r="L110" s="1">
        <v>145</v>
      </c>
      <c r="M110" s="1" t="s">
        <v>266</v>
      </c>
      <c r="N110" s="2">
        <v>46188</v>
      </c>
      <c r="P110" s="1" t="s">
        <v>146</v>
      </c>
      <c r="Q110" s="1" t="s">
        <v>55</v>
      </c>
      <c r="R110" s="1" t="s">
        <v>202</v>
      </c>
      <c r="S110" s="2">
        <v>46175</v>
      </c>
      <c r="T110" s="2">
        <v>46175</v>
      </c>
      <c r="AB110" s="1">
        <v>0.5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1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</row>
    <row r="111" spans="1:39" x14ac:dyDescent="0.25">
      <c r="A111" s="1">
        <v>145</v>
      </c>
      <c r="B111" s="1" t="s">
        <v>321</v>
      </c>
      <c r="C111" s="1" t="s">
        <v>319</v>
      </c>
      <c r="D111" s="1" t="s">
        <v>109</v>
      </c>
      <c r="E111" s="1" t="s">
        <v>116</v>
      </c>
      <c r="F111" s="3">
        <v>46196</v>
      </c>
      <c r="G111" s="3">
        <v>46197</v>
      </c>
      <c r="H111" s="4">
        <v>0</v>
      </c>
      <c r="J111" s="1" t="s">
        <v>41</v>
      </c>
      <c r="K111" s="1">
        <v>144</v>
      </c>
      <c r="L111" s="1">
        <v>146</v>
      </c>
      <c r="M111" s="1" t="s">
        <v>268</v>
      </c>
      <c r="N111" s="2">
        <v>46190</v>
      </c>
      <c r="P111" s="1" t="s">
        <v>146</v>
      </c>
      <c r="Q111" s="1" t="s">
        <v>55</v>
      </c>
      <c r="R111" s="1" t="s">
        <v>202</v>
      </c>
      <c r="S111" s="2">
        <v>46176</v>
      </c>
      <c r="T111" s="2">
        <v>46177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1</v>
      </c>
      <c r="AK111" s="1">
        <v>0</v>
      </c>
      <c r="AL111" s="1">
        <v>0</v>
      </c>
      <c r="AM111" s="1">
        <v>0</v>
      </c>
    </row>
    <row r="112" spans="1:39" x14ac:dyDescent="0.25">
      <c r="A112" s="1">
        <v>146</v>
      </c>
      <c r="B112" s="1" t="s">
        <v>322</v>
      </c>
      <c r="C112" s="1" t="s">
        <v>319</v>
      </c>
      <c r="D112" s="1" t="s">
        <v>115</v>
      </c>
      <c r="E112" s="1" t="s">
        <v>52</v>
      </c>
      <c r="F112" s="3">
        <v>46198</v>
      </c>
      <c r="G112" s="3">
        <v>46198</v>
      </c>
      <c r="H112" s="4">
        <v>0</v>
      </c>
      <c r="J112" s="1" t="s">
        <v>41</v>
      </c>
      <c r="K112" s="1">
        <v>145</v>
      </c>
      <c r="M112" s="1" t="s">
        <v>228</v>
      </c>
      <c r="N112" s="2">
        <v>46191</v>
      </c>
      <c r="P112" s="1" t="s">
        <v>146</v>
      </c>
      <c r="Q112" s="1" t="s">
        <v>55</v>
      </c>
      <c r="R112" s="1" t="s">
        <v>202</v>
      </c>
      <c r="S112" s="2">
        <v>46178</v>
      </c>
      <c r="T112" s="2">
        <v>46178</v>
      </c>
      <c r="AB112" s="1">
        <v>0</v>
      </c>
      <c r="AC112" s="1">
        <v>0</v>
      </c>
      <c r="AD112" s="1">
        <v>0</v>
      </c>
      <c r="AE112" s="1">
        <v>0</v>
      </c>
      <c r="AF112" s="1">
        <v>1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1</v>
      </c>
      <c r="AM112" s="1">
        <v>0</v>
      </c>
    </row>
    <row r="113" spans="1:39" x14ac:dyDescent="0.25">
      <c r="A113" s="1">
        <v>147</v>
      </c>
      <c r="B113" s="1" t="s">
        <v>323</v>
      </c>
      <c r="C113" s="1" t="s">
        <v>50</v>
      </c>
      <c r="D113" s="1" t="s">
        <v>324</v>
      </c>
      <c r="E113" s="1" t="s">
        <v>325</v>
      </c>
      <c r="F113" s="3">
        <v>46181</v>
      </c>
      <c r="G113" s="3">
        <v>46210</v>
      </c>
      <c r="H113" s="4">
        <v>0.48</v>
      </c>
      <c r="J113" s="1" t="s">
        <v>41</v>
      </c>
      <c r="M113" s="1" t="s">
        <v>214</v>
      </c>
      <c r="N113" s="2">
        <v>46202</v>
      </c>
      <c r="P113" s="1" t="s">
        <v>76</v>
      </c>
      <c r="Q113" s="1" t="s">
        <v>55</v>
      </c>
      <c r="R113" s="1" t="s">
        <v>326</v>
      </c>
      <c r="S113" s="2">
        <v>46147</v>
      </c>
      <c r="T113" s="2">
        <v>46189</v>
      </c>
      <c r="AB113" s="1">
        <v>0.48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</row>
    <row r="114" spans="1:39" x14ac:dyDescent="0.25">
      <c r="A114" s="1">
        <v>158</v>
      </c>
      <c r="B114" s="1" t="s">
        <v>327</v>
      </c>
      <c r="C114" s="1" t="s">
        <v>328</v>
      </c>
      <c r="D114" s="1" t="s">
        <v>329</v>
      </c>
      <c r="E114" s="1" t="s">
        <v>291</v>
      </c>
      <c r="F114" s="3">
        <v>46188</v>
      </c>
      <c r="G114" s="3">
        <v>46198</v>
      </c>
      <c r="H114" s="4">
        <v>0.56000000000000005</v>
      </c>
      <c r="J114" s="1" t="s">
        <v>41</v>
      </c>
      <c r="M114" s="1" t="s">
        <v>214</v>
      </c>
      <c r="N114" s="2">
        <v>46183</v>
      </c>
      <c r="P114" s="1" t="s">
        <v>73</v>
      </c>
      <c r="Q114" s="1" t="s">
        <v>55</v>
      </c>
      <c r="R114" s="1" t="s">
        <v>326</v>
      </c>
      <c r="S114" s="2">
        <v>46162</v>
      </c>
      <c r="T114" s="2">
        <v>46170</v>
      </c>
      <c r="AB114" s="1">
        <v>0.56000000000000005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</row>
    <row r="115" spans="1:39" x14ac:dyDescent="0.25">
      <c r="A115" s="1">
        <v>159</v>
      </c>
      <c r="B115" s="1" t="s">
        <v>330</v>
      </c>
      <c r="C115" s="1" t="s">
        <v>331</v>
      </c>
      <c r="D115" s="1" t="s">
        <v>101</v>
      </c>
      <c r="E115" s="1" t="s">
        <v>294</v>
      </c>
      <c r="F115" s="3">
        <v>46188</v>
      </c>
      <c r="G115" s="3">
        <v>46192</v>
      </c>
      <c r="H115" s="4">
        <v>1</v>
      </c>
      <c r="I115" s="3">
        <v>46192</v>
      </c>
      <c r="J115" s="1" t="s">
        <v>53</v>
      </c>
      <c r="L115" s="1">
        <v>160</v>
      </c>
      <c r="M115" s="1" t="s">
        <v>214</v>
      </c>
      <c r="N115" s="2">
        <v>46177</v>
      </c>
      <c r="P115" s="1" t="s">
        <v>73</v>
      </c>
      <c r="Q115" s="1" t="s">
        <v>55</v>
      </c>
      <c r="R115" s="1" t="s">
        <v>326</v>
      </c>
      <c r="S115" s="2">
        <v>46162</v>
      </c>
      <c r="T115" s="2">
        <v>46164</v>
      </c>
      <c r="AB115" s="1">
        <v>1</v>
      </c>
      <c r="AC115" s="1">
        <v>1</v>
      </c>
      <c r="AD115" s="1">
        <v>1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1</v>
      </c>
    </row>
    <row r="116" spans="1:39" x14ac:dyDescent="0.25">
      <c r="A116" s="1">
        <v>160</v>
      </c>
      <c r="B116" s="1" t="s">
        <v>332</v>
      </c>
      <c r="C116" s="1" t="s">
        <v>331</v>
      </c>
      <c r="D116" s="1" t="s">
        <v>105</v>
      </c>
      <c r="E116" s="1" t="s">
        <v>52</v>
      </c>
      <c r="F116" s="3">
        <v>46195</v>
      </c>
      <c r="G116" s="3">
        <v>46195</v>
      </c>
      <c r="H116" s="4">
        <v>0</v>
      </c>
      <c r="J116" s="1" t="s">
        <v>41</v>
      </c>
      <c r="K116" s="1">
        <v>159</v>
      </c>
      <c r="L116" s="1" t="s">
        <v>333</v>
      </c>
      <c r="M116" s="1" t="s">
        <v>66</v>
      </c>
      <c r="N116" s="2">
        <v>46178</v>
      </c>
      <c r="P116" s="1" t="s">
        <v>146</v>
      </c>
      <c r="Q116" s="1" t="s">
        <v>55</v>
      </c>
      <c r="R116" s="1" t="s">
        <v>326</v>
      </c>
      <c r="S116" s="2">
        <v>46167</v>
      </c>
      <c r="T116" s="2">
        <v>46167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1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</row>
    <row r="117" spans="1:39" x14ac:dyDescent="0.25">
      <c r="A117" s="1">
        <v>161</v>
      </c>
      <c r="B117" s="1" t="s">
        <v>334</v>
      </c>
      <c r="C117" s="1" t="s">
        <v>331</v>
      </c>
      <c r="D117" s="1" t="s">
        <v>109</v>
      </c>
      <c r="E117" s="1" t="s">
        <v>116</v>
      </c>
      <c r="F117" s="3">
        <v>46196</v>
      </c>
      <c r="G117" s="3">
        <v>46197</v>
      </c>
      <c r="H117" s="4">
        <v>0</v>
      </c>
      <c r="J117" s="1" t="s">
        <v>41</v>
      </c>
      <c r="K117" s="1">
        <v>160</v>
      </c>
      <c r="L117" s="1">
        <v>162</v>
      </c>
      <c r="M117" s="1" t="s">
        <v>195</v>
      </c>
      <c r="N117" s="2">
        <v>46182</v>
      </c>
      <c r="P117" s="1" t="s">
        <v>146</v>
      </c>
      <c r="Q117" s="1" t="s">
        <v>55</v>
      </c>
      <c r="R117" s="1" t="s">
        <v>326</v>
      </c>
      <c r="S117" s="2">
        <v>46168</v>
      </c>
      <c r="T117" s="2">
        <v>46169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1</v>
      </c>
      <c r="AK117" s="1">
        <v>0</v>
      </c>
      <c r="AL117" s="1">
        <v>0</v>
      </c>
      <c r="AM117" s="1">
        <v>0</v>
      </c>
    </row>
    <row r="118" spans="1:39" x14ac:dyDescent="0.25">
      <c r="A118" s="1">
        <v>162</v>
      </c>
      <c r="B118" s="1" t="s">
        <v>335</v>
      </c>
      <c r="C118" s="1" t="s">
        <v>331</v>
      </c>
      <c r="D118" s="1" t="s">
        <v>115</v>
      </c>
      <c r="E118" s="1" t="s">
        <v>52</v>
      </c>
      <c r="F118" s="3">
        <v>46198</v>
      </c>
      <c r="G118" s="3">
        <v>46198</v>
      </c>
      <c r="H118" s="4">
        <v>0</v>
      </c>
      <c r="J118" s="1" t="s">
        <v>41</v>
      </c>
      <c r="K118" s="1">
        <v>161</v>
      </c>
      <c r="M118" s="1" t="s">
        <v>224</v>
      </c>
      <c r="N118" s="2">
        <v>46183</v>
      </c>
      <c r="P118" s="1" t="s">
        <v>146</v>
      </c>
      <c r="Q118" s="1" t="s">
        <v>55</v>
      </c>
      <c r="R118" s="1" t="s">
        <v>326</v>
      </c>
      <c r="S118" s="2">
        <v>46170</v>
      </c>
      <c r="T118" s="2">
        <v>46170</v>
      </c>
      <c r="AB118" s="1">
        <v>0</v>
      </c>
      <c r="AC118" s="1">
        <v>0</v>
      </c>
      <c r="AD118" s="1">
        <v>0</v>
      </c>
      <c r="AE118" s="1">
        <v>0</v>
      </c>
      <c r="AF118" s="1">
        <v>1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1</v>
      </c>
      <c r="AM118" s="1">
        <v>0</v>
      </c>
    </row>
    <row r="119" spans="1:39" x14ac:dyDescent="0.25">
      <c r="A119" s="1">
        <v>178</v>
      </c>
      <c r="B119" s="1" t="s">
        <v>336</v>
      </c>
      <c r="C119" s="1" t="s">
        <v>328</v>
      </c>
      <c r="D119" s="1" t="s">
        <v>337</v>
      </c>
      <c r="E119" s="1" t="s">
        <v>144</v>
      </c>
      <c r="F119" s="3">
        <v>46195</v>
      </c>
      <c r="G119" s="3">
        <v>46202</v>
      </c>
      <c r="H119" s="4">
        <v>0.33</v>
      </c>
      <c r="J119" s="1" t="s">
        <v>41</v>
      </c>
      <c r="M119" s="1" t="s">
        <v>338</v>
      </c>
      <c r="N119" s="2">
        <v>46202</v>
      </c>
      <c r="P119" s="1" t="s">
        <v>146</v>
      </c>
      <c r="Q119" s="1" t="s">
        <v>55</v>
      </c>
      <c r="R119" s="1" t="s">
        <v>326</v>
      </c>
      <c r="S119" s="2">
        <v>46181</v>
      </c>
      <c r="T119" s="2">
        <v>46189</v>
      </c>
      <c r="AB119" s="1">
        <v>0.33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</row>
    <row r="120" spans="1:39" x14ac:dyDescent="0.25">
      <c r="A120" s="1">
        <v>179</v>
      </c>
      <c r="B120" s="1" t="s">
        <v>339</v>
      </c>
      <c r="C120" s="1" t="s">
        <v>340</v>
      </c>
      <c r="D120" s="1" t="s">
        <v>101</v>
      </c>
      <c r="E120" s="1" t="s">
        <v>116</v>
      </c>
      <c r="F120" s="3">
        <v>46195</v>
      </c>
      <c r="G120" s="3">
        <v>46196</v>
      </c>
      <c r="H120" s="4">
        <v>1</v>
      </c>
      <c r="I120" s="3">
        <v>46196</v>
      </c>
      <c r="J120" s="1" t="s">
        <v>53</v>
      </c>
      <c r="K120" s="1">
        <v>185</v>
      </c>
      <c r="L120" s="1">
        <v>180</v>
      </c>
      <c r="M120" s="1" t="s">
        <v>338</v>
      </c>
      <c r="N120" s="2">
        <v>46196</v>
      </c>
      <c r="P120" s="1" t="s">
        <v>146</v>
      </c>
      <c r="Q120" s="1" t="s">
        <v>55</v>
      </c>
      <c r="R120" s="1" t="s">
        <v>326</v>
      </c>
      <c r="S120" s="2">
        <v>46181</v>
      </c>
      <c r="T120" s="2">
        <v>46183</v>
      </c>
      <c r="AB120" s="1">
        <v>1</v>
      </c>
      <c r="AC120" s="1">
        <v>1</v>
      </c>
      <c r="AD120" s="1">
        <v>1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1</v>
      </c>
    </row>
    <row r="121" spans="1:39" x14ac:dyDescent="0.25">
      <c r="A121" s="1">
        <v>180</v>
      </c>
      <c r="B121" s="1" t="s">
        <v>341</v>
      </c>
      <c r="C121" s="1" t="s">
        <v>340</v>
      </c>
      <c r="D121" s="1" t="s">
        <v>105</v>
      </c>
      <c r="E121" s="1" t="s">
        <v>52</v>
      </c>
      <c r="F121" s="3">
        <v>46197</v>
      </c>
      <c r="G121" s="3">
        <v>46197</v>
      </c>
      <c r="H121" s="4">
        <v>0</v>
      </c>
      <c r="J121" s="1" t="s">
        <v>41</v>
      </c>
      <c r="K121" s="1">
        <v>179</v>
      </c>
      <c r="L121" s="1">
        <v>181</v>
      </c>
      <c r="M121" s="1" t="s">
        <v>342</v>
      </c>
      <c r="N121" s="2">
        <v>46197</v>
      </c>
      <c r="P121" s="1" t="s">
        <v>146</v>
      </c>
      <c r="Q121" s="1" t="s">
        <v>55</v>
      </c>
      <c r="R121" s="1" t="s">
        <v>326</v>
      </c>
      <c r="S121" s="2">
        <v>46184</v>
      </c>
      <c r="T121" s="2">
        <v>46184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1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</row>
    <row r="122" spans="1:39" x14ac:dyDescent="0.25">
      <c r="A122" s="1">
        <v>181</v>
      </c>
      <c r="B122" s="1" t="s">
        <v>343</v>
      </c>
      <c r="C122" s="1" t="s">
        <v>340</v>
      </c>
      <c r="D122" s="1" t="s">
        <v>109</v>
      </c>
      <c r="E122" s="1" t="s">
        <v>116</v>
      </c>
      <c r="F122" s="3">
        <v>46198</v>
      </c>
      <c r="G122" s="3">
        <v>46199</v>
      </c>
      <c r="H122" s="4">
        <v>0</v>
      </c>
      <c r="J122" s="1" t="s">
        <v>41</v>
      </c>
      <c r="K122" s="1">
        <v>180</v>
      </c>
      <c r="L122" s="1">
        <v>182</v>
      </c>
      <c r="M122" s="1" t="s">
        <v>233</v>
      </c>
      <c r="N122" s="2">
        <v>46199</v>
      </c>
      <c r="P122" s="1" t="s">
        <v>67</v>
      </c>
      <c r="Q122" s="1" t="s">
        <v>55</v>
      </c>
      <c r="R122" s="1" t="s">
        <v>326</v>
      </c>
      <c r="S122" s="2">
        <v>46185</v>
      </c>
      <c r="T122" s="2">
        <v>46188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1</v>
      </c>
      <c r="AK122" s="1">
        <v>0</v>
      </c>
      <c r="AL122" s="1">
        <v>0</v>
      </c>
      <c r="AM122" s="1">
        <v>0</v>
      </c>
    </row>
    <row r="123" spans="1:39" x14ac:dyDescent="0.25">
      <c r="A123" s="1">
        <v>182</v>
      </c>
      <c r="B123" s="1" t="s">
        <v>344</v>
      </c>
      <c r="C123" s="1" t="s">
        <v>340</v>
      </c>
      <c r="D123" s="1" t="s">
        <v>115</v>
      </c>
      <c r="E123" s="1" t="s">
        <v>52</v>
      </c>
      <c r="F123" s="3">
        <v>46202</v>
      </c>
      <c r="G123" s="3">
        <v>46202</v>
      </c>
      <c r="H123" s="4">
        <v>0</v>
      </c>
      <c r="J123" s="1" t="s">
        <v>41</v>
      </c>
      <c r="K123" s="1">
        <v>181</v>
      </c>
      <c r="M123" s="1" t="s">
        <v>345</v>
      </c>
      <c r="N123" s="2">
        <v>46202</v>
      </c>
      <c r="P123" s="1" t="s">
        <v>67</v>
      </c>
      <c r="Q123" s="1" t="s">
        <v>55</v>
      </c>
      <c r="R123" s="1" t="s">
        <v>326</v>
      </c>
      <c r="S123" s="2">
        <v>46189</v>
      </c>
      <c r="T123" s="2">
        <v>46189</v>
      </c>
      <c r="AB123" s="1">
        <v>0</v>
      </c>
      <c r="AC123" s="1">
        <v>0</v>
      </c>
      <c r="AD123" s="1">
        <v>0</v>
      </c>
      <c r="AE123" s="1">
        <v>0</v>
      </c>
      <c r="AF123" s="1">
        <v>1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1</v>
      </c>
      <c r="AM123" s="1">
        <v>0</v>
      </c>
    </row>
    <row r="124" spans="1:39" x14ac:dyDescent="0.25">
      <c r="A124" s="1">
        <v>183</v>
      </c>
      <c r="B124" s="1" t="s">
        <v>346</v>
      </c>
      <c r="C124" s="1" t="s">
        <v>328</v>
      </c>
      <c r="D124" s="1" t="s">
        <v>347</v>
      </c>
      <c r="E124" s="1" t="s">
        <v>227</v>
      </c>
      <c r="F124" s="3">
        <v>46202</v>
      </c>
      <c r="G124" s="3">
        <v>46210</v>
      </c>
      <c r="H124" s="4">
        <v>0.43</v>
      </c>
      <c r="J124" s="1" t="s">
        <v>41</v>
      </c>
      <c r="M124" s="1" t="s">
        <v>214</v>
      </c>
      <c r="N124" s="2">
        <v>46183</v>
      </c>
      <c r="P124" s="1" t="s">
        <v>348</v>
      </c>
      <c r="Q124" s="1" t="s">
        <v>55</v>
      </c>
      <c r="R124" s="1" t="s">
        <v>326</v>
      </c>
      <c r="S124" s="2">
        <v>46162</v>
      </c>
      <c r="T124" s="2">
        <v>46170</v>
      </c>
      <c r="AB124" s="1">
        <v>0.43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</row>
    <row r="125" spans="1:39" x14ac:dyDescent="0.25">
      <c r="A125" s="1">
        <v>184</v>
      </c>
      <c r="B125" s="1" t="s">
        <v>349</v>
      </c>
      <c r="C125" s="1" t="s">
        <v>350</v>
      </c>
      <c r="D125" s="1" t="s">
        <v>101</v>
      </c>
      <c r="E125" s="1" t="s">
        <v>102</v>
      </c>
      <c r="F125" s="3">
        <v>46202</v>
      </c>
      <c r="G125" s="3">
        <v>46204</v>
      </c>
      <c r="H125" s="4">
        <v>1</v>
      </c>
      <c r="I125" s="3">
        <v>46204</v>
      </c>
      <c r="J125" s="1" t="s">
        <v>53</v>
      </c>
      <c r="K125" s="1" t="s">
        <v>351</v>
      </c>
      <c r="L125" s="1" t="s">
        <v>352</v>
      </c>
      <c r="M125" s="1" t="s">
        <v>214</v>
      </c>
      <c r="N125" s="2">
        <v>46177</v>
      </c>
      <c r="P125" s="1" t="s">
        <v>348</v>
      </c>
      <c r="Q125" s="1" t="s">
        <v>55</v>
      </c>
      <c r="R125" s="1" t="s">
        <v>326</v>
      </c>
      <c r="S125" s="2">
        <v>46162</v>
      </c>
      <c r="T125" s="2">
        <v>46164</v>
      </c>
      <c r="AB125" s="1">
        <v>1</v>
      </c>
      <c r="AC125" s="1">
        <v>1</v>
      </c>
      <c r="AD125" s="1">
        <v>1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1</v>
      </c>
    </row>
    <row r="126" spans="1:39" x14ac:dyDescent="0.25">
      <c r="A126" s="1">
        <v>185</v>
      </c>
      <c r="B126" s="1" t="s">
        <v>353</v>
      </c>
      <c r="C126" s="1" t="s">
        <v>350</v>
      </c>
      <c r="D126" s="1" t="s">
        <v>105</v>
      </c>
      <c r="E126" s="1" t="s">
        <v>52</v>
      </c>
      <c r="F126" s="3">
        <v>46205</v>
      </c>
      <c r="G126" s="3">
        <v>46205</v>
      </c>
      <c r="H126" s="4">
        <v>0</v>
      </c>
      <c r="J126" s="1" t="s">
        <v>41</v>
      </c>
      <c r="K126" s="1">
        <v>184</v>
      </c>
      <c r="L126" s="1" t="s">
        <v>354</v>
      </c>
      <c r="M126" s="1" t="s">
        <v>66</v>
      </c>
      <c r="N126" s="2">
        <v>46178</v>
      </c>
      <c r="P126" s="1" t="s">
        <v>348</v>
      </c>
      <c r="Q126" s="1" t="s">
        <v>55</v>
      </c>
      <c r="R126" s="1" t="s">
        <v>326</v>
      </c>
      <c r="S126" s="2">
        <v>46167</v>
      </c>
      <c r="T126" s="2">
        <v>46167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1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</row>
    <row r="127" spans="1:39" x14ac:dyDescent="0.25">
      <c r="A127" s="1">
        <v>186</v>
      </c>
      <c r="B127" s="1" t="s">
        <v>355</v>
      </c>
      <c r="C127" s="1" t="s">
        <v>350</v>
      </c>
      <c r="D127" s="1" t="s">
        <v>109</v>
      </c>
      <c r="E127" s="1" t="s">
        <v>116</v>
      </c>
      <c r="F127" s="3">
        <v>46206</v>
      </c>
      <c r="G127" s="3">
        <v>46209</v>
      </c>
      <c r="H127" s="4">
        <v>0</v>
      </c>
      <c r="J127" s="1" t="s">
        <v>168</v>
      </c>
      <c r="K127" s="1">
        <v>185</v>
      </c>
      <c r="L127" s="1">
        <v>187</v>
      </c>
      <c r="M127" s="1" t="s">
        <v>195</v>
      </c>
      <c r="N127" s="2">
        <v>46182</v>
      </c>
      <c r="P127" s="1" t="s">
        <v>348</v>
      </c>
      <c r="Q127" s="1" t="s">
        <v>55</v>
      </c>
      <c r="R127" s="1" t="s">
        <v>326</v>
      </c>
      <c r="S127" s="2">
        <v>46168</v>
      </c>
      <c r="T127" s="2">
        <v>46169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</row>
    <row r="128" spans="1:39" x14ac:dyDescent="0.25">
      <c r="A128" s="1">
        <v>187</v>
      </c>
      <c r="B128" s="1" t="s">
        <v>356</v>
      </c>
      <c r="C128" s="1" t="s">
        <v>350</v>
      </c>
      <c r="D128" s="1" t="s">
        <v>115</v>
      </c>
      <c r="E128" s="1" t="s">
        <v>52</v>
      </c>
      <c r="F128" s="3">
        <v>46210</v>
      </c>
      <c r="G128" s="3">
        <v>46210</v>
      </c>
      <c r="H128" s="4">
        <v>0</v>
      </c>
      <c r="J128" s="1" t="s">
        <v>83</v>
      </c>
      <c r="K128" s="1">
        <v>186</v>
      </c>
      <c r="M128" s="1" t="s">
        <v>224</v>
      </c>
      <c r="N128" s="2">
        <v>46183</v>
      </c>
      <c r="P128" s="1" t="s">
        <v>348</v>
      </c>
      <c r="Q128" s="1" t="s">
        <v>55</v>
      </c>
      <c r="R128" s="1" t="s">
        <v>326</v>
      </c>
      <c r="S128" s="2">
        <v>46170</v>
      </c>
      <c r="T128" s="2">
        <v>46170</v>
      </c>
      <c r="AB128" s="1">
        <v>0</v>
      </c>
      <c r="AC128" s="1">
        <v>0</v>
      </c>
      <c r="AD128" s="1">
        <v>0</v>
      </c>
      <c r="AE128" s="1">
        <v>0</v>
      </c>
      <c r="AF128" s="1">
        <v>1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</row>
    <row r="129" spans="1:39" x14ac:dyDescent="0.25">
      <c r="A129" s="1">
        <v>188</v>
      </c>
      <c r="B129" s="1" t="s">
        <v>357</v>
      </c>
      <c r="C129" s="1" t="s">
        <v>328</v>
      </c>
      <c r="D129" s="1" t="s">
        <v>358</v>
      </c>
      <c r="E129" s="1" t="s">
        <v>359</v>
      </c>
      <c r="F129" s="3">
        <v>46181</v>
      </c>
      <c r="G129" s="3">
        <v>46185</v>
      </c>
      <c r="H129" s="4">
        <v>0.6</v>
      </c>
      <c r="J129" s="1" t="s">
        <v>41</v>
      </c>
      <c r="M129" s="1" t="s">
        <v>195</v>
      </c>
      <c r="N129" s="2">
        <v>46198</v>
      </c>
      <c r="P129" s="1" t="s">
        <v>76</v>
      </c>
      <c r="Q129" s="1" t="s">
        <v>55</v>
      </c>
      <c r="R129" s="1" t="s">
        <v>326</v>
      </c>
      <c r="S129" s="2">
        <v>46157</v>
      </c>
      <c r="T129" s="2">
        <v>46176</v>
      </c>
      <c r="AB129" s="1">
        <v>0.6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</row>
    <row r="130" spans="1:39" x14ac:dyDescent="0.25">
      <c r="A130" s="1">
        <v>189</v>
      </c>
      <c r="B130" s="1" t="s">
        <v>360</v>
      </c>
      <c r="C130" s="1" t="s">
        <v>361</v>
      </c>
      <c r="D130" s="1" t="s">
        <v>101</v>
      </c>
      <c r="E130" s="1" t="s">
        <v>52</v>
      </c>
      <c r="F130" s="3">
        <v>46181</v>
      </c>
      <c r="G130" s="3">
        <v>46181</v>
      </c>
      <c r="H130" s="4">
        <v>1</v>
      </c>
      <c r="I130" s="3">
        <v>46181</v>
      </c>
      <c r="J130" s="1" t="s">
        <v>53</v>
      </c>
      <c r="K130" s="1" t="s">
        <v>362</v>
      </c>
      <c r="L130" s="1">
        <v>190</v>
      </c>
      <c r="M130" s="1" t="s">
        <v>195</v>
      </c>
      <c r="N130" s="2">
        <v>46192</v>
      </c>
      <c r="P130" s="1" t="s">
        <v>76</v>
      </c>
      <c r="Q130" s="1" t="s">
        <v>55</v>
      </c>
      <c r="R130" s="1" t="s">
        <v>326</v>
      </c>
      <c r="S130" s="2">
        <v>46157</v>
      </c>
      <c r="T130" s="2">
        <v>46170</v>
      </c>
      <c r="AB130" s="1">
        <v>1</v>
      </c>
      <c r="AC130" s="1">
        <v>1</v>
      </c>
      <c r="AD130" s="1">
        <v>1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1</v>
      </c>
    </row>
    <row r="131" spans="1:39" x14ac:dyDescent="0.25">
      <c r="A131" s="1">
        <v>190</v>
      </c>
      <c r="B131" s="1" t="s">
        <v>363</v>
      </c>
      <c r="C131" s="1" t="s">
        <v>361</v>
      </c>
      <c r="D131" s="1" t="s">
        <v>105</v>
      </c>
      <c r="E131" s="1" t="s">
        <v>52</v>
      </c>
      <c r="F131" s="3">
        <v>46182</v>
      </c>
      <c r="G131" s="3">
        <v>46182</v>
      </c>
      <c r="H131" s="4">
        <v>1</v>
      </c>
      <c r="I131" s="3">
        <v>46182</v>
      </c>
      <c r="J131" s="1" t="s">
        <v>53</v>
      </c>
      <c r="K131" s="1">
        <v>189</v>
      </c>
      <c r="L131" s="1" t="s">
        <v>364</v>
      </c>
      <c r="M131" s="1" t="s">
        <v>365</v>
      </c>
      <c r="N131" s="2">
        <v>46195</v>
      </c>
      <c r="P131" s="1" t="s">
        <v>76</v>
      </c>
      <c r="Q131" s="1" t="s">
        <v>55</v>
      </c>
      <c r="R131" s="1" t="s">
        <v>326</v>
      </c>
      <c r="S131" s="2">
        <v>46171</v>
      </c>
      <c r="T131" s="2">
        <v>46171</v>
      </c>
      <c r="AB131" s="1">
        <v>1</v>
      </c>
      <c r="AC131" s="1">
        <v>0</v>
      </c>
      <c r="AD131" s="1">
        <v>0</v>
      </c>
      <c r="AE131" s="1">
        <v>0</v>
      </c>
      <c r="AF131" s="1">
        <v>0</v>
      </c>
      <c r="AG131" s="1">
        <v>1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</row>
    <row r="132" spans="1:39" x14ac:dyDescent="0.25">
      <c r="A132" s="1">
        <v>191</v>
      </c>
      <c r="B132" s="1" t="s">
        <v>366</v>
      </c>
      <c r="C132" s="1" t="s">
        <v>361</v>
      </c>
      <c r="D132" s="1" t="s">
        <v>109</v>
      </c>
      <c r="E132" s="1" t="s">
        <v>116</v>
      </c>
      <c r="F132" s="3">
        <v>46183</v>
      </c>
      <c r="G132" s="3">
        <v>46184</v>
      </c>
      <c r="H132" s="4">
        <v>0.5</v>
      </c>
      <c r="J132" s="1" t="s">
        <v>41</v>
      </c>
      <c r="K132" s="1">
        <v>190</v>
      </c>
      <c r="L132" s="1">
        <v>192</v>
      </c>
      <c r="M132" s="1" t="s">
        <v>367</v>
      </c>
      <c r="N132" s="2">
        <v>46197</v>
      </c>
      <c r="P132" s="1" t="s">
        <v>76</v>
      </c>
      <c r="Q132" s="1" t="s">
        <v>55</v>
      </c>
      <c r="R132" s="1" t="s">
        <v>326</v>
      </c>
      <c r="S132" s="2">
        <v>46174</v>
      </c>
      <c r="T132" s="2">
        <v>46175</v>
      </c>
      <c r="AB132" s="1">
        <v>0.5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1</v>
      </c>
      <c r="AK132" s="1">
        <v>0</v>
      </c>
      <c r="AL132" s="1">
        <v>0</v>
      </c>
      <c r="AM132" s="1">
        <v>0</v>
      </c>
    </row>
    <row r="133" spans="1:39" x14ac:dyDescent="0.25">
      <c r="A133" s="1">
        <v>192</v>
      </c>
      <c r="B133" s="1" t="s">
        <v>368</v>
      </c>
      <c r="C133" s="1" t="s">
        <v>361</v>
      </c>
      <c r="D133" s="1" t="s">
        <v>115</v>
      </c>
      <c r="E133" s="1" t="s">
        <v>52</v>
      </c>
      <c r="F133" s="3">
        <v>46185</v>
      </c>
      <c r="G133" s="3">
        <v>46185</v>
      </c>
      <c r="H133" s="4">
        <v>0</v>
      </c>
      <c r="J133" s="1" t="s">
        <v>41</v>
      </c>
      <c r="K133" s="1">
        <v>191</v>
      </c>
      <c r="M133" s="1" t="s">
        <v>233</v>
      </c>
      <c r="N133" s="2">
        <v>46198</v>
      </c>
      <c r="P133" s="1" t="s">
        <v>76</v>
      </c>
      <c r="Q133" s="1" t="s">
        <v>55</v>
      </c>
      <c r="R133" s="1" t="s">
        <v>326</v>
      </c>
      <c r="S133" s="2">
        <v>46176</v>
      </c>
      <c r="T133" s="2">
        <v>46176</v>
      </c>
      <c r="AB133" s="1">
        <v>0</v>
      </c>
      <c r="AC133" s="1">
        <v>0</v>
      </c>
      <c r="AD133" s="1">
        <v>0</v>
      </c>
      <c r="AE133" s="1">
        <v>0</v>
      </c>
      <c r="AF133" s="1">
        <v>1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1</v>
      </c>
      <c r="AM133" s="1">
        <v>0</v>
      </c>
    </row>
    <row r="134" spans="1:39" x14ac:dyDescent="0.25">
      <c r="A134" s="1">
        <v>198</v>
      </c>
      <c r="B134" s="1" t="s">
        <v>369</v>
      </c>
      <c r="C134" s="1" t="s">
        <v>328</v>
      </c>
      <c r="D134" s="1" t="s">
        <v>370</v>
      </c>
      <c r="E134" s="1" t="s">
        <v>227</v>
      </c>
      <c r="F134" s="3">
        <v>46196</v>
      </c>
      <c r="G134" s="3">
        <v>46204</v>
      </c>
      <c r="H134" s="4">
        <v>0.5</v>
      </c>
      <c r="J134" s="1" t="s">
        <v>41</v>
      </c>
      <c r="L134" s="1">
        <v>154</v>
      </c>
      <c r="M134" s="1" t="s">
        <v>66</v>
      </c>
      <c r="N134" s="2">
        <v>46188</v>
      </c>
      <c r="P134" s="1" t="s">
        <v>146</v>
      </c>
      <c r="Q134" s="1" t="s">
        <v>55</v>
      </c>
      <c r="R134" s="1" t="s">
        <v>326</v>
      </c>
      <c r="S134" s="2">
        <v>46167</v>
      </c>
      <c r="T134" s="2">
        <v>46175</v>
      </c>
      <c r="AB134" s="1">
        <v>0.5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</row>
    <row r="135" spans="1:39" x14ac:dyDescent="0.25">
      <c r="A135" s="1">
        <v>199</v>
      </c>
      <c r="B135" s="1" t="s">
        <v>371</v>
      </c>
      <c r="C135" s="1" t="s">
        <v>372</v>
      </c>
      <c r="D135" s="1" t="s">
        <v>101</v>
      </c>
      <c r="E135" s="1" t="s">
        <v>102</v>
      </c>
      <c r="F135" s="3">
        <v>46196</v>
      </c>
      <c r="G135" s="3">
        <v>46198</v>
      </c>
      <c r="H135" s="4">
        <v>1</v>
      </c>
      <c r="I135" s="3">
        <v>46198</v>
      </c>
      <c r="J135" s="1" t="s">
        <v>53</v>
      </c>
      <c r="K135" s="1">
        <v>160</v>
      </c>
      <c r="L135" s="1">
        <v>200</v>
      </c>
      <c r="M135" s="1" t="s">
        <v>66</v>
      </c>
      <c r="N135" s="2">
        <v>46182</v>
      </c>
      <c r="P135" s="1" t="s">
        <v>146</v>
      </c>
      <c r="Q135" s="1" t="s">
        <v>55</v>
      </c>
      <c r="R135" s="1" t="s">
        <v>326</v>
      </c>
      <c r="S135" s="2">
        <v>46167</v>
      </c>
      <c r="T135" s="2">
        <v>46169</v>
      </c>
      <c r="AB135" s="1">
        <v>1</v>
      </c>
      <c r="AC135" s="1">
        <v>1</v>
      </c>
      <c r="AD135" s="1">
        <v>1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1</v>
      </c>
    </row>
    <row r="136" spans="1:39" x14ac:dyDescent="0.25">
      <c r="A136" s="1">
        <v>200</v>
      </c>
      <c r="B136" s="1" t="s">
        <v>373</v>
      </c>
      <c r="C136" s="1" t="s">
        <v>372</v>
      </c>
      <c r="D136" s="1" t="s">
        <v>105</v>
      </c>
      <c r="E136" s="1" t="s">
        <v>52</v>
      </c>
      <c r="F136" s="3">
        <v>46199</v>
      </c>
      <c r="G136" s="3">
        <v>46199</v>
      </c>
      <c r="H136" s="4">
        <v>0.5</v>
      </c>
      <c r="J136" s="1" t="s">
        <v>41</v>
      </c>
      <c r="K136" s="1">
        <v>199</v>
      </c>
      <c r="L136" s="1">
        <v>201</v>
      </c>
      <c r="M136" s="1" t="s">
        <v>224</v>
      </c>
      <c r="N136" s="2">
        <v>46183</v>
      </c>
      <c r="P136" s="1" t="s">
        <v>146</v>
      </c>
      <c r="Q136" s="1" t="s">
        <v>55</v>
      </c>
      <c r="R136" s="1" t="s">
        <v>326</v>
      </c>
      <c r="S136" s="2">
        <v>46170</v>
      </c>
      <c r="T136" s="2">
        <v>46170</v>
      </c>
      <c r="AB136" s="1">
        <v>0.5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1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</row>
    <row r="137" spans="1:39" x14ac:dyDescent="0.25">
      <c r="A137" s="1">
        <v>201</v>
      </c>
      <c r="B137" s="1" t="s">
        <v>374</v>
      </c>
      <c r="C137" s="1" t="s">
        <v>372</v>
      </c>
      <c r="D137" s="1" t="s">
        <v>109</v>
      </c>
      <c r="E137" s="1" t="s">
        <v>116</v>
      </c>
      <c r="F137" s="3">
        <v>46202</v>
      </c>
      <c r="G137" s="3">
        <v>46203</v>
      </c>
      <c r="H137" s="4">
        <v>0</v>
      </c>
      <c r="J137" s="1" t="s">
        <v>41</v>
      </c>
      <c r="K137" s="1">
        <v>200</v>
      </c>
      <c r="L137" s="1">
        <v>202</v>
      </c>
      <c r="M137" s="1" t="s">
        <v>179</v>
      </c>
      <c r="N137" s="2">
        <v>46185</v>
      </c>
      <c r="P137" s="1" t="s">
        <v>67</v>
      </c>
      <c r="Q137" s="1" t="s">
        <v>55</v>
      </c>
      <c r="R137" s="1" t="s">
        <v>326</v>
      </c>
      <c r="S137" s="2">
        <v>46171</v>
      </c>
      <c r="T137" s="2">
        <v>46174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1</v>
      </c>
      <c r="AK137" s="1">
        <v>0</v>
      </c>
      <c r="AL137" s="1">
        <v>0</v>
      </c>
      <c r="AM137" s="1">
        <v>0</v>
      </c>
    </row>
    <row r="138" spans="1:39" x14ac:dyDescent="0.25">
      <c r="A138" s="1">
        <v>202</v>
      </c>
      <c r="B138" s="1" t="s">
        <v>375</v>
      </c>
      <c r="C138" s="1" t="s">
        <v>372</v>
      </c>
      <c r="D138" s="1" t="s">
        <v>115</v>
      </c>
      <c r="E138" s="1" t="s">
        <v>52</v>
      </c>
      <c r="F138" s="3">
        <v>46204</v>
      </c>
      <c r="G138" s="3">
        <v>46204</v>
      </c>
      <c r="H138" s="4">
        <v>0</v>
      </c>
      <c r="J138" s="1" t="s">
        <v>41</v>
      </c>
      <c r="K138" s="1">
        <v>201</v>
      </c>
      <c r="M138" s="1" t="s">
        <v>266</v>
      </c>
      <c r="N138" s="2">
        <v>46188</v>
      </c>
      <c r="P138" s="1" t="s">
        <v>67</v>
      </c>
      <c r="Q138" s="1" t="s">
        <v>55</v>
      </c>
      <c r="R138" s="1" t="s">
        <v>326</v>
      </c>
      <c r="S138" s="2">
        <v>46175</v>
      </c>
      <c r="T138" s="2">
        <v>46175</v>
      </c>
      <c r="AB138" s="1">
        <v>0</v>
      </c>
      <c r="AC138" s="1">
        <v>0</v>
      </c>
      <c r="AD138" s="1">
        <v>0</v>
      </c>
      <c r="AE138" s="1">
        <v>0</v>
      </c>
      <c r="AF138" s="1">
        <v>1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1</v>
      </c>
      <c r="AM138" s="1">
        <v>0</v>
      </c>
    </row>
    <row r="139" spans="1:39" x14ac:dyDescent="0.25">
      <c r="A139" s="1">
        <v>203</v>
      </c>
      <c r="B139" s="1" t="s">
        <v>376</v>
      </c>
      <c r="C139" s="1" t="s">
        <v>328</v>
      </c>
      <c r="D139" s="1" t="s">
        <v>377</v>
      </c>
      <c r="E139" s="1" t="s">
        <v>227</v>
      </c>
      <c r="F139" s="3">
        <v>46196</v>
      </c>
      <c r="G139" s="3">
        <v>46204</v>
      </c>
      <c r="H139" s="4">
        <v>0.5</v>
      </c>
      <c r="J139" s="1" t="s">
        <v>41</v>
      </c>
      <c r="M139" s="1" t="s">
        <v>66</v>
      </c>
      <c r="N139" s="2">
        <v>46188</v>
      </c>
      <c r="P139" s="1" t="s">
        <v>146</v>
      </c>
      <c r="Q139" s="1" t="s">
        <v>55</v>
      </c>
      <c r="R139" s="1" t="s">
        <v>326</v>
      </c>
      <c r="S139" s="2">
        <v>46167</v>
      </c>
      <c r="T139" s="2">
        <v>46175</v>
      </c>
      <c r="AB139" s="1">
        <v>0.5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</row>
    <row r="140" spans="1:39" x14ac:dyDescent="0.25">
      <c r="A140" s="1">
        <v>204</v>
      </c>
      <c r="B140" s="1" t="s">
        <v>378</v>
      </c>
      <c r="C140" s="1" t="s">
        <v>379</v>
      </c>
      <c r="D140" s="1" t="s">
        <v>101</v>
      </c>
      <c r="E140" s="1" t="s">
        <v>102</v>
      </c>
      <c r="F140" s="3">
        <v>46196</v>
      </c>
      <c r="G140" s="3">
        <v>46198</v>
      </c>
      <c r="H140" s="4">
        <v>1</v>
      </c>
      <c r="I140" s="3">
        <v>46198</v>
      </c>
      <c r="J140" s="1" t="s">
        <v>53</v>
      </c>
      <c r="K140" s="1">
        <v>160</v>
      </c>
      <c r="L140" s="1">
        <v>205</v>
      </c>
      <c r="M140" s="1" t="s">
        <v>66</v>
      </c>
      <c r="N140" s="2">
        <v>46182</v>
      </c>
      <c r="P140" s="1" t="s">
        <v>146</v>
      </c>
      <c r="Q140" s="1" t="s">
        <v>55</v>
      </c>
      <c r="R140" s="1" t="s">
        <v>326</v>
      </c>
      <c r="S140" s="2">
        <v>46167</v>
      </c>
      <c r="T140" s="2">
        <v>46169</v>
      </c>
      <c r="AB140" s="1">
        <v>1</v>
      </c>
      <c r="AC140" s="1">
        <v>1</v>
      </c>
      <c r="AD140" s="1">
        <v>1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1</v>
      </c>
    </row>
    <row r="141" spans="1:39" x14ac:dyDescent="0.25">
      <c r="A141" s="1">
        <v>205</v>
      </c>
      <c r="B141" s="1" t="s">
        <v>380</v>
      </c>
      <c r="C141" s="1" t="s">
        <v>379</v>
      </c>
      <c r="D141" s="1" t="s">
        <v>105</v>
      </c>
      <c r="E141" s="1" t="s">
        <v>52</v>
      </c>
      <c r="F141" s="3">
        <v>46199</v>
      </c>
      <c r="G141" s="3">
        <v>46199</v>
      </c>
      <c r="H141" s="4">
        <v>0.5</v>
      </c>
      <c r="J141" s="1" t="s">
        <v>41</v>
      </c>
      <c r="K141" s="1">
        <v>204</v>
      </c>
      <c r="L141" s="1">
        <v>206</v>
      </c>
      <c r="M141" s="1" t="s">
        <v>224</v>
      </c>
      <c r="N141" s="2">
        <v>46183</v>
      </c>
      <c r="P141" s="1" t="s">
        <v>146</v>
      </c>
      <c r="Q141" s="1" t="s">
        <v>55</v>
      </c>
      <c r="R141" s="1" t="s">
        <v>326</v>
      </c>
      <c r="S141" s="2">
        <v>46170</v>
      </c>
      <c r="T141" s="2">
        <v>46170</v>
      </c>
      <c r="AB141" s="1">
        <v>0.5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1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</row>
    <row r="142" spans="1:39" x14ac:dyDescent="0.25">
      <c r="A142" s="1">
        <v>206</v>
      </c>
      <c r="B142" s="1" t="s">
        <v>381</v>
      </c>
      <c r="C142" s="1" t="s">
        <v>379</v>
      </c>
      <c r="D142" s="1" t="s">
        <v>109</v>
      </c>
      <c r="E142" s="1" t="s">
        <v>116</v>
      </c>
      <c r="F142" s="3">
        <v>46202</v>
      </c>
      <c r="G142" s="3">
        <v>46203</v>
      </c>
      <c r="H142" s="4">
        <v>0</v>
      </c>
      <c r="J142" s="1" t="s">
        <v>41</v>
      </c>
      <c r="K142" s="1">
        <v>205</v>
      </c>
      <c r="L142" s="1">
        <v>207</v>
      </c>
      <c r="M142" s="1" t="s">
        <v>179</v>
      </c>
      <c r="N142" s="2">
        <v>46185</v>
      </c>
      <c r="P142" s="1" t="s">
        <v>67</v>
      </c>
      <c r="Q142" s="1" t="s">
        <v>55</v>
      </c>
      <c r="R142" s="1" t="s">
        <v>326</v>
      </c>
      <c r="S142" s="2">
        <v>46171</v>
      </c>
      <c r="T142" s="2">
        <v>46174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1</v>
      </c>
      <c r="AK142" s="1">
        <v>0</v>
      </c>
      <c r="AL142" s="1">
        <v>0</v>
      </c>
      <c r="AM142" s="1">
        <v>0</v>
      </c>
    </row>
    <row r="143" spans="1:39" x14ac:dyDescent="0.25">
      <c r="A143" s="1">
        <v>207</v>
      </c>
      <c r="B143" s="1" t="s">
        <v>382</v>
      </c>
      <c r="C143" s="1" t="s">
        <v>379</v>
      </c>
      <c r="D143" s="1" t="s">
        <v>115</v>
      </c>
      <c r="E143" s="1" t="s">
        <v>52</v>
      </c>
      <c r="F143" s="3">
        <v>46204</v>
      </c>
      <c r="G143" s="3">
        <v>46204</v>
      </c>
      <c r="H143" s="4">
        <v>0</v>
      </c>
      <c r="J143" s="1" t="s">
        <v>41</v>
      </c>
      <c r="K143" s="1">
        <v>206</v>
      </c>
      <c r="M143" s="1" t="s">
        <v>266</v>
      </c>
      <c r="N143" s="2">
        <v>46188</v>
      </c>
      <c r="P143" s="1" t="s">
        <v>67</v>
      </c>
      <c r="Q143" s="1" t="s">
        <v>55</v>
      </c>
      <c r="R143" s="1" t="s">
        <v>326</v>
      </c>
      <c r="S143" s="2">
        <v>46175</v>
      </c>
      <c r="T143" s="2">
        <v>46175</v>
      </c>
      <c r="AB143" s="1">
        <v>0</v>
      </c>
      <c r="AC143" s="1">
        <v>0</v>
      </c>
      <c r="AD143" s="1">
        <v>0</v>
      </c>
      <c r="AE143" s="1">
        <v>0</v>
      </c>
      <c r="AF143" s="1">
        <v>1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1</v>
      </c>
      <c r="AM143" s="1">
        <v>0</v>
      </c>
    </row>
    <row r="144" spans="1:39" x14ac:dyDescent="0.25">
      <c r="A144" s="1">
        <v>208</v>
      </c>
      <c r="B144" s="1" t="s">
        <v>383</v>
      </c>
      <c r="C144" s="1" t="s">
        <v>328</v>
      </c>
      <c r="D144" s="1" t="s">
        <v>384</v>
      </c>
      <c r="E144" s="1" t="s">
        <v>227</v>
      </c>
      <c r="F144" s="3">
        <v>46196</v>
      </c>
      <c r="G144" s="3">
        <v>46204</v>
      </c>
      <c r="H144" s="4">
        <v>0.5</v>
      </c>
      <c r="J144" s="1" t="s">
        <v>41</v>
      </c>
      <c r="M144" s="1" t="s">
        <v>66</v>
      </c>
      <c r="N144" s="2">
        <v>46188</v>
      </c>
      <c r="P144" s="1" t="s">
        <v>146</v>
      </c>
      <c r="Q144" s="1" t="s">
        <v>55</v>
      </c>
      <c r="R144" s="1" t="s">
        <v>326</v>
      </c>
      <c r="S144" s="2">
        <v>46167</v>
      </c>
      <c r="T144" s="2">
        <v>46175</v>
      </c>
      <c r="AB144" s="1">
        <v>0.5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</row>
    <row r="145" spans="1:39" x14ac:dyDescent="0.25">
      <c r="A145" s="1">
        <v>209</v>
      </c>
      <c r="B145" s="1" t="s">
        <v>385</v>
      </c>
      <c r="C145" s="1" t="s">
        <v>386</v>
      </c>
      <c r="D145" s="1" t="s">
        <v>101</v>
      </c>
      <c r="E145" s="1" t="s">
        <v>102</v>
      </c>
      <c r="F145" s="3">
        <v>46196</v>
      </c>
      <c r="G145" s="3">
        <v>46198</v>
      </c>
      <c r="H145" s="4">
        <v>1</v>
      </c>
      <c r="I145" s="3">
        <v>46198</v>
      </c>
      <c r="J145" s="1" t="s">
        <v>53</v>
      </c>
      <c r="K145" s="1">
        <v>160</v>
      </c>
      <c r="L145" s="1">
        <v>210</v>
      </c>
      <c r="M145" s="1" t="s">
        <v>66</v>
      </c>
      <c r="N145" s="2">
        <v>46182</v>
      </c>
      <c r="P145" s="1" t="s">
        <v>146</v>
      </c>
      <c r="Q145" s="1" t="s">
        <v>55</v>
      </c>
      <c r="R145" s="1" t="s">
        <v>326</v>
      </c>
      <c r="S145" s="2">
        <v>46167</v>
      </c>
      <c r="T145" s="2">
        <v>46169</v>
      </c>
      <c r="AB145" s="1">
        <v>1</v>
      </c>
      <c r="AC145" s="1">
        <v>1</v>
      </c>
      <c r="AD145" s="1">
        <v>1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1</v>
      </c>
    </row>
    <row r="146" spans="1:39" x14ac:dyDescent="0.25">
      <c r="A146" s="1">
        <v>210</v>
      </c>
      <c r="B146" s="1" t="s">
        <v>387</v>
      </c>
      <c r="C146" s="1" t="s">
        <v>386</v>
      </c>
      <c r="D146" s="1" t="s">
        <v>105</v>
      </c>
      <c r="E146" s="1" t="s">
        <v>52</v>
      </c>
      <c r="F146" s="3">
        <v>46199</v>
      </c>
      <c r="G146" s="3">
        <v>46199</v>
      </c>
      <c r="H146" s="4">
        <v>0.5</v>
      </c>
      <c r="J146" s="1" t="s">
        <v>41</v>
      </c>
      <c r="K146" s="1">
        <v>209</v>
      </c>
      <c r="L146" s="1">
        <v>211</v>
      </c>
      <c r="M146" s="1" t="s">
        <v>224</v>
      </c>
      <c r="N146" s="2">
        <v>46183</v>
      </c>
      <c r="P146" s="1" t="s">
        <v>146</v>
      </c>
      <c r="Q146" s="1" t="s">
        <v>55</v>
      </c>
      <c r="R146" s="1" t="s">
        <v>326</v>
      </c>
      <c r="S146" s="2">
        <v>46170</v>
      </c>
      <c r="T146" s="2">
        <v>46170</v>
      </c>
      <c r="AB146" s="1">
        <v>0.5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1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</row>
    <row r="147" spans="1:39" x14ac:dyDescent="0.25">
      <c r="A147" s="1">
        <v>211</v>
      </c>
      <c r="B147" s="1" t="s">
        <v>388</v>
      </c>
      <c r="C147" s="1" t="s">
        <v>386</v>
      </c>
      <c r="D147" s="1" t="s">
        <v>109</v>
      </c>
      <c r="E147" s="1" t="s">
        <v>116</v>
      </c>
      <c r="F147" s="3">
        <v>46202</v>
      </c>
      <c r="G147" s="3">
        <v>46203</v>
      </c>
      <c r="H147" s="4">
        <v>0</v>
      </c>
      <c r="J147" s="1" t="s">
        <v>41</v>
      </c>
      <c r="K147" s="1">
        <v>210</v>
      </c>
      <c r="L147" s="1">
        <v>212</v>
      </c>
      <c r="M147" s="1" t="s">
        <v>179</v>
      </c>
      <c r="N147" s="2">
        <v>46185</v>
      </c>
      <c r="P147" s="1" t="s">
        <v>67</v>
      </c>
      <c r="Q147" s="1" t="s">
        <v>55</v>
      </c>
      <c r="R147" s="1" t="s">
        <v>326</v>
      </c>
      <c r="S147" s="2">
        <v>46171</v>
      </c>
      <c r="T147" s="2">
        <v>46174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1</v>
      </c>
      <c r="AK147" s="1">
        <v>0</v>
      </c>
      <c r="AL147" s="1">
        <v>0</v>
      </c>
      <c r="AM147" s="1">
        <v>0</v>
      </c>
    </row>
    <row r="148" spans="1:39" x14ac:dyDescent="0.25">
      <c r="A148" s="1">
        <v>212</v>
      </c>
      <c r="B148" s="1" t="s">
        <v>389</v>
      </c>
      <c r="C148" s="1" t="s">
        <v>386</v>
      </c>
      <c r="D148" s="1" t="s">
        <v>115</v>
      </c>
      <c r="E148" s="1" t="s">
        <v>52</v>
      </c>
      <c r="F148" s="3">
        <v>46204</v>
      </c>
      <c r="G148" s="3">
        <v>46204</v>
      </c>
      <c r="H148" s="4">
        <v>0</v>
      </c>
      <c r="J148" s="1" t="s">
        <v>41</v>
      </c>
      <c r="K148" s="1">
        <v>211</v>
      </c>
      <c r="M148" s="1" t="s">
        <v>266</v>
      </c>
      <c r="N148" s="2">
        <v>46188</v>
      </c>
      <c r="P148" s="1" t="s">
        <v>67</v>
      </c>
      <c r="Q148" s="1" t="s">
        <v>55</v>
      </c>
      <c r="R148" s="1" t="s">
        <v>326</v>
      </c>
      <c r="S148" s="2">
        <v>46175</v>
      </c>
      <c r="T148" s="2">
        <v>46175</v>
      </c>
      <c r="AB148" s="1">
        <v>0</v>
      </c>
      <c r="AC148" s="1">
        <v>0</v>
      </c>
      <c r="AD148" s="1">
        <v>0</v>
      </c>
      <c r="AE148" s="1">
        <v>0</v>
      </c>
      <c r="AF148" s="1">
        <v>1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1</v>
      </c>
      <c r="AM148" s="1">
        <v>0</v>
      </c>
    </row>
    <row r="149" spans="1:39" x14ac:dyDescent="0.25">
      <c r="A149" s="1">
        <v>228</v>
      </c>
      <c r="B149" s="1" t="s">
        <v>390</v>
      </c>
      <c r="C149" s="1" t="s">
        <v>328</v>
      </c>
      <c r="D149" s="1" t="s">
        <v>391</v>
      </c>
      <c r="E149" s="1" t="s">
        <v>227</v>
      </c>
      <c r="F149" s="3">
        <v>46202</v>
      </c>
      <c r="G149" s="3">
        <v>46210</v>
      </c>
      <c r="H149" s="4">
        <v>0.43</v>
      </c>
      <c r="J149" s="1" t="s">
        <v>41</v>
      </c>
      <c r="M149" s="1" t="s">
        <v>66</v>
      </c>
      <c r="N149" s="2">
        <v>46188</v>
      </c>
      <c r="P149" s="1" t="s">
        <v>146</v>
      </c>
      <c r="Q149" s="1" t="s">
        <v>55</v>
      </c>
      <c r="R149" s="1" t="s">
        <v>326</v>
      </c>
      <c r="S149" s="2">
        <v>46167</v>
      </c>
      <c r="T149" s="2">
        <v>46175</v>
      </c>
      <c r="AB149" s="1">
        <v>0.43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</row>
    <row r="150" spans="1:39" x14ac:dyDescent="0.25">
      <c r="A150" s="1">
        <v>229</v>
      </c>
      <c r="B150" s="1" t="s">
        <v>392</v>
      </c>
      <c r="C150" s="1" t="s">
        <v>393</v>
      </c>
      <c r="D150" s="1" t="s">
        <v>101</v>
      </c>
      <c r="E150" s="1" t="s">
        <v>102</v>
      </c>
      <c r="F150" s="3">
        <v>46202</v>
      </c>
      <c r="G150" s="3">
        <v>46204</v>
      </c>
      <c r="H150" s="4">
        <v>1</v>
      </c>
      <c r="I150" s="3">
        <v>46204</v>
      </c>
      <c r="J150" s="1" t="s">
        <v>53</v>
      </c>
      <c r="K150" s="1" t="s">
        <v>394</v>
      </c>
      <c r="L150" s="1">
        <v>230</v>
      </c>
      <c r="M150" s="1" t="s">
        <v>66</v>
      </c>
      <c r="N150" s="2">
        <v>46182</v>
      </c>
      <c r="P150" s="1" t="s">
        <v>146</v>
      </c>
      <c r="Q150" s="1" t="s">
        <v>55</v>
      </c>
      <c r="R150" s="1" t="s">
        <v>326</v>
      </c>
      <c r="S150" s="2">
        <v>46167</v>
      </c>
      <c r="T150" s="2">
        <v>46169</v>
      </c>
      <c r="AB150" s="1">
        <v>1</v>
      </c>
      <c r="AC150" s="1">
        <v>1</v>
      </c>
      <c r="AD150" s="1">
        <v>1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1</v>
      </c>
    </row>
    <row r="151" spans="1:39" x14ac:dyDescent="0.25">
      <c r="A151" s="1">
        <v>230</v>
      </c>
      <c r="B151" s="1" t="s">
        <v>395</v>
      </c>
      <c r="C151" s="1" t="s">
        <v>393</v>
      </c>
      <c r="D151" s="1" t="s">
        <v>105</v>
      </c>
      <c r="E151" s="1" t="s">
        <v>52</v>
      </c>
      <c r="F151" s="3">
        <v>46205</v>
      </c>
      <c r="G151" s="3">
        <v>46205</v>
      </c>
      <c r="H151" s="4">
        <v>0</v>
      </c>
      <c r="J151" s="1" t="s">
        <v>41</v>
      </c>
      <c r="K151" s="1">
        <v>229</v>
      </c>
      <c r="L151" s="1">
        <v>231</v>
      </c>
      <c r="M151" s="1" t="s">
        <v>224</v>
      </c>
      <c r="N151" s="2">
        <v>46183</v>
      </c>
      <c r="P151" s="1" t="s">
        <v>67</v>
      </c>
      <c r="Q151" s="1" t="s">
        <v>55</v>
      </c>
      <c r="R151" s="1" t="s">
        <v>326</v>
      </c>
      <c r="S151" s="2">
        <v>46170</v>
      </c>
      <c r="T151" s="2">
        <v>46170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1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</row>
    <row r="152" spans="1:39" x14ac:dyDescent="0.25">
      <c r="A152" s="1">
        <v>231</v>
      </c>
      <c r="B152" s="1" t="s">
        <v>396</v>
      </c>
      <c r="C152" s="1" t="s">
        <v>393</v>
      </c>
      <c r="D152" s="1" t="s">
        <v>109</v>
      </c>
      <c r="E152" s="1" t="s">
        <v>116</v>
      </c>
      <c r="F152" s="3">
        <v>46206</v>
      </c>
      <c r="G152" s="3">
        <v>46209</v>
      </c>
      <c r="H152" s="4">
        <v>0</v>
      </c>
      <c r="J152" s="1" t="s">
        <v>168</v>
      </c>
      <c r="K152" s="1">
        <v>230</v>
      </c>
      <c r="L152" s="1">
        <v>232</v>
      </c>
      <c r="M152" s="1" t="s">
        <v>179</v>
      </c>
      <c r="N152" s="2">
        <v>46185</v>
      </c>
      <c r="P152" s="1" t="s">
        <v>67</v>
      </c>
      <c r="Q152" s="1" t="s">
        <v>55</v>
      </c>
      <c r="R152" s="1" t="s">
        <v>326</v>
      </c>
      <c r="S152" s="2">
        <v>46171</v>
      </c>
      <c r="T152" s="2">
        <v>46174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</row>
    <row r="153" spans="1:39" x14ac:dyDescent="0.25">
      <c r="A153" s="1">
        <v>232</v>
      </c>
      <c r="B153" s="1" t="s">
        <v>397</v>
      </c>
      <c r="C153" s="1" t="s">
        <v>393</v>
      </c>
      <c r="D153" s="1" t="s">
        <v>115</v>
      </c>
      <c r="E153" s="1" t="s">
        <v>52</v>
      </c>
      <c r="F153" s="3">
        <v>46210</v>
      </c>
      <c r="G153" s="3">
        <v>46210</v>
      </c>
      <c r="H153" s="4">
        <v>0</v>
      </c>
      <c r="J153" s="1" t="s">
        <v>83</v>
      </c>
      <c r="K153" s="1">
        <v>231</v>
      </c>
      <c r="M153" s="1" t="s">
        <v>266</v>
      </c>
      <c r="N153" s="2">
        <v>46188</v>
      </c>
      <c r="P153" s="1" t="s">
        <v>67</v>
      </c>
      <c r="Q153" s="1" t="s">
        <v>55</v>
      </c>
      <c r="R153" s="1" t="s">
        <v>326</v>
      </c>
      <c r="S153" s="2">
        <v>46175</v>
      </c>
      <c r="T153" s="2">
        <v>46175</v>
      </c>
      <c r="AB153" s="1">
        <v>0</v>
      </c>
      <c r="AC153" s="1">
        <v>0</v>
      </c>
      <c r="AD153" s="1">
        <v>0</v>
      </c>
      <c r="AE153" s="1">
        <v>0</v>
      </c>
      <c r="AF153" s="1">
        <v>1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</row>
    <row r="154" spans="1:39" x14ac:dyDescent="0.25">
      <c r="A154" s="1">
        <v>238</v>
      </c>
      <c r="B154" s="1" t="s">
        <v>398</v>
      </c>
      <c r="C154" s="1" t="s">
        <v>50</v>
      </c>
      <c r="D154" s="1" t="s">
        <v>399</v>
      </c>
      <c r="E154" s="1" t="s">
        <v>400</v>
      </c>
      <c r="F154" s="3">
        <v>46189</v>
      </c>
      <c r="G154" s="3">
        <v>46211</v>
      </c>
      <c r="H154" s="4">
        <v>0.5</v>
      </c>
      <c r="J154" s="1" t="s">
        <v>41</v>
      </c>
      <c r="M154" s="1" t="s">
        <v>179</v>
      </c>
      <c r="N154" s="2">
        <v>46210</v>
      </c>
      <c r="P154" s="1" t="s">
        <v>73</v>
      </c>
      <c r="Q154" s="1" t="s">
        <v>55</v>
      </c>
      <c r="R154" s="1" t="s">
        <v>401</v>
      </c>
      <c r="S154" s="2">
        <v>46147</v>
      </c>
      <c r="T154" s="2">
        <v>46202</v>
      </c>
      <c r="AB154" s="1">
        <v>0.5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</row>
    <row r="155" spans="1:39" x14ac:dyDescent="0.25">
      <c r="A155" s="1">
        <v>244</v>
      </c>
      <c r="B155" s="1" t="s">
        <v>402</v>
      </c>
      <c r="C155" s="1" t="s">
        <v>403</v>
      </c>
      <c r="D155" s="1" t="s">
        <v>404</v>
      </c>
      <c r="E155" s="1" t="s">
        <v>144</v>
      </c>
      <c r="F155" s="3">
        <v>46198</v>
      </c>
      <c r="G155" s="3">
        <v>46205</v>
      </c>
      <c r="H155" s="4">
        <v>0.5</v>
      </c>
      <c r="J155" s="1" t="s">
        <v>41</v>
      </c>
      <c r="M155" s="1" t="s">
        <v>179</v>
      </c>
      <c r="N155" s="2">
        <v>46196</v>
      </c>
      <c r="P155" s="1" t="s">
        <v>146</v>
      </c>
      <c r="Q155" s="1" t="s">
        <v>55</v>
      </c>
      <c r="R155" s="1" t="s">
        <v>401</v>
      </c>
      <c r="S155" s="2">
        <v>46176</v>
      </c>
      <c r="T155" s="2">
        <v>46188</v>
      </c>
      <c r="AB155" s="1">
        <v>0.5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</row>
    <row r="156" spans="1:39" x14ac:dyDescent="0.25">
      <c r="A156" s="1">
        <v>245</v>
      </c>
      <c r="B156" s="1" t="s">
        <v>405</v>
      </c>
      <c r="C156" s="1" t="s">
        <v>406</v>
      </c>
      <c r="D156" s="1" t="s">
        <v>101</v>
      </c>
      <c r="E156" s="1" t="s">
        <v>102</v>
      </c>
      <c r="F156" s="3">
        <v>46198</v>
      </c>
      <c r="G156" s="3">
        <v>46202</v>
      </c>
      <c r="H156" s="4">
        <v>1</v>
      </c>
      <c r="I156" s="3">
        <v>46202</v>
      </c>
      <c r="J156" s="1" t="s">
        <v>53</v>
      </c>
      <c r="K156" s="1" t="s">
        <v>407</v>
      </c>
      <c r="L156" s="1" t="s">
        <v>408</v>
      </c>
      <c r="M156" s="1" t="s">
        <v>179</v>
      </c>
      <c r="N156" s="2">
        <v>46190</v>
      </c>
      <c r="P156" s="1" t="s">
        <v>146</v>
      </c>
      <c r="Q156" s="1" t="s">
        <v>55</v>
      </c>
      <c r="R156" s="1" t="s">
        <v>401</v>
      </c>
      <c r="S156" s="2">
        <v>46176</v>
      </c>
      <c r="T156" s="2">
        <v>46182</v>
      </c>
      <c r="AB156" s="1">
        <v>1</v>
      </c>
      <c r="AC156" s="1">
        <v>1</v>
      </c>
      <c r="AD156" s="1">
        <v>1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1</v>
      </c>
    </row>
    <row r="157" spans="1:39" x14ac:dyDescent="0.25">
      <c r="A157" s="1">
        <v>246</v>
      </c>
      <c r="B157" s="1" t="s">
        <v>409</v>
      </c>
      <c r="C157" s="1" t="s">
        <v>406</v>
      </c>
      <c r="D157" s="1" t="s">
        <v>105</v>
      </c>
      <c r="E157" s="1" t="s">
        <v>52</v>
      </c>
      <c r="F157" s="3">
        <v>46203</v>
      </c>
      <c r="G157" s="3">
        <v>46203</v>
      </c>
      <c r="H157" s="4">
        <v>0</v>
      </c>
      <c r="J157" s="1" t="s">
        <v>41</v>
      </c>
      <c r="K157" s="1">
        <v>245</v>
      </c>
      <c r="L157" s="1" t="s">
        <v>410</v>
      </c>
      <c r="M157" s="1" t="s">
        <v>228</v>
      </c>
      <c r="N157" s="2">
        <v>46191</v>
      </c>
      <c r="P157" s="1" t="s">
        <v>67</v>
      </c>
      <c r="Q157" s="1" t="s">
        <v>55</v>
      </c>
      <c r="R157" s="1" t="s">
        <v>401</v>
      </c>
      <c r="S157" s="2">
        <v>46183</v>
      </c>
      <c r="T157" s="2">
        <v>46183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1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</row>
    <row r="158" spans="1:39" x14ac:dyDescent="0.25">
      <c r="A158" s="1">
        <v>247</v>
      </c>
      <c r="B158" s="1" t="s">
        <v>411</v>
      </c>
      <c r="C158" s="1" t="s">
        <v>406</v>
      </c>
      <c r="D158" s="1" t="s">
        <v>109</v>
      </c>
      <c r="E158" s="1" t="s">
        <v>52</v>
      </c>
      <c r="F158" s="3">
        <v>46204</v>
      </c>
      <c r="G158" s="3">
        <v>46204</v>
      </c>
      <c r="H158" s="4">
        <v>0</v>
      </c>
      <c r="J158" s="1" t="s">
        <v>41</v>
      </c>
      <c r="K158" s="1">
        <v>246</v>
      </c>
      <c r="L158" s="1">
        <v>248</v>
      </c>
      <c r="M158" s="1" t="s">
        <v>338</v>
      </c>
      <c r="N158" s="2">
        <v>46195</v>
      </c>
      <c r="P158" s="1" t="s">
        <v>67</v>
      </c>
      <c r="Q158" s="1" t="s">
        <v>55</v>
      </c>
      <c r="R158" s="1" t="s">
        <v>401</v>
      </c>
      <c r="S158" s="2">
        <v>46184</v>
      </c>
      <c r="T158" s="2">
        <v>46185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1</v>
      </c>
      <c r="AK158" s="1">
        <v>0</v>
      </c>
      <c r="AL158" s="1">
        <v>0</v>
      </c>
      <c r="AM158" s="1">
        <v>0</v>
      </c>
    </row>
    <row r="159" spans="1:39" x14ac:dyDescent="0.25">
      <c r="A159" s="1">
        <v>248</v>
      </c>
      <c r="B159" s="1" t="s">
        <v>412</v>
      </c>
      <c r="C159" s="1" t="s">
        <v>406</v>
      </c>
      <c r="D159" s="1" t="s">
        <v>115</v>
      </c>
      <c r="E159" s="1" t="s">
        <v>52</v>
      </c>
      <c r="F159" s="3">
        <v>46205</v>
      </c>
      <c r="G159" s="3">
        <v>46205</v>
      </c>
      <c r="H159" s="4">
        <v>0</v>
      </c>
      <c r="J159" s="1" t="s">
        <v>41</v>
      </c>
      <c r="K159" s="1">
        <v>247</v>
      </c>
      <c r="M159" s="1" t="s">
        <v>367</v>
      </c>
      <c r="N159" s="2">
        <v>46196</v>
      </c>
      <c r="P159" s="1" t="s">
        <v>67</v>
      </c>
      <c r="Q159" s="1" t="s">
        <v>55</v>
      </c>
      <c r="R159" s="1" t="s">
        <v>401</v>
      </c>
      <c r="S159" s="2">
        <v>46188</v>
      </c>
      <c r="T159" s="2">
        <v>46188</v>
      </c>
      <c r="AB159" s="1">
        <v>0</v>
      </c>
      <c r="AC159" s="1">
        <v>0</v>
      </c>
      <c r="AD159" s="1">
        <v>0</v>
      </c>
      <c r="AE159" s="1">
        <v>0</v>
      </c>
      <c r="AF159" s="1">
        <v>1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1</v>
      </c>
      <c r="AM159" s="1">
        <v>0</v>
      </c>
    </row>
    <row r="160" spans="1:39" x14ac:dyDescent="0.25">
      <c r="A160" s="1">
        <v>249</v>
      </c>
      <c r="B160" s="1" t="s">
        <v>413</v>
      </c>
      <c r="C160" s="1" t="s">
        <v>403</v>
      </c>
      <c r="D160" s="1" t="s">
        <v>414</v>
      </c>
      <c r="E160" s="1" t="s">
        <v>144</v>
      </c>
      <c r="F160" s="3">
        <v>46204</v>
      </c>
      <c r="G160" s="3">
        <v>46211</v>
      </c>
      <c r="H160" s="4">
        <v>0.5</v>
      </c>
      <c r="J160" s="1" t="s">
        <v>168</v>
      </c>
      <c r="M160" s="1" t="s">
        <v>345</v>
      </c>
      <c r="N160" s="2">
        <v>46210</v>
      </c>
      <c r="P160" s="1" t="s">
        <v>67</v>
      </c>
      <c r="Q160" s="1" t="s">
        <v>55</v>
      </c>
      <c r="R160" s="1" t="s">
        <v>401</v>
      </c>
      <c r="S160" s="2">
        <v>46192</v>
      </c>
      <c r="T160" s="2">
        <v>46202</v>
      </c>
      <c r="AB160" s="1">
        <v>0.5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</row>
    <row r="161" spans="1:39" x14ac:dyDescent="0.25">
      <c r="A161" s="1">
        <v>250</v>
      </c>
      <c r="B161" s="1" t="s">
        <v>415</v>
      </c>
      <c r="C161" s="1" t="s">
        <v>416</v>
      </c>
      <c r="D161" s="1" t="s">
        <v>101</v>
      </c>
      <c r="E161" s="1" t="s">
        <v>102</v>
      </c>
      <c r="F161" s="3">
        <v>46204</v>
      </c>
      <c r="G161" s="3">
        <v>46206</v>
      </c>
      <c r="H161" s="4">
        <v>1</v>
      </c>
      <c r="I161" s="3">
        <v>46206</v>
      </c>
      <c r="J161" s="1" t="s">
        <v>53</v>
      </c>
      <c r="K161" s="1">
        <v>255</v>
      </c>
      <c r="L161" s="1">
        <v>251</v>
      </c>
      <c r="M161" s="1" t="s">
        <v>345</v>
      </c>
      <c r="N161" s="2">
        <v>46204</v>
      </c>
      <c r="P161" s="1" t="s">
        <v>67</v>
      </c>
      <c r="Q161" s="1" t="s">
        <v>55</v>
      </c>
      <c r="R161" s="1" t="s">
        <v>401</v>
      </c>
      <c r="S161" s="2">
        <v>46192</v>
      </c>
      <c r="T161" s="2">
        <v>46196</v>
      </c>
      <c r="AB161" s="1">
        <v>1</v>
      </c>
      <c r="AC161" s="1">
        <v>1</v>
      </c>
      <c r="AD161" s="1">
        <v>1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1</v>
      </c>
    </row>
    <row r="162" spans="1:39" x14ac:dyDescent="0.25">
      <c r="A162" s="1">
        <v>251</v>
      </c>
      <c r="B162" s="1" t="s">
        <v>417</v>
      </c>
      <c r="C162" s="1" t="s">
        <v>416</v>
      </c>
      <c r="D162" s="1" t="s">
        <v>105</v>
      </c>
      <c r="E162" s="1" t="s">
        <v>52</v>
      </c>
      <c r="F162" s="3">
        <v>46209</v>
      </c>
      <c r="G162" s="3">
        <v>46209</v>
      </c>
      <c r="H162" s="4">
        <v>0</v>
      </c>
      <c r="J162" s="1" t="s">
        <v>83</v>
      </c>
      <c r="K162" s="1">
        <v>250</v>
      </c>
      <c r="L162" s="1">
        <v>252</v>
      </c>
      <c r="M162" s="1" t="s">
        <v>164</v>
      </c>
      <c r="N162" s="2">
        <v>46205</v>
      </c>
      <c r="P162" s="1" t="s">
        <v>235</v>
      </c>
      <c r="Q162" s="1" t="s">
        <v>55</v>
      </c>
      <c r="R162" s="1" t="s">
        <v>401</v>
      </c>
      <c r="S162" s="2">
        <v>46197</v>
      </c>
      <c r="T162" s="2">
        <v>46197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</row>
    <row r="163" spans="1:39" x14ac:dyDescent="0.25">
      <c r="A163" s="1">
        <v>252</v>
      </c>
      <c r="B163" s="1" t="s">
        <v>418</v>
      </c>
      <c r="C163" s="1" t="s">
        <v>416</v>
      </c>
      <c r="D163" s="1" t="s">
        <v>109</v>
      </c>
      <c r="E163" s="1" t="s">
        <v>52</v>
      </c>
      <c r="F163" s="3">
        <v>46210</v>
      </c>
      <c r="G163" s="3">
        <v>46210</v>
      </c>
      <c r="H163" s="4">
        <v>0</v>
      </c>
      <c r="J163" s="1" t="s">
        <v>83</v>
      </c>
      <c r="K163" s="1">
        <v>251</v>
      </c>
      <c r="L163" s="1">
        <v>253</v>
      </c>
      <c r="M163" s="1" t="s">
        <v>166</v>
      </c>
      <c r="N163" s="2">
        <v>46209</v>
      </c>
      <c r="P163" s="1" t="s">
        <v>235</v>
      </c>
      <c r="Q163" s="1" t="s">
        <v>55</v>
      </c>
      <c r="R163" s="1" t="s">
        <v>401</v>
      </c>
      <c r="S163" s="2">
        <v>46198</v>
      </c>
      <c r="T163" s="2">
        <v>46199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</row>
    <row r="164" spans="1:39" x14ac:dyDescent="0.25">
      <c r="A164" s="1">
        <v>253</v>
      </c>
      <c r="B164" s="1" t="s">
        <v>419</v>
      </c>
      <c r="C164" s="1" t="s">
        <v>416</v>
      </c>
      <c r="D164" s="1" t="s">
        <v>115</v>
      </c>
      <c r="E164" s="1" t="s">
        <v>52</v>
      </c>
      <c r="F164" s="3">
        <v>46211</v>
      </c>
      <c r="G164" s="3">
        <v>46211</v>
      </c>
      <c r="H164" s="4">
        <v>0</v>
      </c>
      <c r="J164" s="1" t="s">
        <v>83</v>
      </c>
      <c r="K164" s="1">
        <v>252</v>
      </c>
      <c r="M164" s="1" t="s">
        <v>169</v>
      </c>
      <c r="N164" s="2">
        <v>46210</v>
      </c>
      <c r="P164" s="1" t="s">
        <v>235</v>
      </c>
      <c r="Q164" s="1" t="s">
        <v>55</v>
      </c>
      <c r="R164" s="1" t="s">
        <v>401</v>
      </c>
      <c r="S164" s="2">
        <v>46202</v>
      </c>
      <c r="T164" s="2">
        <v>46202</v>
      </c>
      <c r="AB164" s="1">
        <v>0</v>
      </c>
      <c r="AC164" s="1">
        <v>0</v>
      </c>
      <c r="AD164" s="1">
        <v>0</v>
      </c>
      <c r="AE164" s="1">
        <v>0</v>
      </c>
      <c r="AF164" s="1">
        <v>1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</row>
    <row r="165" spans="1:39" x14ac:dyDescent="0.25">
      <c r="A165" s="1">
        <v>259</v>
      </c>
      <c r="B165" s="1" t="s">
        <v>420</v>
      </c>
      <c r="C165" s="1" t="s">
        <v>403</v>
      </c>
      <c r="D165" s="1" t="s">
        <v>421</v>
      </c>
      <c r="E165" s="1" t="s">
        <v>359</v>
      </c>
      <c r="F165" s="3">
        <v>46191</v>
      </c>
      <c r="G165" s="3">
        <v>46197</v>
      </c>
      <c r="H165" s="4">
        <v>0.4</v>
      </c>
      <c r="J165" s="1" t="s">
        <v>41</v>
      </c>
      <c r="M165" s="1" t="s">
        <v>179</v>
      </c>
      <c r="N165" s="2">
        <v>46192</v>
      </c>
      <c r="P165" s="1" t="s">
        <v>73</v>
      </c>
      <c r="Q165" s="1" t="s">
        <v>55</v>
      </c>
      <c r="R165" s="1" t="s">
        <v>401</v>
      </c>
      <c r="S165" s="2">
        <v>46171</v>
      </c>
      <c r="T165" s="2">
        <v>46181</v>
      </c>
      <c r="AB165" s="1">
        <v>0.4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</row>
    <row r="166" spans="1:39" x14ac:dyDescent="0.25">
      <c r="A166" s="1">
        <v>260</v>
      </c>
      <c r="B166" s="1" t="s">
        <v>422</v>
      </c>
      <c r="C166" s="1" t="s">
        <v>423</v>
      </c>
      <c r="D166" s="1" t="s">
        <v>101</v>
      </c>
      <c r="E166" s="1" t="s">
        <v>116</v>
      </c>
      <c r="F166" s="3">
        <v>46191</v>
      </c>
      <c r="G166" s="3">
        <v>46192</v>
      </c>
      <c r="H166" s="4">
        <v>1</v>
      </c>
      <c r="I166" s="3">
        <v>46192</v>
      </c>
      <c r="J166" s="1" t="s">
        <v>53</v>
      </c>
      <c r="K166" s="1" t="s">
        <v>424</v>
      </c>
      <c r="L166" s="1" t="s">
        <v>425</v>
      </c>
      <c r="M166" s="1" t="s">
        <v>179</v>
      </c>
      <c r="N166" s="2">
        <v>46188</v>
      </c>
      <c r="P166" s="1" t="s">
        <v>73</v>
      </c>
      <c r="Q166" s="1" t="s">
        <v>55</v>
      </c>
      <c r="R166" s="1" t="s">
        <v>401</v>
      </c>
      <c r="S166" s="2">
        <v>46171</v>
      </c>
      <c r="T166" s="2">
        <v>46175</v>
      </c>
      <c r="AB166" s="1">
        <v>1</v>
      </c>
      <c r="AC166" s="1">
        <v>1</v>
      </c>
      <c r="AD166" s="1">
        <v>1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1</v>
      </c>
    </row>
    <row r="167" spans="1:39" x14ac:dyDescent="0.25">
      <c r="A167" s="1">
        <v>261</v>
      </c>
      <c r="B167" s="1" t="s">
        <v>426</v>
      </c>
      <c r="C167" s="1" t="s">
        <v>423</v>
      </c>
      <c r="D167" s="1" t="s">
        <v>105</v>
      </c>
      <c r="E167" s="1" t="s">
        <v>52</v>
      </c>
      <c r="F167" s="3">
        <v>46195</v>
      </c>
      <c r="G167" s="3">
        <v>46195</v>
      </c>
      <c r="H167" s="4">
        <v>0</v>
      </c>
      <c r="J167" s="1" t="s">
        <v>41</v>
      </c>
      <c r="K167" s="1">
        <v>260</v>
      </c>
      <c r="L167" s="1">
        <v>262</v>
      </c>
      <c r="M167" s="1" t="s">
        <v>268</v>
      </c>
      <c r="N167" s="2">
        <v>46189</v>
      </c>
      <c r="P167" s="1" t="s">
        <v>146</v>
      </c>
      <c r="Q167" s="1" t="s">
        <v>55</v>
      </c>
      <c r="R167" s="1" t="s">
        <v>401</v>
      </c>
      <c r="S167" s="2">
        <v>46176</v>
      </c>
      <c r="T167" s="2">
        <v>46176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1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</row>
    <row r="168" spans="1:39" x14ac:dyDescent="0.25">
      <c r="A168" s="1">
        <v>262</v>
      </c>
      <c r="B168" s="1" t="s">
        <v>427</v>
      </c>
      <c r="C168" s="1" t="s">
        <v>423</v>
      </c>
      <c r="D168" s="1" t="s">
        <v>109</v>
      </c>
      <c r="E168" s="1" t="s">
        <v>52</v>
      </c>
      <c r="F168" s="3">
        <v>46196</v>
      </c>
      <c r="G168" s="3">
        <v>46196</v>
      </c>
      <c r="H168" s="4">
        <v>0</v>
      </c>
      <c r="J168" s="1" t="s">
        <v>41</v>
      </c>
      <c r="K168" s="1">
        <v>261</v>
      </c>
      <c r="L168" s="1">
        <v>263</v>
      </c>
      <c r="M168" s="1" t="s">
        <v>428</v>
      </c>
      <c r="N168" s="2">
        <v>46191</v>
      </c>
      <c r="P168" s="1" t="s">
        <v>146</v>
      </c>
      <c r="Q168" s="1" t="s">
        <v>55</v>
      </c>
      <c r="R168" s="1" t="s">
        <v>401</v>
      </c>
      <c r="S168" s="2">
        <v>46177</v>
      </c>
      <c r="T168" s="2">
        <v>46178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1</v>
      </c>
      <c r="AK168" s="1">
        <v>0</v>
      </c>
      <c r="AL168" s="1">
        <v>0</v>
      </c>
      <c r="AM168" s="1">
        <v>0</v>
      </c>
    </row>
    <row r="169" spans="1:39" x14ac:dyDescent="0.25">
      <c r="A169" s="1">
        <v>263</v>
      </c>
      <c r="B169" s="1" t="s">
        <v>429</v>
      </c>
      <c r="C169" s="1" t="s">
        <v>423</v>
      </c>
      <c r="D169" s="1" t="s">
        <v>115</v>
      </c>
      <c r="E169" s="1" t="s">
        <v>52</v>
      </c>
      <c r="F169" s="3">
        <v>46197</v>
      </c>
      <c r="G169" s="3">
        <v>46197</v>
      </c>
      <c r="H169" s="4">
        <v>0</v>
      </c>
      <c r="J169" s="1" t="s">
        <v>41</v>
      </c>
      <c r="K169" s="1">
        <v>262</v>
      </c>
      <c r="M169" s="1" t="s">
        <v>338</v>
      </c>
      <c r="N169" s="2">
        <v>46192</v>
      </c>
      <c r="P169" s="1" t="s">
        <v>146</v>
      </c>
      <c r="Q169" s="1" t="s">
        <v>55</v>
      </c>
      <c r="R169" s="1" t="s">
        <v>401</v>
      </c>
      <c r="S169" s="2">
        <v>46181</v>
      </c>
      <c r="T169" s="2">
        <v>46181</v>
      </c>
      <c r="AB169" s="1">
        <v>0</v>
      </c>
      <c r="AC169" s="1">
        <v>0</v>
      </c>
      <c r="AD169" s="1">
        <v>0</v>
      </c>
      <c r="AE169" s="1">
        <v>0</v>
      </c>
      <c r="AF169" s="1">
        <v>1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1</v>
      </c>
      <c r="AM169" s="1">
        <v>0</v>
      </c>
    </row>
    <row r="170" spans="1:39" x14ac:dyDescent="0.25">
      <c r="A170" s="1">
        <v>264</v>
      </c>
      <c r="B170" s="1" t="s">
        <v>430</v>
      </c>
      <c r="C170" s="1" t="s">
        <v>403</v>
      </c>
      <c r="D170" s="1" t="s">
        <v>431</v>
      </c>
      <c r="E170" s="1" t="s">
        <v>144</v>
      </c>
      <c r="F170" s="3">
        <v>46203</v>
      </c>
      <c r="G170" s="3">
        <v>46210</v>
      </c>
      <c r="H170" s="4">
        <v>0.5</v>
      </c>
      <c r="J170" s="1" t="s">
        <v>168</v>
      </c>
      <c r="M170" s="1" t="s">
        <v>367</v>
      </c>
      <c r="N170" s="2">
        <v>46206</v>
      </c>
      <c r="P170" s="1" t="s">
        <v>67</v>
      </c>
      <c r="Q170" s="1" t="s">
        <v>55</v>
      </c>
      <c r="R170" s="1" t="s">
        <v>401</v>
      </c>
      <c r="S170" s="2">
        <v>46188</v>
      </c>
      <c r="T170" s="2">
        <v>46198</v>
      </c>
      <c r="AB170" s="1">
        <v>0.5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</row>
    <row r="171" spans="1:39" x14ac:dyDescent="0.25">
      <c r="A171" s="1">
        <v>265</v>
      </c>
      <c r="B171" s="1" t="s">
        <v>432</v>
      </c>
      <c r="C171" s="1" t="s">
        <v>433</v>
      </c>
      <c r="D171" s="1" t="s">
        <v>101</v>
      </c>
      <c r="E171" s="1" t="s">
        <v>102</v>
      </c>
      <c r="F171" s="3">
        <v>46203</v>
      </c>
      <c r="G171" s="3">
        <v>46205</v>
      </c>
      <c r="H171" s="4">
        <v>1</v>
      </c>
      <c r="I171" s="3">
        <v>46205</v>
      </c>
      <c r="J171" s="1" t="s">
        <v>53</v>
      </c>
      <c r="K171" s="1">
        <v>245</v>
      </c>
      <c r="L171" s="1">
        <v>266</v>
      </c>
      <c r="M171" s="1" t="s">
        <v>367</v>
      </c>
      <c r="N171" s="2">
        <v>46202</v>
      </c>
      <c r="P171" s="1" t="s">
        <v>67</v>
      </c>
      <c r="Q171" s="1" t="s">
        <v>55</v>
      </c>
      <c r="R171" s="1" t="s">
        <v>401</v>
      </c>
      <c r="S171" s="2">
        <v>46188</v>
      </c>
      <c r="T171" s="2">
        <v>46192</v>
      </c>
      <c r="AB171" s="1">
        <v>1</v>
      </c>
      <c r="AC171" s="1">
        <v>1</v>
      </c>
      <c r="AD171" s="1">
        <v>1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1</v>
      </c>
    </row>
    <row r="172" spans="1:39" x14ac:dyDescent="0.25">
      <c r="A172" s="1">
        <v>266</v>
      </c>
      <c r="B172" s="1" t="s">
        <v>434</v>
      </c>
      <c r="C172" s="1" t="s">
        <v>433</v>
      </c>
      <c r="D172" s="1" t="s">
        <v>105</v>
      </c>
      <c r="E172" s="1" t="s">
        <v>52</v>
      </c>
      <c r="F172" s="3">
        <v>46206</v>
      </c>
      <c r="G172" s="3">
        <v>46206</v>
      </c>
      <c r="H172" s="4">
        <v>0</v>
      </c>
      <c r="J172" s="1" t="s">
        <v>168</v>
      </c>
      <c r="K172" s="1">
        <v>265</v>
      </c>
      <c r="L172" s="1">
        <v>267</v>
      </c>
      <c r="M172" s="1" t="s">
        <v>160</v>
      </c>
      <c r="N172" s="2">
        <v>46203</v>
      </c>
      <c r="P172" s="1" t="s">
        <v>67</v>
      </c>
      <c r="Q172" s="1" t="s">
        <v>55</v>
      </c>
      <c r="R172" s="1" t="s">
        <v>401</v>
      </c>
      <c r="S172" s="2">
        <v>46195</v>
      </c>
      <c r="T172" s="2">
        <v>46195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</row>
    <row r="173" spans="1:39" x14ac:dyDescent="0.25">
      <c r="A173" s="1">
        <v>267</v>
      </c>
      <c r="B173" s="1" t="s">
        <v>435</v>
      </c>
      <c r="C173" s="1" t="s">
        <v>433</v>
      </c>
      <c r="D173" s="1" t="s">
        <v>109</v>
      </c>
      <c r="E173" s="1" t="s">
        <v>52</v>
      </c>
      <c r="F173" s="3">
        <v>46209</v>
      </c>
      <c r="G173" s="3">
        <v>46209</v>
      </c>
      <c r="H173" s="4">
        <v>0</v>
      </c>
      <c r="J173" s="1" t="s">
        <v>83</v>
      </c>
      <c r="K173" s="1">
        <v>266</v>
      </c>
      <c r="L173" s="1">
        <v>268</v>
      </c>
      <c r="M173" s="1" t="s">
        <v>436</v>
      </c>
      <c r="N173" s="2">
        <v>46205</v>
      </c>
      <c r="P173" s="1" t="s">
        <v>235</v>
      </c>
      <c r="Q173" s="1" t="s">
        <v>55</v>
      </c>
      <c r="R173" s="1" t="s">
        <v>401</v>
      </c>
      <c r="S173" s="2">
        <v>46196</v>
      </c>
      <c r="T173" s="2">
        <v>46197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</row>
    <row r="174" spans="1:39" x14ac:dyDescent="0.25">
      <c r="A174" s="1">
        <v>268</v>
      </c>
      <c r="B174" s="1" t="s">
        <v>437</v>
      </c>
      <c r="C174" s="1" t="s">
        <v>433</v>
      </c>
      <c r="D174" s="1" t="s">
        <v>115</v>
      </c>
      <c r="E174" s="1" t="s">
        <v>52</v>
      </c>
      <c r="F174" s="3">
        <v>46210</v>
      </c>
      <c r="G174" s="3">
        <v>46210</v>
      </c>
      <c r="H174" s="4">
        <v>0</v>
      </c>
      <c r="J174" s="1" t="s">
        <v>83</v>
      </c>
      <c r="K174" s="1">
        <v>267</v>
      </c>
      <c r="M174" s="1" t="s">
        <v>166</v>
      </c>
      <c r="N174" s="2">
        <v>46206</v>
      </c>
      <c r="P174" s="1" t="s">
        <v>235</v>
      </c>
      <c r="Q174" s="1" t="s">
        <v>55</v>
      </c>
      <c r="R174" s="1" t="s">
        <v>401</v>
      </c>
      <c r="S174" s="2">
        <v>46198</v>
      </c>
      <c r="T174" s="2">
        <v>46198</v>
      </c>
      <c r="AB174" s="1">
        <v>0</v>
      </c>
      <c r="AC174" s="1">
        <v>0</v>
      </c>
      <c r="AD174" s="1">
        <v>0</v>
      </c>
      <c r="AE174" s="1">
        <v>0</v>
      </c>
      <c r="AF174" s="1">
        <v>1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</row>
    <row r="175" spans="1:39" x14ac:dyDescent="0.25">
      <c r="A175" s="1">
        <v>269</v>
      </c>
      <c r="B175" s="1" t="s">
        <v>438</v>
      </c>
      <c r="C175" s="1" t="s">
        <v>403</v>
      </c>
      <c r="D175" s="1" t="s">
        <v>439</v>
      </c>
      <c r="E175" s="1" t="s">
        <v>144</v>
      </c>
      <c r="F175" s="3">
        <v>46203</v>
      </c>
      <c r="G175" s="3">
        <v>46210</v>
      </c>
      <c r="H175" s="4">
        <v>0.5</v>
      </c>
      <c r="J175" s="1" t="s">
        <v>168</v>
      </c>
      <c r="M175" s="1" t="s">
        <v>367</v>
      </c>
      <c r="N175" s="2">
        <v>46206</v>
      </c>
      <c r="P175" s="1" t="s">
        <v>67</v>
      </c>
      <c r="Q175" s="1" t="s">
        <v>55</v>
      </c>
      <c r="R175" s="1" t="s">
        <v>401</v>
      </c>
      <c r="S175" s="2">
        <v>46188</v>
      </c>
      <c r="T175" s="2">
        <v>46198</v>
      </c>
      <c r="AB175" s="1">
        <v>0.5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</row>
    <row r="176" spans="1:39" x14ac:dyDescent="0.25">
      <c r="A176" s="1">
        <v>270</v>
      </c>
      <c r="B176" s="1" t="s">
        <v>440</v>
      </c>
      <c r="C176" s="1" t="s">
        <v>441</v>
      </c>
      <c r="D176" s="1" t="s">
        <v>101</v>
      </c>
      <c r="E176" s="1" t="s">
        <v>102</v>
      </c>
      <c r="F176" s="3">
        <v>46203</v>
      </c>
      <c r="G176" s="3">
        <v>46205</v>
      </c>
      <c r="H176" s="4">
        <v>1</v>
      </c>
      <c r="I176" s="3">
        <v>46205</v>
      </c>
      <c r="J176" s="1" t="s">
        <v>53</v>
      </c>
      <c r="K176" s="1">
        <v>245</v>
      </c>
      <c r="L176" s="1">
        <v>271</v>
      </c>
      <c r="M176" s="1" t="s">
        <v>367</v>
      </c>
      <c r="N176" s="2">
        <v>46202</v>
      </c>
      <c r="P176" s="1" t="s">
        <v>67</v>
      </c>
      <c r="Q176" s="1" t="s">
        <v>55</v>
      </c>
      <c r="R176" s="1" t="s">
        <v>401</v>
      </c>
      <c r="S176" s="2">
        <v>46188</v>
      </c>
      <c r="T176" s="2">
        <v>46192</v>
      </c>
      <c r="AB176" s="1">
        <v>1</v>
      </c>
      <c r="AC176" s="1">
        <v>1</v>
      </c>
      <c r="AD176" s="1">
        <v>1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1</v>
      </c>
    </row>
    <row r="177" spans="1:39" x14ac:dyDescent="0.25">
      <c r="A177" s="1">
        <v>271</v>
      </c>
      <c r="B177" s="1" t="s">
        <v>442</v>
      </c>
      <c r="C177" s="1" t="s">
        <v>441</v>
      </c>
      <c r="D177" s="1" t="s">
        <v>105</v>
      </c>
      <c r="E177" s="1" t="s">
        <v>52</v>
      </c>
      <c r="F177" s="3">
        <v>46206</v>
      </c>
      <c r="G177" s="3">
        <v>46206</v>
      </c>
      <c r="H177" s="4">
        <v>0</v>
      </c>
      <c r="J177" s="1" t="s">
        <v>168</v>
      </c>
      <c r="K177" s="1">
        <v>270</v>
      </c>
      <c r="L177" s="1">
        <v>272</v>
      </c>
      <c r="M177" s="1" t="s">
        <v>160</v>
      </c>
      <c r="N177" s="2">
        <v>46203</v>
      </c>
      <c r="P177" s="1" t="s">
        <v>67</v>
      </c>
      <c r="Q177" s="1" t="s">
        <v>55</v>
      </c>
      <c r="R177" s="1" t="s">
        <v>401</v>
      </c>
      <c r="S177" s="2">
        <v>46195</v>
      </c>
      <c r="T177" s="2">
        <v>46195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</row>
    <row r="178" spans="1:39" x14ac:dyDescent="0.25">
      <c r="A178" s="1">
        <v>272</v>
      </c>
      <c r="B178" s="1" t="s">
        <v>443</v>
      </c>
      <c r="C178" s="1" t="s">
        <v>441</v>
      </c>
      <c r="D178" s="1" t="s">
        <v>109</v>
      </c>
      <c r="E178" s="1" t="s">
        <v>52</v>
      </c>
      <c r="F178" s="3">
        <v>46209</v>
      </c>
      <c r="G178" s="3">
        <v>46209</v>
      </c>
      <c r="H178" s="4">
        <v>0</v>
      </c>
      <c r="J178" s="1" t="s">
        <v>83</v>
      </c>
      <c r="K178" s="1">
        <v>271</v>
      </c>
      <c r="L178" s="1">
        <v>273</v>
      </c>
      <c r="M178" s="1" t="s">
        <v>436</v>
      </c>
      <c r="N178" s="2">
        <v>46205</v>
      </c>
      <c r="P178" s="1" t="s">
        <v>235</v>
      </c>
      <c r="Q178" s="1" t="s">
        <v>55</v>
      </c>
      <c r="R178" s="1" t="s">
        <v>401</v>
      </c>
      <c r="S178" s="2">
        <v>46196</v>
      </c>
      <c r="T178" s="2">
        <v>46197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</row>
    <row r="179" spans="1:39" x14ac:dyDescent="0.25">
      <c r="A179" s="1">
        <v>273</v>
      </c>
      <c r="B179" s="1" t="s">
        <v>444</v>
      </c>
      <c r="C179" s="1" t="s">
        <v>441</v>
      </c>
      <c r="D179" s="1" t="s">
        <v>115</v>
      </c>
      <c r="E179" s="1" t="s">
        <v>52</v>
      </c>
      <c r="F179" s="3">
        <v>46210</v>
      </c>
      <c r="G179" s="3">
        <v>46210</v>
      </c>
      <c r="H179" s="4">
        <v>0</v>
      </c>
      <c r="J179" s="1" t="s">
        <v>83</v>
      </c>
      <c r="K179" s="1">
        <v>272</v>
      </c>
      <c r="M179" s="1" t="s">
        <v>166</v>
      </c>
      <c r="N179" s="2">
        <v>46206</v>
      </c>
      <c r="P179" s="1" t="s">
        <v>235</v>
      </c>
      <c r="Q179" s="1" t="s">
        <v>55</v>
      </c>
      <c r="R179" s="1" t="s">
        <v>401</v>
      </c>
      <c r="S179" s="2">
        <v>46198</v>
      </c>
      <c r="T179" s="2">
        <v>46198</v>
      </c>
      <c r="AB179" s="1">
        <v>0</v>
      </c>
      <c r="AC179" s="1">
        <v>0</v>
      </c>
      <c r="AD179" s="1">
        <v>0</v>
      </c>
      <c r="AE179" s="1">
        <v>0</v>
      </c>
      <c r="AF179" s="1">
        <v>1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</row>
    <row r="180" spans="1:39" x14ac:dyDescent="0.25">
      <c r="A180" s="1">
        <v>274</v>
      </c>
      <c r="B180" s="1" t="s">
        <v>445</v>
      </c>
      <c r="C180" s="1" t="s">
        <v>403</v>
      </c>
      <c r="D180" s="1" t="s">
        <v>446</v>
      </c>
      <c r="E180" s="1" t="s">
        <v>144</v>
      </c>
      <c r="F180" s="3">
        <v>46203</v>
      </c>
      <c r="G180" s="3">
        <v>46210</v>
      </c>
      <c r="H180" s="4">
        <v>0.5</v>
      </c>
      <c r="J180" s="1" t="s">
        <v>168</v>
      </c>
      <c r="M180" s="1" t="s">
        <v>367</v>
      </c>
      <c r="N180" s="2">
        <v>46206</v>
      </c>
      <c r="P180" s="1" t="s">
        <v>67</v>
      </c>
      <c r="Q180" s="1" t="s">
        <v>55</v>
      </c>
      <c r="R180" s="1" t="s">
        <v>401</v>
      </c>
      <c r="S180" s="2">
        <v>46188</v>
      </c>
      <c r="T180" s="2">
        <v>46198</v>
      </c>
      <c r="AB180" s="1">
        <v>0.5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</row>
    <row r="181" spans="1:39" x14ac:dyDescent="0.25">
      <c r="A181" s="1">
        <v>275</v>
      </c>
      <c r="B181" s="1" t="s">
        <v>447</v>
      </c>
      <c r="C181" s="1" t="s">
        <v>448</v>
      </c>
      <c r="D181" s="1" t="s">
        <v>101</v>
      </c>
      <c r="E181" s="1" t="s">
        <v>102</v>
      </c>
      <c r="F181" s="3">
        <v>46203</v>
      </c>
      <c r="G181" s="3">
        <v>46205</v>
      </c>
      <c r="H181" s="4">
        <v>1</v>
      </c>
      <c r="I181" s="3">
        <v>46205</v>
      </c>
      <c r="J181" s="1" t="s">
        <v>53</v>
      </c>
      <c r="K181" s="1">
        <v>245</v>
      </c>
      <c r="L181" s="1">
        <v>276</v>
      </c>
      <c r="M181" s="1" t="s">
        <v>367</v>
      </c>
      <c r="N181" s="2">
        <v>46202</v>
      </c>
      <c r="P181" s="1" t="s">
        <v>67</v>
      </c>
      <c r="Q181" s="1" t="s">
        <v>55</v>
      </c>
      <c r="R181" s="1" t="s">
        <v>401</v>
      </c>
      <c r="S181" s="2">
        <v>46188</v>
      </c>
      <c r="T181" s="2">
        <v>46192</v>
      </c>
      <c r="AB181" s="1">
        <v>1</v>
      </c>
      <c r="AC181" s="1">
        <v>1</v>
      </c>
      <c r="AD181" s="1">
        <v>1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1</v>
      </c>
    </row>
    <row r="182" spans="1:39" x14ac:dyDescent="0.25">
      <c r="A182" s="1">
        <v>276</v>
      </c>
      <c r="B182" s="1" t="s">
        <v>449</v>
      </c>
      <c r="C182" s="1" t="s">
        <v>448</v>
      </c>
      <c r="D182" s="1" t="s">
        <v>105</v>
      </c>
      <c r="E182" s="1" t="s">
        <v>52</v>
      </c>
      <c r="F182" s="3">
        <v>46206</v>
      </c>
      <c r="G182" s="3">
        <v>46206</v>
      </c>
      <c r="H182" s="4">
        <v>0</v>
      </c>
      <c r="J182" s="1" t="s">
        <v>168</v>
      </c>
      <c r="K182" s="1">
        <v>275</v>
      </c>
      <c r="L182" s="1">
        <v>277</v>
      </c>
      <c r="M182" s="1" t="s">
        <v>160</v>
      </c>
      <c r="N182" s="2">
        <v>46203</v>
      </c>
      <c r="P182" s="1" t="s">
        <v>67</v>
      </c>
      <c r="Q182" s="1" t="s">
        <v>55</v>
      </c>
      <c r="R182" s="1" t="s">
        <v>401</v>
      </c>
      <c r="S182" s="2">
        <v>46195</v>
      </c>
      <c r="T182" s="2">
        <v>46195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</row>
    <row r="183" spans="1:39" x14ac:dyDescent="0.25">
      <c r="A183" s="1">
        <v>277</v>
      </c>
      <c r="B183" s="1" t="s">
        <v>450</v>
      </c>
      <c r="C183" s="1" t="s">
        <v>448</v>
      </c>
      <c r="D183" s="1" t="s">
        <v>109</v>
      </c>
      <c r="E183" s="1" t="s">
        <v>52</v>
      </c>
      <c r="F183" s="3">
        <v>46209</v>
      </c>
      <c r="G183" s="3">
        <v>46209</v>
      </c>
      <c r="H183" s="4">
        <v>0</v>
      </c>
      <c r="J183" s="1" t="s">
        <v>83</v>
      </c>
      <c r="K183" s="1">
        <v>276</v>
      </c>
      <c r="L183" s="1">
        <v>278</v>
      </c>
      <c r="M183" s="1" t="s">
        <v>436</v>
      </c>
      <c r="N183" s="2">
        <v>46205</v>
      </c>
      <c r="P183" s="1" t="s">
        <v>235</v>
      </c>
      <c r="Q183" s="1" t="s">
        <v>55</v>
      </c>
      <c r="R183" s="1" t="s">
        <v>401</v>
      </c>
      <c r="S183" s="2">
        <v>46196</v>
      </c>
      <c r="T183" s="2">
        <v>46197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</row>
    <row r="184" spans="1:39" x14ac:dyDescent="0.25">
      <c r="A184" s="1">
        <v>278</v>
      </c>
      <c r="B184" s="1" t="s">
        <v>451</v>
      </c>
      <c r="C184" s="1" t="s">
        <v>448</v>
      </c>
      <c r="D184" s="1" t="s">
        <v>115</v>
      </c>
      <c r="E184" s="1" t="s">
        <v>52</v>
      </c>
      <c r="F184" s="3">
        <v>46210</v>
      </c>
      <c r="G184" s="3">
        <v>46210</v>
      </c>
      <c r="H184" s="4">
        <v>0</v>
      </c>
      <c r="J184" s="1" t="s">
        <v>83</v>
      </c>
      <c r="K184" s="1">
        <v>277</v>
      </c>
      <c r="M184" s="1" t="s">
        <v>166</v>
      </c>
      <c r="N184" s="2">
        <v>46206</v>
      </c>
      <c r="P184" s="1" t="s">
        <v>235</v>
      </c>
      <c r="Q184" s="1" t="s">
        <v>55</v>
      </c>
      <c r="R184" s="1" t="s">
        <v>401</v>
      </c>
      <c r="S184" s="2">
        <v>46198</v>
      </c>
      <c r="T184" s="2">
        <v>46198</v>
      </c>
      <c r="AB184" s="1">
        <v>0</v>
      </c>
      <c r="AC184" s="1">
        <v>0</v>
      </c>
      <c r="AD184" s="1">
        <v>0</v>
      </c>
      <c r="AE184" s="1">
        <v>0</v>
      </c>
      <c r="AF184" s="1">
        <v>1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</row>
    <row r="185" spans="1:39" x14ac:dyDescent="0.25">
      <c r="A185" s="1">
        <v>279</v>
      </c>
      <c r="B185" s="1" t="s">
        <v>452</v>
      </c>
      <c r="C185" s="1" t="s">
        <v>403</v>
      </c>
      <c r="D185" s="1" t="s">
        <v>453</v>
      </c>
      <c r="E185" s="1" t="s">
        <v>144</v>
      </c>
      <c r="F185" s="3">
        <v>46203</v>
      </c>
      <c r="G185" s="3">
        <v>46210</v>
      </c>
      <c r="H185" s="4">
        <v>0.5</v>
      </c>
      <c r="J185" s="1" t="s">
        <v>168</v>
      </c>
      <c r="M185" s="1" t="s">
        <v>367</v>
      </c>
      <c r="N185" s="2">
        <v>46206</v>
      </c>
      <c r="P185" s="1" t="s">
        <v>67</v>
      </c>
      <c r="Q185" s="1" t="s">
        <v>55</v>
      </c>
      <c r="R185" s="1" t="s">
        <v>401</v>
      </c>
      <c r="S185" s="2">
        <v>46188</v>
      </c>
      <c r="T185" s="2">
        <v>46198</v>
      </c>
      <c r="AB185" s="1">
        <v>0.5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</row>
    <row r="186" spans="1:39" x14ac:dyDescent="0.25">
      <c r="A186" s="1">
        <v>280</v>
      </c>
      <c r="B186" s="1" t="s">
        <v>454</v>
      </c>
      <c r="C186" s="1" t="s">
        <v>455</v>
      </c>
      <c r="D186" s="1" t="s">
        <v>101</v>
      </c>
      <c r="E186" s="1" t="s">
        <v>102</v>
      </c>
      <c r="F186" s="3">
        <v>46203</v>
      </c>
      <c r="G186" s="3">
        <v>46205</v>
      </c>
      <c r="H186" s="4">
        <v>1</v>
      </c>
      <c r="I186" s="3">
        <v>46205</v>
      </c>
      <c r="J186" s="1" t="s">
        <v>53</v>
      </c>
      <c r="K186" s="1">
        <v>245</v>
      </c>
      <c r="L186" s="1">
        <v>281</v>
      </c>
      <c r="M186" s="1" t="s">
        <v>367</v>
      </c>
      <c r="N186" s="2">
        <v>46202</v>
      </c>
      <c r="P186" s="1" t="s">
        <v>67</v>
      </c>
      <c r="Q186" s="1" t="s">
        <v>55</v>
      </c>
      <c r="R186" s="1" t="s">
        <v>401</v>
      </c>
      <c r="S186" s="2">
        <v>46188</v>
      </c>
      <c r="T186" s="2">
        <v>46192</v>
      </c>
      <c r="AB186" s="1">
        <v>1</v>
      </c>
      <c r="AC186" s="1">
        <v>1</v>
      </c>
      <c r="AD186" s="1">
        <v>1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1</v>
      </c>
    </row>
    <row r="187" spans="1:39" x14ac:dyDescent="0.25">
      <c r="A187" s="1">
        <v>281</v>
      </c>
      <c r="B187" s="1" t="s">
        <v>456</v>
      </c>
      <c r="C187" s="1" t="s">
        <v>455</v>
      </c>
      <c r="D187" s="1" t="s">
        <v>105</v>
      </c>
      <c r="E187" s="1" t="s">
        <v>52</v>
      </c>
      <c r="F187" s="3">
        <v>46206</v>
      </c>
      <c r="G187" s="3">
        <v>46206</v>
      </c>
      <c r="H187" s="4">
        <v>0</v>
      </c>
      <c r="J187" s="1" t="s">
        <v>168</v>
      </c>
      <c r="K187" s="1">
        <v>280</v>
      </c>
      <c r="L187" s="1">
        <v>282</v>
      </c>
      <c r="M187" s="1" t="s">
        <v>160</v>
      </c>
      <c r="N187" s="2">
        <v>46203</v>
      </c>
      <c r="P187" s="1" t="s">
        <v>67</v>
      </c>
      <c r="Q187" s="1" t="s">
        <v>55</v>
      </c>
      <c r="R187" s="1" t="s">
        <v>401</v>
      </c>
      <c r="S187" s="2">
        <v>46195</v>
      </c>
      <c r="T187" s="2">
        <v>46195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</row>
    <row r="188" spans="1:39" x14ac:dyDescent="0.25">
      <c r="A188" s="1">
        <v>282</v>
      </c>
      <c r="B188" s="1" t="s">
        <v>457</v>
      </c>
      <c r="C188" s="1" t="s">
        <v>455</v>
      </c>
      <c r="D188" s="1" t="s">
        <v>109</v>
      </c>
      <c r="E188" s="1" t="s">
        <v>52</v>
      </c>
      <c r="F188" s="3">
        <v>46209</v>
      </c>
      <c r="G188" s="3">
        <v>46209</v>
      </c>
      <c r="H188" s="4">
        <v>0</v>
      </c>
      <c r="J188" s="1" t="s">
        <v>83</v>
      </c>
      <c r="K188" s="1">
        <v>281</v>
      </c>
      <c r="L188" s="1">
        <v>283</v>
      </c>
      <c r="M188" s="1" t="s">
        <v>436</v>
      </c>
      <c r="N188" s="2">
        <v>46205</v>
      </c>
      <c r="P188" s="1" t="s">
        <v>235</v>
      </c>
      <c r="Q188" s="1" t="s">
        <v>55</v>
      </c>
      <c r="R188" s="1" t="s">
        <v>401</v>
      </c>
      <c r="S188" s="2">
        <v>46196</v>
      </c>
      <c r="T188" s="2">
        <v>46197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</row>
    <row r="189" spans="1:39" x14ac:dyDescent="0.25">
      <c r="A189" s="1">
        <v>283</v>
      </c>
      <c r="B189" s="1" t="s">
        <v>458</v>
      </c>
      <c r="C189" s="1" t="s">
        <v>455</v>
      </c>
      <c r="D189" s="1" t="s">
        <v>115</v>
      </c>
      <c r="E189" s="1" t="s">
        <v>52</v>
      </c>
      <c r="F189" s="3">
        <v>46210</v>
      </c>
      <c r="G189" s="3">
        <v>46210</v>
      </c>
      <c r="H189" s="4">
        <v>0</v>
      </c>
      <c r="J189" s="1" t="s">
        <v>83</v>
      </c>
      <c r="K189" s="1">
        <v>282</v>
      </c>
      <c r="M189" s="1" t="s">
        <v>166</v>
      </c>
      <c r="N189" s="2">
        <v>46206</v>
      </c>
      <c r="P189" s="1" t="s">
        <v>235</v>
      </c>
      <c r="Q189" s="1" t="s">
        <v>55</v>
      </c>
      <c r="R189" s="1" t="s">
        <v>401</v>
      </c>
      <c r="S189" s="2">
        <v>46198</v>
      </c>
      <c r="T189" s="2">
        <v>46198</v>
      </c>
      <c r="AB189" s="1">
        <v>0</v>
      </c>
      <c r="AC189" s="1">
        <v>0</v>
      </c>
      <c r="AD189" s="1">
        <v>0</v>
      </c>
      <c r="AE189" s="1">
        <v>0</v>
      </c>
      <c r="AF189" s="1">
        <v>1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</row>
    <row r="190" spans="1:39" x14ac:dyDescent="0.25">
      <c r="A190" s="1">
        <v>289</v>
      </c>
      <c r="B190" s="1" t="s">
        <v>459</v>
      </c>
      <c r="C190" s="1" t="s">
        <v>403</v>
      </c>
      <c r="D190" s="1" t="s">
        <v>460</v>
      </c>
      <c r="E190" s="1" t="s">
        <v>227</v>
      </c>
      <c r="F190" s="3">
        <v>46189</v>
      </c>
      <c r="G190" s="3">
        <v>46197</v>
      </c>
      <c r="H190" s="4">
        <v>0.56999999999999995</v>
      </c>
      <c r="J190" s="1" t="s">
        <v>41</v>
      </c>
      <c r="M190" s="1" t="s">
        <v>367</v>
      </c>
      <c r="N190" s="2">
        <v>46206</v>
      </c>
      <c r="P190" s="1" t="s">
        <v>67</v>
      </c>
      <c r="Q190" s="1" t="s">
        <v>55</v>
      </c>
      <c r="R190" s="1" t="s">
        <v>401</v>
      </c>
      <c r="S190" s="2">
        <v>46188</v>
      </c>
      <c r="T190" s="2">
        <v>46198</v>
      </c>
      <c r="AB190" s="1">
        <v>0.56999999999999995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</row>
    <row r="191" spans="1:39" x14ac:dyDescent="0.25">
      <c r="A191" s="1">
        <v>290</v>
      </c>
      <c r="B191" s="1" t="s">
        <v>461</v>
      </c>
      <c r="C191" s="1" t="s">
        <v>462</v>
      </c>
      <c r="D191" s="1" t="s">
        <v>101</v>
      </c>
      <c r="E191" s="1" t="s">
        <v>231</v>
      </c>
      <c r="F191" s="3">
        <v>46189</v>
      </c>
      <c r="G191" s="3">
        <v>46192</v>
      </c>
      <c r="H191" s="4">
        <v>1</v>
      </c>
      <c r="I191" s="3">
        <v>46192</v>
      </c>
      <c r="J191" s="1" t="s">
        <v>53</v>
      </c>
      <c r="K191" s="1" t="s">
        <v>463</v>
      </c>
      <c r="L191" s="1">
        <v>291</v>
      </c>
      <c r="M191" s="1" t="s">
        <v>367</v>
      </c>
      <c r="N191" s="2">
        <v>46202</v>
      </c>
      <c r="P191" s="1" t="s">
        <v>67</v>
      </c>
      <c r="Q191" s="1" t="s">
        <v>55</v>
      </c>
      <c r="R191" s="1" t="s">
        <v>401</v>
      </c>
      <c r="S191" s="2">
        <v>46188</v>
      </c>
      <c r="T191" s="2">
        <v>46192</v>
      </c>
      <c r="AB191" s="1">
        <v>1</v>
      </c>
      <c r="AC191" s="1">
        <v>1</v>
      </c>
      <c r="AD191" s="1">
        <v>1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1</v>
      </c>
    </row>
    <row r="192" spans="1:39" x14ac:dyDescent="0.25">
      <c r="A192" s="1">
        <v>291</v>
      </c>
      <c r="B192" s="1" t="s">
        <v>464</v>
      </c>
      <c r="C192" s="1" t="s">
        <v>462</v>
      </c>
      <c r="D192" s="1" t="s">
        <v>105</v>
      </c>
      <c r="E192" s="1" t="s">
        <v>52</v>
      </c>
      <c r="F192" s="3">
        <v>46195</v>
      </c>
      <c r="G192" s="3">
        <v>46195</v>
      </c>
      <c r="H192" s="4">
        <v>0</v>
      </c>
      <c r="J192" s="1" t="s">
        <v>41</v>
      </c>
      <c r="K192" s="1">
        <v>290</v>
      </c>
      <c r="L192" s="1">
        <v>292</v>
      </c>
      <c r="M192" s="1" t="s">
        <v>160</v>
      </c>
      <c r="N192" s="2">
        <v>46203</v>
      </c>
      <c r="P192" s="1" t="s">
        <v>67</v>
      </c>
      <c r="Q192" s="1" t="s">
        <v>55</v>
      </c>
      <c r="R192" s="1" t="s">
        <v>401</v>
      </c>
      <c r="S192" s="2">
        <v>46195</v>
      </c>
      <c r="T192" s="2">
        <v>46195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1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</row>
    <row r="193" spans="1:39" x14ac:dyDescent="0.25">
      <c r="A193" s="1">
        <v>292</v>
      </c>
      <c r="B193" s="1" t="s">
        <v>465</v>
      </c>
      <c r="C193" s="1" t="s">
        <v>462</v>
      </c>
      <c r="D193" s="1" t="s">
        <v>109</v>
      </c>
      <c r="E193" s="1" t="s">
        <v>52</v>
      </c>
      <c r="F193" s="3">
        <v>46196</v>
      </c>
      <c r="G193" s="3">
        <v>46196</v>
      </c>
      <c r="H193" s="4">
        <v>0</v>
      </c>
      <c r="J193" s="1" t="s">
        <v>41</v>
      </c>
      <c r="K193" s="1">
        <v>291</v>
      </c>
      <c r="L193" s="1">
        <v>293</v>
      </c>
      <c r="M193" s="1" t="s">
        <v>436</v>
      </c>
      <c r="N193" s="2">
        <v>46205</v>
      </c>
      <c r="P193" s="1" t="s">
        <v>235</v>
      </c>
      <c r="Q193" s="1" t="s">
        <v>55</v>
      </c>
      <c r="R193" s="1" t="s">
        <v>401</v>
      </c>
      <c r="S193" s="2">
        <v>46196</v>
      </c>
      <c r="T193" s="2">
        <v>46197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1</v>
      </c>
      <c r="AK193" s="1">
        <v>0</v>
      </c>
      <c r="AL193" s="1">
        <v>0</v>
      </c>
      <c r="AM193" s="1">
        <v>0</v>
      </c>
    </row>
    <row r="194" spans="1:39" x14ac:dyDescent="0.25">
      <c r="A194" s="1">
        <v>293</v>
      </c>
      <c r="B194" s="1" t="s">
        <v>466</v>
      </c>
      <c r="C194" s="1" t="s">
        <v>462</v>
      </c>
      <c r="D194" s="1" t="s">
        <v>115</v>
      </c>
      <c r="E194" s="1" t="s">
        <v>52</v>
      </c>
      <c r="F194" s="3">
        <v>46197</v>
      </c>
      <c r="G194" s="3">
        <v>46197</v>
      </c>
      <c r="H194" s="4">
        <v>0</v>
      </c>
      <c r="J194" s="1" t="s">
        <v>41</v>
      </c>
      <c r="K194" s="1">
        <v>292</v>
      </c>
      <c r="M194" s="1" t="s">
        <v>166</v>
      </c>
      <c r="N194" s="2">
        <v>46206</v>
      </c>
      <c r="P194" s="1" t="s">
        <v>235</v>
      </c>
      <c r="Q194" s="1" t="s">
        <v>55</v>
      </c>
      <c r="R194" s="1" t="s">
        <v>401</v>
      </c>
      <c r="S194" s="2">
        <v>46198</v>
      </c>
      <c r="T194" s="2">
        <v>46198</v>
      </c>
      <c r="AB194" s="1">
        <v>0</v>
      </c>
      <c r="AC194" s="1">
        <v>0</v>
      </c>
      <c r="AD194" s="1">
        <v>0</v>
      </c>
      <c r="AE194" s="1">
        <v>0</v>
      </c>
      <c r="AF194" s="1">
        <v>1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1</v>
      </c>
      <c r="AM194" s="1">
        <v>0</v>
      </c>
    </row>
    <row r="195" spans="1:39" x14ac:dyDescent="0.25">
      <c r="A195" s="1">
        <v>294</v>
      </c>
      <c r="B195" s="1" t="s">
        <v>467</v>
      </c>
      <c r="C195" s="1" t="s">
        <v>50</v>
      </c>
      <c r="D195" s="1" t="s">
        <v>468</v>
      </c>
      <c r="E195" s="1" t="s">
        <v>469</v>
      </c>
      <c r="F195" s="3">
        <v>46170</v>
      </c>
      <c r="G195" s="3">
        <v>46218</v>
      </c>
      <c r="H195" s="4">
        <v>0.41</v>
      </c>
      <c r="J195" s="1" t="s">
        <v>41</v>
      </c>
      <c r="M195" s="1" t="s">
        <v>135</v>
      </c>
      <c r="N195" s="2">
        <v>46210</v>
      </c>
      <c r="P195" s="1" t="s">
        <v>136</v>
      </c>
      <c r="Q195" s="1" t="s">
        <v>44</v>
      </c>
      <c r="R195" s="1" t="s">
        <v>470</v>
      </c>
      <c r="S195" s="2">
        <v>46147</v>
      </c>
      <c r="T195" s="2">
        <v>46210</v>
      </c>
      <c r="AB195" s="1">
        <v>0.41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</row>
    <row r="196" spans="1:39" x14ac:dyDescent="0.25">
      <c r="A196" s="1">
        <v>300</v>
      </c>
      <c r="B196" s="1" t="s">
        <v>471</v>
      </c>
      <c r="C196" s="1" t="s">
        <v>472</v>
      </c>
      <c r="D196" s="1" t="s">
        <v>473</v>
      </c>
      <c r="E196" s="1" t="s">
        <v>144</v>
      </c>
      <c r="F196" s="3">
        <v>46209</v>
      </c>
      <c r="G196" s="3">
        <v>46218</v>
      </c>
      <c r="H196" s="4">
        <v>0</v>
      </c>
      <c r="J196" s="1" t="s">
        <v>83</v>
      </c>
      <c r="M196" s="1" t="s">
        <v>474</v>
      </c>
      <c r="N196" s="2">
        <v>46197</v>
      </c>
      <c r="P196" s="1" t="s">
        <v>146</v>
      </c>
      <c r="Q196" s="1" t="s">
        <v>44</v>
      </c>
      <c r="R196" s="1" t="s">
        <v>470</v>
      </c>
      <c r="S196" s="2">
        <v>46185</v>
      </c>
      <c r="T196" s="2">
        <v>46197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</row>
    <row r="197" spans="1:39" x14ac:dyDescent="0.25">
      <c r="A197" s="1">
        <v>301</v>
      </c>
      <c r="B197" s="1" t="s">
        <v>475</v>
      </c>
      <c r="C197" s="1" t="s">
        <v>476</v>
      </c>
      <c r="D197" s="1" t="s">
        <v>101</v>
      </c>
      <c r="E197" s="1" t="s">
        <v>102</v>
      </c>
      <c r="F197" s="3">
        <v>46209</v>
      </c>
      <c r="G197" s="3">
        <v>46211</v>
      </c>
      <c r="H197" s="4">
        <v>0</v>
      </c>
      <c r="J197" s="1" t="s">
        <v>83</v>
      </c>
      <c r="K197" s="1" t="s">
        <v>477</v>
      </c>
      <c r="L197" s="1">
        <v>302</v>
      </c>
      <c r="M197" s="1" t="s">
        <v>474</v>
      </c>
      <c r="N197" s="2">
        <v>46191</v>
      </c>
      <c r="P197" s="1" t="s">
        <v>146</v>
      </c>
      <c r="Q197" s="1" t="s">
        <v>44</v>
      </c>
      <c r="R197" s="1" t="s">
        <v>470</v>
      </c>
      <c r="S197" s="2">
        <v>46185</v>
      </c>
      <c r="T197" s="2">
        <v>46191</v>
      </c>
      <c r="AB197" s="1">
        <v>0</v>
      </c>
      <c r="AC197" s="1">
        <v>1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</row>
    <row r="198" spans="1:39" x14ac:dyDescent="0.25">
      <c r="A198" s="1">
        <v>302</v>
      </c>
      <c r="B198" s="1" t="s">
        <v>478</v>
      </c>
      <c r="C198" s="1" t="s">
        <v>476</v>
      </c>
      <c r="D198" s="1" t="s">
        <v>105</v>
      </c>
      <c r="E198" s="1" t="s">
        <v>52</v>
      </c>
      <c r="F198" s="3">
        <v>46216</v>
      </c>
      <c r="G198" s="3">
        <v>46216</v>
      </c>
      <c r="H198" s="4">
        <v>0</v>
      </c>
      <c r="J198" s="1" t="s">
        <v>83</v>
      </c>
      <c r="K198" s="1">
        <v>301</v>
      </c>
      <c r="L198" s="1">
        <v>303</v>
      </c>
      <c r="M198" s="1" t="s">
        <v>338</v>
      </c>
      <c r="N198" s="2">
        <v>46192</v>
      </c>
      <c r="P198" s="1" t="s">
        <v>67</v>
      </c>
      <c r="Q198" s="1" t="s">
        <v>44</v>
      </c>
      <c r="R198" s="1" t="s">
        <v>470</v>
      </c>
      <c r="S198" s="2">
        <v>46192</v>
      </c>
      <c r="T198" s="2">
        <v>46192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</row>
    <row r="199" spans="1:39" x14ac:dyDescent="0.25">
      <c r="A199" s="1">
        <v>303</v>
      </c>
      <c r="B199" s="1" t="s">
        <v>479</v>
      </c>
      <c r="C199" s="1" t="s">
        <v>476</v>
      </c>
      <c r="D199" s="1" t="s">
        <v>109</v>
      </c>
      <c r="E199" s="1" t="s">
        <v>52</v>
      </c>
      <c r="F199" s="3">
        <v>46217</v>
      </c>
      <c r="G199" s="3">
        <v>46217</v>
      </c>
      <c r="H199" s="4">
        <v>0</v>
      </c>
      <c r="J199" s="1" t="s">
        <v>83</v>
      </c>
      <c r="K199" s="1">
        <v>302</v>
      </c>
      <c r="L199" s="1">
        <v>304</v>
      </c>
      <c r="M199" s="1" t="s">
        <v>365</v>
      </c>
      <c r="N199" s="2">
        <v>46196</v>
      </c>
      <c r="P199" s="1" t="s">
        <v>67</v>
      </c>
      <c r="Q199" s="1" t="s">
        <v>44</v>
      </c>
      <c r="R199" s="1" t="s">
        <v>470</v>
      </c>
      <c r="S199" s="2">
        <v>46195</v>
      </c>
      <c r="T199" s="2">
        <v>46196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</row>
    <row r="200" spans="1:39" x14ac:dyDescent="0.25">
      <c r="A200" s="1">
        <v>304</v>
      </c>
      <c r="B200" s="1" t="s">
        <v>480</v>
      </c>
      <c r="C200" s="1" t="s">
        <v>476</v>
      </c>
      <c r="D200" s="1" t="s">
        <v>115</v>
      </c>
      <c r="E200" s="1" t="s">
        <v>52</v>
      </c>
      <c r="F200" s="3">
        <v>46218</v>
      </c>
      <c r="G200" s="3">
        <v>46218</v>
      </c>
      <c r="H200" s="4">
        <v>0</v>
      </c>
      <c r="J200" s="1" t="s">
        <v>83</v>
      </c>
      <c r="K200" s="1">
        <v>303</v>
      </c>
      <c r="M200" s="1" t="s">
        <v>342</v>
      </c>
      <c r="N200" s="2">
        <v>46197</v>
      </c>
      <c r="P200" s="1" t="s">
        <v>235</v>
      </c>
      <c r="Q200" s="1" t="s">
        <v>44</v>
      </c>
      <c r="R200" s="1" t="s">
        <v>470</v>
      </c>
      <c r="S200" s="2">
        <v>46197</v>
      </c>
      <c r="T200" s="2">
        <v>46197</v>
      </c>
      <c r="AB200" s="1">
        <v>0</v>
      </c>
      <c r="AC200" s="1">
        <v>0</v>
      </c>
      <c r="AD200" s="1">
        <v>0</v>
      </c>
      <c r="AE200" s="1">
        <v>0</v>
      </c>
      <c r="AF200" s="1">
        <v>1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</row>
    <row r="201" spans="1:39" x14ac:dyDescent="0.25">
      <c r="A201" s="1">
        <v>305</v>
      </c>
      <c r="B201" s="1" t="s">
        <v>481</v>
      </c>
      <c r="C201" s="1" t="s">
        <v>472</v>
      </c>
      <c r="D201" s="1" t="s">
        <v>482</v>
      </c>
      <c r="E201" s="1" t="s">
        <v>483</v>
      </c>
      <c r="F201" s="3">
        <v>46175</v>
      </c>
      <c r="G201" s="3">
        <v>46184</v>
      </c>
      <c r="H201" s="4">
        <v>0.86</v>
      </c>
      <c r="J201" s="1" t="s">
        <v>41</v>
      </c>
      <c r="M201" s="1" t="s">
        <v>214</v>
      </c>
      <c r="N201" s="2">
        <v>46183</v>
      </c>
      <c r="P201" s="1" t="s">
        <v>119</v>
      </c>
      <c r="Q201" s="1" t="s">
        <v>55</v>
      </c>
      <c r="R201" s="1" t="s">
        <v>470</v>
      </c>
      <c r="S201" s="2">
        <v>46163</v>
      </c>
      <c r="T201" s="2">
        <v>46171</v>
      </c>
      <c r="AB201" s="1">
        <v>0.86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</row>
    <row r="202" spans="1:39" x14ac:dyDescent="0.25">
      <c r="A202" s="1">
        <v>306</v>
      </c>
      <c r="B202" s="1" t="s">
        <v>484</v>
      </c>
      <c r="C202" s="1" t="s">
        <v>485</v>
      </c>
      <c r="D202" s="1" t="s">
        <v>101</v>
      </c>
      <c r="E202" s="1" t="s">
        <v>102</v>
      </c>
      <c r="F202" s="3">
        <v>46175</v>
      </c>
      <c r="G202" s="3">
        <v>46181</v>
      </c>
      <c r="H202" s="4">
        <v>1</v>
      </c>
      <c r="I202" s="3">
        <v>46181</v>
      </c>
      <c r="J202" s="1" t="s">
        <v>53</v>
      </c>
      <c r="K202" s="1" t="s">
        <v>486</v>
      </c>
      <c r="L202" s="1" t="s">
        <v>487</v>
      </c>
      <c r="M202" s="1" t="s">
        <v>214</v>
      </c>
      <c r="N202" s="2">
        <v>46177</v>
      </c>
      <c r="P202" s="1" t="s">
        <v>119</v>
      </c>
      <c r="Q202" s="1" t="s">
        <v>55</v>
      </c>
      <c r="R202" s="1" t="s">
        <v>470</v>
      </c>
      <c r="S202" s="2">
        <v>46163</v>
      </c>
      <c r="T202" s="2">
        <v>46167</v>
      </c>
      <c r="AB202" s="1">
        <v>1</v>
      </c>
      <c r="AC202" s="1">
        <v>1</v>
      </c>
      <c r="AD202" s="1">
        <v>1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1</v>
      </c>
    </row>
    <row r="203" spans="1:39" x14ac:dyDescent="0.25">
      <c r="A203" s="1">
        <v>307</v>
      </c>
      <c r="B203" s="1" t="s">
        <v>488</v>
      </c>
      <c r="C203" s="1" t="s">
        <v>485</v>
      </c>
      <c r="D203" s="1" t="s">
        <v>105</v>
      </c>
      <c r="E203" s="1" t="s">
        <v>116</v>
      </c>
      <c r="F203" s="3">
        <v>46182</v>
      </c>
      <c r="G203" s="3">
        <v>46183</v>
      </c>
      <c r="H203" s="4">
        <v>1</v>
      </c>
      <c r="I203" s="3">
        <v>46183</v>
      </c>
      <c r="J203" s="1" t="s">
        <v>53</v>
      </c>
      <c r="K203" s="1">
        <v>306</v>
      </c>
      <c r="L203" s="1">
        <v>308</v>
      </c>
      <c r="M203" s="1" t="s">
        <v>66</v>
      </c>
      <c r="N203" s="2">
        <v>46178</v>
      </c>
      <c r="P203" s="1" t="s">
        <v>76</v>
      </c>
      <c r="Q203" s="1" t="s">
        <v>55</v>
      </c>
      <c r="R203" s="1" t="s">
        <v>470</v>
      </c>
      <c r="S203" s="2">
        <v>46168</v>
      </c>
      <c r="T203" s="2">
        <v>46168</v>
      </c>
      <c r="AB203" s="1">
        <v>1</v>
      </c>
      <c r="AC203" s="1">
        <v>0</v>
      </c>
      <c r="AD203" s="1">
        <v>0</v>
      </c>
      <c r="AE203" s="1">
        <v>0</v>
      </c>
      <c r="AF203" s="1">
        <v>0</v>
      </c>
      <c r="AG203" s="1">
        <v>1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</row>
    <row r="204" spans="1:39" x14ac:dyDescent="0.25">
      <c r="A204" s="1">
        <v>308</v>
      </c>
      <c r="B204" s="1" t="s">
        <v>489</v>
      </c>
      <c r="C204" s="1" t="s">
        <v>485</v>
      </c>
      <c r="D204" s="1" t="s">
        <v>109</v>
      </c>
      <c r="E204" s="1" t="s">
        <v>52</v>
      </c>
      <c r="F204" s="3">
        <v>46183</v>
      </c>
      <c r="G204" s="3">
        <v>46184</v>
      </c>
      <c r="H204" s="4">
        <v>1</v>
      </c>
      <c r="I204" s="3">
        <v>46184</v>
      </c>
      <c r="J204" s="1" t="s">
        <v>53</v>
      </c>
      <c r="K204" s="1">
        <v>307</v>
      </c>
      <c r="L204" s="1" t="s">
        <v>490</v>
      </c>
      <c r="M204" s="1" t="s">
        <v>195</v>
      </c>
      <c r="N204" s="2">
        <v>46182</v>
      </c>
      <c r="P204" s="1" t="s">
        <v>76</v>
      </c>
      <c r="Q204" s="1" t="s">
        <v>55</v>
      </c>
      <c r="R204" s="1" t="s">
        <v>470</v>
      </c>
      <c r="S204" s="2">
        <v>46169</v>
      </c>
      <c r="T204" s="2">
        <v>46170</v>
      </c>
      <c r="AB204" s="1">
        <v>1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1</v>
      </c>
      <c r="AJ204" s="1">
        <v>0</v>
      </c>
      <c r="AK204" s="1">
        <v>0</v>
      </c>
      <c r="AL204" s="1">
        <v>0</v>
      </c>
      <c r="AM204" s="1">
        <v>0</v>
      </c>
    </row>
    <row r="205" spans="1:39" x14ac:dyDescent="0.25">
      <c r="A205" s="1">
        <v>309</v>
      </c>
      <c r="B205" s="1" t="s">
        <v>491</v>
      </c>
      <c r="C205" s="1" t="s">
        <v>485</v>
      </c>
      <c r="D205" s="1" t="s">
        <v>115</v>
      </c>
      <c r="E205" s="1" t="s">
        <v>52</v>
      </c>
      <c r="F205" s="3">
        <v>46183</v>
      </c>
      <c r="G205" s="3">
        <v>46184</v>
      </c>
      <c r="H205" s="4">
        <v>0</v>
      </c>
      <c r="J205" s="1" t="s">
        <v>41</v>
      </c>
      <c r="K205" s="1" t="s">
        <v>492</v>
      </c>
      <c r="M205" s="1" t="s">
        <v>224</v>
      </c>
      <c r="N205" s="2">
        <v>46183</v>
      </c>
      <c r="P205" s="1" t="s">
        <v>76</v>
      </c>
      <c r="Q205" s="1" t="s">
        <v>55</v>
      </c>
      <c r="R205" s="1" t="s">
        <v>470</v>
      </c>
      <c r="S205" s="2">
        <v>46171</v>
      </c>
      <c r="T205" s="2">
        <v>46171</v>
      </c>
      <c r="AB205" s="1">
        <v>0</v>
      </c>
      <c r="AC205" s="1">
        <v>0</v>
      </c>
      <c r="AD205" s="1">
        <v>0</v>
      </c>
      <c r="AE205" s="1">
        <v>0</v>
      </c>
      <c r="AF205" s="1">
        <v>1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1</v>
      </c>
      <c r="AM205" s="1">
        <v>0</v>
      </c>
    </row>
    <row r="206" spans="1:39" x14ac:dyDescent="0.25">
      <c r="A206" s="1">
        <v>315</v>
      </c>
      <c r="B206" s="1" t="s">
        <v>493</v>
      </c>
      <c r="C206" s="1" t="s">
        <v>472</v>
      </c>
      <c r="D206" s="1" t="s">
        <v>494</v>
      </c>
      <c r="E206" s="1" t="s">
        <v>359</v>
      </c>
      <c r="F206" s="3">
        <v>46170</v>
      </c>
      <c r="G206" s="3">
        <v>46176</v>
      </c>
      <c r="H206" s="4">
        <v>0.75</v>
      </c>
      <c r="J206" s="1" t="s">
        <v>41</v>
      </c>
      <c r="M206" s="1" t="s">
        <v>135</v>
      </c>
      <c r="N206" s="2">
        <v>46178</v>
      </c>
      <c r="P206" s="1" t="s">
        <v>136</v>
      </c>
      <c r="Q206" s="1" t="s">
        <v>55</v>
      </c>
      <c r="R206" s="1" t="s">
        <v>470</v>
      </c>
      <c r="S206" s="2">
        <v>46160</v>
      </c>
      <c r="T206" s="2">
        <v>46168</v>
      </c>
      <c r="AB206" s="1">
        <v>0.75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</row>
    <row r="207" spans="1:39" x14ac:dyDescent="0.25">
      <c r="A207" s="1">
        <v>316</v>
      </c>
      <c r="B207" s="1" t="s">
        <v>495</v>
      </c>
      <c r="C207" s="1" t="s">
        <v>496</v>
      </c>
      <c r="D207" s="1" t="s">
        <v>101</v>
      </c>
      <c r="E207" s="1" t="s">
        <v>102</v>
      </c>
      <c r="F207" s="3">
        <v>46170</v>
      </c>
      <c r="G207" s="3">
        <v>46174</v>
      </c>
      <c r="H207" s="4">
        <v>1</v>
      </c>
      <c r="I207" s="3">
        <v>46174</v>
      </c>
      <c r="J207" s="1" t="s">
        <v>53</v>
      </c>
      <c r="K207" s="1">
        <v>78</v>
      </c>
      <c r="L207" s="1" t="s">
        <v>497</v>
      </c>
      <c r="M207" s="1" t="s">
        <v>135</v>
      </c>
      <c r="N207" s="2">
        <v>46174</v>
      </c>
      <c r="P207" s="1" t="s">
        <v>136</v>
      </c>
      <c r="Q207" s="1" t="s">
        <v>55</v>
      </c>
      <c r="R207" s="1" t="s">
        <v>470</v>
      </c>
      <c r="S207" s="2">
        <v>46160</v>
      </c>
      <c r="T207" s="2">
        <v>46162</v>
      </c>
      <c r="AB207" s="1">
        <v>1</v>
      </c>
      <c r="AC207" s="1">
        <v>1</v>
      </c>
      <c r="AD207" s="1">
        <v>1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1</v>
      </c>
    </row>
    <row r="208" spans="1:39" x14ac:dyDescent="0.25">
      <c r="A208" s="1">
        <v>317</v>
      </c>
      <c r="B208" s="1" t="s">
        <v>498</v>
      </c>
      <c r="C208" s="1" t="s">
        <v>496</v>
      </c>
      <c r="D208" s="1" t="s">
        <v>105</v>
      </c>
      <c r="E208" s="1" t="s">
        <v>52</v>
      </c>
      <c r="F208" s="3">
        <v>46175</v>
      </c>
      <c r="G208" s="3">
        <v>46175</v>
      </c>
      <c r="H208" s="4">
        <v>1</v>
      </c>
      <c r="I208" s="3">
        <v>46175</v>
      </c>
      <c r="J208" s="1" t="s">
        <v>53</v>
      </c>
      <c r="K208" s="1">
        <v>316</v>
      </c>
      <c r="L208" s="1">
        <v>318</v>
      </c>
      <c r="M208" s="1" t="s">
        <v>214</v>
      </c>
      <c r="N208" s="2">
        <v>46175</v>
      </c>
      <c r="P208" s="1" t="s">
        <v>119</v>
      </c>
      <c r="Q208" s="1" t="s">
        <v>55</v>
      </c>
      <c r="R208" s="1" t="s">
        <v>470</v>
      </c>
      <c r="S208" s="2">
        <v>46163</v>
      </c>
      <c r="T208" s="2">
        <v>46163</v>
      </c>
      <c r="AB208" s="1">
        <v>1</v>
      </c>
      <c r="AC208" s="1">
        <v>0</v>
      </c>
      <c r="AD208" s="1">
        <v>0</v>
      </c>
      <c r="AE208" s="1">
        <v>0</v>
      </c>
      <c r="AF208" s="1">
        <v>0</v>
      </c>
      <c r="AG208" s="1">
        <v>1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</row>
    <row r="209" spans="1:39" x14ac:dyDescent="0.25">
      <c r="A209" s="1">
        <v>318</v>
      </c>
      <c r="B209" s="1" t="s">
        <v>499</v>
      </c>
      <c r="C209" s="1" t="s">
        <v>496</v>
      </c>
      <c r="D209" s="1" t="s">
        <v>109</v>
      </c>
      <c r="E209" s="1" t="s">
        <v>52</v>
      </c>
      <c r="F209" s="3">
        <v>46176</v>
      </c>
      <c r="G209" s="3">
        <v>46176</v>
      </c>
      <c r="H209" s="4">
        <v>0.5</v>
      </c>
      <c r="J209" s="1" t="s">
        <v>41</v>
      </c>
      <c r="K209" s="1">
        <v>317</v>
      </c>
      <c r="L209" s="1" t="s">
        <v>500</v>
      </c>
      <c r="M209" s="1" t="s">
        <v>261</v>
      </c>
      <c r="N209" s="2">
        <v>46177</v>
      </c>
      <c r="P209" s="1" t="s">
        <v>119</v>
      </c>
      <c r="Q209" s="1" t="s">
        <v>55</v>
      </c>
      <c r="R209" s="1" t="s">
        <v>470</v>
      </c>
      <c r="S209" s="2">
        <v>46164</v>
      </c>
      <c r="T209" s="2">
        <v>46167</v>
      </c>
      <c r="AB209" s="1">
        <v>0.5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1</v>
      </c>
      <c r="AK209" s="1">
        <v>0</v>
      </c>
      <c r="AL209" s="1">
        <v>0</v>
      </c>
      <c r="AM209" s="1">
        <v>0</v>
      </c>
    </row>
    <row r="210" spans="1:39" x14ac:dyDescent="0.25">
      <c r="A210" s="1">
        <v>319</v>
      </c>
      <c r="B210" s="1" t="s">
        <v>501</v>
      </c>
      <c r="C210" s="1" t="s">
        <v>496</v>
      </c>
      <c r="D210" s="1" t="s">
        <v>115</v>
      </c>
      <c r="E210" s="1" t="s">
        <v>52</v>
      </c>
      <c r="F210" s="3">
        <v>46176</v>
      </c>
      <c r="G210" s="3">
        <v>46176</v>
      </c>
      <c r="H210" s="4">
        <v>0</v>
      </c>
      <c r="J210" s="1" t="s">
        <v>41</v>
      </c>
      <c r="K210" s="1" t="s">
        <v>502</v>
      </c>
      <c r="M210" s="1" t="s">
        <v>66</v>
      </c>
      <c r="N210" s="2">
        <v>46178</v>
      </c>
      <c r="P210" s="1" t="s">
        <v>119</v>
      </c>
      <c r="Q210" s="1" t="s">
        <v>55</v>
      </c>
      <c r="R210" s="1" t="s">
        <v>470</v>
      </c>
      <c r="S210" s="2">
        <v>46168</v>
      </c>
      <c r="T210" s="2">
        <v>46168</v>
      </c>
      <c r="AB210" s="1">
        <v>0</v>
      </c>
      <c r="AC210" s="1">
        <v>0</v>
      </c>
      <c r="AD210" s="1">
        <v>0</v>
      </c>
      <c r="AE210" s="1">
        <v>0</v>
      </c>
      <c r="AF210" s="1">
        <v>1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1</v>
      </c>
      <c r="AM210" s="1">
        <v>0</v>
      </c>
    </row>
    <row r="211" spans="1:39" x14ac:dyDescent="0.25">
      <c r="A211" s="1">
        <v>320</v>
      </c>
      <c r="B211" s="1" t="s">
        <v>503</v>
      </c>
      <c r="C211" s="1" t="s">
        <v>472</v>
      </c>
      <c r="D211" s="1" t="s">
        <v>504</v>
      </c>
      <c r="E211" s="1" t="s">
        <v>505</v>
      </c>
      <c r="F211" s="3">
        <v>46209</v>
      </c>
      <c r="G211" s="3">
        <v>46211</v>
      </c>
      <c r="H211" s="4">
        <v>0</v>
      </c>
      <c r="J211" s="1" t="s">
        <v>83</v>
      </c>
      <c r="M211" s="1" t="s">
        <v>182</v>
      </c>
      <c r="N211" s="2">
        <v>46205</v>
      </c>
      <c r="P211" s="1" t="s">
        <v>235</v>
      </c>
      <c r="Q211" s="1" t="s">
        <v>44</v>
      </c>
      <c r="R211" s="1" t="s">
        <v>470</v>
      </c>
      <c r="S211" s="2">
        <v>46199</v>
      </c>
      <c r="T211" s="2">
        <v>46205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</row>
    <row r="212" spans="1:39" x14ac:dyDescent="0.25">
      <c r="A212" s="1">
        <v>321</v>
      </c>
      <c r="B212" s="1" t="s">
        <v>506</v>
      </c>
      <c r="C212" s="1" t="s">
        <v>507</v>
      </c>
      <c r="D212" s="1" t="s">
        <v>101</v>
      </c>
      <c r="E212" s="1" t="s">
        <v>52</v>
      </c>
      <c r="F212" s="3">
        <v>46209</v>
      </c>
      <c r="G212" s="3">
        <v>46209</v>
      </c>
      <c r="H212" s="4">
        <v>0</v>
      </c>
      <c r="J212" s="1" t="s">
        <v>83</v>
      </c>
      <c r="K212" s="1">
        <v>347</v>
      </c>
      <c r="L212" s="1" t="s">
        <v>508</v>
      </c>
      <c r="M212" s="1" t="s">
        <v>182</v>
      </c>
      <c r="N212" s="2">
        <v>46199</v>
      </c>
      <c r="P212" s="1" t="s">
        <v>235</v>
      </c>
      <c r="Q212" s="1" t="s">
        <v>44</v>
      </c>
      <c r="R212" s="1" t="s">
        <v>470</v>
      </c>
      <c r="S212" s="2">
        <v>46199</v>
      </c>
      <c r="T212" s="2">
        <v>46199</v>
      </c>
      <c r="AB212" s="1">
        <v>0</v>
      </c>
      <c r="AC212" s="1">
        <v>1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</row>
    <row r="213" spans="1:39" x14ac:dyDescent="0.25">
      <c r="A213" s="1">
        <v>322</v>
      </c>
      <c r="B213" s="1" t="s">
        <v>509</v>
      </c>
      <c r="C213" s="1" t="s">
        <v>507</v>
      </c>
      <c r="D213" s="1" t="s">
        <v>105</v>
      </c>
      <c r="E213" s="1" t="s">
        <v>52</v>
      </c>
      <c r="F213" s="3">
        <v>46210</v>
      </c>
      <c r="G213" s="3">
        <v>46210</v>
      </c>
      <c r="H213" s="4">
        <v>0</v>
      </c>
      <c r="J213" s="1" t="s">
        <v>83</v>
      </c>
      <c r="K213" s="1">
        <v>321</v>
      </c>
      <c r="L213" s="1">
        <v>323</v>
      </c>
      <c r="M213" s="1" t="s">
        <v>345</v>
      </c>
      <c r="N213" s="2">
        <v>46202</v>
      </c>
      <c r="P213" s="1" t="s">
        <v>235</v>
      </c>
      <c r="Q213" s="1" t="s">
        <v>55</v>
      </c>
      <c r="R213" s="1" t="s">
        <v>470</v>
      </c>
      <c r="S213" s="2">
        <v>46202</v>
      </c>
      <c r="T213" s="2">
        <v>46202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</row>
    <row r="214" spans="1:39" x14ac:dyDescent="0.25">
      <c r="A214" s="1">
        <v>323</v>
      </c>
      <c r="B214" s="1" t="s">
        <v>510</v>
      </c>
      <c r="C214" s="1" t="s">
        <v>507</v>
      </c>
      <c r="D214" s="1" t="s">
        <v>109</v>
      </c>
      <c r="E214" s="1" t="s">
        <v>52</v>
      </c>
      <c r="F214" s="3">
        <v>46211</v>
      </c>
      <c r="G214" s="3">
        <v>46211</v>
      </c>
      <c r="H214" s="4">
        <v>0</v>
      </c>
      <c r="J214" s="1" t="s">
        <v>83</v>
      </c>
      <c r="K214" s="1">
        <v>322</v>
      </c>
      <c r="L214" s="1" t="s">
        <v>511</v>
      </c>
      <c r="M214" s="1" t="s">
        <v>160</v>
      </c>
      <c r="N214" s="2">
        <v>46204</v>
      </c>
      <c r="P214" s="1" t="s">
        <v>512</v>
      </c>
      <c r="Q214" s="1" t="s">
        <v>55</v>
      </c>
      <c r="R214" s="1" t="s">
        <v>470</v>
      </c>
      <c r="S214" s="2">
        <v>46203</v>
      </c>
      <c r="T214" s="2">
        <v>46204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</row>
    <row r="215" spans="1:39" x14ac:dyDescent="0.25">
      <c r="A215" s="1">
        <v>324</v>
      </c>
      <c r="B215" s="1" t="s">
        <v>513</v>
      </c>
      <c r="C215" s="1" t="s">
        <v>507</v>
      </c>
      <c r="D215" s="1" t="s">
        <v>115</v>
      </c>
      <c r="E215" s="1" t="s">
        <v>52</v>
      </c>
      <c r="F215" s="3">
        <v>46211</v>
      </c>
      <c r="G215" s="3">
        <v>46211</v>
      </c>
      <c r="H215" s="4">
        <v>0</v>
      </c>
      <c r="J215" s="1" t="s">
        <v>83</v>
      </c>
      <c r="K215" s="1" t="s">
        <v>514</v>
      </c>
      <c r="M215" s="1" t="s">
        <v>164</v>
      </c>
      <c r="N215" s="2">
        <v>46205</v>
      </c>
      <c r="P215" s="1" t="s">
        <v>512</v>
      </c>
      <c r="Q215" s="1" t="s">
        <v>55</v>
      </c>
      <c r="R215" s="1" t="s">
        <v>470</v>
      </c>
      <c r="S215" s="2">
        <v>46205</v>
      </c>
      <c r="T215" s="2">
        <v>46205</v>
      </c>
      <c r="AB215" s="1">
        <v>0</v>
      </c>
      <c r="AC215" s="1">
        <v>0</v>
      </c>
      <c r="AD215" s="1">
        <v>0</v>
      </c>
      <c r="AE215" s="1">
        <v>0</v>
      </c>
      <c r="AF215" s="1">
        <v>1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</row>
    <row r="216" spans="1:39" x14ac:dyDescent="0.25">
      <c r="A216" s="1">
        <v>325</v>
      </c>
      <c r="B216" s="1" t="s">
        <v>515</v>
      </c>
      <c r="C216" s="1" t="s">
        <v>472</v>
      </c>
      <c r="D216" s="1" t="s">
        <v>516</v>
      </c>
      <c r="E216" s="1" t="s">
        <v>359</v>
      </c>
      <c r="F216" s="3">
        <v>46210</v>
      </c>
      <c r="G216" s="3">
        <v>46218</v>
      </c>
      <c r="H216" s="4">
        <v>0</v>
      </c>
      <c r="J216" s="1" t="s">
        <v>83</v>
      </c>
      <c r="M216" s="1" t="s">
        <v>345</v>
      </c>
      <c r="N216" s="2">
        <v>46210</v>
      </c>
      <c r="P216" s="1" t="s">
        <v>235</v>
      </c>
      <c r="Q216" s="1" t="s">
        <v>44</v>
      </c>
      <c r="R216" s="1" t="s">
        <v>470</v>
      </c>
      <c r="S216" s="2">
        <v>46202</v>
      </c>
      <c r="T216" s="2">
        <v>46210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</row>
    <row r="217" spans="1:39" x14ac:dyDescent="0.25">
      <c r="A217" s="1">
        <v>326</v>
      </c>
      <c r="B217" s="1" t="s">
        <v>517</v>
      </c>
      <c r="C217" s="1" t="s">
        <v>518</v>
      </c>
      <c r="D217" s="1" t="s">
        <v>101</v>
      </c>
      <c r="E217" s="1" t="s">
        <v>102</v>
      </c>
      <c r="F217" s="3">
        <v>46210</v>
      </c>
      <c r="G217" s="3">
        <v>46216</v>
      </c>
      <c r="H217" s="4">
        <v>0</v>
      </c>
      <c r="J217" s="1" t="s">
        <v>83</v>
      </c>
      <c r="K217" s="1">
        <v>321</v>
      </c>
      <c r="L217" s="1">
        <v>327</v>
      </c>
      <c r="M217" s="1" t="s">
        <v>345</v>
      </c>
      <c r="N217" s="2">
        <v>46204</v>
      </c>
      <c r="P217" s="1" t="s">
        <v>235</v>
      </c>
      <c r="Q217" s="1" t="s">
        <v>44</v>
      </c>
      <c r="R217" s="1" t="s">
        <v>470</v>
      </c>
      <c r="S217" s="2">
        <v>46202</v>
      </c>
      <c r="T217" s="2">
        <v>46204</v>
      </c>
      <c r="AB217" s="1">
        <v>0</v>
      </c>
      <c r="AC217" s="1">
        <v>1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</row>
    <row r="218" spans="1:39" x14ac:dyDescent="0.25">
      <c r="A218" s="1">
        <v>327</v>
      </c>
      <c r="B218" s="1" t="s">
        <v>519</v>
      </c>
      <c r="C218" s="1" t="s">
        <v>518</v>
      </c>
      <c r="D218" s="1" t="s">
        <v>105</v>
      </c>
      <c r="E218" s="1" t="s">
        <v>52</v>
      </c>
      <c r="F218" s="3">
        <v>46217</v>
      </c>
      <c r="G218" s="3">
        <v>46217</v>
      </c>
      <c r="H218" s="4">
        <v>0</v>
      </c>
      <c r="J218" s="1" t="s">
        <v>83</v>
      </c>
      <c r="K218" s="1">
        <v>326</v>
      </c>
      <c r="L218" s="1">
        <v>328</v>
      </c>
      <c r="M218" s="1" t="s">
        <v>164</v>
      </c>
      <c r="N218" s="2">
        <v>46205</v>
      </c>
      <c r="P218" s="1" t="s">
        <v>512</v>
      </c>
      <c r="Q218" s="1" t="s">
        <v>44</v>
      </c>
      <c r="R218" s="1" t="s">
        <v>470</v>
      </c>
      <c r="S218" s="2">
        <v>46205</v>
      </c>
      <c r="T218" s="2">
        <v>46205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</row>
    <row r="219" spans="1:39" x14ac:dyDescent="0.25">
      <c r="A219" s="1">
        <v>328</v>
      </c>
      <c r="B219" s="1" t="s">
        <v>520</v>
      </c>
      <c r="C219" s="1" t="s">
        <v>518</v>
      </c>
      <c r="D219" s="1" t="s">
        <v>109</v>
      </c>
      <c r="E219" s="1" t="s">
        <v>52</v>
      </c>
      <c r="F219" s="3">
        <v>46218</v>
      </c>
      <c r="G219" s="3">
        <v>46218</v>
      </c>
      <c r="H219" s="4">
        <v>0</v>
      </c>
      <c r="J219" s="1" t="s">
        <v>83</v>
      </c>
      <c r="K219" s="1">
        <v>327</v>
      </c>
      <c r="L219" s="1" t="s">
        <v>521</v>
      </c>
      <c r="M219" s="1" t="s">
        <v>166</v>
      </c>
      <c r="N219" s="2">
        <v>46209</v>
      </c>
      <c r="P219" s="1" t="s">
        <v>512</v>
      </c>
      <c r="Q219" s="1" t="s">
        <v>44</v>
      </c>
      <c r="R219" s="1" t="s">
        <v>470</v>
      </c>
      <c r="S219" s="2">
        <v>46206</v>
      </c>
      <c r="T219" s="2">
        <v>46209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</row>
    <row r="220" spans="1:39" x14ac:dyDescent="0.25">
      <c r="A220" s="1">
        <v>329</v>
      </c>
      <c r="B220" s="1" t="s">
        <v>522</v>
      </c>
      <c r="C220" s="1" t="s">
        <v>518</v>
      </c>
      <c r="D220" s="1" t="s">
        <v>115</v>
      </c>
      <c r="E220" s="1" t="s">
        <v>52</v>
      </c>
      <c r="F220" s="3">
        <v>46218</v>
      </c>
      <c r="G220" s="3">
        <v>46218</v>
      </c>
      <c r="H220" s="4">
        <v>0</v>
      </c>
      <c r="J220" s="1" t="s">
        <v>83</v>
      </c>
      <c r="K220" s="1" t="s">
        <v>523</v>
      </c>
      <c r="M220" s="1" t="s">
        <v>169</v>
      </c>
      <c r="N220" s="2">
        <v>46210</v>
      </c>
      <c r="P220" s="1" t="s">
        <v>512</v>
      </c>
      <c r="Q220" s="1" t="s">
        <v>44</v>
      </c>
      <c r="R220" s="1" t="s">
        <v>470</v>
      </c>
      <c r="S220" s="2">
        <v>46210</v>
      </c>
      <c r="T220" s="2">
        <v>46210</v>
      </c>
      <c r="AB220" s="1">
        <v>0</v>
      </c>
      <c r="AC220" s="1">
        <v>0</v>
      </c>
      <c r="AD220" s="1">
        <v>0</v>
      </c>
      <c r="AE220" s="1">
        <v>0</v>
      </c>
      <c r="AF220" s="1">
        <v>1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</row>
    <row r="221" spans="1:39" x14ac:dyDescent="0.25">
      <c r="A221" s="1">
        <v>335</v>
      </c>
      <c r="B221" s="1" t="s">
        <v>524</v>
      </c>
      <c r="C221" s="1" t="s">
        <v>472</v>
      </c>
      <c r="D221" s="1" t="s">
        <v>525</v>
      </c>
      <c r="E221" s="1" t="s">
        <v>359</v>
      </c>
      <c r="F221" s="3">
        <v>46204</v>
      </c>
      <c r="G221" s="3">
        <v>46210</v>
      </c>
      <c r="H221" s="4">
        <v>0.35</v>
      </c>
      <c r="J221" s="1" t="s">
        <v>168</v>
      </c>
      <c r="M221" s="1" t="s">
        <v>428</v>
      </c>
      <c r="N221" s="2">
        <v>46199</v>
      </c>
      <c r="P221" s="1" t="s">
        <v>146</v>
      </c>
      <c r="Q221" s="1" t="s">
        <v>55</v>
      </c>
      <c r="R221" s="1" t="s">
        <v>470</v>
      </c>
      <c r="S221" s="2">
        <v>46178</v>
      </c>
      <c r="T221" s="2">
        <v>46190</v>
      </c>
      <c r="AB221" s="1">
        <v>0.35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</row>
    <row r="222" spans="1:39" x14ac:dyDescent="0.25">
      <c r="A222" s="1">
        <v>336</v>
      </c>
      <c r="B222" s="1" t="s">
        <v>526</v>
      </c>
      <c r="C222" s="1" t="s">
        <v>527</v>
      </c>
      <c r="D222" s="1" t="s">
        <v>101</v>
      </c>
      <c r="E222" s="1" t="s">
        <v>102</v>
      </c>
      <c r="F222" s="3">
        <v>46204</v>
      </c>
      <c r="G222" s="3">
        <v>46206</v>
      </c>
      <c r="H222" s="4">
        <v>0.7</v>
      </c>
      <c r="J222" s="1" t="s">
        <v>168</v>
      </c>
      <c r="L222" s="1" t="s">
        <v>528</v>
      </c>
      <c r="M222" s="1" t="s">
        <v>428</v>
      </c>
      <c r="N222" s="2">
        <v>46195</v>
      </c>
      <c r="P222" s="1" t="s">
        <v>146</v>
      </c>
      <c r="Q222" s="1" t="s">
        <v>55</v>
      </c>
      <c r="R222" s="1" t="s">
        <v>470</v>
      </c>
      <c r="S222" s="2">
        <v>46178</v>
      </c>
      <c r="T222" s="2">
        <v>46184</v>
      </c>
      <c r="AB222" s="1">
        <v>0.7</v>
      </c>
      <c r="AC222" s="1">
        <v>1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</row>
    <row r="223" spans="1:39" x14ac:dyDescent="0.25">
      <c r="A223" s="1">
        <v>337</v>
      </c>
      <c r="B223" s="1" t="s">
        <v>529</v>
      </c>
      <c r="C223" s="1" t="s">
        <v>527</v>
      </c>
      <c r="D223" s="1" t="s">
        <v>105</v>
      </c>
      <c r="E223" s="1" t="s">
        <v>52</v>
      </c>
      <c r="F223" s="3">
        <v>46209</v>
      </c>
      <c r="G223" s="3">
        <v>46209</v>
      </c>
      <c r="H223" s="4">
        <v>0</v>
      </c>
      <c r="J223" s="1" t="s">
        <v>83</v>
      </c>
      <c r="K223" s="1">
        <v>336</v>
      </c>
      <c r="L223" s="1">
        <v>338</v>
      </c>
      <c r="M223" s="1" t="s">
        <v>367</v>
      </c>
      <c r="N223" s="2">
        <v>46196</v>
      </c>
      <c r="P223" s="1" t="s">
        <v>146</v>
      </c>
      <c r="Q223" s="1" t="s">
        <v>55</v>
      </c>
      <c r="R223" s="1" t="s">
        <v>470</v>
      </c>
      <c r="S223" s="2">
        <v>46185</v>
      </c>
      <c r="T223" s="2">
        <v>46185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</row>
    <row r="224" spans="1:39" x14ac:dyDescent="0.25">
      <c r="A224" s="1">
        <v>338</v>
      </c>
      <c r="B224" s="1" t="s">
        <v>530</v>
      </c>
      <c r="C224" s="1" t="s">
        <v>527</v>
      </c>
      <c r="D224" s="1" t="s">
        <v>109</v>
      </c>
      <c r="E224" s="1" t="s">
        <v>52</v>
      </c>
      <c r="F224" s="3">
        <v>46210</v>
      </c>
      <c r="G224" s="3">
        <v>46210</v>
      </c>
      <c r="H224" s="4">
        <v>0</v>
      </c>
      <c r="J224" s="1" t="s">
        <v>83</v>
      </c>
      <c r="K224" s="1">
        <v>337</v>
      </c>
      <c r="L224" s="1" t="s">
        <v>531</v>
      </c>
      <c r="M224" s="1" t="s">
        <v>342</v>
      </c>
      <c r="N224" s="2">
        <v>46198</v>
      </c>
      <c r="P224" s="1" t="s">
        <v>146</v>
      </c>
      <c r="Q224" s="1" t="s">
        <v>55</v>
      </c>
      <c r="R224" s="1" t="s">
        <v>470</v>
      </c>
      <c r="S224" s="2">
        <v>46188</v>
      </c>
      <c r="T224" s="2">
        <v>46189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</row>
    <row r="225" spans="1:39" x14ac:dyDescent="0.25">
      <c r="A225" s="1">
        <v>339</v>
      </c>
      <c r="B225" s="1" t="s">
        <v>532</v>
      </c>
      <c r="C225" s="1" t="s">
        <v>527</v>
      </c>
      <c r="D225" s="1" t="s">
        <v>115</v>
      </c>
      <c r="E225" s="1" t="s">
        <v>52</v>
      </c>
      <c r="F225" s="3">
        <v>46210</v>
      </c>
      <c r="G225" s="3">
        <v>46210</v>
      </c>
      <c r="H225" s="4">
        <v>0</v>
      </c>
      <c r="J225" s="1" t="s">
        <v>83</v>
      </c>
      <c r="K225" s="1" t="s">
        <v>533</v>
      </c>
      <c r="M225" s="1" t="s">
        <v>182</v>
      </c>
      <c r="N225" s="2">
        <v>46199</v>
      </c>
      <c r="P225" s="1" t="s">
        <v>146</v>
      </c>
      <c r="Q225" s="1" t="s">
        <v>55</v>
      </c>
      <c r="R225" s="1" t="s">
        <v>470</v>
      </c>
      <c r="S225" s="2">
        <v>46190</v>
      </c>
      <c r="T225" s="2">
        <v>46190</v>
      </c>
      <c r="AB225" s="1">
        <v>0</v>
      </c>
      <c r="AC225" s="1">
        <v>0</v>
      </c>
      <c r="AD225" s="1">
        <v>0</v>
      </c>
      <c r="AE225" s="1">
        <v>0</v>
      </c>
      <c r="AF225" s="1">
        <v>1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</row>
    <row r="226" spans="1:39" x14ac:dyDescent="0.25">
      <c r="A226" s="1">
        <v>340</v>
      </c>
      <c r="B226" s="1" t="s">
        <v>534</v>
      </c>
      <c r="C226" s="1" t="s">
        <v>472</v>
      </c>
      <c r="D226" s="1" t="s">
        <v>535</v>
      </c>
      <c r="E226" s="1" t="s">
        <v>359</v>
      </c>
      <c r="F226" s="3">
        <v>46204</v>
      </c>
      <c r="G226" s="3">
        <v>46210</v>
      </c>
      <c r="H226" s="4">
        <v>0.35</v>
      </c>
      <c r="J226" s="1" t="s">
        <v>168</v>
      </c>
      <c r="M226" s="1" t="s">
        <v>428</v>
      </c>
      <c r="N226" s="2">
        <v>46202</v>
      </c>
      <c r="P226" s="1" t="s">
        <v>146</v>
      </c>
      <c r="Q226" s="1" t="s">
        <v>55</v>
      </c>
      <c r="R226" s="1" t="s">
        <v>470</v>
      </c>
      <c r="S226" s="2">
        <v>46178</v>
      </c>
      <c r="T226" s="2">
        <v>46190</v>
      </c>
      <c r="AB226" s="1">
        <v>0.35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</row>
    <row r="227" spans="1:39" x14ac:dyDescent="0.25">
      <c r="A227" s="1">
        <v>341</v>
      </c>
      <c r="B227" s="1" t="s">
        <v>536</v>
      </c>
      <c r="C227" s="1" t="s">
        <v>537</v>
      </c>
      <c r="D227" s="1" t="s">
        <v>101</v>
      </c>
      <c r="E227" s="1" t="s">
        <v>102</v>
      </c>
      <c r="F227" s="3">
        <v>46204</v>
      </c>
      <c r="G227" s="3">
        <v>46206</v>
      </c>
      <c r="H227" s="4">
        <v>0.7</v>
      </c>
      <c r="J227" s="1" t="s">
        <v>168</v>
      </c>
      <c r="L227" s="1" t="s">
        <v>538</v>
      </c>
      <c r="M227" s="1" t="s">
        <v>428</v>
      </c>
      <c r="N227" s="2">
        <v>46196</v>
      </c>
      <c r="P227" s="1" t="s">
        <v>146</v>
      </c>
      <c r="Q227" s="1" t="s">
        <v>55</v>
      </c>
      <c r="R227" s="1" t="s">
        <v>470</v>
      </c>
      <c r="S227" s="2">
        <v>46178</v>
      </c>
      <c r="T227" s="2">
        <v>46184</v>
      </c>
      <c r="AB227" s="1">
        <v>0.7</v>
      </c>
      <c r="AC227" s="1">
        <v>1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</row>
    <row r="228" spans="1:39" x14ac:dyDescent="0.25">
      <c r="A228" s="1">
        <v>342</v>
      </c>
      <c r="B228" s="1" t="s">
        <v>539</v>
      </c>
      <c r="C228" s="1" t="s">
        <v>537</v>
      </c>
      <c r="D228" s="1" t="s">
        <v>105</v>
      </c>
      <c r="E228" s="1" t="s">
        <v>52</v>
      </c>
      <c r="F228" s="3">
        <v>46209</v>
      </c>
      <c r="G228" s="3">
        <v>46209</v>
      </c>
      <c r="H228" s="4">
        <v>0</v>
      </c>
      <c r="J228" s="1" t="s">
        <v>83</v>
      </c>
      <c r="K228" s="1">
        <v>341</v>
      </c>
      <c r="L228" s="1">
        <v>343</v>
      </c>
      <c r="M228" s="1" t="s">
        <v>342</v>
      </c>
      <c r="N228" s="2">
        <v>46197</v>
      </c>
      <c r="P228" s="1" t="s">
        <v>146</v>
      </c>
      <c r="Q228" s="1" t="s">
        <v>55</v>
      </c>
      <c r="R228" s="1" t="s">
        <v>470</v>
      </c>
      <c r="S228" s="2">
        <v>46185</v>
      </c>
      <c r="T228" s="2">
        <v>46185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</row>
    <row r="229" spans="1:39" x14ac:dyDescent="0.25">
      <c r="A229" s="1">
        <v>343</v>
      </c>
      <c r="B229" s="1" t="s">
        <v>540</v>
      </c>
      <c r="C229" s="1" t="s">
        <v>537</v>
      </c>
      <c r="D229" s="1" t="s">
        <v>109</v>
      </c>
      <c r="E229" s="1" t="s">
        <v>52</v>
      </c>
      <c r="F229" s="3">
        <v>46210</v>
      </c>
      <c r="G229" s="3">
        <v>46210</v>
      </c>
      <c r="H229" s="4">
        <v>0</v>
      </c>
      <c r="J229" s="1" t="s">
        <v>83</v>
      </c>
      <c r="K229" s="1">
        <v>342</v>
      </c>
      <c r="L229" s="1" t="s">
        <v>541</v>
      </c>
      <c r="M229" s="1" t="s">
        <v>233</v>
      </c>
      <c r="N229" s="2">
        <v>46199</v>
      </c>
      <c r="P229" s="1" t="s">
        <v>146</v>
      </c>
      <c r="Q229" s="1" t="s">
        <v>55</v>
      </c>
      <c r="R229" s="1" t="s">
        <v>470</v>
      </c>
      <c r="S229" s="2">
        <v>46188</v>
      </c>
      <c r="T229" s="2">
        <v>46189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</row>
    <row r="230" spans="1:39" x14ac:dyDescent="0.25">
      <c r="A230" s="1">
        <v>344</v>
      </c>
      <c r="B230" s="1" t="s">
        <v>542</v>
      </c>
      <c r="C230" s="1" t="s">
        <v>537</v>
      </c>
      <c r="D230" s="1" t="s">
        <v>115</v>
      </c>
      <c r="E230" s="1" t="s">
        <v>52</v>
      </c>
      <c r="F230" s="3">
        <v>46210</v>
      </c>
      <c r="G230" s="3">
        <v>46210</v>
      </c>
      <c r="H230" s="4">
        <v>0</v>
      </c>
      <c r="J230" s="1" t="s">
        <v>83</v>
      </c>
      <c r="K230" s="1" t="s">
        <v>543</v>
      </c>
      <c r="M230" s="1" t="s">
        <v>345</v>
      </c>
      <c r="N230" s="2">
        <v>46202</v>
      </c>
      <c r="P230" s="1" t="s">
        <v>146</v>
      </c>
      <c r="Q230" s="1" t="s">
        <v>55</v>
      </c>
      <c r="R230" s="1" t="s">
        <v>470</v>
      </c>
      <c r="S230" s="2">
        <v>46190</v>
      </c>
      <c r="T230" s="2">
        <v>46190</v>
      </c>
      <c r="AB230" s="1">
        <v>0</v>
      </c>
      <c r="AC230" s="1">
        <v>0</v>
      </c>
      <c r="AD230" s="1">
        <v>0</v>
      </c>
      <c r="AE230" s="1">
        <v>0</v>
      </c>
      <c r="AF230" s="1">
        <v>1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</row>
    <row r="231" spans="1:39" x14ac:dyDescent="0.25">
      <c r="A231" s="1">
        <v>345</v>
      </c>
      <c r="B231" s="1" t="s">
        <v>544</v>
      </c>
      <c r="C231" s="1" t="s">
        <v>472</v>
      </c>
      <c r="D231" s="1" t="s">
        <v>545</v>
      </c>
      <c r="E231" s="1" t="s">
        <v>144</v>
      </c>
      <c r="F231" s="3">
        <v>46202</v>
      </c>
      <c r="G231" s="3">
        <v>46209</v>
      </c>
      <c r="H231" s="4">
        <v>0.4</v>
      </c>
      <c r="J231" s="1" t="s">
        <v>41</v>
      </c>
      <c r="M231" s="1" t="s">
        <v>338</v>
      </c>
      <c r="N231" s="2">
        <v>46203</v>
      </c>
      <c r="P231" s="1" t="s">
        <v>67</v>
      </c>
      <c r="Q231" s="1" t="s">
        <v>55</v>
      </c>
      <c r="R231" s="1" t="s">
        <v>470</v>
      </c>
      <c r="S231" s="2">
        <v>46192</v>
      </c>
      <c r="T231" s="2">
        <v>46203</v>
      </c>
      <c r="AB231" s="1">
        <v>0.4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</row>
    <row r="232" spans="1:39" x14ac:dyDescent="0.25">
      <c r="A232" s="1">
        <v>346</v>
      </c>
      <c r="B232" s="1" t="s">
        <v>546</v>
      </c>
      <c r="C232" s="1" t="s">
        <v>547</v>
      </c>
      <c r="D232" s="1" t="s">
        <v>101</v>
      </c>
      <c r="E232" s="1" t="s">
        <v>231</v>
      </c>
      <c r="F232" s="3">
        <v>46202</v>
      </c>
      <c r="G232" s="3">
        <v>46205</v>
      </c>
      <c r="H232" s="4">
        <v>0.7</v>
      </c>
      <c r="J232" s="1" t="s">
        <v>41</v>
      </c>
      <c r="L232" s="1">
        <v>347</v>
      </c>
      <c r="M232" s="1" t="s">
        <v>338</v>
      </c>
      <c r="N232" s="2">
        <v>46197</v>
      </c>
      <c r="P232" s="1" t="s">
        <v>67</v>
      </c>
      <c r="Q232" s="1" t="s">
        <v>44</v>
      </c>
      <c r="R232" s="1" t="s">
        <v>470</v>
      </c>
      <c r="S232" s="2">
        <v>46192</v>
      </c>
      <c r="T232" s="2">
        <v>46197</v>
      </c>
      <c r="AB232" s="1">
        <v>0.7</v>
      </c>
      <c r="AC232" s="1">
        <v>1</v>
      </c>
      <c r="AD232" s="1">
        <v>0</v>
      </c>
      <c r="AE232" s="1">
        <v>1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</row>
    <row r="233" spans="1:39" x14ac:dyDescent="0.25">
      <c r="A233" s="1">
        <v>347</v>
      </c>
      <c r="B233" s="1" t="s">
        <v>548</v>
      </c>
      <c r="C233" s="1" t="s">
        <v>547</v>
      </c>
      <c r="D233" s="1" t="s">
        <v>105</v>
      </c>
      <c r="E233" s="1" t="s">
        <v>52</v>
      </c>
      <c r="F233" s="3">
        <v>46206</v>
      </c>
      <c r="G233" s="3">
        <v>46206</v>
      </c>
      <c r="H233" s="4">
        <v>0</v>
      </c>
      <c r="J233" s="1" t="s">
        <v>168</v>
      </c>
      <c r="K233" s="1">
        <v>346</v>
      </c>
      <c r="L233" s="1" t="s">
        <v>549</v>
      </c>
      <c r="M233" s="1" t="s">
        <v>233</v>
      </c>
      <c r="N233" s="2">
        <v>46198</v>
      </c>
      <c r="P233" s="1" t="s">
        <v>235</v>
      </c>
      <c r="Q233" s="1" t="s">
        <v>44</v>
      </c>
      <c r="R233" s="1" t="s">
        <v>470</v>
      </c>
      <c r="S233" s="2">
        <v>46198</v>
      </c>
      <c r="T233" s="2">
        <v>46198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</row>
    <row r="234" spans="1:39" x14ac:dyDescent="0.25">
      <c r="A234" s="1">
        <v>348</v>
      </c>
      <c r="B234" s="1" t="s">
        <v>550</v>
      </c>
      <c r="C234" s="1" t="s">
        <v>547</v>
      </c>
      <c r="D234" s="1" t="s">
        <v>109</v>
      </c>
      <c r="E234" s="1" t="s">
        <v>52</v>
      </c>
      <c r="F234" s="3">
        <v>46209</v>
      </c>
      <c r="G234" s="3">
        <v>46209</v>
      </c>
      <c r="H234" s="4">
        <v>0</v>
      </c>
      <c r="J234" s="1" t="s">
        <v>83</v>
      </c>
      <c r="K234" s="1">
        <v>347</v>
      </c>
      <c r="L234" s="1" t="s">
        <v>551</v>
      </c>
      <c r="M234" s="1" t="s">
        <v>182</v>
      </c>
      <c r="N234" s="2">
        <v>46202</v>
      </c>
      <c r="P234" s="1" t="s">
        <v>235</v>
      </c>
      <c r="Q234" s="1" t="s">
        <v>55</v>
      </c>
      <c r="R234" s="1" t="s">
        <v>470</v>
      </c>
      <c r="S234" s="2">
        <v>46199</v>
      </c>
      <c r="T234" s="2">
        <v>46202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</row>
    <row r="235" spans="1:39" x14ac:dyDescent="0.25">
      <c r="A235" s="1">
        <v>349</v>
      </c>
      <c r="B235" s="1" t="s">
        <v>552</v>
      </c>
      <c r="C235" s="1" t="s">
        <v>547</v>
      </c>
      <c r="D235" s="1" t="s">
        <v>115</v>
      </c>
      <c r="E235" s="1" t="s">
        <v>52</v>
      </c>
      <c r="F235" s="3">
        <v>46209</v>
      </c>
      <c r="G235" s="3">
        <v>46209</v>
      </c>
      <c r="H235" s="4">
        <v>0</v>
      </c>
      <c r="J235" s="1" t="s">
        <v>83</v>
      </c>
      <c r="K235" s="1" t="s">
        <v>553</v>
      </c>
      <c r="M235" s="1" t="s">
        <v>160</v>
      </c>
      <c r="N235" s="2">
        <v>46203</v>
      </c>
      <c r="P235" s="1" t="s">
        <v>235</v>
      </c>
      <c r="Q235" s="1" t="s">
        <v>55</v>
      </c>
      <c r="R235" s="1" t="s">
        <v>470</v>
      </c>
      <c r="S235" s="2">
        <v>46203</v>
      </c>
      <c r="T235" s="2">
        <v>46203</v>
      </c>
      <c r="AB235" s="1">
        <v>0</v>
      </c>
      <c r="AC235" s="1">
        <v>0</v>
      </c>
      <c r="AD235" s="1">
        <v>0</v>
      </c>
      <c r="AE235" s="1">
        <v>0</v>
      </c>
      <c r="AF235" s="1">
        <v>1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</row>
    <row r="236" spans="1:39" x14ac:dyDescent="0.25">
      <c r="A236" s="1">
        <v>350</v>
      </c>
      <c r="B236" s="1" t="s">
        <v>554</v>
      </c>
      <c r="C236" s="1" t="s">
        <v>472</v>
      </c>
      <c r="D236" s="1" t="s">
        <v>555</v>
      </c>
      <c r="E236" s="1" t="s">
        <v>144</v>
      </c>
      <c r="F236" s="3">
        <v>46202</v>
      </c>
      <c r="G236" s="3">
        <v>46209</v>
      </c>
      <c r="H236" s="4">
        <v>0.4</v>
      </c>
      <c r="J236" s="1" t="s">
        <v>41</v>
      </c>
      <c r="M236" s="1" t="s">
        <v>338</v>
      </c>
      <c r="N236" s="2">
        <v>46203</v>
      </c>
      <c r="P236" s="1" t="s">
        <v>73</v>
      </c>
      <c r="Q236" s="1" t="s">
        <v>55</v>
      </c>
      <c r="R236" s="1" t="s">
        <v>470</v>
      </c>
      <c r="S236" s="2">
        <v>46192</v>
      </c>
      <c r="T236" s="2">
        <v>46203</v>
      </c>
      <c r="AB236" s="1">
        <v>0.4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</row>
    <row r="237" spans="1:39" x14ac:dyDescent="0.25">
      <c r="A237" s="1">
        <v>351</v>
      </c>
      <c r="B237" s="1" t="s">
        <v>556</v>
      </c>
      <c r="C237" s="1" t="s">
        <v>557</v>
      </c>
      <c r="D237" s="1" t="s">
        <v>101</v>
      </c>
      <c r="E237" s="1" t="s">
        <v>231</v>
      </c>
      <c r="F237" s="3">
        <v>46202</v>
      </c>
      <c r="G237" s="3">
        <v>46205</v>
      </c>
      <c r="H237" s="4">
        <v>0.7</v>
      </c>
      <c r="J237" s="1" t="s">
        <v>41</v>
      </c>
      <c r="K237" s="1" t="s">
        <v>558</v>
      </c>
      <c r="L237" s="1">
        <v>352</v>
      </c>
      <c r="M237" s="1" t="s">
        <v>338</v>
      </c>
      <c r="N237" s="2">
        <v>46197</v>
      </c>
      <c r="P237" s="1" t="s">
        <v>73</v>
      </c>
      <c r="Q237" s="1" t="s">
        <v>55</v>
      </c>
      <c r="R237" s="1" t="s">
        <v>470</v>
      </c>
      <c r="S237" s="2">
        <v>46192</v>
      </c>
      <c r="T237" s="2">
        <v>46197</v>
      </c>
      <c r="AB237" s="1">
        <v>0.7</v>
      </c>
      <c r="AC237" s="1">
        <v>1</v>
      </c>
      <c r="AD237" s="1">
        <v>0</v>
      </c>
      <c r="AE237" s="1">
        <v>1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</row>
    <row r="238" spans="1:39" x14ac:dyDescent="0.25">
      <c r="A238" s="1">
        <v>352</v>
      </c>
      <c r="B238" s="1" t="s">
        <v>559</v>
      </c>
      <c r="C238" s="1" t="s">
        <v>557</v>
      </c>
      <c r="D238" s="1" t="s">
        <v>105</v>
      </c>
      <c r="E238" s="1" t="s">
        <v>52</v>
      </c>
      <c r="F238" s="3">
        <v>46206</v>
      </c>
      <c r="G238" s="3">
        <v>46206</v>
      </c>
      <c r="H238" s="4">
        <v>0</v>
      </c>
      <c r="J238" s="1" t="s">
        <v>168</v>
      </c>
      <c r="K238" s="1">
        <v>351</v>
      </c>
      <c r="L238" s="1">
        <v>353</v>
      </c>
      <c r="M238" s="1" t="s">
        <v>233</v>
      </c>
      <c r="N238" s="2">
        <v>46198</v>
      </c>
      <c r="P238" s="1" t="s">
        <v>146</v>
      </c>
      <c r="Q238" s="1" t="s">
        <v>55</v>
      </c>
      <c r="R238" s="1" t="s">
        <v>470</v>
      </c>
      <c r="S238" s="2">
        <v>46198</v>
      </c>
      <c r="T238" s="2">
        <v>46198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</row>
    <row r="239" spans="1:39" x14ac:dyDescent="0.25">
      <c r="A239" s="1">
        <v>353</v>
      </c>
      <c r="B239" s="1" t="s">
        <v>560</v>
      </c>
      <c r="C239" s="1" t="s">
        <v>557</v>
      </c>
      <c r="D239" s="1" t="s">
        <v>109</v>
      </c>
      <c r="E239" s="1" t="s">
        <v>52</v>
      </c>
      <c r="F239" s="3">
        <v>46209</v>
      </c>
      <c r="G239" s="3">
        <v>46209</v>
      </c>
      <c r="H239" s="4">
        <v>0</v>
      </c>
      <c r="J239" s="1" t="s">
        <v>83</v>
      </c>
      <c r="K239" s="1">
        <v>352</v>
      </c>
      <c r="L239" s="1" t="s">
        <v>561</v>
      </c>
      <c r="M239" s="1" t="s">
        <v>182</v>
      </c>
      <c r="N239" s="2">
        <v>46202</v>
      </c>
      <c r="P239" s="1" t="s">
        <v>146</v>
      </c>
      <c r="Q239" s="1" t="s">
        <v>55</v>
      </c>
      <c r="R239" s="1" t="s">
        <v>470</v>
      </c>
      <c r="S239" s="2">
        <v>46199</v>
      </c>
      <c r="T239" s="2">
        <v>46202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</row>
    <row r="240" spans="1:39" x14ac:dyDescent="0.25">
      <c r="A240" s="1">
        <v>354</v>
      </c>
      <c r="B240" s="1" t="s">
        <v>562</v>
      </c>
      <c r="C240" s="1" t="s">
        <v>557</v>
      </c>
      <c r="D240" s="1" t="s">
        <v>115</v>
      </c>
      <c r="E240" s="1" t="s">
        <v>52</v>
      </c>
      <c r="F240" s="3">
        <v>46209</v>
      </c>
      <c r="G240" s="3">
        <v>46209</v>
      </c>
      <c r="H240" s="4">
        <v>0</v>
      </c>
      <c r="J240" s="1" t="s">
        <v>83</v>
      </c>
      <c r="K240" s="1" t="s">
        <v>563</v>
      </c>
      <c r="M240" s="1" t="s">
        <v>160</v>
      </c>
      <c r="N240" s="2">
        <v>46203</v>
      </c>
      <c r="P240" s="1" t="s">
        <v>146</v>
      </c>
      <c r="Q240" s="1" t="s">
        <v>55</v>
      </c>
      <c r="R240" s="1" t="s">
        <v>470</v>
      </c>
      <c r="S240" s="2">
        <v>46203</v>
      </c>
      <c r="T240" s="2">
        <v>46203</v>
      </c>
      <c r="AB240" s="1">
        <v>0</v>
      </c>
      <c r="AC240" s="1">
        <v>0</v>
      </c>
      <c r="AD240" s="1">
        <v>0</v>
      </c>
      <c r="AE240" s="1">
        <v>0</v>
      </c>
      <c r="AF240" s="1">
        <v>1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</row>
    <row r="241" spans="1:39" x14ac:dyDescent="0.25">
      <c r="A241" s="1">
        <v>355</v>
      </c>
      <c r="B241" s="1" t="s">
        <v>564</v>
      </c>
      <c r="C241" s="1" t="s">
        <v>472</v>
      </c>
      <c r="D241" s="1" t="s">
        <v>565</v>
      </c>
      <c r="E241" s="1" t="s">
        <v>144</v>
      </c>
      <c r="F241" s="3">
        <v>46202</v>
      </c>
      <c r="G241" s="3">
        <v>46209</v>
      </c>
      <c r="H241" s="4">
        <v>0.4</v>
      </c>
      <c r="J241" s="1" t="s">
        <v>41</v>
      </c>
      <c r="M241" s="1" t="s">
        <v>338</v>
      </c>
      <c r="N241" s="2">
        <v>46203</v>
      </c>
      <c r="P241" s="1" t="s">
        <v>73</v>
      </c>
      <c r="Q241" s="1" t="s">
        <v>55</v>
      </c>
      <c r="R241" s="1" t="s">
        <v>470</v>
      </c>
      <c r="S241" s="2">
        <v>46192</v>
      </c>
      <c r="T241" s="2">
        <v>46203</v>
      </c>
      <c r="AB241" s="1">
        <v>0.4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</row>
    <row r="242" spans="1:39" x14ac:dyDescent="0.25">
      <c r="A242" s="1">
        <v>356</v>
      </c>
      <c r="B242" s="1" t="s">
        <v>566</v>
      </c>
      <c r="C242" s="1" t="s">
        <v>567</v>
      </c>
      <c r="D242" s="1" t="s">
        <v>101</v>
      </c>
      <c r="E242" s="1" t="s">
        <v>231</v>
      </c>
      <c r="F242" s="3">
        <v>46202</v>
      </c>
      <c r="G242" s="3">
        <v>46205</v>
      </c>
      <c r="H242" s="4">
        <v>0.7</v>
      </c>
      <c r="J242" s="1" t="s">
        <v>41</v>
      </c>
      <c r="K242" s="1" t="s">
        <v>558</v>
      </c>
      <c r="L242" s="1">
        <v>357</v>
      </c>
      <c r="M242" s="1" t="s">
        <v>338</v>
      </c>
      <c r="N242" s="2">
        <v>46197</v>
      </c>
      <c r="P242" s="1" t="s">
        <v>73</v>
      </c>
      <c r="Q242" s="1" t="s">
        <v>55</v>
      </c>
      <c r="R242" s="1" t="s">
        <v>470</v>
      </c>
      <c r="S242" s="2">
        <v>46192</v>
      </c>
      <c r="T242" s="2">
        <v>46197</v>
      </c>
      <c r="AB242" s="1">
        <v>0.7</v>
      </c>
      <c r="AC242" s="1">
        <v>1</v>
      </c>
      <c r="AD242" s="1">
        <v>0</v>
      </c>
      <c r="AE242" s="1">
        <v>1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</row>
    <row r="243" spans="1:39" x14ac:dyDescent="0.25">
      <c r="A243" s="1">
        <v>357</v>
      </c>
      <c r="B243" s="1" t="s">
        <v>568</v>
      </c>
      <c r="C243" s="1" t="s">
        <v>567</v>
      </c>
      <c r="D243" s="1" t="s">
        <v>105</v>
      </c>
      <c r="E243" s="1" t="s">
        <v>52</v>
      </c>
      <c r="F243" s="3">
        <v>46206</v>
      </c>
      <c r="G243" s="3">
        <v>46206</v>
      </c>
      <c r="H243" s="4">
        <v>0</v>
      </c>
      <c r="J243" s="1" t="s">
        <v>168</v>
      </c>
      <c r="K243" s="1">
        <v>356</v>
      </c>
      <c r="L243" s="1">
        <v>358</v>
      </c>
      <c r="M243" s="1" t="s">
        <v>233</v>
      </c>
      <c r="N243" s="2">
        <v>46198</v>
      </c>
      <c r="P243" s="1" t="s">
        <v>146</v>
      </c>
      <c r="Q243" s="1" t="s">
        <v>55</v>
      </c>
      <c r="R243" s="1" t="s">
        <v>470</v>
      </c>
      <c r="S243" s="2">
        <v>46198</v>
      </c>
      <c r="T243" s="2">
        <v>46198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</row>
    <row r="244" spans="1:39" x14ac:dyDescent="0.25">
      <c r="A244" s="1">
        <v>358</v>
      </c>
      <c r="B244" s="1" t="s">
        <v>569</v>
      </c>
      <c r="C244" s="1" t="s">
        <v>567</v>
      </c>
      <c r="D244" s="1" t="s">
        <v>109</v>
      </c>
      <c r="E244" s="1" t="s">
        <v>52</v>
      </c>
      <c r="F244" s="3">
        <v>46209</v>
      </c>
      <c r="G244" s="3">
        <v>46209</v>
      </c>
      <c r="H244" s="4">
        <v>0</v>
      </c>
      <c r="J244" s="1" t="s">
        <v>83</v>
      </c>
      <c r="K244" s="1">
        <v>357</v>
      </c>
      <c r="L244" s="1" t="s">
        <v>570</v>
      </c>
      <c r="M244" s="1" t="s">
        <v>182</v>
      </c>
      <c r="N244" s="2">
        <v>46202</v>
      </c>
      <c r="P244" s="1" t="s">
        <v>146</v>
      </c>
      <c r="Q244" s="1" t="s">
        <v>55</v>
      </c>
      <c r="R244" s="1" t="s">
        <v>470</v>
      </c>
      <c r="S244" s="2">
        <v>46199</v>
      </c>
      <c r="T244" s="2">
        <v>46202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</row>
    <row r="245" spans="1:39" x14ac:dyDescent="0.25">
      <c r="A245" s="1">
        <v>359</v>
      </c>
      <c r="B245" s="1" t="s">
        <v>571</v>
      </c>
      <c r="C245" s="1" t="s">
        <v>567</v>
      </c>
      <c r="D245" s="1" t="s">
        <v>115</v>
      </c>
      <c r="E245" s="1" t="s">
        <v>52</v>
      </c>
      <c r="F245" s="3">
        <v>46209</v>
      </c>
      <c r="G245" s="3">
        <v>46209</v>
      </c>
      <c r="H245" s="4">
        <v>0</v>
      </c>
      <c r="J245" s="1" t="s">
        <v>83</v>
      </c>
      <c r="K245" s="1" t="s">
        <v>572</v>
      </c>
      <c r="M245" s="1" t="s">
        <v>160</v>
      </c>
      <c r="N245" s="2">
        <v>46203</v>
      </c>
      <c r="P245" s="1" t="s">
        <v>146</v>
      </c>
      <c r="Q245" s="1" t="s">
        <v>55</v>
      </c>
      <c r="R245" s="1" t="s">
        <v>470</v>
      </c>
      <c r="S245" s="2">
        <v>46203</v>
      </c>
      <c r="T245" s="2">
        <v>46203</v>
      </c>
      <c r="AB245" s="1">
        <v>0</v>
      </c>
      <c r="AC245" s="1">
        <v>0</v>
      </c>
      <c r="AD245" s="1">
        <v>0</v>
      </c>
      <c r="AE245" s="1">
        <v>0</v>
      </c>
      <c r="AF245" s="1">
        <v>1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</row>
    <row r="246" spans="1:39" x14ac:dyDescent="0.25">
      <c r="A246" s="1">
        <v>360</v>
      </c>
      <c r="B246" s="1" t="s">
        <v>573</v>
      </c>
      <c r="C246" s="1" t="s">
        <v>472</v>
      </c>
      <c r="D246" s="1" t="s">
        <v>574</v>
      </c>
      <c r="E246" s="1" t="s">
        <v>144</v>
      </c>
      <c r="F246" s="3">
        <v>46196</v>
      </c>
      <c r="G246" s="3">
        <v>46203</v>
      </c>
      <c r="H246" s="4">
        <v>0.57999999999999996</v>
      </c>
      <c r="J246" s="1" t="s">
        <v>41</v>
      </c>
      <c r="M246" s="1" t="s">
        <v>66</v>
      </c>
      <c r="N246" s="2">
        <v>46188</v>
      </c>
      <c r="P246" s="1" t="s">
        <v>73</v>
      </c>
      <c r="Q246" s="1" t="s">
        <v>55</v>
      </c>
      <c r="R246" s="1" t="s">
        <v>470</v>
      </c>
      <c r="S246" s="2">
        <v>46168</v>
      </c>
      <c r="T246" s="2">
        <v>46176</v>
      </c>
      <c r="AB246" s="1">
        <v>0.57999999999999996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</row>
    <row r="247" spans="1:39" x14ac:dyDescent="0.25">
      <c r="A247" s="1">
        <v>361</v>
      </c>
      <c r="B247" s="1" t="s">
        <v>575</v>
      </c>
      <c r="C247" s="1" t="s">
        <v>576</v>
      </c>
      <c r="D247" s="1" t="s">
        <v>101</v>
      </c>
      <c r="E247" s="1" t="s">
        <v>102</v>
      </c>
      <c r="F247" s="3">
        <v>46196</v>
      </c>
      <c r="G247" s="3">
        <v>46198</v>
      </c>
      <c r="H247" s="4">
        <v>1</v>
      </c>
      <c r="I247" s="3">
        <v>46198</v>
      </c>
      <c r="J247" s="1" t="s">
        <v>53</v>
      </c>
      <c r="K247" s="1">
        <v>306</v>
      </c>
      <c r="L247" s="1" t="s">
        <v>577</v>
      </c>
      <c r="M247" s="1" t="s">
        <v>66</v>
      </c>
      <c r="N247" s="2">
        <v>46182</v>
      </c>
      <c r="P247" s="1" t="s">
        <v>73</v>
      </c>
      <c r="Q247" s="1" t="s">
        <v>55</v>
      </c>
      <c r="R247" s="1" t="s">
        <v>470</v>
      </c>
      <c r="S247" s="2">
        <v>46168</v>
      </c>
      <c r="T247" s="2">
        <v>46170</v>
      </c>
      <c r="AB247" s="1">
        <v>1</v>
      </c>
      <c r="AC247" s="1">
        <v>1</v>
      </c>
      <c r="AD247" s="1">
        <v>1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1</v>
      </c>
    </row>
    <row r="248" spans="1:39" x14ac:dyDescent="0.25">
      <c r="A248" s="1">
        <v>362</v>
      </c>
      <c r="B248" s="1" t="s">
        <v>578</v>
      </c>
      <c r="C248" s="1" t="s">
        <v>576</v>
      </c>
      <c r="D248" s="1" t="s">
        <v>105</v>
      </c>
      <c r="E248" s="1" t="s">
        <v>52</v>
      </c>
      <c r="F248" s="3">
        <v>46199</v>
      </c>
      <c r="G248" s="3">
        <v>46199</v>
      </c>
      <c r="H248" s="4">
        <v>0.5</v>
      </c>
      <c r="J248" s="1" t="s">
        <v>41</v>
      </c>
      <c r="K248" s="1">
        <v>361</v>
      </c>
      <c r="L248" s="1">
        <v>363</v>
      </c>
      <c r="M248" s="1" t="s">
        <v>224</v>
      </c>
      <c r="N248" s="2">
        <v>46183</v>
      </c>
      <c r="P248" s="1" t="s">
        <v>146</v>
      </c>
      <c r="Q248" s="1" t="s">
        <v>55</v>
      </c>
      <c r="R248" s="1" t="s">
        <v>470</v>
      </c>
      <c r="S248" s="2">
        <v>46171</v>
      </c>
      <c r="T248" s="2">
        <v>46171</v>
      </c>
      <c r="AB248" s="1">
        <v>0.5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1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</row>
    <row r="249" spans="1:39" x14ac:dyDescent="0.25">
      <c r="A249" s="1">
        <v>363</v>
      </c>
      <c r="B249" s="1" t="s">
        <v>579</v>
      </c>
      <c r="C249" s="1" t="s">
        <v>576</v>
      </c>
      <c r="D249" s="1" t="s">
        <v>109</v>
      </c>
      <c r="E249" s="1" t="s">
        <v>52</v>
      </c>
      <c r="F249" s="3">
        <v>46202</v>
      </c>
      <c r="G249" s="3">
        <v>46202</v>
      </c>
      <c r="H249" s="4">
        <v>0</v>
      </c>
      <c r="J249" s="1" t="s">
        <v>41</v>
      </c>
      <c r="K249" s="1">
        <v>362</v>
      </c>
      <c r="L249" s="1">
        <v>364</v>
      </c>
      <c r="M249" s="1" t="s">
        <v>179</v>
      </c>
      <c r="N249" s="2">
        <v>46185</v>
      </c>
      <c r="P249" s="1" t="s">
        <v>146</v>
      </c>
      <c r="Q249" s="1" t="s">
        <v>55</v>
      </c>
      <c r="R249" s="1" t="s">
        <v>470</v>
      </c>
      <c r="S249" s="2">
        <v>46174</v>
      </c>
      <c r="T249" s="2">
        <v>46175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1</v>
      </c>
      <c r="AK249" s="1">
        <v>0</v>
      </c>
      <c r="AL249" s="1">
        <v>0</v>
      </c>
      <c r="AM249" s="1">
        <v>0</v>
      </c>
    </row>
    <row r="250" spans="1:39" x14ac:dyDescent="0.25">
      <c r="A250" s="1">
        <v>364</v>
      </c>
      <c r="B250" s="1" t="s">
        <v>580</v>
      </c>
      <c r="C250" s="1" t="s">
        <v>576</v>
      </c>
      <c r="D250" s="1" t="s">
        <v>115</v>
      </c>
      <c r="E250" s="1" t="s">
        <v>52</v>
      </c>
      <c r="F250" s="3">
        <v>46203</v>
      </c>
      <c r="G250" s="3">
        <v>46203</v>
      </c>
      <c r="H250" s="4">
        <v>0</v>
      </c>
      <c r="J250" s="1" t="s">
        <v>41</v>
      </c>
      <c r="K250" s="1">
        <v>363</v>
      </c>
      <c r="M250" s="1" t="s">
        <v>266</v>
      </c>
      <c r="N250" s="2">
        <v>46188</v>
      </c>
      <c r="P250" s="1" t="s">
        <v>146</v>
      </c>
      <c r="Q250" s="1" t="s">
        <v>55</v>
      </c>
      <c r="R250" s="1" t="s">
        <v>470</v>
      </c>
      <c r="S250" s="2">
        <v>46176</v>
      </c>
      <c r="T250" s="2">
        <v>46176</v>
      </c>
      <c r="AB250" s="1">
        <v>0</v>
      </c>
      <c r="AC250" s="1">
        <v>0</v>
      </c>
      <c r="AD250" s="1">
        <v>0</v>
      </c>
      <c r="AE250" s="1">
        <v>0</v>
      </c>
      <c r="AF250" s="1">
        <v>1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1</v>
      </c>
      <c r="AM250" s="1">
        <v>0</v>
      </c>
    </row>
    <row r="251" spans="1:39" x14ac:dyDescent="0.25">
      <c r="A251" s="1">
        <v>380</v>
      </c>
      <c r="B251" s="1" t="s">
        <v>581</v>
      </c>
      <c r="C251" s="1" t="s">
        <v>472</v>
      </c>
      <c r="D251" s="1" t="s">
        <v>582</v>
      </c>
      <c r="E251" s="1" t="s">
        <v>144</v>
      </c>
      <c r="F251" s="3">
        <v>46195</v>
      </c>
      <c r="G251" s="3">
        <v>46202</v>
      </c>
      <c r="H251" s="4">
        <v>0.64</v>
      </c>
      <c r="J251" s="1" t="s">
        <v>41</v>
      </c>
      <c r="M251" s="1" t="s">
        <v>224</v>
      </c>
      <c r="N251" s="2">
        <v>46195</v>
      </c>
      <c r="P251" s="1" t="s">
        <v>146</v>
      </c>
      <c r="Q251" s="1" t="s">
        <v>55</v>
      </c>
      <c r="R251" s="1" t="s">
        <v>470</v>
      </c>
      <c r="S251" s="2">
        <v>46171</v>
      </c>
      <c r="T251" s="2">
        <v>46183</v>
      </c>
      <c r="AB251" s="1">
        <v>0.64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</row>
    <row r="252" spans="1:39" x14ac:dyDescent="0.25">
      <c r="A252" s="1">
        <v>381</v>
      </c>
      <c r="B252" s="1" t="s">
        <v>583</v>
      </c>
      <c r="C252" s="1" t="s">
        <v>584</v>
      </c>
      <c r="D252" s="1" t="s">
        <v>101</v>
      </c>
      <c r="E252" s="1" t="s">
        <v>231</v>
      </c>
      <c r="F252" s="3">
        <v>46195</v>
      </c>
      <c r="G252" s="3">
        <v>46198</v>
      </c>
      <c r="H252" s="4">
        <v>1</v>
      </c>
      <c r="I252" s="3">
        <v>46198</v>
      </c>
      <c r="J252" s="1" t="s">
        <v>53</v>
      </c>
      <c r="K252" s="1" t="s">
        <v>558</v>
      </c>
      <c r="L252" s="1">
        <v>382</v>
      </c>
      <c r="M252" s="1" t="s">
        <v>224</v>
      </c>
      <c r="N252" s="2">
        <v>46189</v>
      </c>
      <c r="P252" s="1" t="s">
        <v>146</v>
      </c>
      <c r="Q252" s="1" t="s">
        <v>55</v>
      </c>
      <c r="R252" s="1" t="s">
        <v>470</v>
      </c>
      <c r="S252" s="2">
        <v>46171</v>
      </c>
      <c r="T252" s="2">
        <v>46177</v>
      </c>
      <c r="AB252" s="1">
        <v>1</v>
      </c>
      <c r="AC252" s="1">
        <v>1</v>
      </c>
      <c r="AD252" s="1">
        <v>1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1</v>
      </c>
    </row>
    <row r="253" spans="1:39" x14ac:dyDescent="0.25">
      <c r="A253" s="1">
        <v>382</v>
      </c>
      <c r="B253" s="1" t="s">
        <v>585</v>
      </c>
      <c r="C253" s="1" t="s">
        <v>584</v>
      </c>
      <c r="D253" s="1" t="s">
        <v>105</v>
      </c>
      <c r="E253" s="1" t="s">
        <v>52</v>
      </c>
      <c r="F253" s="3">
        <v>46199</v>
      </c>
      <c r="G253" s="3">
        <v>46199</v>
      </c>
      <c r="H253" s="4">
        <v>0.5</v>
      </c>
      <c r="J253" s="1" t="s">
        <v>41</v>
      </c>
      <c r="K253" s="1">
        <v>381</v>
      </c>
      <c r="L253" s="1">
        <v>383</v>
      </c>
      <c r="M253" s="1" t="s">
        <v>428</v>
      </c>
      <c r="N253" s="2">
        <v>46190</v>
      </c>
      <c r="P253" s="1" t="s">
        <v>146</v>
      </c>
      <c r="Q253" s="1" t="s">
        <v>55</v>
      </c>
      <c r="R253" s="1" t="s">
        <v>470</v>
      </c>
      <c r="S253" s="2">
        <v>46178</v>
      </c>
      <c r="T253" s="2">
        <v>46178</v>
      </c>
      <c r="AB253" s="1">
        <v>0.5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1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</row>
    <row r="254" spans="1:39" x14ac:dyDescent="0.25">
      <c r="A254" s="1">
        <v>383</v>
      </c>
      <c r="B254" s="1" t="s">
        <v>586</v>
      </c>
      <c r="C254" s="1" t="s">
        <v>584</v>
      </c>
      <c r="D254" s="1" t="s">
        <v>109</v>
      </c>
      <c r="E254" s="1" t="s">
        <v>52</v>
      </c>
      <c r="F254" s="3">
        <v>46202</v>
      </c>
      <c r="G254" s="3">
        <v>46202</v>
      </c>
      <c r="H254" s="4">
        <v>0</v>
      </c>
      <c r="J254" s="1" t="s">
        <v>41</v>
      </c>
      <c r="K254" s="1">
        <v>382</v>
      </c>
      <c r="L254" s="1" t="s">
        <v>587</v>
      </c>
      <c r="M254" s="1" t="s">
        <v>228</v>
      </c>
      <c r="N254" s="2">
        <v>46192</v>
      </c>
      <c r="P254" s="1" t="s">
        <v>67</v>
      </c>
      <c r="Q254" s="1" t="s">
        <v>55</v>
      </c>
      <c r="R254" s="1" t="s">
        <v>470</v>
      </c>
      <c r="S254" s="2">
        <v>46181</v>
      </c>
      <c r="T254" s="2">
        <v>46182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1</v>
      </c>
      <c r="AK254" s="1">
        <v>0</v>
      </c>
      <c r="AL254" s="1">
        <v>0</v>
      </c>
      <c r="AM254" s="1">
        <v>0</v>
      </c>
    </row>
    <row r="255" spans="1:39" x14ac:dyDescent="0.25">
      <c r="A255" s="1">
        <v>384</v>
      </c>
      <c r="B255" s="1" t="s">
        <v>588</v>
      </c>
      <c r="C255" s="1" t="s">
        <v>584</v>
      </c>
      <c r="D255" s="1" t="s">
        <v>115</v>
      </c>
      <c r="E255" s="1" t="s">
        <v>52</v>
      </c>
      <c r="F255" s="3">
        <v>46202</v>
      </c>
      <c r="G255" s="3">
        <v>46202</v>
      </c>
      <c r="H255" s="4">
        <v>0</v>
      </c>
      <c r="J255" s="1" t="s">
        <v>41</v>
      </c>
      <c r="K255" s="1" t="s">
        <v>589</v>
      </c>
      <c r="M255" s="1" t="s">
        <v>365</v>
      </c>
      <c r="N255" s="2">
        <v>46195</v>
      </c>
      <c r="P255" s="1" t="s">
        <v>67</v>
      </c>
      <c r="Q255" s="1" t="s">
        <v>55</v>
      </c>
      <c r="R255" s="1" t="s">
        <v>470</v>
      </c>
      <c r="S255" s="2">
        <v>46183</v>
      </c>
      <c r="T255" s="2">
        <v>46183</v>
      </c>
      <c r="AB255" s="1">
        <v>0</v>
      </c>
      <c r="AC255" s="1">
        <v>0</v>
      </c>
      <c r="AD255" s="1">
        <v>0</v>
      </c>
      <c r="AE255" s="1">
        <v>0</v>
      </c>
      <c r="AF255" s="1">
        <v>1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1</v>
      </c>
      <c r="AM255" s="1">
        <v>0</v>
      </c>
    </row>
    <row r="256" spans="1:39" x14ac:dyDescent="0.25">
      <c r="A256" s="1">
        <v>405</v>
      </c>
      <c r="B256" s="1" t="s">
        <v>590</v>
      </c>
      <c r="C256" s="1" t="s">
        <v>50</v>
      </c>
      <c r="D256" s="1" t="s">
        <v>591</v>
      </c>
      <c r="E256" s="1" t="s">
        <v>592</v>
      </c>
      <c r="F256" s="3">
        <v>46188</v>
      </c>
      <c r="G256" s="3">
        <v>46217</v>
      </c>
      <c r="H256" s="4">
        <v>0.64</v>
      </c>
      <c r="J256" s="1" t="s">
        <v>41</v>
      </c>
      <c r="M256" s="1" t="s">
        <v>214</v>
      </c>
      <c r="N256" s="2">
        <v>46211</v>
      </c>
      <c r="P256" s="1" t="s">
        <v>136</v>
      </c>
      <c r="Q256" s="1" t="s">
        <v>55</v>
      </c>
      <c r="R256" s="1" t="s">
        <v>593</v>
      </c>
      <c r="S256" s="2">
        <v>46147</v>
      </c>
      <c r="T256" s="2">
        <v>46210</v>
      </c>
      <c r="AB256" s="1">
        <v>0.64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</row>
    <row r="257" spans="1:39" x14ac:dyDescent="0.25">
      <c r="A257" s="1">
        <v>411</v>
      </c>
      <c r="B257" s="1" t="s">
        <v>594</v>
      </c>
      <c r="C257" s="1" t="s">
        <v>595</v>
      </c>
      <c r="D257" s="1" t="s">
        <v>596</v>
      </c>
      <c r="E257" s="1" t="s">
        <v>272</v>
      </c>
      <c r="F257" s="3">
        <v>46189</v>
      </c>
      <c r="G257" s="3">
        <v>46198</v>
      </c>
      <c r="H257" s="4">
        <v>0.75</v>
      </c>
      <c r="J257" s="1" t="s">
        <v>41</v>
      </c>
      <c r="M257" s="1" t="s">
        <v>66</v>
      </c>
      <c r="N257" s="2">
        <v>46188</v>
      </c>
      <c r="P257" s="1" t="s">
        <v>73</v>
      </c>
      <c r="Q257" s="1" t="s">
        <v>55</v>
      </c>
      <c r="R257" s="1" t="s">
        <v>593</v>
      </c>
      <c r="S257" s="2">
        <v>46162</v>
      </c>
      <c r="T257" s="2">
        <v>46170</v>
      </c>
      <c r="AB257" s="1">
        <v>0.75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</row>
    <row r="258" spans="1:39" x14ac:dyDescent="0.25">
      <c r="A258" s="1">
        <v>412</v>
      </c>
      <c r="B258" s="1" t="s">
        <v>597</v>
      </c>
      <c r="C258" s="1" t="s">
        <v>598</v>
      </c>
      <c r="D258" s="1" t="s">
        <v>101</v>
      </c>
      <c r="E258" s="1" t="s">
        <v>231</v>
      </c>
      <c r="F258" s="3">
        <v>46189</v>
      </c>
      <c r="G258" s="3">
        <v>46192</v>
      </c>
      <c r="H258" s="4">
        <v>1</v>
      </c>
      <c r="I258" s="3">
        <v>46192</v>
      </c>
      <c r="J258" s="1" t="s">
        <v>53</v>
      </c>
      <c r="K258" s="1">
        <v>447</v>
      </c>
      <c r="L258" s="1" t="s">
        <v>599</v>
      </c>
      <c r="M258" s="1" t="s">
        <v>66</v>
      </c>
      <c r="N258" s="2">
        <v>46182</v>
      </c>
      <c r="P258" s="1" t="s">
        <v>73</v>
      </c>
      <c r="Q258" s="1" t="s">
        <v>55</v>
      </c>
      <c r="R258" s="1" t="s">
        <v>593</v>
      </c>
      <c r="S258" s="2">
        <v>46162</v>
      </c>
      <c r="T258" s="2">
        <v>46164</v>
      </c>
      <c r="AB258" s="1">
        <v>1</v>
      </c>
      <c r="AC258" s="1">
        <v>1</v>
      </c>
      <c r="AD258" s="1">
        <v>1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1</v>
      </c>
    </row>
    <row r="259" spans="1:39" x14ac:dyDescent="0.25">
      <c r="A259" s="1">
        <v>413</v>
      </c>
      <c r="B259" s="1" t="s">
        <v>600</v>
      </c>
      <c r="C259" s="1" t="s">
        <v>598</v>
      </c>
      <c r="D259" s="1" t="s">
        <v>105</v>
      </c>
      <c r="E259" s="1" t="s">
        <v>52</v>
      </c>
      <c r="F259" s="3">
        <v>46195</v>
      </c>
      <c r="G259" s="3">
        <v>46195</v>
      </c>
      <c r="H259" s="4">
        <v>1</v>
      </c>
      <c r="I259" s="3">
        <v>46195</v>
      </c>
      <c r="J259" s="1" t="s">
        <v>53</v>
      </c>
      <c r="K259" s="1">
        <v>412</v>
      </c>
      <c r="L259" s="1">
        <v>414</v>
      </c>
      <c r="M259" s="1" t="s">
        <v>224</v>
      </c>
      <c r="N259" s="2">
        <v>46183</v>
      </c>
      <c r="P259" s="1" t="s">
        <v>146</v>
      </c>
      <c r="Q259" s="1" t="s">
        <v>55</v>
      </c>
      <c r="R259" s="1" t="s">
        <v>593</v>
      </c>
      <c r="S259" s="2">
        <v>46167</v>
      </c>
      <c r="T259" s="2">
        <v>46167</v>
      </c>
      <c r="AB259" s="1">
        <v>1</v>
      </c>
      <c r="AC259" s="1">
        <v>0</v>
      </c>
      <c r="AD259" s="1">
        <v>0</v>
      </c>
      <c r="AE259" s="1">
        <v>0</v>
      </c>
      <c r="AF259" s="1">
        <v>0</v>
      </c>
      <c r="AG259" s="1">
        <v>1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</row>
    <row r="260" spans="1:39" x14ac:dyDescent="0.25">
      <c r="A260" s="1">
        <v>414</v>
      </c>
      <c r="B260" s="1" t="s">
        <v>601</v>
      </c>
      <c r="C260" s="1" t="s">
        <v>598</v>
      </c>
      <c r="D260" s="1" t="s">
        <v>109</v>
      </c>
      <c r="E260" s="1" t="s">
        <v>116</v>
      </c>
      <c r="F260" s="3">
        <v>46196</v>
      </c>
      <c r="G260" s="3">
        <v>46197</v>
      </c>
      <c r="H260" s="4">
        <v>0.5</v>
      </c>
      <c r="J260" s="1" t="s">
        <v>41</v>
      </c>
      <c r="K260" s="1">
        <v>413</v>
      </c>
      <c r="L260" s="1">
        <v>415</v>
      </c>
      <c r="M260" s="1" t="s">
        <v>179</v>
      </c>
      <c r="N260" s="2">
        <v>46185</v>
      </c>
      <c r="P260" s="1" t="s">
        <v>146</v>
      </c>
      <c r="Q260" s="1" t="s">
        <v>55</v>
      </c>
      <c r="R260" s="1" t="s">
        <v>593</v>
      </c>
      <c r="S260" s="2">
        <v>46168</v>
      </c>
      <c r="T260" s="2">
        <v>46169</v>
      </c>
      <c r="AB260" s="1">
        <v>0.5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1</v>
      </c>
      <c r="AK260" s="1">
        <v>0</v>
      </c>
      <c r="AL260" s="1">
        <v>0</v>
      </c>
      <c r="AM260" s="1">
        <v>0</v>
      </c>
    </row>
    <row r="261" spans="1:39" x14ac:dyDescent="0.25">
      <c r="A261" s="1">
        <v>415</v>
      </c>
      <c r="B261" s="1" t="s">
        <v>602</v>
      </c>
      <c r="C261" s="1" t="s">
        <v>598</v>
      </c>
      <c r="D261" s="1" t="s">
        <v>115</v>
      </c>
      <c r="E261" s="1" t="s">
        <v>52</v>
      </c>
      <c r="F261" s="3">
        <v>46198</v>
      </c>
      <c r="G261" s="3">
        <v>46198</v>
      </c>
      <c r="H261" s="4">
        <v>0</v>
      </c>
      <c r="J261" s="1" t="s">
        <v>41</v>
      </c>
      <c r="K261" s="1">
        <v>414</v>
      </c>
      <c r="M261" s="1" t="s">
        <v>266</v>
      </c>
      <c r="N261" s="2">
        <v>46188</v>
      </c>
      <c r="P261" s="1" t="s">
        <v>146</v>
      </c>
      <c r="Q261" s="1" t="s">
        <v>55</v>
      </c>
      <c r="R261" s="1" t="s">
        <v>593</v>
      </c>
      <c r="S261" s="2">
        <v>46170</v>
      </c>
      <c r="T261" s="2">
        <v>46170</v>
      </c>
      <c r="AB261" s="1">
        <v>0</v>
      </c>
      <c r="AC261" s="1">
        <v>0</v>
      </c>
      <c r="AD261" s="1">
        <v>0</v>
      </c>
      <c r="AE261" s="1">
        <v>0</v>
      </c>
      <c r="AF261" s="1">
        <v>1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1</v>
      </c>
      <c r="AM261" s="1">
        <v>0</v>
      </c>
    </row>
    <row r="262" spans="1:39" x14ac:dyDescent="0.25">
      <c r="A262" s="1">
        <v>416</v>
      </c>
      <c r="B262" s="1" t="s">
        <v>603</v>
      </c>
      <c r="C262" s="1" t="s">
        <v>595</v>
      </c>
      <c r="D262" s="1" t="s">
        <v>604</v>
      </c>
      <c r="E262" s="1" t="s">
        <v>272</v>
      </c>
      <c r="F262" s="3">
        <v>46188</v>
      </c>
      <c r="G262" s="3">
        <v>46197</v>
      </c>
      <c r="H262" s="4">
        <v>0.56000000000000005</v>
      </c>
      <c r="J262" s="1" t="s">
        <v>41</v>
      </c>
      <c r="M262" s="1" t="s">
        <v>182</v>
      </c>
      <c r="N262" s="2">
        <v>46206</v>
      </c>
      <c r="P262" s="1" t="s">
        <v>73</v>
      </c>
      <c r="Q262" s="1" t="s">
        <v>55</v>
      </c>
      <c r="R262" s="1" t="s">
        <v>593</v>
      </c>
      <c r="S262" s="2">
        <v>46192</v>
      </c>
      <c r="T262" s="2">
        <v>46202</v>
      </c>
      <c r="AB262" s="1">
        <v>0.56000000000000005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</row>
    <row r="263" spans="1:39" x14ac:dyDescent="0.25">
      <c r="A263" s="1">
        <v>417</v>
      </c>
      <c r="B263" s="1" t="s">
        <v>605</v>
      </c>
      <c r="C263" s="1" t="s">
        <v>606</v>
      </c>
      <c r="D263" s="1" t="s">
        <v>101</v>
      </c>
      <c r="E263" s="1" t="s">
        <v>231</v>
      </c>
      <c r="F263" s="3">
        <v>46188</v>
      </c>
      <c r="G263" s="3">
        <v>46191</v>
      </c>
      <c r="H263" s="4">
        <v>1</v>
      </c>
      <c r="I263" s="3">
        <v>46191</v>
      </c>
      <c r="J263" s="1" t="s">
        <v>53</v>
      </c>
      <c r="L263" s="1">
        <v>418</v>
      </c>
      <c r="M263" s="1" t="s">
        <v>182</v>
      </c>
      <c r="N263" s="2">
        <v>46202</v>
      </c>
      <c r="P263" s="1" t="s">
        <v>73</v>
      </c>
      <c r="Q263" s="1" t="s">
        <v>55</v>
      </c>
      <c r="R263" s="1" t="s">
        <v>593</v>
      </c>
      <c r="S263" s="2">
        <v>46192</v>
      </c>
      <c r="T263" s="2">
        <v>46196</v>
      </c>
      <c r="AB263" s="1">
        <v>1</v>
      </c>
      <c r="AC263" s="1">
        <v>1</v>
      </c>
      <c r="AD263" s="1">
        <v>1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1</v>
      </c>
    </row>
    <row r="264" spans="1:39" x14ac:dyDescent="0.25">
      <c r="A264" s="1">
        <v>418</v>
      </c>
      <c r="B264" s="1" t="s">
        <v>607</v>
      </c>
      <c r="C264" s="1" t="s">
        <v>606</v>
      </c>
      <c r="D264" s="1" t="s">
        <v>105</v>
      </c>
      <c r="E264" s="1" t="s">
        <v>52</v>
      </c>
      <c r="F264" s="3">
        <v>46192</v>
      </c>
      <c r="G264" s="3">
        <v>46192</v>
      </c>
      <c r="H264" s="4">
        <v>0.5</v>
      </c>
      <c r="J264" s="1" t="s">
        <v>41</v>
      </c>
      <c r="K264" s="1">
        <v>417</v>
      </c>
      <c r="L264" s="1">
        <v>419</v>
      </c>
      <c r="M264" s="1" t="s">
        <v>160</v>
      </c>
      <c r="N264" s="2">
        <v>46203</v>
      </c>
      <c r="P264" s="1" t="s">
        <v>73</v>
      </c>
      <c r="Q264" s="1" t="s">
        <v>55</v>
      </c>
      <c r="R264" s="1" t="s">
        <v>593</v>
      </c>
      <c r="S264" s="2">
        <v>46197</v>
      </c>
      <c r="T264" s="2">
        <v>46197</v>
      </c>
      <c r="AB264" s="1">
        <v>0.5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1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</row>
    <row r="265" spans="1:39" x14ac:dyDescent="0.25">
      <c r="A265" s="1">
        <v>419</v>
      </c>
      <c r="B265" s="1" t="s">
        <v>608</v>
      </c>
      <c r="C265" s="1" t="s">
        <v>606</v>
      </c>
      <c r="D265" s="1" t="s">
        <v>109</v>
      </c>
      <c r="E265" s="1" t="s">
        <v>116</v>
      </c>
      <c r="F265" s="3">
        <v>46195</v>
      </c>
      <c r="G265" s="3">
        <v>46196</v>
      </c>
      <c r="H265" s="4">
        <v>0</v>
      </c>
      <c r="J265" s="1" t="s">
        <v>41</v>
      </c>
      <c r="K265" s="1">
        <v>418</v>
      </c>
      <c r="L265" s="1">
        <v>420</v>
      </c>
      <c r="M265" s="1" t="s">
        <v>436</v>
      </c>
      <c r="N265" s="2">
        <v>46205</v>
      </c>
      <c r="P265" s="1" t="s">
        <v>146</v>
      </c>
      <c r="Q265" s="1" t="s">
        <v>55</v>
      </c>
      <c r="R265" s="1" t="s">
        <v>593</v>
      </c>
      <c r="S265" s="2">
        <v>46198</v>
      </c>
      <c r="T265" s="2">
        <v>46199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1</v>
      </c>
      <c r="AK265" s="1">
        <v>0</v>
      </c>
      <c r="AL265" s="1">
        <v>0</v>
      </c>
      <c r="AM265" s="1">
        <v>0</v>
      </c>
    </row>
    <row r="266" spans="1:39" x14ac:dyDescent="0.25">
      <c r="A266" s="1">
        <v>420</v>
      </c>
      <c r="B266" s="1" t="s">
        <v>609</v>
      </c>
      <c r="C266" s="1" t="s">
        <v>606</v>
      </c>
      <c r="D266" s="1" t="s">
        <v>115</v>
      </c>
      <c r="E266" s="1" t="s">
        <v>52</v>
      </c>
      <c r="F266" s="3">
        <v>46197</v>
      </c>
      <c r="G266" s="3">
        <v>46197</v>
      </c>
      <c r="H266" s="4">
        <v>0</v>
      </c>
      <c r="J266" s="1" t="s">
        <v>41</v>
      </c>
      <c r="K266" s="1">
        <v>419</v>
      </c>
      <c r="M266" s="1" t="s">
        <v>166</v>
      </c>
      <c r="N266" s="2">
        <v>46206</v>
      </c>
      <c r="P266" s="1" t="s">
        <v>146</v>
      </c>
      <c r="Q266" s="1" t="s">
        <v>55</v>
      </c>
      <c r="R266" s="1" t="s">
        <v>593</v>
      </c>
      <c r="S266" s="2">
        <v>46202</v>
      </c>
      <c r="T266" s="2">
        <v>46202</v>
      </c>
      <c r="AB266" s="1">
        <v>0</v>
      </c>
      <c r="AC266" s="1">
        <v>0</v>
      </c>
      <c r="AD266" s="1">
        <v>0</v>
      </c>
      <c r="AE266" s="1">
        <v>0</v>
      </c>
      <c r="AF266" s="1">
        <v>1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1</v>
      </c>
      <c r="AM266" s="1">
        <v>0</v>
      </c>
    </row>
    <row r="267" spans="1:39" x14ac:dyDescent="0.25">
      <c r="A267" s="1">
        <v>421</v>
      </c>
      <c r="B267" s="1" t="s">
        <v>610</v>
      </c>
      <c r="C267" s="1" t="s">
        <v>595</v>
      </c>
      <c r="D267" s="1" t="s">
        <v>611</v>
      </c>
      <c r="E267" s="1" t="s">
        <v>272</v>
      </c>
      <c r="F267" s="3">
        <v>46199</v>
      </c>
      <c r="G267" s="3">
        <v>46210</v>
      </c>
      <c r="H267" s="4">
        <v>0.5</v>
      </c>
      <c r="J267" s="1" t="s">
        <v>41</v>
      </c>
      <c r="M267" s="1" t="s">
        <v>365</v>
      </c>
      <c r="N267" s="2">
        <v>46202</v>
      </c>
      <c r="P267" s="1" t="s">
        <v>76</v>
      </c>
      <c r="Q267" s="1" t="s">
        <v>55</v>
      </c>
      <c r="R267" s="1" t="s">
        <v>593</v>
      </c>
      <c r="S267" s="2">
        <v>46184</v>
      </c>
      <c r="T267" s="2">
        <v>46192</v>
      </c>
      <c r="U267" s="1" t="s">
        <v>77</v>
      </c>
      <c r="AB267" s="1">
        <v>0.5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</row>
    <row r="268" spans="1:39" x14ac:dyDescent="0.25">
      <c r="A268" s="1">
        <v>422</v>
      </c>
      <c r="B268" s="1" t="s">
        <v>612</v>
      </c>
      <c r="C268" s="1" t="s">
        <v>613</v>
      </c>
      <c r="D268" s="1" t="s">
        <v>101</v>
      </c>
      <c r="E268" s="1" t="s">
        <v>231</v>
      </c>
      <c r="F268" s="3">
        <v>46199</v>
      </c>
      <c r="G268" s="3">
        <v>46204</v>
      </c>
      <c r="H268" s="4">
        <v>1</v>
      </c>
      <c r="I268" s="3">
        <v>46204</v>
      </c>
      <c r="J268" s="1" t="s">
        <v>53</v>
      </c>
      <c r="K268" s="1" t="s">
        <v>614</v>
      </c>
      <c r="L268" s="1" t="s">
        <v>615</v>
      </c>
      <c r="M268" s="1" t="s">
        <v>365</v>
      </c>
      <c r="N268" s="2">
        <v>46196</v>
      </c>
      <c r="P268" s="1" t="s">
        <v>76</v>
      </c>
      <c r="Q268" s="1" t="s">
        <v>55</v>
      </c>
      <c r="R268" s="1" t="s">
        <v>593</v>
      </c>
      <c r="S268" s="2">
        <v>46184</v>
      </c>
      <c r="T268" s="2">
        <v>46188</v>
      </c>
      <c r="AB268" s="1">
        <v>1</v>
      </c>
      <c r="AC268" s="1">
        <v>1</v>
      </c>
      <c r="AD268" s="1">
        <v>1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1</v>
      </c>
    </row>
    <row r="269" spans="1:39" x14ac:dyDescent="0.25">
      <c r="A269" s="1">
        <v>423</v>
      </c>
      <c r="B269" s="1" t="s">
        <v>616</v>
      </c>
      <c r="C269" s="1" t="s">
        <v>613</v>
      </c>
      <c r="D269" s="1" t="s">
        <v>105</v>
      </c>
      <c r="E269" s="1" t="s">
        <v>52</v>
      </c>
      <c r="F269" s="3">
        <v>46205</v>
      </c>
      <c r="G269" s="3">
        <v>46205</v>
      </c>
      <c r="H269" s="4">
        <v>0</v>
      </c>
      <c r="J269" s="1" t="s">
        <v>41</v>
      </c>
      <c r="K269" s="1">
        <v>422</v>
      </c>
      <c r="L269" s="1">
        <v>424</v>
      </c>
      <c r="M269" s="1" t="s">
        <v>342</v>
      </c>
      <c r="N269" s="2">
        <v>46197</v>
      </c>
      <c r="P269" s="1" t="s">
        <v>73</v>
      </c>
      <c r="Q269" s="1" t="s">
        <v>55</v>
      </c>
      <c r="R269" s="1" t="s">
        <v>593</v>
      </c>
      <c r="S269" s="2">
        <v>46189</v>
      </c>
      <c r="T269" s="2">
        <v>46189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1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</row>
    <row r="270" spans="1:39" x14ac:dyDescent="0.25">
      <c r="A270" s="1">
        <v>424</v>
      </c>
      <c r="B270" s="1" t="s">
        <v>617</v>
      </c>
      <c r="C270" s="1" t="s">
        <v>613</v>
      </c>
      <c r="D270" s="1" t="s">
        <v>109</v>
      </c>
      <c r="E270" s="1" t="s">
        <v>116</v>
      </c>
      <c r="F270" s="3">
        <v>46206</v>
      </c>
      <c r="G270" s="3">
        <v>46209</v>
      </c>
      <c r="H270" s="4">
        <v>0</v>
      </c>
      <c r="J270" s="1" t="s">
        <v>168</v>
      </c>
      <c r="K270" s="1">
        <v>423</v>
      </c>
      <c r="L270" s="1">
        <v>425</v>
      </c>
      <c r="M270" s="1" t="s">
        <v>233</v>
      </c>
      <c r="N270" s="2">
        <v>46199</v>
      </c>
      <c r="P270" s="1" t="s">
        <v>73</v>
      </c>
      <c r="Q270" s="1" t="s">
        <v>55</v>
      </c>
      <c r="R270" s="1" t="s">
        <v>593</v>
      </c>
      <c r="S270" s="2">
        <v>46190</v>
      </c>
      <c r="T270" s="2">
        <v>46191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</row>
    <row r="271" spans="1:39" x14ac:dyDescent="0.25">
      <c r="A271" s="1">
        <v>425</v>
      </c>
      <c r="B271" s="1" t="s">
        <v>618</v>
      </c>
      <c r="C271" s="1" t="s">
        <v>613</v>
      </c>
      <c r="D271" s="1" t="s">
        <v>115</v>
      </c>
      <c r="E271" s="1" t="s">
        <v>52</v>
      </c>
      <c r="F271" s="3">
        <v>46210</v>
      </c>
      <c r="G271" s="3">
        <v>46210</v>
      </c>
      <c r="H271" s="4">
        <v>0</v>
      </c>
      <c r="J271" s="1" t="s">
        <v>83</v>
      </c>
      <c r="K271" s="1">
        <v>424</v>
      </c>
      <c r="M271" s="1" t="s">
        <v>345</v>
      </c>
      <c r="N271" s="2">
        <v>46202</v>
      </c>
      <c r="P271" s="1" t="s">
        <v>73</v>
      </c>
      <c r="Q271" s="1" t="s">
        <v>55</v>
      </c>
      <c r="R271" s="1" t="s">
        <v>593</v>
      </c>
      <c r="S271" s="2">
        <v>46192</v>
      </c>
      <c r="T271" s="2">
        <v>46192</v>
      </c>
      <c r="AB271" s="1">
        <v>0</v>
      </c>
      <c r="AC271" s="1">
        <v>0</v>
      </c>
      <c r="AD271" s="1">
        <v>0</v>
      </c>
      <c r="AE271" s="1">
        <v>0</v>
      </c>
      <c r="AF271" s="1">
        <v>1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</row>
    <row r="272" spans="1:39" x14ac:dyDescent="0.25">
      <c r="A272" s="1">
        <v>436</v>
      </c>
      <c r="B272" s="1" t="s">
        <v>619</v>
      </c>
      <c r="C272" s="1" t="s">
        <v>595</v>
      </c>
      <c r="D272" s="1" t="s">
        <v>620</v>
      </c>
      <c r="E272" s="1" t="s">
        <v>291</v>
      </c>
      <c r="F272" s="3">
        <v>46199</v>
      </c>
      <c r="G272" s="3">
        <v>46211</v>
      </c>
      <c r="H272" s="4">
        <v>0.17</v>
      </c>
      <c r="J272" s="1" t="s">
        <v>41</v>
      </c>
      <c r="M272" s="1" t="s">
        <v>367</v>
      </c>
      <c r="N272" s="2">
        <v>46202</v>
      </c>
      <c r="P272" s="1" t="s">
        <v>146</v>
      </c>
      <c r="Q272" s="1" t="s">
        <v>55</v>
      </c>
      <c r="R272" s="1" t="s">
        <v>593</v>
      </c>
      <c r="S272" s="2">
        <v>46204</v>
      </c>
      <c r="T272" s="2">
        <v>46210</v>
      </c>
      <c r="AB272" s="1">
        <v>0.17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</row>
    <row r="273" spans="1:39" x14ac:dyDescent="0.25">
      <c r="A273" s="1">
        <v>437</v>
      </c>
      <c r="B273" s="1" t="s">
        <v>621</v>
      </c>
      <c r="C273" s="1" t="s">
        <v>622</v>
      </c>
      <c r="D273" s="1" t="s">
        <v>101</v>
      </c>
      <c r="E273" s="1" t="s">
        <v>264</v>
      </c>
      <c r="F273" s="3">
        <v>46199</v>
      </c>
      <c r="G273" s="3">
        <v>46206</v>
      </c>
      <c r="H273" s="4">
        <v>0.25</v>
      </c>
      <c r="J273" s="1" t="s">
        <v>41</v>
      </c>
      <c r="K273" s="1" t="s">
        <v>623</v>
      </c>
      <c r="L273" s="1">
        <v>438</v>
      </c>
      <c r="M273" s="1" t="s">
        <v>367</v>
      </c>
      <c r="N273" s="2">
        <v>46196</v>
      </c>
      <c r="P273" s="1" t="s">
        <v>146</v>
      </c>
      <c r="Q273" s="1" t="s">
        <v>55</v>
      </c>
      <c r="R273" s="1" t="s">
        <v>593</v>
      </c>
      <c r="S273" s="2">
        <v>46204</v>
      </c>
      <c r="T273" s="2">
        <v>46204</v>
      </c>
      <c r="AB273" s="1">
        <v>0.25</v>
      </c>
      <c r="AC273" s="1">
        <v>1</v>
      </c>
      <c r="AD273" s="1">
        <v>0</v>
      </c>
      <c r="AE273" s="1">
        <v>1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</row>
    <row r="274" spans="1:39" x14ac:dyDescent="0.25">
      <c r="A274" s="1">
        <v>438</v>
      </c>
      <c r="B274" s="1" t="s">
        <v>624</v>
      </c>
      <c r="C274" s="1" t="s">
        <v>622</v>
      </c>
      <c r="D274" s="1" t="s">
        <v>105</v>
      </c>
      <c r="E274" s="1" t="s">
        <v>52</v>
      </c>
      <c r="F274" s="3">
        <v>46209</v>
      </c>
      <c r="G274" s="3">
        <v>46209</v>
      </c>
      <c r="H274" s="4">
        <v>0</v>
      </c>
      <c r="J274" s="1" t="s">
        <v>83</v>
      </c>
      <c r="K274" s="1">
        <v>437</v>
      </c>
      <c r="L274" s="1">
        <v>439</v>
      </c>
      <c r="M274" s="1" t="s">
        <v>342</v>
      </c>
      <c r="N274" s="2">
        <v>46197</v>
      </c>
      <c r="P274" s="1" t="s">
        <v>67</v>
      </c>
      <c r="Q274" s="1" t="s">
        <v>55</v>
      </c>
      <c r="R274" s="1" t="s">
        <v>593</v>
      </c>
      <c r="S274" s="2">
        <v>46205</v>
      </c>
      <c r="T274" s="2">
        <v>46205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</row>
    <row r="275" spans="1:39" x14ac:dyDescent="0.25">
      <c r="A275" s="1">
        <v>439</v>
      </c>
      <c r="B275" s="1" t="s">
        <v>625</v>
      </c>
      <c r="C275" s="1" t="s">
        <v>622</v>
      </c>
      <c r="D275" s="1" t="s">
        <v>109</v>
      </c>
      <c r="E275" s="1" t="s">
        <v>52</v>
      </c>
      <c r="F275" s="3">
        <v>46210</v>
      </c>
      <c r="G275" s="3">
        <v>46210</v>
      </c>
      <c r="H275" s="4">
        <v>0</v>
      </c>
      <c r="J275" s="1" t="s">
        <v>83</v>
      </c>
      <c r="K275" s="1">
        <v>438</v>
      </c>
      <c r="L275" s="1">
        <v>440</v>
      </c>
      <c r="M275" s="1" t="s">
        <v>233</v>
      </c>
      <c r="N275" s="2">
        <v>46199</v>
      </c>
      <c r="P275" s="1" t="s">
        <v>235</v>
      </c>
      <c r="Q275" s="1" t="s">
        <v>55</v>
      </c>
      <c r="R275" s="1" t="s">
        <v>593</v>
      </c>
      <c r="S275" s="2">
        <v>46206</v>
      </c>
      <c r="T275" s="2">
        <v>46209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</row>
    <row r="276" spans="1:39" x14ac:dyDescent="0.25">
      <c r="A276" s="1">
        <v>440</v>
      </c>
      <c r="B276" s="1" t="s">
        <v>626</v>
      </c>
      <c r="C276" s="1" t="s">
        <v>622</v>
      </c>
      <c r="D276" s="1" t="s">
        <v>115</v>
      </c>
      <c r="E276" s="1" t="s">
        <v>52</v>
      </c>
      <c r="F276" s="3">
        <v>46211</v>
      </c>
      <c r="G276" s="3">
        <v>46211</v>
      </c>
      <c r="H276" s="4">
        <v>0</v>
      </c>
      <c r="J276" s="1" t="s">
        <v>83</v>
      </c>
      <c r="K276" s="1">
        <v>439</v>
      </c>
      <c r="M276" s="1" t="s">
        <v>345</v>
      </c>
      <c r="N276" s="2">
        <v>46202</v>
      </c>
      <c r="P276" s="1" t="s">
        <v>235</v>
      </c>
      <c r="Q276" s="1" t="s">
        <v>55</v>
      </c>
      <c r="R276" s="1" t="s">
        <v>593</v>
      </c>
      <c r="S276" s="2">
        <v>46210</v>
      </c>
      <c r="T276" s="2">
        <v>46210</v>
      </c>
      <c r="AB276" s="1">
        <v>0</v>
      </c>
      <c r="AC276" s="1">
        <v>0</v>
      </c>
      <c r="AD276" s="1">
        <v>0</v>
      </c>
      <c r="AE276" s="1">
        <v>0</v>
      </c>
      <c r="AF276" s="1">
        <v>1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</row>
    <row r="277" spans="1:39" x14ac:dyDescent="0.25">
      <c r="A277" s="1">
        <v>441</v>
      </c>
      <c r="B277" s="1" t="s">
        <v>627</v>
      </c>
      <c r="C277" s="1" t="s">
        <v>595</v>
      </c>
      <c r="D277" s="1" t="s">
        <v>628</v>
      </c>
      <c r="E277" s="1" t="s">
        <v>291</v>
      </c>
      <c r="F277" s="3">
        <v>46189</v>
      </c>
      <c r="G277" s="3">
        <v>46199</v>
      </c>
      <c r="H277" s="4">
        <v>0.8</v>
      </c>
      <c r="J277" s="1" t="s">
        <v>41</v>
      </c>
      <c r="M277" s="1" t="s">
        <v>214</v>
      </c>
      <c r="N277" s="2">
        <v>46185</v>
      </c>
      <c r="P277" s="1" t="s">
        <v>73</v>
      </c>
      <c r="Q277" s="1" t="s">
        <v>55</v>
      </c>
      <c r="R277" s="1" t="s">
        <v>593</v>
      </c>
      <c r="S277" s="2">
        <v>46157</v>
      </c>
      <c r="T277" s="2">
        <v>46169</v>
      </c>
      <c r="AB277" s="1">
        <v>0.8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</row>
    <row r="278" spans="1:39" x14ac:dyDescent="0.25">
      <c r="A278" s="1">
        <v>442</v>
      </c>
      <c r="B278" s="1" t="s">
        <v>629</v>
      </c>
      <c r="C278" s="1" t="s">
        <v>630</v>
      </c>
      <c r="D278" s="1" t="s">
        <v>101</v>
      </c>
      <c r="E278" s="1" t="s">
        <v>264</v>
      </c>
      <c r="F278" s="3">
        <v>46189</v>
      </c>
      <c r="G278" s="3">
        <v>46196</v>
      </c>
      <c r="H278" s="4">
        <v>1</v>
      </c>
      <c r="I278" s="3">
        <v>46196</v>
      </c>
      <c r="J278" s="1" t="s">
        <v>53</v>
      </c>
      <c r="K278" s="1" t="s">
        <v>631</v>
      </c>
      <c r="L278" s="1">
        <v>443</v>
      </c>
      <c r="M278" s="1" t="s">
        <v>214</v>
      </c>
      <c r="N278" s="2">
        <v>46181</v>
      </c>
      <c r="P278" s="1" t="s">
        <v>73</v>
      </c>
      <c r="Q278" s="1" t="s">
        <v>55</v>
      </c>
      <c r="R278" s="1" t="s">
        <v>593</v>
      </c>
      <c r="S278" s="2">
        <v>46157</v>
      </c>
      <c r="T278" s="2">
        <v>46163</v>
      </c>
      <c r="AB278" s="1">
        <v>1</v>
      </c>
      <c r="AC278" s="1">
        <v>1</v>
      </c>
      <c r="AD278" s="1">
        <v>1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1</v>
      </c>
    </row>
    <row r="279" spans="1:39" x14ac:dyDescent="0.25">
      <c r="A279" s="1">
        <v>443</v>
      </c>
      <c r="B279" s="1" t="s">
        <v>632</v>
      </c>
      <c r="C279" s="1" t="s">
        <v>630</v>
      </c>
      <c r="D279" s="1" t="s">
        <v>105</v>
      </c>
      <c r="E279" s="1" t="s">
        <v>52</v>
      </c>
      <c r="F279" s="3">
        <v>46197</v>
      </c>
      <c r="G279" s="3">
        <v>46197</v>
      </c>
      <c r="H279" s="4">
        <v>1</v>
      </c>
      <c r="I279" s="3">
        <v>46197</v>
      </c>
      <c r="J279" s="1" t="s">
        <v>53</v>
      </c>
      <c r="K279" s="1">
        <v>442</v>
      </c>
      <c r="L279" s="1">
        <v>444</v>
      </c>
      <c r="M279" s="1" t="s">
        <v>156</v>
      </c>
      <c r="N279" s="2">
        <v>46182</v>
      </c>
      <c r="P279" s="1" t="s">
        <v>146</v>
      </c>
      <c r="Q279" s="1" t="s">
        <v>55</v>
      </c>
      <c r="R279" s="1" t="s">
        <v>593</v>
      </c>
      <c r="S279" s="2">
        <v>46164</v>
      </c>
      <c r="T279" s="2">
        <v>46164</v>
      </c>
      <c r="AB279" s="1">
        <v>1</v>
      </c>
      <c r="AC279" s="1">
        <v>0</v>
      </c>
      <c r="AD279" s="1">
        <v>0</v>
      </c>
      <c r="AE279" s="1">
        <v>0</v>
      </c>
      <c r="AF279" s="1">
        <v>0</v>
      </c>
      <c r="AG279" s="1">
        <v>1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</row>
    <row r="280" spans="1:39" x14ac:dyDescent="0.25">
      <c r="A280" s="1">
        <v>444</v>
      </c>
      <c r="B280" s="1" t="s">
        <v>633</v>
      </c>
      <c r="C280" s="1" t="s">
        <v>630</v>
      </c>
      <c r="D280" s="1" t="s">
        <v>109</v>
      </c>
      <c r="E280" s="1" t="s">
        <v>116</v>
      </c>
      <c r="F280" s="3">
        <v>46198</v>
      </c>
      <c r="G280" s="3">
        <v>46199</v>
      </c>
      <c r="H280" s="4">
        <v>0.5</v>
      </c>
      <c r="J280" s="1" t="s">
        <v>41</v>
      </c>
      <c r="K280" s="1">
        <v>443</v>
      </c>
      <c r="L280" s="1" t="s">
        <v>634</v>
      </c>
      <c r="M280" s="1" t="s">
        <v>224</v>
      </c>
      <c r="N280" s="2">
        <v>46184</v>
      </c>
      <c r="P280" s="1" t="s">
        <v>146</v>
      </c>
      <c r="Q280" s="1" t="s">
        <v>55</v>
      </c>
      <c r="R280" s="1" t="s">
        <v>593</v>
      </c>
      <c r="S280" s="2">
        <v>46167</v>
      </c>
      <c r="T280" s="2">
        <v>46168</v>
      </c>
      <c r="AB280" s="1">
        <v>0.5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1</v>
      </c>
      <c r="AK280" s="1">
        <v>0</v>
      </c>
      <c r="AL280" s="1">
        <v>0</v>
      </c>
      <c r="AM280" s="1">
        <v>0</v>
      </c>
    </row>
    <row r="281" spans="1:39" x14ac:dyDescent="0.25">
      <c r="A281" s="1">
        <v>445</v>
      </c>
      <c r="B281" s="1" t="s">
        <v>635</v>
      </c>
      <c r="C281" s="1" t="s">
        <v>630</v>
      </c>
      <c r="D281" s="1" t="s">
        <v>115</v>
      </c>
      <c r="E281" s="1" t="s">
        <v>52</v>
      </c>
      <c r="F281" s="3">
        <v>46199</v>
      </c>
      <c r="G281" s="3">
        <v>46199</v>
      </c>
      <c r="H281" s="4">
        <v>0</v>
      </c>
      <c r="J281" s="1" t="s">
        <v>41</v>
      </c>
      <c r="K281" s="1" t="s">
        <v>636</v>
      </c>
      <c r="M281" s="1" t="s">
        <v>474</v>
      </c>
      <c r="N281" s="2">
        <v>46185</v>
      </c>
      <c r="P281" s="1" t="s">
        <v>146</v>
      </c>
      <c r="Q281" s="1" t="s">
        <v>55</v>
      </c>
      <c r="R281" s="1" t="s">
        <v>593</v>
      </c>
      <c r="S281" s="2">
        <v>46169</v>
      </c>
      <c r="T281" s="2">
        <v>46169</v>
      </c>
      <c r="AB281" s="1">
        <v>0</v>
      </c>
      <c r="AC281" s="1">
        <v>0</v>
      </c>
      <c r="AD281" s="1">
        <v>0</v>
      </c>
      <c r="AE281" s="1">
        <v>0</v>
      </c>
      <c r="AF281" s="1">
        <v>1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1</v>
      </c>
      <c r="AM281" s="1">
        <v>0</v>
      </c>
    </row>
    <row r="282" spans="1:39" x14ac:dyDescent="0.25">
      <c r="A282" s="1">
        <v>446</v>
      </c>
      <c r="B282" s="1" t="s">
        <v>637</v>
      </c>
      <c r="C282" s="1" t="s">
        <v>595</v>
      </c>
      <c r="D282" s="1" t="s">
        <v>638</v>
      </c>
      <c r="E282" s="1" t="s">
        <v>260</v>
      </c>
      <c r="F282" s="3">
        <v>46192</v>
      </c>
      <c r="G282" s="3">
        <v>46205</v>
      </c>
      <c r="H282" s="4">
        <v>0.6</v>
      </c>
      <c r="J282" s="1" t="s">
        <v>41</v>
      </c>
      <c r="M282" s="1" t="s">
        <v>214</v>
      </c>
      <c r="N282" s="2">
        <v>46183</v>
      </c>
      <c r="P282" s="1" t="s">
        <v>136</v>
      </c>
      <c r="Q282" s="1" t="s">
        <v>55</v>
      </c>
      <c r="R282" s="1" t="s">
        <v>593</v>
      </c>
      <c r="S282" s="2">
        <v>46157</v>
      </c>
      <c r="T282" s="2">
        <v>46167</v>
      </c>
      <c r="AB282" s="1">
        <v>0.6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</row>
    <row r="283" spans="1:39" x14ac:dyDescent="0.25">
      <c r="A283" s="1">
        <v>447</v>
      </c>
      <c r="B283" s="1" t="s">
        <v>639</v>
      </c>
      <c r="C283" s="1" t="s">
        <v>640</v>
      </c>
      <c r="D283" s="1" t="s">
        <v>101</v>
      </c>
      <c r="E283" s="1" t="s">
        <v>264</v>
      </c>
      <c r="F283" s="3">
        <v>46192</v>
      </c>
      <c r="G283" s="3">
        <v>46199</v>
      </c>
      <c r="H283" s="4">
        <v>1</v>
      </c>
      <c r="I283" s="3">
        <v>46199</v>
      </c>
      <c r="J283" s="1" t="s">
        <v>53</v>
      </c>
      <c r="K283" s="1" t="s">
        <v>631</v>
      </c>
      <c r="L283" s="1" t="s">
        <v>641</v>
      </c>
      <c r="M283" s="1" t="s">
        <v>214</v>
      </c>
      <c r="N283" s="2">
        <v>46177</v>
      </c>
      <c r="P283" s="1" t="s">
        <v>136</v>
      </c>
      <c r="Q283" s="1" t="s">
        <v>55</v>
      </c>
      <c r="R283" s="1" t="s">
        <v>593</v>
      </c>
      <c r="S283" s="2">
        <v>46157</v>
      </c>
      <c r="T283" s="2">
        <v>46161</v>
      </c>
      <c r="AB283" s="1">
        <v>1</v>
      </c>
      <c r="AC283" s="1">
        <v>1</v>
      </c>
      <c r="AD283" s="1">
        <v>1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1</v>
      </c>
    </row>
    <row r="284" spans="1:39" x14ac:dyDescent="0.25">
      <c r="A284" s="1">
        <v>448</v>
      </c>
      <c r="B284" s="1" t="s">
        <v>642</v>
      </c>
      <c r="C284" s="1" t="s">
        <v>640</v>
      </c>
      <c r="D284" s="1" t="s">
        <v>105</v>
      </c>
      <c r="E284" s="1" t="s">
        <v>52</v>
      </c>
      <c r="F284" s="3">
        <v>46202</v>
      </c>
      <c r="G284" s="3">
        <v>46202</v>
      </c>
      <c r="H284" s="4">
        <v>0</v>
      </c>
      <c r="J284" s="1" t="s">
        <v>41</v>
      </c>
      <c r="K284" s="1">
        <v>447</v>
      </c>
      <c r="L284" s="1">
        <v>449</v>
      </c>
      <c r="M284" s="1" t="s">
        <v>66</v>
      </c>
      <c r="N284" s="2">
        <v>46178</v>
      </c>
      <c r="P284" s="1" t="s">
        <v>76</v>
      </c>
      <c r="Q284" s="1" t="s">
        <v>55</v>
      </c>
      <c r="R284" s="1" t="s">
        <v>593</v>
      </c>
      <c r="S284" s="2">
        <v>46162</v>
      </c>
      <c r="T284" s="2">
        <v>46162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1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</row>
    <row r="285" spans="1:39" x14ac:dyDescent="0.25">
      <c r="A285" s="1">
        <v>449</v>
      </c>
      <c r="B285" s="1" t="s">
        <v>643</v>
      </c>
      <c r="C285" s="1" t="s">
        <v>640</v>
      </c>
      <c r="D285" s="1" t="s">
        <v>109</v>
      </c>
      <c r="E285" s="1" t="s">
        <v>116</v>
      </c>
      <c r="F285" s="3">
        <v>46203</v>
      </c>
      <c r="G285" s="3">
        <v>46204</v>
      </c>
      <c r="H285" s="4">
        <v>0</v>
      </c>
      <c r="J285" s="1" t="s">
        <v>41</v>
      </c>
      <c r="K285" s="1">
        <v>448</v>
      </c>
      <c r="L285" s="1">
        <v>450</v>
      </c>
      <c r="M285" s="1" t="s">
        <v>195</v>
      </c>
      <c r="N285" s="2">
        <v>46182</v>
      </c>
      <c r="P285" s="1" t="s">
        <v>76</v>
      </c>
      <c r="Q285" s="1" t="s">
        <v>55</v>
      </c>
      <c r="R285" s="1" t="s">
        <v>593</v>
      </c>
      <c r="S285" s="2">
        <v>46163</v>
      </c>
      <c r="T285" s="2">
        <v>46164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1</v>
      </c>
      <c r="AK285" s="1">
        <v>0</v>
      </c>
      <c r="AL285" s="1">
        <v>0</v>
      </c>
      <c r="AM285" s="1">
        <v>0</v>
      </c>
    </row>
    <row r="286" spans="1:39" x14ac:dyDescent="0.25">
      <c r="A286" s="1">
        <v>450</v>
      </c>
      <c r="B286" s="1" t="s">
        <v>644</v>
      </c>
      <c r="C286" s="1" t="s">
        <v>640</v>
      </c>
      <c r="D286" s="1" t="s">
        <v>115</v>
      </c>
      <c r="E286" s="1" t="s">
        <v>52</v>
      </c>
      <c r="F286" s="3">
        <v>46205</v>
      </c>
      <c r="G286" s="3">
        <v>46205</v>
      </c>
      <c r="H286" s="4">
        <v>0</v>
      </c>
      <c r="J286" s="1" t="s">
        <v>41</v>
      </c>
      <c r="K286" s="1">
        <v>449</v>
      </c>
      <c r="M286" s="1" t="s">
        <v>224</v>
      </c>
      <c r="N286" s="2">
        <v>46183</v>
      </c>
      <c r="P286" s="1" t="s">
        <v>73</v>
      </c>
      <c r="Q286" s="1" t="s">
        <v>55</v>
      </c>
      <c r="R286" s="1" t="s">
        <v>593</v>
      </c>
      <c r="S286" s="2">
        <v>46167</v>
      </c>
      <c r="T286" s="2">
        <v>46167</v>
      </c>
      <c r="AB286" s="1">
        <v>0</v>
      </c>
      <c r="AC286" s="1">
        <v>0</v>
      </c>
      <c r="AD286" s="1">
        <v>0</v>
      </c>
      <c r="AE286" s="1">
        <v>0</v>
      </c>
      <c r="AF286" s="1">
        <v>1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1</v>
      </c>
      <c r="AM286" s="1">
        <v>0</v>
      </c>
    </row>
    <row r="287" spans="1:39" x14ac:dyDescent="0.25">
      <c r="A287" s="1">
        <v>451</v>
      </c>
      <c r="B287" s="1" t="s">
        <v>645</v>
      </c>
      <c r="C287" s="1" t="s">
        <v>595</v>
      </c>
      <c r="D287" s="1" t="s">
        <v>646</v>
      </c>
      <c r="E287" s="1" t="s">
        <v>260</v>
      </c>
      <c r="F287" s="3">
        <v>46192</v>
      </c>
      <c r="G287" s="3">
        <v>46205</v>
      </c>
      <c r="H287" s="4">
        <v>0.6</v>
      </c>
      <c r="J287" s="1" t="s">
        <v>41</v>
      </c>
      <c r="M287" s="1" t="s">
        <v>214</v>
      </c>
      <c r="N287" s="2">
        <v>46185</v>
      </c>
      <c r="P287" s="1" t="s">
        <v>119</v>
      </c>
      <c r="Q287" s="1" t="s">
        <v>55</v>
      </c>
      <c r="R287" s="1" t="s">
        <v>593</v>
      </c>
      <c r="S287" s="2">
        <v>46157</v>
      </c>
      <c r="T287" s="2">
        <v>46169</v>
      </c>
      <c r="AB287" s="1">
        <v>0.6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</row>
    <row r="288" spans="1:39" x14ac:dyDescent="0.25">
      <c r="A288" s="1">
        <v>452</v>
      </c>
      <c r="B288" s="1" t="s">
        <v>647</v>
      </c>
      <c r="C288" s="1" t="s">
        <v>648</v>
      </c>
      <c r="D288" s="1" t="s">
        <v>101</v>
      </c>
      <c r="E288" s="1" t="s">
        <v>264</v>
      </c>
      <c r="F288" s="3">
        <v>46192</v>
      </c>
      <c r="G288" s="3">
        <v>46199</v>
      </c>
      <c r="H288" s="4">
        <v>1</v>
      </c>
      <c r="I288" s="3">
        <v>46199</v>
      </c>
      <c r="J288" s="1" t="s">
        <v>53</v>
      </c>
      <c r="K288" s="1" t="s">
        <v>631</v>
      </c>
      <c r="L288" s="1">
        <v>453</v>
      </c>
      <c r="M288" s="1" t="s">
        <v>214</v>
      </c>
      <c r="N288" s="2">
        <v>46181</v>
      </c>
      <c r="P288" s="1" t="s">
        <v>119</v>
      </c>
      <c r="Q288" s="1" t="s">
        <v>55</v>
      </c>
      <c r="R288" s="1" t="s">
        <v>593</v>
      </c>
      <c r="S288" s="2">
        <v>46157</v>
      </c>
      <c r="T288" s="2">
        <v>46163</v>
      </c>
      <c r="AB288" s="1">
        <v>1</v>
      </c>
      <c r="AC288" s="1">
        <v>1</v>
      </c>
      <c r="AD288" s="1">
        <v>1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1</v>
      </c>
    </row>
    <row r="289" spans="1:39" x14ac:dyDescent="0.25">
      <c r="A289" s="1">
        <v>453</v>
      </c>
      <c r="B289" s="1" t="s">
        <v>649</v>
      </c>
      <c r="C289" s="1" t="s">
        <v>648</v>
      </c>
      <c r="D289" s="1" t="s">
        <v>105</v>
      </c>
      <c r="E289" s="1" t="s">
        <v>52</v>
      </c>
      <c r="F289" s="3">
        <v>46202</v>
      </c>
      <c r="G289" s="3">
        <v>46202</v>
      </c>
      <c r="H289" s="4">
        <v>0</v>
      </c>
      <c r="J289" s="1" t="s">
        <v>41</v>
      </c>
      <c r="K289" s="1">
        <v>452</v>
      </c>
      <c r="L289" s="1">
        <v>454</v>
      </c>
      <c r="M289" s="1" t="s">
        <v>156</v>
      </c>
      <c r="N289" s="2">
        <v>46182</v>
      </c>
      <c r="P289" s="1" t="s">
        <v>73</v>
      </c>
      <c r="Q289" s="1" t="s">
        <v>55</v>
      </c>
      <c r="R289" s="1" t="s">
        <v>593</v>
      </c>
      <c r="S289" s="2">
        <v>46164</v>
      </c>
      <c r="T289" s="2">
        <v>46164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1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</row>
    <row r="290" spans="1:39" x14ac:dyDescent="0.25">
      <c r="A290" s="1">
        <v>454</v>
      </c>
      <c r="B290" s="1" t="s">
        <v>650</v>
      </c>
      <c r="C290" s="1" t="s">
        <v>648</v>
      </c>
      <c r="D290" s="1" t="s">
        <v>109</v>
      </c>
      <c r="E290" s="1" t="s">
        <v>116</v>
      </c>
      <c r="F290" s="3">
        <v>46203</v>
      </c>
      <c r="G290" s="3">
        <v>46204</v>
      </c>
      <c r="H290" s="4">
        <v>0</v>
      </c>
      <c r="J290" s="1" t="s">
        <v>41</v>
      </c>
      <c r="K290" s="1">
        <v>453</v>
      </c>
      <c r="L290" s="1">
        <v>455</v>
      </c>
      <c r="M290" s="1" t="s">
        <v>224</v>
      </c>
      <c r="N290" s="2">
        <v>46184</v>
      </c>
      <c r="P290" s="1" t="s">
        <v>73</v>
      </c>
      <c r="Q290" s="1" t="s">
        <v>55</v>
      </c>
      <c r="R290" s="1" t="s">
        <v>593</v>
      </c>
      <c r="S290" s="2">
        <v>46167</v>
      </c>
      <c r="T290" s="2">
        <v>46168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1</v>
      </c>
      <c r="AK290" s="1">
        <v>0</v>
      </c>
      <c r="AL290" s="1">
        <v>0</v>
      </c>
      <c r="AM290" s="1">
        <v>0</v>
      </c>
    </row>
    <row r="291" spans="1:39" x14ac:dyDescent="0.25">
      <c r="A291" s="1">
        <v>455</v>
      </c>
      <c r="B291" s="1" t="s">
        <v>651</v>
      </c>
      <c r="C291" s="1" t="s">
        <v>648</v>
      </c>
      <c r="D291" s="1" t="s">
        <v>115</v>
      </c>
      <c r="E291" s="1" t="s">
        <v>52</v>
      </c>
      <c r="F291" s="3">
        <v>46205</v>
      </c>
      <c r="G291" s="3">
        <v>46205</v>
      </c>
      <c r="H291" s="4">
        <v>0</v>
      </c>
      <c r="J291" s="1" t="s">
        <v>41</v>
      </c>
      <c r="K291" s="1">
        <v>454</v>
      </c>
      <c r="M291" s="1" t="s">
        <v>474</v>
      </c>
      <c r="N291" s="2">
        <v>46185</v>
      </c>
      <c r="P291" s="1" t="s">
        <v>73</v>
      </c>
      <c r="Q291" s="1" t="s">
        <v>55</v>
      </c>
      <c r="R291" s="1" t="s">
        <v>593</v>
      </c>
      <c r="S291" s="2">
        <v>46169</v>
      </c>
      <c r="T291" s="2">
        <v>46169</v>
      </c>
      <c r="AB291" s="1">
        <v>0</v>
      </c>
      <c r="AC291" s="1">
        <v>0</v>
      </c>
      <c r="AD291" s="1">
        <v>0</v>
      </c>
      <c r="AE291" s="1">
        <v>0</v>
      </c>
      <c r="AF291" s="1">
        <v>1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1</v>
      </c>
      <c r="AM291" s="1">
        <v>0</v>
      </c>
    </row>
    <row r="292" spans="1:39" x14ac:dyDescent="0.25">
      <c r="A292" s="1">
        <v>456</v>
      </c>
      <c r="B292" s="1" t="s">
        <v>652</v>
      </c>
      <c r="C292" s="1" t="s">
        <v>595</v>
      </c>
      <c r="D292" s="1" t="s">
        <v>653</v>
      </c>
      <c r="E292" s="1" t="s">
        <v>272</v>
      </c>
      <c r="F292" s="3">
        <v>46196</v>
      </c>
      <c r="G292" s="3">
        <v>46205</v>
      </c>
      <c r="H292" s="4">
        <v>0.5</v>
      </c>
      <c r="J292" s="1" t="s">
        <v>41</v>
      </c>
      <c r="M292" s="1" t="s">
        <v>224</v>
      </c>
      <c r="N292" s="2">
        <v>46202</v>
      </c>
      <c r="P292" s="1" t="s">
        <v>146</v>
      </c>
      <c r="Q292" s="1" t="s">
        <v>55</v>
      </c>
      <c r="R292" s="1" t="s">
        <v>593</v>
      </c>
      <c r="S292" s="2">
        <v>46167</v>
      </c>
      <c r="T292" s="2">
        <v>46184</v>
      </c>
      <c r="AB292" s="1">
        <v>0.5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</row>
    <row r="293" spans="1:39" x14ac:dyDescent="0.25">
      <c r="A293" s="1">
        <v>457</v>
      </c>
      <c r="B293" s="1" t="s">
        <v>654</v>
      </c>
      <c r="C293" s="1" t="s">
        <v>655</v>
      </c>
      <c r="D293" s="1" t="s">
        <v>101</v>
      </c>
      <c r="E293" s="1" t="s">
        <v>231</v>
      </c>
      <c r="F293" s="3">
        <v>46196</v>
      </c>
      <c r="G293" s="3">
        <v>46199</v>
      </c>
      <c r="H293" s="4">
        <v>1</v>
      </c>
      <c r="I293" s="3">
        <v>46199</v>
      </c>
      <c r="J293" s="1" t="s">
        <v>53</v>
      </c>
      <c r="K293" s="1">
        <v>412</v>
      </c>
      <c r="L293" s="1">
        <v>458</v>
      </c>
      <c r="M293" s="1" t="s">
        <v>224</v>
      </c>
      <c r="N293" s="2">
        <v>46196</v>
      </c>
      <c r="P293" s="1" t="s">
        <v>146</v>
      </c>
      <c r="Q293" s="1" t="s">
        <v>55</v>
      </c>
      <c r="R293" s="1" t="s">
        <v>593</v>
      </c>
      <c r="S293" s="2">
        <v>46167</v>
      </c>
      <c r="T293" s="2">
        <v>46178</v>
      </c>
      <c r="AB293" s="1">
        <v>1</v>
      </c>
      <c r="AC293" s="1">
        <v>1</v>
      </c>
      <c r="AD293" s="1">
        <v>1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1</v>
      </c>
    </row>
    <row r="294" spans="1:39" x14ac:dyDescent="0.25">
      <c r="A294" s="1">
        <v>458</v>
      </c>
      <c r="B294" s="1" t="s">
        <v>656</v>
      </c>
      <c r="C294" s="1" t="s">
        <v>655</v>
      </c>
      <c r="D294" s="1" t="s">
        <v>105</v>
      </c>
      <c r="E294" s="1" t="s">
        <v>52</v>
      </c>
      <c r="F294" s="3">
        <v>46202</v>
      </c>
      <c r="G294" s="3">
        <v>46202</v>
      </c>
      <c r="H294" s="4">
        <v>0</v>
      </c>
      <c r="J294" s="1" t="s">
        <v>41</v>
      </c>
      <c r="K294" s="1">
        <v>457</v>
      </c>
      <c r="L294" s="1">
        <v>459</v>
      </c>
      <c r="M294" s="1" t="s">
        <v>342</v>
      </c>
      <c r="N294" s="2">
        <v>46197</v>
      </c>
      <c r="P294" s="1" t="s">
        <v>146</v>
      </c>
      <c r="Q294" s="1" t="s">
        <v>55</v>
      </c>
      <c r="R294" s="1" t="s">
        <v>593</v>
      </c>
      <c r="S294" s="2">
        <v>46181</v>
      </c>
      <c r="T294" s="2">
        <v>46181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1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</row>
    <row r="295" spans="1:39" x14ac:dyDescent="0.25">
      <c r="A295" s="1">
        <v>459</v>
      </c>
      <c r="B295" s="1" t="s">
        <v>657</v>
      </c>
      <c r="C295" s="1" t="s">
        <v>655</v>
      </c>
      <c r="D295" s="1" t="s">
        <v>109</v>
      </c>
      <c r="E295" s="1" t="s">
        <v>116</v>
      </c>
      <c r="F295" s="3">
        <v>46203</v>
      </c>
      <c r="G295" s="3">
        <v>46204</v>
      </c>
      <c r="H295" s="4">
        <v>0</v>
      </c>
      <c r="J295" s="1" t="s">
        <v>41</v>
      </c>
      <c r="K295" s="1">
        <v>458</v>
      </c>
      <c r="L295" s="1">
        <v>460</v>
      </c>
      <c r="M295" s="1" t="s">
        <v>233</v>
      </c>
      <c r="N295" s="2">
        <v>46199</v>
      </c>
      <c r="P295" s="1" t="s">
        <v>67</v>
      </c>
      <c r="Q295" s="1" t="s">
        <v>55</v>
      </c>
      <c r="R295" s="1" t="s">
        <v>593</v>
      </c>
      <c r="S295" s="2">
        <v>46182</v>
      </c>
      <c r="T295" s="2">
        <v>46183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1</v>
      </c>
      <c r="AK295" s="1">
        <v>0</v>
      </c>
      <c r="AL295" s="1">
        <v>0</v>
      </c>
      <c r="AM295" s="1">
        <v>0</v>
      </c>
    </row>
    <row r="296" spans="1:39" x14ac:dyDescent="0.25">
      <c r="A296" s="1">
        <v>460</v>
      </c>
      <c r="B296" s="1" t="s">
        <v>658</v>
      </c>
      <c r="C296" s="1" t="s">
        <v>655</v>
      </c>
      <c r="D296" s="1" t="s">
        <v>115</v>
      </c>
      <c r="E296" s="1" t="s">
        <v>52</v>
      </c>
      <c r="F296" s="3">
        <v>46205</v>
      </c>
      <c r="G296" s="3">
        <v>46205</v>
      </c>
      <c r="H296" s="4">
        <v>0</v>
      </c>
      <c r="J296" s="1" t="s">
        <v>41</v>
      </c>
      <c r="K296" s="1">
        <v>459</v>
      </c>
      <c r="M296" s="1" t="s">
        <v>345</v>
      </c>
      <c r="N296" s="2">
        <v>46202</v>
      </c>
      <c r="P296" s="1" t="s">
        <v>67</v>
      </c>
      <c r="Q296" s="1" t="s">
        <v>55</v>
      </c>
      <c r="R296" s="1" t="s">
        <v>593</v>
      </c>
      <c r="S296" s="2">
        <v>46184</v>
      </c>
      <c r="T296" s="2">
        <v>46184</v>
      </c>
      <c r="AB296" s="1">
        <v>0</v>
      </c>
      <c r="AC296" s="1">
        <v>0</v>
      </c>
      <c r="AD296" s="1">
        <v>0</v>
      </c>
      <c r="AE296" s="1">
        <v>0</v>
      </c>
      <c r="AF296" s="1">
        <v>1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1</v>
      </c>
      <c r="AM296" s="1">
        <v>0</v>
      </c>
    </row>
    <row r="297" spans="1:39" x14ac:dyDescent="0.25">
      <c r="A297" s="1">
        <v>461</v>
      </c>
      <c r="B297" s="1" t="s">
        <v>659</v>
      </c>
      <c r="C297" s="1" t="s">
        <v>595</v>
      </c>
      <c r="D297" s="1" t="s">
        <v>660</v>
      </c>
      <c r="E297" s="1" t="s">
        <v>272</v>
      </c>
      <c r="F297" s="3">
        <v>46199</v>
      </c>
      <c r="G297" s="3">
        <v>46210</v>
      </c>
      <c r="H297" s="4">
        <v>0.5</v>
      </c>
      <c r="J297" s="1" t="s">
        <v>41</v>
      </c>
      <c r="M297" s="1" t="s">
        <v>224</v>
      </c>
      <c r="N297" s="2">
        <v>46202</v>
      </c>
      <c r="P297" s="1" t="s">
        <v>146</v>
      </c>
      <c r="Q297" s="1" t="s">
        <v>55</v>
      </c>
      <c r="R297" s="1" t="s">
        <v>593</v>
      </c>
      <c r="S297" s="2">
        <v>46167</v>
      </c>
      <c r="T297" s="2">
        <v>46184</v>
      </c>
      <c r="AB297" s="1">
        <v>0.5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</row>
    <row r="298" spans="1:39" x14ac:dyDescent="0.25">
      <c r="A298" s="1">
        <v>462</v>
      </c>
      <c r="B298" s="1" t="s">
        <v>661</v>
      </c>
      <c r="C298" s="1" t="s">
        <v>662</v>
      </c>
      <c r="D298" s="1" t="s">
        <v>101</v>
      </c>
      <c r="E298" s="1" t="s">
        <v>231</v>
      </c>
      <c r="F298" s="3">
        <v>46199</v>
      </c>
      <c r="G298" s="3">
        <v>46204</v>
      </c>
      <c r="H298" s="4">
        <v>1</v>
      </c>
      <c r="I298" s="3">
        <v>46204</v>
      </c>
      <c r="J298" s="1" t="s">
        <v>53</v>
      </c>
      <c r="K298" s="1">
        <v>412</v>
      </c>
      <c r="L298" s="1">
        <v>463</v>
      </c>
      <c r="M298" s="1" t="s">
        <v>224</v>
      </c>
      <c r="N298" s="2">
        <v>46196</v>
      </c>
      <c r="P298" s="1" t="s">
        <v>146</v>
      </c>
      <c r="Q298" s="1" t="s">
        <v>55</v>
      </c>
      <c r="R298" s="1" t="s">
        <v>593</v>
      </c>
      <c r="S298" s="2">
        <v>46167</v>
      </c>
      <c r="T298" s="2">
        <v>46178</v>
      </c>
      <c r="AB298" s="1">
        <v>1</v>
      </c>
      <c r="AC298" s="1">
        <v>1</v>
      </c>
      <c r="AD298" s="1">
        <v>1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1</v>
      </c>
    </row>
    <row r="299" spans="1:39" x14ac:dyDescent="0.25">
      <c r="A299" s="1">
        <v>463</v>
      </c>
      <c r="B299" s="1" t="s">
        <v>663</v>
      </c>
      <c r="C299" s="1" t="s">
        <v>662</v>
      </c>
      <c r="D299" s="1" t="s">
        <v>105</v>
      </c>
      <c r="E299" s="1" t="s">
        <v>52</v>
      </c>
      <c r="F299" s="3">
        <v>46205</v>
      </c>
      <c r="G299" s="3">
        <v>46205</v>
      </c>
      <c r="H299" s="4">
        <v>0</v>
      </c>
      <c r="J299" s="1" t="s">
        <v>41</v>
      </c>
      <c r="K299" s="1">
        <v>462</v>
      </c>
      <c r="L299" s="1">
        <v>464</v>
      </c>
      <c r="M299" s="1" t="s">
        <v>342</v>
      </c>
      <c r="N299" s="2">
        <v>46197</v>
      </c>
      <c r="P299" s="1" t="s">
        <v>146</v>
      </c>
      <c r="Q299" s="1" t="s">
        <v>55</v>
      </c>
      <c r="R299" s="1" t="s">
        <v>593</v>
      </c>
      <c r="S299" s="2">
        <v>46181</v>
      </c>
      <c r="T299" s="2">
        <v>46181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1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</row>
    <row r="300" spans="1:39" x14ac:dyDescent="0.25">
      <c r="A300" s="1">
        <v>464</v>
      </c>
      <c r="B300" s="1" t="s">
        <v>664</v>
      </c>
      <c r="C300" s="1" t="s">
        <v>662</v>
      </c>
      <c r="D300" s="1" t="s">
        <v>109</v>
      </c>
      <c r="E300" s="1" t="s">
        <v>116</v>
      </c>
      <c r="F300" s="3">
        <v>46206</v>
      </c>
      <c r="G300" s="3">
        <v>46209</v>
      </c>
      <c r="H300" s="4">
        <v>0</v>
      </c>
      <c r="J300" s="1" t="s">
        <v>168</v>
      </c>
      <c r="K300" s="1">
        <v>463</v>
      </c>
      <c r="L300" s="1">
        <v>465</v>
      </c>
      <c r="M300" s="1" t="s">
        <v>233</v>
      </c>
      <c r="N300" s="2">
        <v>46199</v>
      </c>
      <c r="P300" s="1" t="s">
        <v>146</v>
      </c>
      <c r="Q300" s="1" t="s">
        <v>55</v>
      </c>
      <c r="R300" s="1" t="s">
        <v>593</v>
      </c>
      <c r="S300" s="2">
        <v>46182</v>
      </c>
      <c r="T300" s="2">
        <v>46183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</row>
    <row r="301" spans="1:39" x14ac:dyDescent="0.25">
      <c r="A301" s="1">
        <v>465</v>
      </c>
      <c r="B301" s="1" t="s">
        <v>665</v>
      </c>
      <c r="C301" s="1" t="s">
        <v>662</v>
      </c>
      <c r="D301" s="1" t="s">
        <v>115</v>
      </c>
      <c r="E301" s="1" t="s">
        <v>52</v>
      </c>
      <c r="F301" s="3">
        <v>46210</v>
      </c>
      <c r="G301" s="3">
        <v>46210</v>
      </c>
      <c r="H301" s="4">
        <v>0</v>
      </c>
      <c r="J301" s="1" t="s">
        <v>83</v>
      </c>
      <c r="K301" s="1">
        <v>464</v>
      </c>
      <c r="M301" s="1" t="s">
        <v>345</v>
      </c>
      <c r="N301" s="2">
        <v>46202</v>
      </c>
      <c r="P301" s="1" t="s">
        <v>67</v>
      </c>
      <c r="Q301" s="1" t="s">
        <v>55</v>
      </c>
      <c r="R301" s="1" t="s">
        <v>593</v>
      </c>
      <c r="S301" s="2">
        <v>46184</v>
      </c>
      <c r="T301" s="2">
        <v>46184</v>
      </c>
      <c r="AB301" s="1">
        <v>0</v>
      </c>
      <c r="AC301" s="1">
        <v>0</v>
      </c>
      <c r="AD301" s="1">
        <v>0</v>
      </c>
      <c r="AE301" s="1">
        <v>0</v>
      </c>
      <c r="AF301" s="1">
        <v>1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</row>
    <row r="302" spans="1:39" x14ac:dyDescent="0.25">
      <c r="A302" s="1">
        <v>466</v>
      </c>
      <c r="B302" s="1" t="s">
        <v>666</v>
      </c>
      <c r="C302" s="1" t="s">
        <v>595</v>
      </c>
      <c r="D302" s="1" t="s">
        <v>667</v>
      </c>
      <c r="E302" s="1" t="s">
        <v>272</v>
      </c>
      <c r="F302" s="3">
        <v>46199</v>
      </c>
      <c r="G302" s="3">
        <v>46210</v>
      </c>
      <c r="H302" s="4">
        <v>0.5</v>
      </c>
      <c r="J302" s="1" t="s">
        <v>41</v>
      </c>
      <c r="M302" s="1" t="s">
        <v>224</v>
      </c>
      <c r="N302" s="2">
        <v>46202</v>
      </c>
      <c r="P302" s="1" t="s">
        <v>146</v>
      </c>
      <c r="Q302" s="1" t="s">
        <v>55</v>
      </c>
      <c r="R302" s="1" t="s">
        <v>593</v>
      </c>
      <c r="S302" s="2">
        <v>46167</v>
      </c>
      <c r="T302" s="2">
        <v>46184</v>
      </c>
      <c r="AB302" s="1">
        <v>0.5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</row>
    <row r="303" spans="1:39" x14ac:dyDescent="0.25">
      <c r="A303" s="1">
        <v>467</v>
      </c>
      <c r="B303" s="1" t="s">
        <v>668</v>
      </c>
      <c r="C303" s="1" t="s">
        <v>669</v>
      </c>
      <c r="D303" s="1" t="s">
        <v>101</v>
      </c>
      <c r="E303" s="1" t="s">
        <v>231</v>
      </c>
      <c r="F303" s="3">
        <v>46199</v>
      </c>
      <c r="G303" s="3">
        <v>46204</v>
      </c>
      <c r="H303" s="4">
        <v>1</v>
      </c>
      <c r="I303" s="3">
        <v>46204</v>
      </c>
      <c r="J303" s="1" t="s">
        <v>53</v>
      </c>
      <c r="K303" s="1">
        <v>412</v>
      </c>
      <c r="L303" s="1">
        <v>468</v>
      </c>
      <c r="M303" s="1" t="s">
        <v>224</v>
      </c>
      <c r="N303" s="2">
        <v>46196</v>
      </c>
      <c r="P303" s="1" t="s">
        <v>146</v>
      </c>
      <c r="Q303" s="1" t="s">
        <v>55</v>
      </c>
      <c r="R303" s="1" t="s">
        <v>593</v>
      </c>
      <c r="S303" s="2">
        <v>46167</v>
      </c>
      <c r="T303" s="2">
        <v>46178</v>
      </c>
      <c r="AB303" s="1">
        <v>1</v>
      </c>
      <c r="AC303" s="1">
        <v>1</v>
      </c>
      <c r="AD303" s="1">
        <v>1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1</v>
      </c>
    </row>
    <row r="304" spans="1:39" x14ac:dyDescent="0.25">
      <c r="A304" s="1">
        <v>468</v>
      </c>
      <c r="B304" s="1" t="s">
        <v>670</v>
      </c>
      <c r="C304" s="1" t="s">
        <v>669</v>
      </c>
      <c r="D304" s="1" t="s">
        <v>105</v>
      </c>
      <c r="E304" s="1" t="s">
        <v>52</v>
      </c>
      <c r="F304" s="3">
        <v>46205</v>
      </c>
      <c r="G304" s="3">
        <v>46205</v>
      </c>
      <c r="H304" s="4">
        <v>0</v>
      </c>
      <c r="J304" s="1" t="s">
        <v>41</v>
      </c>
      <c r="K304" s="1">
        <v>467</v>
      </c>
      <c r="L304" s="1">
        <v>469</v>
      </c>
      <c r="M304" s="1" t="s">
        <v>342</v>
      </c>
      <c r="N304" s="2">
        <v>46197</v>
      </c>
      <c r="P304" s="1" t="s">
        <v>146</v>
      </c>
      <c r="Q304" s="1" t="s">
        <v>55</v>
      </c>
      <c r="R304" s="1" t="s">
        <v>593</v>
      </c>
      <c r="S304" s="2">
        <v>46181</v>
      </c>
      <c r="T304" s="2">
        <v>46181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1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</row>
    <row r="305" spans="1:39" x14ac:dyDescent="0.25">
      <c r="A305" s="1">
        <v>469</v>
      </c>
      <c r="B305" s="1" t="s">
        <v>671</v>
      </c>
      <c r="C305" s="1" t="s">
        <v>669</v>
      </c>
      <c r="D305" s="1" t="s">
        <v>109</v>
      </c>
      <c r="E305" s="1" t="s">
        <v>116</v>
      </c>
      <c r="F305" s="3">
        <v>46206</v>
      </c>
      <c r="G305" s="3">
        <v>46209</v>
      </c>
      <c r="H305" s="4">
        <v>0</v>
      </c>
      <c r="J305" s="1" t="s">
        <v>168</v>
      </c>
      <c r="K305" s="1">
        <v>468</v>
      </c>
      <c r="L305" s="1">
        <v>470</v>
      </c>
      <c r="M305" s="1" t="s">
        <v>233</v>
      </c>
      <c r="N305" s="2">
        <v>46199</v>
      </c>
      <c r="P305" s="1" t="s">
        <v>146</v>
      </c>
      <c r="Q305" s="1" t="s">
        <v>55</v>
      </c>
      <c r="R305" s="1" t="s">
        <v>593</v>
      </c>
      <c r="S305" s="2">
        <v>46182</v>
      </c>
      <c r="T305" s="2">
        <v>46183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</row>
    <row r="306" spans="1:39" x14ac:dyDescent="0.25">
      <c r="A306" s="1">
        <v>470</v>
      </c>
      <c r="B306" s="1" t="s">
        <v>672</v>
      </c>
      <c r="C306" s="1" t="s">
        <v>669</v>
      </c>
      <c r="D306" s="1" t="s">
        <v>115</v>
      </c>
      <c r="E306" s="1" t="s">
        <v>52</v>
      </c>
      <c r="F306" s="3">
        <v>46210</v>
      </c>
      <c r="G306" s="3">
        <v>46210</v>
      </c>
      <c r="H306" s="4">
        <v>0</v>
      </c>
      <c r="J306" s="1" t="s">
        <v>83</v>
      </c>
      <c r="K306" s="1">
        <v>469</v>
      </c>
      <c r="M306" s="1" t="s">
        <v>345</v>
      </c>
      <c r="N306" s="2">
        <v>46202</v>
      </c>
      <c r="P306" s="1" t="s">
        <v>67</v>
      </c>
      <c r="Q306" s="1" t="s">
        <v>55</v>
      </c>
      <c r="R306" s="1" t="s">
        <v>593</v>
      </c>
      <c r="S306" s="2">
        <v>46184</v>
      </c>
      <c r="T306" s="2">
        <v>46184</v>
      </c>
      <c r="AB306" s="1">
        <v>0</v>
      </c>
      <c r="AC306" s="1">
        <v>0</v>
      </c>
      <c r="AD306" s="1">
        <v>0</v>
      </c>
      <c r="AE306" s="1">
        <v>0</v>
      </c>
      <c r="AF306" s="1">
        <v>1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</row>
    <row r="307" spans="1:39" x14ac:dyDescent="0.25">
      <c r="A307" s="1">
        <v>476</v>
      </c>
      <c r="B307" s="1" t="s">
        <v>673</v>
      </c>
      <c r="C307" s="1" t="s">
        <v>595</v>
      </c>
      <c r="D307" s="1" t="s">
        <v>674</v>
      </c>
      <c r="E307" s="1" t="s">
        <v>272</v>
      </c>
      <c r="F307" s="3">
        <v>46203</v>
      </c>
      <c r="G307" s="3">
        <v>46216</v>
      </c>
      <c r="H307" s="4">
        <v>0.5</v>
      </c>
      <c r="J307" s="1" t="s">
        <v>168</v>
      </c>
      <c r="M307" s="1" t="s">
        <v>342</v>
      </c>
      <c r="N307" s="2">
        <v>46205</v>
      </c>
      <c r="P307" s="1" t="s">
        <v>73</v>
      </c>
      <c r="Q307" s="1" t="s">
        <v>55</v>
      </c>
      <c r="R307" s="1" t="s">
        <v>593</v>
      </c>
      <c r="S307" s="2">
        <v>46181</v>
      </c>
      <c r="T307" s="2">
        <v>46189</v>
      </c>
      <c r="AB307" s="1">
        <v>0.5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</row>
    <row r="308" spans="1:39" x14ac:dyDescent="0.25">
      <c r="A308" s="1">
        <v>477</v>
      </c>
      <c r="B308" s="1" t="s">
        <v>675</v>
      </c>
      <c r="C308" s="1" t="s">
        <v>676</v>
      </c>
      <c r="D308" s="1" t="s">
        <v>101</v>
      </c>
      <c r="E308" s="1" t="s">
        <v>231</v>
      </c>
      <c r="F308" s="3">
        <v>46203</v>
      </c>
      <c r="G308" s="3">
        <v>46206</v>
      </c>
      <c r="H308" s="4">
        <v>1</v>
      </c>
      <c r="I308" s="3">
        <v>46206</v>
      </c>
      <c r="J308" s="1" t="s">
        <v>53</v>
      </c>
      <c r="L308" s="1" t="s">
        <v>677</v>
      </c>
      <c r="M308" s="1" t="s">
        <v>342</v>
      </c>
      <c r="N308" s="2">
        <v>46199</v>
      </c>
      <c r="P308" s="1" t="s">
        <v>73</v>
      </c>
      <c r="Q308" s="1" t="s">
        <v>55</v>
      </c>
      <c r="R308" s="1" t="s">
        <v>593</v>
      </c>
      <c r="S308" s="2">
        <v>46181</v>
      </c>
      <c r="T308" s="2">
        <v>46183</v>
      </c>
      <c r="AB308" s="1">
        <v>1</v>
      </c>
      <c r="AC308" s="1">
        <v>1</v>
      </c>
      <c r="AD308" s="1">
        <v>1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1</v>
      </c>
    </row>
    <row r="309" spans="1:39" x14ac:dyDescent="0.25">
      <c r="A309" s="1">
        <v>478</v>
      </c>
      <c r="B309" s="1" t="s">
        <v>678</v>
      </c>
      <c r="C309" s="1" t="s">
        <v>676</v>
      </c>
      <c r="D309" s="1" t="s">
        <v>105</v>
      </c>
      <c r="E309" s="1" t="s">
        <v>52</v>
      </c>
      <c r="F309" s="3">
        <v>46209</v>
      </c>
      <c r="G309" s="3">
        <v>46209</v>
      </c>
      <c r="H309" s="4">
        <v>0</v>
      </c>
      <c r="J309" s="1" t="s">
        <v>83</v>
      </c>
      <c r="K309" s="1">
        <v>477</v>
      </c>
      <c r="L309" s="1">
        <v>479</v>
      </c>
      <c r="M309" s="1" t="s">
        <v>345</v>
      </c>
      <c r="N309" s="2">
        <v>46202</v>
      </c>
      <c r="P309" s="1" t="s">
        <v>146</v>
      </c>
      <c r="Q309" s="1" t="s">
        <v>55</v>
      </c>
      <c r="R309" s="1" t="s">
        <v>593</v>
      </c>
      <c r="S309" s="2">
        <v>46184</v>
      </c>
      <c r="T309" s="2">
        <v>46184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</row>
    <row r="310" spans="1:39" x14ac:dyDescent="0.25">
      <c r="A310" s="1">
        <v>479</v>
      </c>
      <c r="B310" s="1" t="s">
        <v>679</v>
      </c>
      <c r="C310" s="1" t="s">
        <v>676</v>
      </c>
      <c r="D310" s="1" t="s">
        <v>109</v>
      </c>
      <c r="E310" s="1" t="s">
        <v>116</v>
      </c>
      <c r="F310" s="3">
        <v>46210</v>
      </c>
      <c r="G310" s="3">
        <v>46211</v>
      </c>
      <c r="H310" s="4">
        <v>0</v>
      </c>
      <c r="J310" s="1" t="s">
        <v>83</v>
      </c>
      <c r="K310" s="1">
        <v>478</v>
      </c>
      <c r="L310" s="1">
        <v>480</v>
      </c>
      <c r="M310" s="1" t="s">
        <v>160</v>
      </c>
      <c r="N310" s="2">
        <v>46204</v>
      </c>
      <c r="P310" s="1" t="s">
        <v>146</v>
      </c>
      <c r="Q310" s="1" t="s">
        <v>55</v>
      </c>
      <c r="R310" s="1" t="s">
        <v>593</v>
      </c>
      <c r="S310" s="2">
        <v>46185</v>
      </c>
      <c r="T310" s="2">
        <v>46188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</row>
    <row r="311" spans="1:39" x14ac:dyDescent="0.25">
      <c r="A311" s="1">
        <v>480</v>
      </c>
      <c r="B311" s="1" t="s">
        <v>680</v>
      </c>
      <c r="C311" s="1" t="s">
        <v>676</v>
      </c>
      <c r="D311" s="1" t="s">
        <v>115</v>
      </c>
      <c r="E311" s="1" t="s">
        <v>52</v>
      </c>
      <c r="F311" s="3">
        <v>46216</v>
      </c>
      <c r="G311" s="3">
        <v>46216</v>
      </c>
      <c r="H311" s="4">
        <v>0</v>
      </c>
      <c r="J311" s="1" t="s">
        <v>83</v>
      </c>
      <c r="K311" s="1">
        <v>479</v>
      </c>
      <c r="M311" s="1" t="s">
        <v>164</v>
      </c>
      <c r="N311" s="2">
        <v>46205</v>
      </c>
      <c r="P311" s="1" t="s">
        <v>146</v>
      </c>
      <c r="Q311" s="1" t="s">
        <v>55</v>
      </c>
      <c r="R311" s="1" t="s">
        <v>593</v>
      </c>
      <c r="S311" s="2">
        <v>46189</v>
      </c>
      <c r="T311" s="2">
        <v>46189</v>
      </c>
      <c r="AB311" s="1">
        <v>0</v>
      </c>
      <c r="AC311" s="1">
        <v>0</v>
      </c>
      <c r="AD311" s="1">
        <v>0</v>
      </c>
      <c r="AE311" s="1">
        <v>0</v>
      </c>
      <c r="AF311" s="1">
        <v>1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</row>
    <row r="312" spans="1:39" x14ac:dyDescent="0.25">
      <c r="A312" s="1">
        <v>491</v>
      </c>
      <c r="B312" s="1" t="s">
        <v>681</v>
      </c>
      <c r="C312" s="1" t="s">
        <v>595</v>
      </c>
      <c r="D312" s="1" t="s">
        <v>682</v>
      </c>
      <c r="E312" s="1" t="s">
        <v>227</v>
      </c>
      <c r="F312" s="3">
        <v>46203</v>
      </c>
      <c r="G312" s="3">
        <v>46211</v>
      </c>
      <c r="H312" s="4">
        <v>0</v>
      </c>
      <c r="J312" s="1" t="s">
        <v>41</v>
      </c>
      <c r="M312" s="1" t="s">
        <v>182</v>
      </c>
      <c r="N312" s="2">
        <v>46206</v>
      </c>
      <c r="P312" s="1" t="s">
        <v>146</v>
      </c>
      <c r="Q312" s="1" t="s">
        <v>55</v>
      </c>
      <c r="R312" s="1" t="s">
        <v>593</v>
      </c>
      <c r="S312" s="2">
        <v>46202</v>
      </c>
      <c r="T312" s="2">
        <v>46209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</row>
    <row r="313" spans="1:39" x14ac:dyDescent="0.25">
      <c r="A313" s="1">
        <v>492</v>
      </c>
      <c r="B313" s="1" t="s">
        <v>683</v>
      </c>
      <c r="C313" s="1" t="s">
        <v>684</v>
      </c>
      <c r="D313" s="1" t="s">
        <v>101</v>
      </c>
      <c r="E313" s="1" t="s">
        <v>231</v>
      </c>
      <c r="F313" s="3">
        <v>46203</v>
      </c>
      <c r="G313" s="3">
        <v>46206</v>
      </c>
      <c r="H313" s="4">
        <v>0</v>
      </c>
      <c r="J313" s="1" t="s">
        <v>41</v>
      </c>
      <c r="K313" s="1" t="s">
        <v>685</v>
      </c>
      <c r="L313" s="1" t="s">
        <v>686</v>
      </c>
      <c r="M313" s="1" t="s">
        <v>182</v>
      </c>
      <c r="N313" s="2">
        <v>46202</v>
      </c>
      <c r="P313" s="1" t="s">
        <v>146</v>
      </c>
      <c r="Q313" s="1" t="s">
        <v>55</v>
      </c>
      <c r="R313" s="1" t="s">
        <v>593</v>
      </c>
      <c r="S313" s="2">
        <v>46202</v>
      </c>
      <c r="T313" s="2">
        <v>46203</v>
      </c>
      <c r="AB313" s="1">
        <v>0</v>
      </c>
      <c r="AC313" s="1">
        <v>1</v>
      </c>
      <c r="AD313" s="1">
        <v>0</v>
      </c>
      <c r="AE313" s="1">
        <v>1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</row>
    <row r="314" spans="1:39" x14ac:dyDescent="0.25">
      <c r="A314" s="1">
        <v>493</v>
      </c>
      <c r="B314" s="1" t="s">
        <v>687</v>
      </c>
      <c r="C314" s="1" t="s">
        <v>684</v>
      </c>
      <c r="D314" s="1" t="s">
        <v>105</v>
      </c>
      <c r="E314" s="1" t="s">
        <v>52</v>
      </c>
      <c r="F314" s="3">
        <v>46209</v>
      </c>
      <c r="G314" s="3">
        <v>46209</v>
      </c>
      <c r="H314" s="4">
        <v>0</v>
      </c>
      <c r="J314" s="1" t="s">
        <v>83</v>
      </c>
      <c r="K314" s="1">
        <v>492</v>
      </c>
      <c r="L314" s="1">
        <v>494</v>
      </c>
      <c r="M314" s="1" t="s">
        <v>160</v>
      </c>
      <c r="N314" s="2">
        <v>46203</v>
      </c>
      <c r="P314" s="1" t="s">
        <v>67</v>
      </c>
      <c r="Q314" s="1" t="s">
        <v>55</v>
      </c>
      <c r="R314" s="1" t="s">
        <v>593</v>
      </c>
      <c r="S314" s="2">
        <v>46204</v>
      </c>
      <c r="T314" s="2">
        <v>46204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</row>
    <row r="315" spans="1:39" x14ac:dyDescent="0.25">
      <c r="A315" s="1">
        <v>494</v>
      </c>
      <c r="B315" s="1" t="s">
        <v>688</v>
      </c>
      <c r="C315" s="1" t="s">
        <v>684</v>
      </c>
      <c r="D315" s="1" t="s">
        <v>109</v>
      </c>
      <c r="E315" s="1" t="s">
        <v>52</v>
      </c>
      <c r="F315" s="3">
        <v>46210</v>
      </c>
      <c r="G315" s="3">
        <v>46210</v>
      </c>
      <c r="H315" s="4">
        <v>0</v>
      </c>
      <c r="J315" s="1" t="s">
        <v>83</v>
      </c>
      <c r="K315" s="1">
        <v>493</v>
      </c>
      <c r="L315" s="1">
        <v>495</v>
      </c>
      <c r="M315" s="1" t="s">
        <v>436</v>
      </c>
      <c r="N315" s="2">
        <v>46205</v>
      </c>
      <c r="P315" s="1" t="s">
        <v>67</v>
      </c>
      <c r="Q315" s="1" t="s">
        <v>55</v>
      </c>
      <c r="R315" s="1" t="s">
        <v>593</v>
      </c>
      <c r="S315" s="2">
        <v>46205</v>
      </c>
      <c r="T315" s="2">
        <v>46206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</row>
    <row r="316" spans="1:39" x14ac:dyDescent="0.25">
      <c r="A316" s="1">
        <v>495</v>
      </c>
      <c r="B316" s="1" t="s">
        <v>689</v>
      </c>
      <c r="C316" s="1" t="s">
        <v>684</v>
      </c>
      <c r="D316" s="1" t="s">
        <v>115</v>
      </c>
      <c r="E316" s="1" t="s">
        <v>52</v>
      </c>
      <c r="F316" s="3">
        <v>46211</v>
      </c>
      <c r="G316" s="3">
        <v>46211</v>
      </c>
      <c r="H316" s="4">
        <v>0</v>
      </c>
      <c r="J316" s="1" t="s">
        <v>83</v>
      </c>
      <c r="K316" s="1">
        <v>494</v>
      </c>
      <c r="M316" s="1" t="s">
        <v>166</v>
      </c>
      <c r="N316" s="2">
        <v>46206</v>
      </c>
      <c r="P316" s="1" t="s">
        <v>235</v>
      </c>
      <c r="Q316" s="1" t="s">
        <v>55</v>
      </c>
      <c r="R316" s="1" t="s">
        <v>593</v>
      </c>
      <c r="S316" s="2">
        <v>46209</v>
      </c>
      <c r="T316" s="2">
        <v>46209</v>
      </c>
      <c r="AB316" s="1">
        <v>0</v>
      </c>
      <c r="AC316" s="1">
        <v>0</v>
      </c>
      <c r="AD316" s="1">
        <v>0</v>
      </c>
      <c r="AE316" s="1">
        <v>0</v>
      </c>
      <c r="AF316" s="1">
        <v>1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</row>
    <row r="317" spans="1:39" x14ac:dyDescent="0.25">
      <c r="A317" s="1">
        <v>496</v>
      </c>
      <c r="B317" s="1" t="s">
        <v>690</v>
      </c>
      <c r="C317" s="1" t="s">
        <v>595</v>
      </c>
      <c r="D317" s="1" t="s">
        <v>691</v>
      </c>
      <c r="E317" s="1" t="s">
        <v>227</v>
      </c>
      <c r="F317" s="3">
        <v>46189</v>
      </c>
      <c r="G317" s="3">
        <v>46197</v>
      </c>
      <c r="H317" s="4">
        <v>0.56999999999999995</v>
      </c>
      <c r="J317" s="1" t="s">
        <v>41</v>
      </c>
      <c r="M317" s="1" t="s">
        <v>342</v>
      </c>
      <c r="N317" s="2">
        <v>46204</v>
      </c>
      <c r="P317" s="1" t="s">
        <v>73</v>
      </c>
      <c r="Q317" s="1" t="s">
        <v>55</v>
      </c>
      <c r="R317" s="1" t="s">
        <v>593</v>
      </c>
      <c r="S317" s="2">
        <v>46189</v>
      </c>
      <c r="T317" s="2">
        <v>46197</v>
      </c>
      <c r="AB317" s="1">
        <v>0.56999999999999995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</row>
    <row r="318" spans="1:39" x14ac:dyDescent="0.25">
      <c r="A318" s="1">
        <v>497</v>
      </c>
      <c r="B318" s="1" t="s">
        <v>692</v>
      </c>
      <c r="C318" s="1" t="s">
        <v>693</v>
      </c>
      <c r="D318" s="1" t="s">
        <v>101</v>
      </c>
      <c r="E318" s="1" t="s">
        <v>231</v>
      </c>
      <c r="F318" s="3">
        <v>46189</v>
      </c>
      <c r="G318" s="3">
        <v>46192</v>
      </c>
      <c r="H318" s="4">
        <v>1</v>
      </c>
      <c r="I318" s="3">
        <v>46192</v>
      </c>
      <c r="J318" s="1" t="s">
        <v>53</v>
      </c>
      <c r="K318" s="1" t="s">
        <v>685</v>
      </c>
      <c r="L318" s="1">
        <v>498</v>
      </c>
      <c r="M318" s="1" t="s">
        <v>342</v>
      </c>
      <c r="N318" s="2">
        <v>46198</v>
      </c>
      <c r="P318" s="1" t="s">
        <v>73</v>
      </c>
      <c r="Q318" s="1" t="s">
        <v>55</v>
      </c>
      <c r="R318" s="1" t="s">
        <v>593</v>
      </c>
      <c r="S318" s="2">
        <v>46189</v>
      </c>
      <c r="T318" s="2">
        <v>46191</v>
      </c>
      <c r="AB318" s="1">
        <v>1</v>
      </c>
      <c r="AC318" s="1">
        <v>1</v>
      </c>
      <c r="AD318" s="1">
        <v>1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1</v>
      </c>
    </row>
    <row r="319" spans="1:39" x14ac:dyDescent="0.25">
      <c r="A319" s="1">
        <v>498</v>
      </c>
      <c r="B319" s="1" t="s">
        <v>694</v>
      </c>
      <c r="C319" s="1" t="s">
        <v>693</v>
      </c>
      <c r="D319" s="1" t="s">
        <v>105</v>
      </c>
      <c r="E319" s="1" t="s">
        <v>52</v>
      </c>
      <c r="F319" s="3">
        <v>46195</v>
      </c>
      <c r="G319" s="3">
        <v>46195</v>
      </c>
      <c r="H319" s="4">
        <v>0</v>
      </c>
      <c r="J319" s="1" t="s">
        <v>41</v>
      </c>
      <c r="K319" s="1">
        <v>497</v>
      </c>
      <c r="L319" s="1">
        <v>499</v>
      </c>
      <c r="M319" s="1" t="s">
        <v>182</v>
      </c>
      <c r="N319" s="2">
        <v>46199</v>
      </c>
      <c r="P319" s="1" t="s">
        <v>146</v>
      </c>
      <c r="Q319" s="1" t="s">
        <v>55</v>
      </c>
      <c r="R319" s="1" t="s">
        <v>593</v>
      </c>
      <c r="S319" s="2">
        <v>46192</v>
      </c>
      <c r="T319" s="2">
        <v>46192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1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</row>
    <row r="320" spans="1:39" x14ac:dyDescent="0.25">
      <c r="A320" s="1">
        <v>499</v>
      </c>
      <c r="B320" s="1" t="s">
        <v>695</v>
      </c>
      <c r="C320" s="1" t="s">
        <v>693</v>
      </c>
      <c r="D320" s="1" t="s">
        <v>109</v>
      </c>
      <c r="E320" s="1" t="s">
        <v>52</v>
      </c>
      <c r="F320" s="3">
        <v>46196</v>
      </c>
      <c r="G320" s="3">
        <v>46196</v>
      </c>
      <c r="H320" s="4">
        <v>0</v>
      </c>
      <c r="J320" s="1" t="s">
        <v>41</v>
      </c>
      <c r="K320" s="1">
        <v>498</v>
      </c>
      <c r="L320" s="1">
        <v>500</v>
      </c>
      <c r="M320" s="1" t="s">
        <v>345</v>
      </c>
      <c r="N320" s="2">
        <v>46203</v>
      </c>
      <c r="P320" s="1" t="s">
        <v>146</v>
      </c>
      <c r="Q320" s="1" t="s">
        <v>55</v>
      </c>
      <c r="R320" s="1" t="s">
        <v>593</v>
      </c>
      <c r="S320" s="2">
        <v>46195</v>
      </c>
      <c r="T320" s="2">
        <v>46196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1</v>
      </c>
      <c r="AK320" s="1">
        <v>0</v>
      </c>
      <c r="AL320" s="1">
        <v>0</v>
      </c>
      <c r="AM320" s="1">
        <v>0</v>
      </c>
    </row>
    <row r="321" spans="1:39" x14ac:dyDescent="0.25">
      <c r="A321" s="1">
        <v>500</v>
      </c>
      <c r="B321" s="1" t="s">
        <v>696</v>
      </c>
      <c r="C321" s="1" t="s">
        <v>693</v>
      </c>
      <c r="D321" s="1" t="s">
        <v>115</v>
      </c>
      <c r="E321" s="1" t="s">
        <v>52</v>
      </c>
      <c r="F321" s="3">
        <v>46197</v>
      </c>
      <c r="G321" s="3">
        <v>46197</v>
      </c>
      <c r="H321" s="4">
        <v>0</v>
      </c>
      <c r="J321" s="1" t="s">
        <v>41</v>
      </c>
      <c r="K321" s="1">
        <v>499</v>
      </c>
      <c r="M321" s="1" t="s">
        <v>436</v>
      </c>
      <c r="N321" s="2">
        <v>46204</v>
      </c>
      <c r="P321" s="1" t="s">
        <v>146</v>
      </c>
      <c r="Q321" s="1" t="s">
        <v>55</v>
      </c>
      <c r="R321" s="1" t="s">
        <v>593</v>
      </c>
      <c r="S321" s="2">
        <v>46197</v>
      </c>
      <c r="T321" s="2">
        <v>46197</v>
      </c>
      <c r="AB321" s="1">
        <v>0</v>
      </c>
      <c r="AC321" s="1">
        <v>0</v>
      </c>
      <c r="AD321" s="1">
        <v>0</v>
      </c>
      <c r="AE321" s="1">
        <v>0</v>
      </c>
      <c r="AF321" s="1">
        <v>1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1</v>
      </c>
      <c r="AM321" s="1">
        <v>0</v>
      </c>
    </row>
    <row r="322" spans="1:39" x14ac:dyDescent="0.25">
      <c r="A322" s="1">
        <v>501</v>
      </c>
      <c r="B322" s="1" t="s">
        <v>697</v>
      </c>
      <c r="C322" s="1" t="s">
        <v>595</v>
      </c>
      <c r="D322" s="1" t="s">
        <v>698</v>
      </c>
      <c r="E322" s="1" t="s">
        <v>260</v>
      </c>
      <c r="F322" s="3">
        <v>46191</v>
      </c>
      <c r="G322" s="3">
        <v>46204</v>
      </c>
      <c r="H322" s="4">
        <v>0.7</v>
      </c>
      <c r="J322" s="1" t="s">
        <v>41</v>
      </c>
      <c r="M322" s="1" t="s">
        <v>342</v>
      </c>
      <c r="N322" s="2">
        <v>46211</v>
      </c>
      <c r="P322" s="1" t="s">
        <v>73</v>
      </c>
      <c r="Q322" s="1" t="s">
        <v>55</v>
      </c>
      <c r="R322" s="1" t="s">
        <v>593</v>
      </c>
      <c r="S322" s="2">
        <v>46189</v>
      </c>
      <c r="T322" s="2">
        <v>46206</v>
      </c>
      <c r="AB322" s="1">
        <v>0.7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</row>
    <row r="323" spans="1:39" x14ac:dyDescent="0.25">
      <c r="A323" s="1">
        <v>502</v>
      </c>
      <c r="B323" s="1" t="s">
        <v>699</v>
      </c>
      <c r="C323" s="1" t="s">
        <v>700</v>
      </c>
      <c r="D323" s="1" t="s">
        <v>101</v>
      </c>
      <c r="E323" s="1" t="s">
        <v>701</v>
      </c>
      <c r="F323" s="3">
        <v>46191</v>
      </c>
      <c r="G323" s="3">
        <v>46199</v>
      </c>
      <c r="H323" s="4">
        <v>1</v>
      </c>
      <c r="I323" s="3">
        <v>46199</v>
      </c>
      <c r="J323" s="1" t="s">
        <v>53</v>
      </c>
      <c r="L323" s="1" t="s">
        <v>702</v>
      </c>
      <c r="M323" s="1" t="s">
        <v>342</v>
      </c>
      <c r="N323" s="2">
        <v>46205</v>
      </c>
      <c r="P323" s="1" t="s">
        <v>73</v>
      </c>
      <c r="Q323" s="1" t="s">
        <v>55</v>
      </c>
      <c r="R323" s="1" t="s">
        <v>593</v>
      </c>
      <c r="S323" s="2">
        <v>46189</v>
      </c>
      <c r="T323" s="2">
        <v>46202</v>
      </c>
      <c r="AB323" s="1">
        <v>1</v>
      </c>
      <c r="AC323" s="1">
        <v>1</v>
      </c>
      <c r="AD323" s="1">
        <v>1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1</v>
      </c>
    </row>
    <row r="324" spans="1:39" x14ac:dyDescent="0.25">
      <c r="A324" s="1">
        <v>503</v>
      </c>
      <c r="B324" s="1" t="s">
        <v>703</v>
      </c>
      <c r="C324" s="1" t="s">
        <v>700</v>
      </c>
      <c r="D324" s="1" t="s">
        <v>105</v>
      </c>
      <c r="E324" s="1" t="s">
        <v>52</v>
      </c>
      <c r="F324" s="3">
        <v>46202</v>
      </c>
      <c r="G324" s="3">
        <v>46202</v>
      </c>
      <c r="H324" s="4">
        <v>0</v>
      </c>
      <c r="J324" s="1" t="s">
        <v>41</v>
      </c>
      <c r="K324" s="1">
        <v>502</v>
      </c>
      <c r="L324" s="1">
        <v>504</v>
      </c>
      <c r="M324" s="1" t="s">
        <v>166</v>
      </c>
      <c r="N324" s="2">
        <v>46206</v>
      </c>
      <c r="P324" s="1" t="s">
        <v>146</v>
      </c>
      <c r="Q324" s="1" t="s">
        <v>55</v>
      </c>
      <c r="R324" s="1" t="s">
        <v>593</v>
      </c>
      <c r="S324" s="2">
        <v>46203</v>
      </c>
      <c r="T324" s="2">
        <v>46203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1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</row>
    <row r="325" spans="1:39" x14ac:dyDescent="0.25">
      <c r="A325" s="1">
        <v>504</v>
      </c>
      <c r="B325" s="1" t="s">
        <v>704</v>
      </c>
      <c r="C325" s="1" t="s">
        <v>700</v>
      </c>
      <c r="D325" s="1" t="s">
        <v>109</v>
      </c>
      <c r="E325" s="1" t="s">
        <v>52</v>
      </c>
      <c r="F325" s="3">
        <v>46203</v>
      </c>
      <c r="G325" s="3">
        <v>46203</v>
      </c>
      <c r="H325" s="4">
        <v>0</v>
      </c>
      <c r="J325" s="1" t="s">
        <v>41</v>
      </c>
      <c r="K325" s="1">
        <v>503</v>
      </c>
      <c r="L325" s="1">
        <v>505</v>
      </c>
      <c r="M325" s="1" t="s">
        <v>705</v>
      </c>
      <c r="N325" s="2">
        <v>46210</v>
      </c>
      <c r="P325" s="1" t="s">
        <v>67</v>
      </c>
      <c r="Q325" s="1" t="s">
        <v>55</v>
      </c>
      <c r="R325" s="1" t="s">
        <v>593</v>
      </c>
      <c r="S325" s="2">
        <v>46204</v>
      </c>
      <c r="T325" s="2">
        <v>46205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1</v>
      </c>
      <c r="AK325" s="1">
        <v>0</v>
      </c>
      <c r="AL325" s="1">
        <v>0</v>
      </c>
      <c r="AM325" s="1">
        <v>0</v>
      </c>
    </row>
    <row r="326" spans="1:39" x14ac:dyDescent="0.25">
      <c r="A326" s="1">
        <v>505</v>
      </c>
      <c r="B326" s="1" t="s">
        <v>706</v>
      </c>
      <c r="C326" s="1" t="s">
        <v>700</v>
      </c>
      <c r="D326" s="1" t="s">
        <v>115</v>
      </c>
      <c r="E326" s="1" t="s">
        <v>52</v>
      </c>
      <c r="F326" s="3">
        <v>46204</v>
      </c>
      <c r="G326" s="3">
        <v>46204</v>
      </c>
      <c r="H326" s="4">
        <v>0</v>
      </c>
      <c r="J326" s="1" t="s">
        <v>41</v>
      </c>
      <c r="K326" s="1">
        <v>504</v>
      </c>
      <c r="M326" s="1" t="s">
        <v>707</v>
      </c>
      <c r="N326" s="2">
        <v>46211</v>
      </c>
      <c r="P326" s="1" t="s">
        <v>67</v>
      </c>
      <c r="Q326" s="1" t="s">
        <v>55</v>
      </c>
      <c r="R326" s="1" t="s">
        <v>593</v>
      </c>
      <c r="S326" s="2">
        <v>46206</v>
      </c>
      <c r="T326" s="2">
        <v>46206</v>
      </c>
      <c r="AB326" s="1">
        <v>0</v>
      </c>
      <c r="AC326" s="1">
        <v>0</v>
      </c>
      <c r="AD326" s="1">
        <v>0</v>
      </c>
      <c r="AE326" s="1">
        <v>0</v>
      </c>
      <c r="AF326" s="1">
        <v>1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1</v>
      </c>
      <c r="AM326" s="1">
        <v>0</v>
      </c>
    </row>
    <row r="327" spans="1:39" x14ac:dyDescent="0.25">
      <c r="A327" s="1">
        <v>506</v>
      </c>
      <c r="B327" s="1" t="s">
        <v>708</v>
      </c>
      <c r="C327" s="1" t="s">
        <v>595</v>
      </c>
      <c r="D327" s="1" t="s">
        <v>709</v>
      </c>
      <c r="E327" s="1" t="s">
        <v>260</v>
      </c>
      <c r="F327" s="3">
        <v>46191</v>
      </c>
      <c r="G327" s="3">
        <v>46204</v>
      </c>
      <c r="H327" s="4">
        <v>0.75</v>
      </c>
      <c r="J327" s="1" t="s">
        <v>41</v>
      </c>
      <c r="M327" s="1" t="s">
        <v>342</v>
      </c>
      <c r="N327" s="2">
        <v>46211</v>
      </c>
      <c r="P327" s="1" t="s">
        <v>73</v>
      </c>
      <c r="Q327" s="1" t="s">
        <v>55</v>
      </c>
      <c r="R327" s="1" t="s">
        <v>593</v>
      </c>
      <c r="S327" s="2">
        <v>46189</v>
      </c>
      <c r="T327" s="2">
        <v>46206</v>
      </c>
      <c r="AB327" s="1">
        <v>0.75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</row>
    <row r="328" spans="1:39" x14ac:dyDescent="0.25">
      <c r="A328" s="1">
        <v>507</v>
      </c>
      <c r="B328" s="1" t="s">
        <v>710</v>
      </c>
      <c r="C328" s="1" t="s">
        <v>711</v>
      </c>
      <c r="D328" s="1" t="s">
        <v>101</v>
      </c>
      <c r="E328" s="1" t="s">
        <v>701</v>
      </c>
      <c r="F328" s="3">
        <v>46191</v>
      </c>
      <c r="G328" s="3">
        <v>46199</v>
      </c>
      <c r="H328" s="4">
        <v>1</v>
      </c>
      <c r="I328" s="3">
        <v>46199</v>
      </c>
      <c r="J328" s="1" t="s">
        <v>53</v>
      </c>
      <c r="K328" s="1" t="s">
        <v>712</v>
      </c>
      <c r="L328" s="1">
        <v>508</v>
      </c>
      <c r="M328" s="1" t="s">
        <v>342</v>
      </c>
      <c r="N328" s="2">
        <v>46205</v>
      </c>
      <c r="P328" s="1" t="s">
        <v>73</v>
      </c>
      <c r="Q328" s="1" t="s">
        <v>55</v>
      </c>
      <c r="R328" s="1" t="s">
        <v>593</v>
      </c>
      <c r="S328" s="2">
        <v>46189</v>
      </c>
      <c r="T328" s="2">
        <v>46202</v>
      </c>
      <c r="AB328" s="1">
        <v>1</v>
      </c>
      <c r="AC328" s="1">
        <v>1</v>
      </c>
      <c r="AD328" s="1">
        <v>1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1</v>
      </c>
    </row>
    <row r="329" spans="1:39" x14ac:dyDescent="0.25">
      <c r="A329" s="1">
        <v>508</v>
      </c>
      <c r="B329" s="1" t="s">
        <v>713</v>
      </c>
      <c r="C329" s="1" t="s">
        <v>711</v>
      </c>
      <c r="D329" s="1" t="s">
        <v>105</v>
      </c>
      <c r="E329" s="1" t="s">
        <v>52</v>
      </c>
      <c r="F329" s="3">
        <v>46202</v>
      </c>
      <c r="G329" s="3">
        <v>46202</v>
      </c>
      <c r="H329" s="4">
        <v>0.5</v>
      </c>
      <c r="J329" s="1" t="s">
        <v>41</v>
      </c>
      <c r="K329" s="1">
        <v>507</v>
      </c>
      <c r="L329" s="1">
        <v>509</v>
      </c>
      <c r="M329" s="1" t="s">
        <v>166</v>
      </c>
      <c r="N329" s="2">
        <v>46206</v>
      </c>
      <c r="P329" s="1" t="s">
        <v>146</v>
      </c>
      <c r="Q329" s="1" t="s">
        <v>55</v>
      </c>
      <c r="R329" s="1" t="s">
        <v>593</v>
      </c>
      <c r="S329" s="2">
        <v>46203</v>
      </c>
      <c r="T329" s="2">
        <v>46203</v>
      </c>
      <c r="AB329" s="1">
        <v>0.5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1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</row>
    <row r="330" spans="1:39" x14ac:dyDescent="0.25">
      <c r="A330" s="1">
        <v>509</v>
      </c>
      <c r="B330" s="1" t="s">
        <v>714</v>
      </c>
      <c r="C330" s="1" t="s">
        <v>711</v>
      </c>
      <c r="D330" s="1" t="s">
        <v>109</v>
      </c>
      <c r="E330" s="1" t="s">
        <v>52</v>
      </c>
      <c r="F330" s="3">
        <v>46203</v>
      </c>
      <c r="G330" s="3">
        <v>46203</v>
      </c>
      <c r="H330" s="4">
        <v>0</v>
      </c>
      <c r="J330" s="1" t="s">
        <v>41</v>
      </c>
      <c r="K330" s="1">
        <v>508</v>
      </c>
      <c r="L330" s="1">
        <v>510</v>
      </c>
      <c r="M330" s="1" t="s">
        <v>705</v>
      </c>
      <c r="N330" s="2">
        <v>46210</v>
      </c>
      <c r="P330" s="1" t="s">
        <v>67</v>
      </c>
      <c r="Q330" s="1" t="s">
        <v>55</v>
      </c>
      <c r="R330" s="1" t="s">
        <v>593</v>
      </c>
      <c r="S330" s="2">
        <v>46204</v>
      </c>
      <c r="T330" s="2">
        <v>46205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1</v>
      </c>
      <c r="AK330" s="1">
        <v>0</v>
      </c>
      <c r="AL330" s="1">
        <v>0</v>
      </c>
      <c r="AM330" s="1">
        <v>0</v>
      </c>
    </row>
    <row r="331" spans="1:39" x14ac:dyDescent="0.25">
      <c r="A331" s="1">
        <v>510</v>
      </c>
      <c r="B331" s="1" t="s">
        <v>715</v>
      </c>
      <c r="C331" s="1" t="s">
        <v>711</v>
      </c>
      <c r="D331" s="1" t="s">
        <v>115</v>
      </c>
      <c r="E331" s="1" t="s">
        <v>52</v>
      </c>
      <c r="F331" s="3">
        <v>46204</v>
      </c>
      <c r="G331" s="3">
        <v>46204</v>
      </c>
      <c r="H331" s="4">
        <v>0</v>
      </c>
      <c r="J331" s="1" t="s">
        <v>41</v>
      </c>
      <c r="K331" s="1">
        <v>509</v>
      </c>
      <c r="M331" s="1" t="s">
        <v>707</v>
      </c>
      <c r="N331" s="2">
        <v>46211</v>
      </c>
      <c r="P331" s="1" t="s">
        <v>67</v>
      </c>
      <c r="Q331" s="1" t="s">
        <v>55</v>
      </c>
      <c r="R331" s="1" t="s">
        <v>593</v>
      </c>
      <c r="S331" s="2">
        <v>46206</v>
      </c>
      <c r="T331" s="2">
        <v>46206</v>
      </c>
      <c r="AB331" s="1">
        <v>0</v>
      </c>
      <c r="AC331" s="1">
        <v>0</v>
      </c>
      <c r="AD331" s="1">
        <v>0</v>
      </c>
      <c r="AE331" s="1">
        <v>0</v>
      </c>
      <c r="AF331" s="1">
        <v>1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1</v>
      </c>
      <c r="AM331" s="1">
        <v>0</v>
      </c>
    </row>
    <row r="332" spans="1:39" x14ac:dyDescent="0.25">
      <c r="A332" s="1">
        <v>511</v>
      </c>
      <c r="B332" s="1" t="s">
        <v>716</v>
      </c>
      <c r="C332" s="1" t="s">
        <v>595</v>
      </c>
      <c r="D332" s="1" t="s">
        <v>717</v>
      </c>
      <c r="E332" s="1" t="s">
        <v>260</v>
      </c>
      <c r="F332" s="3">
        <v>46191</v>
      </c>
      <c r="G332" s="3">
        <v>46204</v>
      </c>
      <c r="H332" s="4">
        <v>0.7</v>
      </c>
      <c r="J332" s="1" t="s">
        <v>41</v>
      </c>
      <c r="M332" s="1" t="s">
        <v>342</v>
      </c>
      <c r="N332" s="2">
        <v>46211</v>
      </c>
      <c r="P332" s="1" t="s">
        <v>73</v>
      </c>
      <c r="Q332" s="1" t="s">
        <v>55</v>
      </c>
      <c r="R332" s="1" t="s">
        <v>593</v>
      </c>
      <c r="S332" s="2">
        <v>46189</v>
      </c>
      <c r="T332" s="2">
        <v>46206</v>
      </c>
      <c r="AB332" s="1">
        <v>0.7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</row>
    <row r="333" spans="1:39" x14ac:dyDescent="0.25">
      <c r="A333" s="1">
        <v>512</v>
      </c>
      <c r="B333" s="1" t="s">
        <v>718</v>
      </c>
      <c r="C333" s="1" t="s">
        <v>719</v>
      </c>
      <c r="D333" s="1" t="s">
        <v>101</v>
      </c>
      <c r="E333" s="1" t="s">
        <v>701</v>
      </c>
      <c r="F333" s="3">
        <v>46191</v>
      </c>
      <c r="G333" s="3">
        <v>46199</v>
      </c>
      <c r="H333" s="4">
        <v>1</v>
      </c>
      <c r="I333" s="3">
        <v>46199</v>
      </c>
      <c r="J333" s="1" t="s">
        <v>53</v>
      </c>
      <c r="K333" s="1" t="s">
        <v>712</v>
      </c>
      <c r="L333" s="1">
        <v>513</v>
      </c>
      <c r="M333" s="1" t="s">
        <v>342</v>
      </c>
      <c r="N333" s="2">
        <v>46205</v>
      </c>
      <c r="P333" s="1" t="s">
        <v>73</v>
      </c>
      <c r="Q333" s="1" t="s">
        <v>55</v>
      </c>
      <c r="R333" s="1" t="s">
        <v>593</v>
      </c>
      <c r="S333" s="2">
        <v>46189</v>
      </c>
      <c r="T333" s="2">
        <v>46202</v>
      </c>
      <c r="AB333" s="1">
        <v>1</v>
      </c>
      <c r="AC333" s="1">
        <v>1</v>
      </c>
      <c r="AD333" s="1">
        <v>1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1</v>
      </c>
    </row>
    <row r="334" spans="1:39" x14ac:dyDescent="0.25">
      <c r="A334" s="1">
        <v>513</v>
      </c>
      <c r="B334" s="1" t="s">
        <v>720</v>
      </c>
      <c r="C334" s="1" t="s">
        <v>719</v>
      </c>
      <c r="D334" s="1" t="s">
        <v>105</v>
      </c>
      <c r="E334" s="1" t="s">
        <v>52</v>
      </c>
      <c r="F334" s="3">
        <v>46202</v>
      </c>
      <c r="G334" s="3">
        <v>46202</v>
      </c>
      <c r="H334" s="4">
        <v>0</v>
      </c>
      <c r="J334" s="1" t="s">
        <v>41</v>
      </c>
      <c r="K334" s="1">
        <v>512</v>
      </c>
      <c r="L334" s="1">
        <v>514</v>
      </c>
      <c r="M334" s="1" t="s">
        <v>166</v>
      </c>
      <c r="N334" s="2">
        <v>46206</v>
      </c>
      <c r="P334" s="1" t="s">
        <v>146</v>
      </c>
      <c r="Q334" s="1" t="s">
        <v>55</v>
      </c>
      <c r="R334" s="1" t="s">
        <v>593</v>
      </c>
      <c r="S334" s="2">
        <v>46203</v>
      </c>
      <c r="T334" s="2">
        <v>46203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1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</row>
    <row r="335" spans="1:39" x14ac:dyDescent="0.25">
      <c r="A335" s="1">
        <v>514</v>
      </c>
      <c r="B335" s="1" t="s">
        <v>721</v>
      </c>
      <c r="C335" s="1" t="s">
        <v>719</v>
      </c>
      <c r="D335" s="1" t="s">
        <v>109</v>
      </c>
      <c r="E335" s="1" t="s">
        <v>52</v>
      </c>
      <c r="F335" s="3">
        <v>46203</v>
      </c>
      <c r="G335" s="3">
        <v>46203</v>
      </c>
      <c r="H335" s="4">
        <v>0</v>
      </c>
      <c r="J335" s="1" t="s">
        <v>41</v>
      </c>
      <c r="K335" s="1">
        <v>513</v>
      </c>
      <c r="L335" s="1">
        <v>515</v>
      </c>
      <c r="M335" s="1" t="s">
        <v>705</v>
      </c>
      <c r="N335" s="2">
        <v>46210</v>
      </c>
      <c r="P335" s="1" t="s">
        <v>146</v>
      </c>
      <c r="Q335" s="1" t="s">
        <v>55</v>
      </c>
      <c r="R335" s="1" t="s">
        <v>593</v>
      </c>
      <c r="S335" s="2">
        <v>46204</v>
      </c>
      <c r="T335" s="2">
        <v>46205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1</v>
      </c>
      <c r="AK335" s="1">
        <v>0</v>
      </c>
      <c r="AL335" s="1">
        <v>0</v>
      </c>
      <c r="AM335" s="1">
        <v>0</v>
      </c>
    </row>
    <row r="336" spans="1:39" x14ac:dyDescent="0.25">
      <c r="A336" s="1">
        <v>515</v>
      </c>
      <c r="B336" s="1" t="s">
        <v>722</v>
      </c>
      <c r="C336" s="1" t="s">
        <v>719</v>
      </c>
      <c r="D336" s="1" t="s">
        <v>115</v>
      </c>
      <c r="E336" s="1" t="s">
        <v>52</v>
      </c>
      <c r="F336" s="3">
        <v>46204</v>
      </c>
      <c r="G336" s="3">
        <v>46204</v>
      </c>
      <c r="H336" s="4">
        <v>0</v>
      </c>
      <c r="J336" s="1" t="s">
        <v>41</v>
      </c>
      <c r="K336" s="1">
        <v>514</v>
      </c>
      <c r="M336" s="1" t="s">
        <v>707</v>
      </c>
      <c r="N336" s="2">
        <v>46211</v>
      </c>
      <c r="P336" s="1" t="s">
        <v>67</v>
      </c>
      <c r="Q336" s="1" t="s">
        <v>55</v>
      </c>
      <c r="R336" s="1" t="s">
        <v>593</v>
      </c>
      <c r="S336" s="2">
        <v>46206</v>
      </c>
      <c r="T336" s="2">
        <v>46206</v>
      </c>
      <c r="AB336" s="1">
        <v>0</v>
      </c>
      <c r="AC336" s="1">
        <v>0</v>
      </c>
      <c r="AD336" s="1">
        <v>0</v>
      </c>
      <c r="AE336" s="1">
        <v>0</v>
      </c>
      <c r="AF336" s="1">
        <v>1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1</v>
      </c>
      <c r="AM336" s="1">
        <v>0</v>
      </c>
    </row>
    <row r="337" spans="1:39" x14ac:dyDescent="0.25">
      <c r="A337" s="1">
        <v>516</v>
      </c>
      <c r="B337" s="1" t="s">
        <v>723</v>
      </c>
      <c r="C337" s="1" t="s">
        <v>595</v>
      </c>
      <c r="D337" s="1" t="s">
        <v>724</v>
      </c>
      <c r="E337" s="1" t="s">
        <v>260</v>
      </c>
      <c r="F337" s="3">
        <v>46191</v>
      </c>
      <c r="G337" s="3">
        <v>46204</v>
      </c>
      <c r="H337" s="4">
        <v>0.7</v>
      </c>
      <c r="J337" s="1" t="s">
        <v>41</v>
      </c>
      <c r="M337" s="1" t="s">
        <v>342</v>
      </c>
      <c r="N337" s="2">
        <v>46211</v>
      </c>
      <c r="P337" s="1" t="s">
        <v>73</v>
      </c>
      <c r="Q337" s="1" t="s">
        <v>55</v>
      </c>
      <c r="R337" s="1" t="s">
        <v>593</v>
      </c>
      <c r="S337" s="2">
        <v>46189</v>
      </c>
      <c r="T337" s="2">
        <v>46206</v>
      </c>
      <c r="AB337" s="1">
        <v>0.7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</row>
    <row r="338" spans="1:39" x14ac:dyDescent="0.25">
      <c r="A338" s="1">
        <v>517</v>
      </c>
      <c r="B338" s="1" t="s">
        <v>725</v>
      </c>
      <c r="C338" s="1" t="s">
        <v>726</v>
      </c>
      <c r="D338" s="1" t="s">
        <v>101</v>
      </c>
      <c r="E338" s="1" t="s">
        <v>701</v>
      </c>
      <c r="F338" s="3">
        <v>46191</v>
      </c>
      <c r="G338" s="3">
        <v>46199</v>
      </c>
      <c r="H338" s="4">
        <v>1</v>
      </c>
      <c r="I338" s="3">
        <v>46199</v>
      </c>
      <c r="J338" s="1" t="s">
        <v>53</v>
      </c>
      <c r="K338" s="1" t="s">
        <v>712</v>
      </c>
      <c r="L338" s="1">
        <v>518</v>
      </c>
      <c r="M338" s="1" t="s">
        <v>342</v>
      </c>
      <c r="N338" s="2">
        <v>46205</v>
      </c>
      <c r="P338" s="1" t="s">
        <v>73</v>
      </c>
      <c r="Q338" s="1" t="s">
        <v>55</v>
      </c>
      <c r="R338" s="1" t="s">
        <v>593</v>
      </c>
      <c r="S338" s="2">
        <v>46189</v>
      </c>
      <c r="T338" s="2">
        <v>46202</v>
      </c>
      <c r="AB338" s="1">
        <v>1</v>
      </c>
      <c r="AC338" s="1">
        <v>1</v>
      </c>
      <c r="AD338" s="1">
        <v>1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1</v>
      </c>
    </row>
    <row r="339" spans="1:39" x14ac:dyDescent="0.25">
      <c r="A339" s="1">
        <v>518</v>
      </c>
      <c r="B339" s="1" t="s">
        <v>727</v>
      </c>
      <c r="C339" s="1" t="s">
        <v>726</v>
      </c>
      <c r="D339" s="1" t="s">
        <v>105</v>
      </c>
      <c r="E339" s="1" t="s">
        <v>52</v>
      </c>
      <c r="F339" s="3">
        <v>46202</v>
      </c>
      <c r="G339" s="3">
        <v>46202</v>
      </c>
      <c r="H339" s="4">
        <v>0</v>
      </c>
      <c r="J339" s="1" t="s">
        <v>41</v>
      </c>
      <c r="K339" s="1">
        <v>517</v>
      </c>
      <c r="L339" s="1">
        <v>519</v>
      </c>
      <c r="M339" s="1" t="s">
        <v>166</v>
      </c>
      <c r="N339" s="2">
        <v>46206</v>
      </c>
      <c r="P339" s="1" t="s">
        <v>146</v>
      </c>
      <c r="Q339" s="1" t="s">
        <v>55</v>
      </c>
      <c r="R339" s="1" t="s">
        <v>593</v>
      </c>
      <c r="S339" s="2">
        <v>46203</v>
      </c>
      <c r="T339" s="2">
        <v>46203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1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</row>
    <row r="340" spans="1:39" x14ac:dyDescent="0.25">
      <c r="A340" s="1">
        <v>519</v>
      </c>
      <c r="B340" s="1" t="s">
        <v>728</v>
      </c>
      <c r="C340" s="1" t="s">
        <v>726</v>
      </c>
      <c r="D340" s="1" t="s">
        <v>109</v>
      </c>
      <c r="E340" s="1" t="s">
        <v>52</v>
      </c>
      <c r="F340" s="3">
        <v>46203</v>
      </c>
      <c r="G340" s="3">
        <v>46203</v>
      </c>
      <c r="H340" s="4">
        <v>0</v>
      </c>
      <c r="J340" s="1" t="s">
        <v>41</v>
      </c>
      <c r="K340" s="1">
        <v>518</v>
      </c>
      <c r="L340" s="1">
        <v>520</v>
      </c>
      <c r="M340" s="1" t="s">
        <v>705</v>
      </c>
      <c r="N340" s="2">
        <v>46210</v>
      </c>
      <c r="P340" s="1" t="s">
        <v>67</v>
      </c>
      <c r="Q340" s="1" t="s">
        <v>55</v>
      </c>
      <c r="R340" s="1" t="s">
        <v>593</v>
      </c>
      <c r="S340" s="2">
        <v>46204</v>
      </c>
      <c r="T340" s="2">
        <v>46205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1</v>
      </c>
      <c r="AK340" s="1">
        <v>0</v>
      </c>
      <c r="AL340" s="1">
        <v>0</v>
      </c>
      <c r="AM340" s="1">
        <v>0</v>
      </c>
    </row>
    <row r="341" spans="1:39" x14ac:dyDescent="0.25">
      <c r="A341" s="1">
        <v>520</v>
      </c>
      <c r="B341" s="1" t="s">
        <v>729</v>
      </c>
      <c r="C341" s="1" t="s">
        <v>726</v>
      </c>
      <c r="D341" s="1" t="s">
        <v>115</v>
      </c>
      <c r="E341" s="1" t="s">
        <v>52</v>
      </c>
      <c r="F341" s="3">
        <v>46204</v>
      </c>
      <c r="G341" s="3">
        <v>46204</v>
      </c>
      <c r="H341" s="4">
        <v>0</v>
      </c>
      <c r="J341" s="1" t="s">
        <v>41</v>
      </c>
      <c r="K341" s="1">
        <v>519</v>
      </c>
      <c r="M341" s="1" t="s">
        <v>707</v>
      </c>
      <c r="N341" s="2">
        <v>46211</v>
      </c>
      <c r="P341" s="1" t="s">
        <v>67</v>
      </c>
      <c r="Q341" s="1" t="s">
        <v>55</v>
      </c>
      <c r="R341" s="1" t="s">
        <v>593</v>
      </c>
      <c r="S341" s="2">
        <v>46206</v>
      </c>
      <c r="T341" s="2">
        <v>46206</v>
      </c>
      <c r="AB341" s="1">
        <v>0</v>
      </c>
      <c r="AC341" s="1">
        <v>0</v>
      </c>
      <c r="AD341" s="1">
        <v>0</v>
      </c>
      <c r="AE341" s="1">
        <v>0</v>
      </c>
      <c r="AF341" s="1">
        <v>1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1</v>
      </c>
      <c r="AM341" s="1">
        <v>0</v>
      </c>
    </row>
    <row r="342" spans="1:39" x14ac:dyDescent="0.25">
      <c r="A342" s="1">
        <v>521</v>
      </c>
      <c r="B342" s="1" t="s">
        <v>730</v>
      </c>
      <c r="C342" s="1" t="s">
        <v>595</v>
      </c>
      <c r="D342" s="1" t="s">
        <v>731</v>
      </c>
      <c r="E342" s="1" t="s">
        <v>260</v>
      </c>
      <c r="F342" s="3">
        <v>46191</v>
      </c>
      <c r="G342" s="3">
        <v>46204</v>
      </c>
      <c r="H342" s="4">
        <v>0.75</v>
      </c>
      <c r="J342" s="1" t="s">
        <v>41</v>
      </c>
      <c r="M342" s="1" t="s">
        <v>342</v>
      </c>
      <c r="N342" s="2">
        <v>46211</v>
      </c>
      <c r="P342" s="1" t="s">
        <v>73</v>
      </c>
      <c r="Q342" s="1" t="s">
        <v>55</v>
      </c>
      <c r="R342" s="1" t="s">
        <v>593</v>
      </c>
      <c r="S342" s="2">
        <v>46189</v>
      </c>
      <c r="T342" s="2">
        <v>46206</v>
      </c>
      <c r="AB342" s="1">
        <v>0.75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</row>
    <row r="343" spans="1:39" x14ac:dyDescent="0.25">
      <c r="A343" s="1">
        <v>522</v>
      </c>
      <c r="B343" s="1" t="s">
        <v>732</v>
      </c>
      <c r="C343" s="1" t="s">
        <v>733</v>
      </c>
      <c r="D343" s="1" t="s">
        <v>101</v>
      </c>
      <c r="E343" s="1" t="s">
        <v>701</v>
      </c>
      <c r="F343" s="3">
        <v>46191</v>
      </c>
      <c r="G343" s="3">
        <v>46199</v>
      </c>
      <c r="H343" s="4">
        <v>1</v>
      </c>
      <c r="I343" s="3">
        <v>46199</v>
      </c>
      <c r="J343" s="1" t="s">
        <v>53</v>
      </c>
      <c r="K343" s="1" t="s">
        <v>712</v>
      </c>
      <c r="L343" s="1">
        <v>523</v>
      </c>
      <c r="M343" s="1" t="s">
        <v>342</v>
      </c>
      <c r="N343" s="2">
        <v>46205</v>
      </c>
      <c r="P343" s="1" t="s">
        <v>73</v>
      </c>
      <c r="Q343" s="1" t="s">
        <v>55</v>
      </c>
      <c r="R343" s="1" t="s">
        <v>593</v>
      </c>
      <c r="S343" s="2">
        <v>46189</v>
      </c>
      <c r="T343" s="2">
        <v>46202</v>
      </c>
      <c r="AB343" s="1">
        <v>1</v>
      </c>
      <c r="AC343" s="1">
        <v>1</v>
      </c>
      <c r="AD343" s="1">
        <v>1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1</v>
      </c>
    </row>
    <row r="344" spans="1:39" x14ac:dyDescent="0.25">
      <c r="A344" s="1">
        <v>523</v>
      </c>
      <c r="B344" s="1" t="s">
        <v>734</v>
      </c>
      <c r="C344" s="1" t="s">
        <v>733</v>
      </c>
      <c r="D344" s="1" t="s">
        <v>105</v>
      </c>
      <c r="E344" s="1" t="s">
        <v>52</v>
      </c>
      <c r="F344" s="3">
        <v>46202</v>
      </c>
      <c r="G344" s="3">
        <v>46202</v>
      </c>
      <c r="H344" s="4">
        <v>0.5</v>
      </c>
      <c r="J344" s="1" t="s">
        <v>41</v>
      </c>
      <c r="K344" s="1">
        <v>522</v>
      </c>
      <c r="L344" s="1">
        <v>524</v>
      </c>
      <c r="M344" s="1" t="s">
        <v>166</v>
      </c>
      <c r="N344" s="2">
        <v>46206</v>
      </c>
      <c r="P344" s="1" t="s">
        <v>146</v>
      </c>
      <c r="Q344" s="1" t="s">
        <v>55</v>
      </c>
      <c r="R344" s="1" t="s">
        <v>593</v>
      </c>
      <c r="S344" s="2">
        <v>46203</v>
      </c>
      <c r="T344" s="2">
        <v>46203</v>
      </c>
      <c r="AB344" s="1">
        <v>0.5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1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</row>
    <row r="345" spans="1:39" x14ac:dyDescent="0.25">
      <c r="A345" s="1">
        <v>524</v>
      </c>
      <c r="B345" s="1" t="s">
        <v>735</v>
      </c>
      <c r="C345" s="1" t="s">
        <v>733</v>
      </c>
      <c r="D345" s="1" t="s">
        <v>109</v>
      </c>
      <c r="E345" s="1" t="s">
        <v>52</v>
      </c>
      <c r="F345" s="3">
        <v>46203</v>
      </c>
      <c r="G345" s="3">
        <v>46203</v>
      </c>
      <c r="H345" s="4">
        <v>0</v>
      </c>
      <c r="J345" s="1" t="s">
        <v>41</v>
      </c>
      <c r="K345" s="1">
        <v>523</v>
      </c>
      <c r="L345" s="1">
        <v>525</v>
      </c>
      <c r="M345" s="1" t="s">
        <v>705</v>
      </c>
      <c r="N345" s="2">
        <v>46210</v>
      </c>
      <c r="P345" s="1" t="s">
        <v>67</v>
      </c>
      <c r="Q345" s="1" t="s">
        <v>55</v>
      </c>
      <c r="R345" s="1" t="s">
        <v>593</v>
      </c>
      <c r="S345" s="2">
        <v>46204</v>
      </c>
      <c r="T345" s="2">
        <v>46205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1</v>
      </c>
      <c r="AK345" s="1">
        <v>0</v>
      </c>
      <c r="AL345" s="1">
        <v>0</v>
      </c>
      <c r="AM345" s="1">
        <v>0</v>
      </c>
    </row>
    <row r="346" spans="1:39" x14ac:dyDescent="0.25">
      <c r="A346" s="1">
        <v>525</v>
      </c>
      <c r="B346" s="1" t="s">
        <v>736</v>
      </c>
      <c r="C346" s="1" t="s">
        <v>733</v>
      </c>
      <c r="D346" s="1" t="s">
        <v>115</v>
      </c>
      <c r="E346" s="1" t="s">
        <v>52</v>
      </c>
      <c r="F346" s="3">
        <v>46204</v>
      </c>
      <c r="G346" s="3">
        <v>46204</v>
      </c>
      <c r="H346" s="4">
        <v>0</v>
      </c>
      <c r="J346" s="1" t="s">
        <v>41</v>
      </c>
      <c r="K346" s="1">
        <v>524</v>
      </c>
      <c r="M346" s="1" t="s">
        <v>707</v>
      </c>
      <c r="N346" s="2">
        <v>46211</v>
      </c>
      <c r="P346" s="1" t="s">
        <v>67</v>
      </c>
      <c r="Q346" s="1" t="s">
        <v>55</v>
      </c>
      <c r="R346" s="1" t="s">
        <v>593</v>
      </c>
      <c r="S346" s="2">
        <v>46206</v>
      </c>
      <c r="T346" s="2">
        <v>46206</v>
      </c>
      <c r="AB346" s="1">
        <v>0</v>
      </c>
      <c r="AC346" s="1">
        <v>0</v>
      </c>
      <c r="AD346" s="1">
        <v>0</v>
      </c>
      <c r="AE346" s="1">
        <v>0</v>
      </c>
      <c r="AF346" s="1">
        <v>1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1</v>
      </c>
      <c r="AM346" s="1">
        <v>0</v>
      </c>
    </row>
    <row r="347" spans="1:39" x14ac:dyDescent="0.25">
      <c r="A347" s="1">
        <v>526</v>
      </c>
      <c r="B347" s="1" t="s">
        <v>737</v>
      </c>
      <c r="C347" s="1" t="s">
        <v>595</v>
      </c>
      <c r="D347" s="1" t="s">
        <v>738</v>
      </c>
      <c r="E347" s="1" t="s">
        <v>260</v>
      </c>
      <c r="F347" s="3">
        <v>46191</v>
      </c>
      <c r="G347" s="3">
        <v>46204</v>
      </c>
      <c r="H347" s="4">
        <v>0.75</v>
      </c>
      <c r="J347" s="1" t="s">
        <v>41</v>
      </c>
      <c r="M347" s="1" t="s">
        <v>342</v>
      </c>
      <c r="N347" s="2">
        <v>46211</v>
      </c>
      <c r="P347" s="1" t="s">
        <v>73</v>
      </c>
      <c r="Q347" s="1" t="s">
        <v>55</v>
      </c>
      <c r="R347" s="1" t="s">
        <v>593</v>
      </c>
      <c r="S347" s="2">
        <v>46189</v>
      </c>
      <c r="T347" s="2">
        <v>46206</v>
      </c>
      <c r="AB347" s="1">
        <v>0.75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</row>
    <row r="348" spans="1:39" x14ac:dyDescent="0.25">
      <c r="A348" s="1">
        <v>527</v>
      </c>
      <c r="B348" s="1" t="s">
        <v>739</v>
      </c>
      <c r="C348" s="1" t="s">
        <v>740</v>
      </c>
      <c r="D348" s="1" t="s">
        <v>101</v>
      </c>
      <c r="E348" s="1" t="s">
        <v>701</v>
      </c>
      <c r="F348" s="3">
        <v>46191</v>
      </c>
      <c r="G348" s="3">
        <v>46199</v>
      </c>
      <c r="H348" s="4">
        <v>1</v>
      </c>
      <c r="I348" s="3">
        <v>46199</v>
      </c>
      <c r="J348" s="1" t="s">
        <v>53</v>
      </c>
      <c r="K348" s="1" t="s">
        <v>712</v>
      </c>
      <c r="L348" s="1">
        <v>528</v>
      </c>
      <c r="M348" s="1" t="s">
        <v>342</v>
      </c>
      <c r="N348" s="2">
        <v>46205</v>
      </c>
      <c r="P348" s="1" t="s">
        <v>73</v>
      </c>
      <c r="Q348" s="1" t="s">
        <v>55</v>
      </c>
      <c r="R348" s="1" t="s">
        <v>593</v>
      </c>
      <c r="S348" s="2">
        <v>46189</v>
      </c>
      <c r="T348" s="2">
        <v>46202</v>
      </c>
      <c r="AB348" s="1">
        <v>1</v>
      </c>
      <c r="AC348" s="1">
        <v>1</v>
      </c>
      <c r="AD348" s="1">
        <v>1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1</v>
      </c>
    </row>
    <row r="349" spans="1:39" x14ac:dyDescent="0.25">
      <c r="A349" s="1">
        <v>528</v>
      </c>
      <c r="B349" s="1" t="s">
        <v>741</v>
      </c>
      <c r="C349" s="1" t="s">
        <v>740</v>
      </c>
      <c r="D349" s="1" t="s">
        <v>105</v>
      </c>
      <c r="E349" s="1" t="s">
        <v>52</v>
      </c>
      <c r="F349" s="3">
        <v>46202</v>
      </c>
      <c r="G349" s="3">
        <v>46202</v>
      </c>
      <c r="H349" s="4">
        <v>0.5</v>
      </c>
      <c r="J349" s="1" t="s">
        <v>41</v>
      </c>
      <c r="K349" s="1">
        <v>527</v>
      </c>
      <c r="L349" s="1">
        <v>529</v>
      </c>
      <c r="M349" s="1" t="s">
        <v>166</v>
      </c>
      <c r="N349" s="2">
        <v>46206</v>
      </c>
      <c r="P349" s="1" t="s">
        <v>146</v>
      </c>
      <c r="Q349" s="1" t="s">
        <v>55</v>
      </c>
      <c r="R349" s="1" t="s">
        <v>593</v>
      </c>
      <c r="S349" s="2">
        <v>46203</v>
      </c>
      <c r="T349" s="2">
        <v>46203</v>
      </c>
      <c r="AB349" s="1">
        <v>0.5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1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</row>
    <row r="350" spans="1:39" x14ac:dyDescent="0.25">
      <c r="A350" s="1">
        <v>529</v>
      </c>
      <c r="B350" s="1" t="s">
        <v>742</v>
      </c>
      <c r="C350" s="1" t="s">
        <v>740</v>
      </c>
      <c r="D350" s="1" t="s">
        <v>109</v>
      </c>
      <c r="E350" s="1" t="s">
        <v>52</v>
      </c>
      <c r="F350" s="3">
        <v>46203</v>
      </c>
      <c r="G350" s="3">
        <v>46203</v>
      </c>
      <c r="H350" s="4">
        <v>0</v>
      </c>
      <c r="J350" s="1" t="s">
        <v>41</v>
      </c>
      <c r="K350" s="1">
        <v>528</v>
      </c>
      <c r="L350" s="1">
        <v>530</v>
      </c>
      <c r="M350" s="1" t="s">
        <v>705</v>
      </c>
      <c r="N350" s="2">
        <v>46210</v>
      </c>
      <c r="P350" s="1" t="s">
        <v>67</v>
      </c>
      <c r="Q350" s="1" t="s">
        <v>55</v>
      </c>
      <c r="R350" s="1" t="s">
        <v>593</v>
      </c>
      <c r="S350" s="2">
        <v>46204</v>
      </c>
      <c r="T350" s="2">
        <v>46205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1</v>
      </c>
      <c r="AK350" s="1">
        <v>0</v>
      </c>
      <c r="AL350" s="1">
        <v>0</v>
      </c>
      <c r="AM350" s="1">
        <v>0</v>
      </c>
    </row>
    <row r="351" spans="1:39" x14ac:dyDescent="0.25">
      <c r="A351" s="1">
        <v>530</v>
      </c>
      <c r="B351" s="1" t="s">
        <v>743</v>
      </c>
      <c r="C351" s="1" t="s">
        <v>740</v>
      </c>
      <c r="D351" s="1" t="s">
        <v>115</v>
      </c>
      <c r="E351" s="1" t="s">
        <v>52</v>
      </c>
      <c r="F351" s="3">
        <v>46204</v>
      </c>
      <c r="G351" s="3">
        <v>46204</v>
      </c>
      <c r="H351" s="4">
        <v>0</v>
      </c>
      <c r="J351" s="1" t="s">
        <v>41</v>
      </c>
      <c r="K351" s="1">
        <v>529</v>
      </c>
      <c r="M351" s="1" t="s">
        <v>707</v>
      </c>
      <c r="N351" s="2">
        <v>46211</v>
      </c>
      <c r="P351" s="1" t="s">
        <v>67</v>
      </c>
      <c r="Q351" s="1" t="s">
        <v>55</v>
      </c>
      <c r="R351" s="1" t="s">
        <v>593</v>
      </c>
      <c r="S351" s="2">
        <v>46206</v>
      </c>
      <c r="T351" s="2">
        <v>46206</v>
      </c>
      <c r="AB351" s="1">
        <v>0</v>
      </c>
      <c r="AC351" s="1">
        <v>0</v>
      </c>
      <c r="AD351" s="1">
        <v>0</v>
      </c>
      <c r="AE351" s="1">
        <v>0</v>
      </c>
      <c r="AF351" s="1">
        <v>1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1</v>
      </c>
      <c r="AM351" s="1">
        <v>0</v>
      </c>
    </row>
    <row r="352" spans="1:39" x14ac:dyDescent="0.25">
      <c r="A352" s="1">
        <v>531</v>
      </c>
      <c r="B352" s="1" t="s">
        <v>744</v>
      </c>
      <c r="C352" s="1" t="s">
        <v>595</v>
      </c>
      <c r="D352" s="1" t="s">
        <v>745</v>
      </c>
      <c r="E352" s="1" t="s">
        <v>260</v>
      </c>
      <c r="F352" s="3">
        <v>46191</v>
      </c>
      <c r="G352" s="3">
        <v>46204</v>
      </c>
      <c r="H352" s="4">
        <v>0.75</v>
      </c>
      <c r="J352" s="1" t="s">
        <v>41</v>
      </c>
      <c r="M352" s="1" t="s">
        <v>342</v>
      </c>
      <c r="N352" s="2">
        <v>46211</v>
      </c>
      <c r="P352" s="1" t="s">
        <v>73</v>
      </c>
      <c r="Q352" s="1" t="s">
        <v>55</v>
      </c>
      <c r="R352" s="1" t="s">
        <v>593</v>
      </c>
      <c r="S352" s="2">
        <v>46189</v>
      </c>
      <c r="T352" s="2">
        <v>46206</v>
      </c>
      <c r="AB352" s="1">
        <v>0.75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</row>
    <row r="353" spans="1:39" x14ac:dyDescent="0.25">
      <c r="A353" s="1">
        <v>532</v>
      </c>
      <c r="B353" s="1" t="s">
        <v>746</v>
      </c>
      <c r="C353" s="1" t="s">
        <v>747</v>
      </c>
      <c r="D353" s="1" t="s">
        <v>101</v>
      </c>
      <c r="E353" s="1" t="s">
        <v>701</v>
      </c>
      <c r="F353" s="3">
        <v>46191</v>
      </c>
      <c r="G353" s="3">
        <v>46199</v>
      </c>
      <c r="H353" s="4">
        <v>1</v>
      </c>
      <c r="I353" s="3">
        <v>46199</v>
      </c>
      <c r="J353" s="1" t="s">
        <v>53</v>
      </c>
      <c r="K353" s="1" t="s">
        <v>712</v>
      </c>
      <c r="L353" s="1">
        <v>533</v>
      </c>
      <c r="M353" s="1" t="s">
        <v>342</v>
      </c>
      <c r="N353" s="2">
        <v>46205</v>
      </c>
      <c r="P353" s="1" t="s">
        <v>73</v>
      </c>
      <c r="Q353" s="1" t="s">
        <v>55</v>
      </c>
      <c r="R353" s="1" t="s">
        <v>593</v>
      </c>
      <c r="S353" s="2">
        <v>46189</v>
      </c>
      <c r="T353" s="2">
        <v>46202</v>
      </c>
      <c r="AB353" s="1">
        <v>1</v>
      </c>
      <c r="AC353" s="1">
        <v>1</v>
      </c>
      <c r="AD353" s="1">
        <v>1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1</v>
      </c>
    </row>
    <row r="354" spans="1:39" x14ac:dyDescent="0.25">
      <c r="A354" s="1">
        <v>533</v>
      </c>
      <c r="B354" s="1" t="s">
        <v>748</v>
      </c>
      <c r="C354" s="1" t="s">
        <v>747</v>
      </c>
      <c r="D354" s="1" t="s">
        <v>105</v>
      </c>
      <c r="E354" s="1" t="s">
        <v>52</v>
      </c>
      <c r="F354" s="3">
        <v>46202</v>
      </c>
      <c r="G354" s="3">
        <v>46202</v>
      </c>
      <c r="H354" s="4">
        <v>0.5</v>
      </c>
      <c r="J354" s="1" t="s">
        <v>41</v>
      </c>
      <c r="K354" s="1">
        <v>532</v>
      </c>
      <c r="L354" s="1">
        <v>534</v>
      </c>
      <c r="M354" s="1" t="s">
        <v>166</v>
      </c>
      <c r="N354" s="2">
        <v>46206</v>
      </c>
      <c r="P354" s="1" t="s">
        <v>146</v>
      </c>
      <c r="Q354" s="1" t="s">
        <v>55</v>
      </c>
      <c r="R354" s="1" t="s">
        <v>593</v>
      </c>
      <c r="S354" s="2">
        <v>46203</v>
      </c>
      <c r="T354" s="2">
        <v>46203</v>
      </c>
      <c r="AB354" s="1">
        <v>0.5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1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</row>
    <row r="355" spans="1:39" x14ac:dyDescent="0.25">
      <c r="A355" s="1">
        <v>534</v>
      </c>
      <c r="B355" s="1" t="s">
        <v>749</v>
      </c>
      <c r="C355" s="1" t="s">
        <v>747</v>
      </c>
      <c r="D355" s="1" t="s">
        <v>109</v>
      </c>
      <c r="E355" s="1" t="s">
        <v>52</v>
      </c>
      <c r="F355" s="3">
        <v>46203</v>
      </c>
      <c r="G355" s="3">
        <v>46203</v>
      </c>
      <c r="H355" s="4">
        <v>0</v>
      </c>
      <c r="J355" s="1" t="s">
        <v>41</v>
      </c>
      <c r="K355" s="1">
        <v>533</v>
      </c>
      <c r="L355" s="1">
        <v>535</v>
      </c>
      <c r="M355" s="1" t="s">
        <v>705</v>
      </c>
      <c r="N355" s="2">
        <v>46210</v>
      </c>
      <c r="P355" s="1" t="s">
        <v>67</v>
      </c>
      <c r="Q355" s="1" t="s">
        <v>55</v>
      </c>
      <c r="R355" s="1" t="s">
        <v>593</v>
      </c>
      <c r="S355" s="2">
        <v>46204</v>
      </c>
      <c r="T355" s="2">
        <v>46205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1</v>
      </c>
      <c r="AK355" s="1">
        <v>0</v>
      </c>
      <c r="AL355" s="1">
        <v>0</v>
      </c>
      <c r="AM355" s="1">
        <v>0</v>
      </c>
    </row>
    <row r="356" spans="1:39" x14ac:dyDescent="0.25">
      <c r="A356" s="1">
        <v>535</v>
      </c>
      <c r="B356" s="1" t="s">
        <v>750</v>
      </c>
      <c r="C356" s="1" t="s">
        <v>747</v>
      </c>
      <c r="D356" s="1" t="s">
        <v>115</v>
      </c>
      <c r="E356" s="1" t="s">
        <v>52</v>
      </c>
      <c r="F356" s="3">
        <v>46204</v>
      </c>
      <c r="G356" s="3">
        <v>46204</v>
      </c>
      <c r="H356" s="4">
        <v>0</v>
      </c>
      <c r="J356" s="1" t="s">
        <v>41</v>
      </c>
      <c r="K356" s="1">
        <v>534</v>
      </c>
      <c r="M356" s="1" t="s">
        <v>707</v>
      </c>
      <c r="N356" s="2">
        <v>46211</v>
      </c>
      <c r="P356" s="1" t="s">
        <v>67</v>
      </c>
      <c r="Q356" s="1" t="s">
        <v>55</v>
      </c>
      <c r="R356" s="1" t="s">
        <v>593</v>
      </c>
      <c r="S356" s="2">
        <v>46206</v>
      </c>
      <c r="T356" s="2">
        <v>46206</v>
      </c>
      <c r="AB356" s="1">
        <v>0</v>
      </c>
      <c r="AC356" s="1">
        <v>0</v>
      </c>
      <c r="AD356" s="1">
        <v>0</v>
      </c>
      <c r="AE356" s="1">
        <v>0</v>
      </c>
      <c r="AF356" s="1">
        <v>1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1</v>
      </c>
      <c r="AM356" s="1">
        <v>0</v>
      </c>
    </row>
    <row r="357" spans="1:39" x14ac:dyDescent="0.25">
      <c r="A357" s="1">
        <v>536</v>
      </c>
      <c r="B357" s="1" t="s">
        <v>751</v>
      </c>
      <c r="C357" s="1" t="s">
        <v>595</v>
      </c>
      <c r="D357" s="1" t="s">
        <v>752</v>
      </c>
      <c r="E357" s="1" t="s">
        <v>260</v>
      </c>
      <c r="F357" s="3">
        <v>46191</v>
      </c>
      <c r="G357" s="3">
        <v>46204</v>
      </c>
      <c r="H357" s="4">
        <v>0.75</v>
      </c>
      <c r="J357" s="1" t="s">
        <v>41</v>
      </c>
      <c r="M357" s="1" t="s">
        <v>342</v>
      </c>
      <c r="N357" s="2">
        <v>46211</v>
      </c>
      <c r="P357" s="1" t="s">
        <v>73</v>
      </c>
      <c r="Q357" s="1" t="s">
        <v>55</v>
      </c>
      <c r="R357" s="1" t="s">
        <v>593</v>
      </c>
      <c r="S357" s="2">
        <v>46189</v>
      </c>
      <c r="T357" s="2">
        <v>46206</v>
      </c>
      <c r="AB357" s="1">
        <v>0.75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</row>
    <row r="358" spans="1:39" x14ac:dyDescent="0.25">
      <c r="A358" s="1">
        <v>537</v>
      </c>
      <c r="B358" s="1" t="s">
        <v>753</v>
      </c>
      <c r="C358" s="1" t="s">
        <v>754</v>
      </c>
      <c r="D358" s="1" t="s">
        <v>101</v>
      </c>
      <c r="E358" s="1" t="s">
        <v>701</v>
      </c>
      <c r="F358" s="3">
        <v>46191</v>
      </c>
      <c r="G358" s="3">
        <v>46199</v>
      </c>
      <c r="H358" s="4">
        <v>1</v>
      </c>
      <c r="I358" s="3">
        <v>46199</v>
      </c>
      <c r="J358" s="1" t="s">
        <v>53</v>
      </c>
      <c r="K358" s="1" t="s">
        <v>712</v>
      </c>
      <c r="L358" s="1">
        <v>538</v>
      </c>
      <c r="M358" s="1" t="s">
        <v>342</v>
      </c>
      <c r="N358" s="2">
        <v>46205</v>
      </c>
      <c r="P358" s="1" t="s">
        <v>73</v>
      </c>
      <c r="Q358" s="1" t="s">
        <v>55</v>
      </c>
      <c r="R358" s="1" t="s">
        <v>593</v>
      </c>
      <c r="S358" s="2">
        <v>46189</v>
      </c>
      <c r="T358" s="2">
        <v>46202</v>
      </c>
      <c r="AB358" s="1">
        <v>1</v>
      </c>
      <c r="AC358" s="1">
        <v>1</v>
      </c>
      <c r="AD358" s="1">
        <v>1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1</v>
      </c>
    </row>
    <row r="359" spans="1:39" x14ac:dyDescent="0.25">
      <c r="A359" s="1">
        <v>538</v>
      </c>
      <c r="B359" s="1" t="s">
        <v>755</v>
      </c>
      <c r="C359" s="1" t="s">
        <v>754</v>
      </c>
      <c r="D359" s="1" t="s">
        <v>105</v>
      </c>
      <c r="E359" s="1" t="s">
        <v>52</v>
      </c>
      <c r="F359" s="3">
        <v>46202</v>
      </c>
      <c r="G359" s="3">
        <v>46202</v>
      </c>
      <c r="H359" s="4">
        <v>0.5</v>
      </c>
      <c r="J359" s="1" t="s">
        <v>41</v>
      </c>
      <c r="K359" s="1">
        <v>537</v>
      </c>
      <c r="L359" s="1">
        <v>539</v>
      </c>
      <c r="M359" s="1" t="s">
        <v>166</v>
      </c>
      <c r="N359" s="2">
        <v>46206</v>
      </c>
      <c r="P359" s="1" t="s">
        <v>146</v>
      </c>
      <c r="Q359" s="1" t="s">
        <v>55</v>
      </c>
      <c r="R359" s="1" t="s">
        <v>593</v>
      </c>
      <c r="S359" s="2">
        <v>46203</v>
      </c>
      <c r="T359" s="2">
        <v>46203</v>
      </c>
      <c r="AB359" s="1">
        <v>0.5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1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</row>
    <row r="360" spans="1:39" x14ac:dyDescent="0.25">
      <c r="A360" s="1">
        <v>539</v>
      </c>
      <c r="B360" s="1" t="s">
        <v>756</v>
      </c>
      <c r="C360" s="1" t="s">
        <v>754</v>
      </c>
      <c r="D360" s="1" t="s">
        <v>109</v>
      </c>
      <c r="E360" s="1" t="s">
        <v>52</v>
      </c>
      <c r="F360" s="3">
        <v>46203</v>
      </c>
      <c r="G360" s="3">
        <v>46203</v>
      </c>
      <c r="H360" s="4">
        <v>0</v>
      </c>
      <c r="J360" s="1" t="s">
        <v>41</v>
      </c>
      <c r="K360" s="1">
        <v>538</v>
      </c>
      <c r="L360" s="1">
        <v>540</v>
      </c>
      <c r="M360" s="1" t="s">
        <v>705</v>
      </c>
      <c r="N360" s="2">
        <v>46210</v>
      </c>
      <c r="P360" s="1" t="s">
        <v>67</v>
      </c>
      <c r="Q360" s="1" t="s">
        <v>55</v>
      </c>
      <c r="R360" s="1" t="s">
        <v>593</v>
      </c>
      <c r="S360" s="2">
        <v>46204</v>
      </c>
      <c r="T360" s="2">
        <v>46205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1</v>
      </c>
      <c r="AK360" s="1">
        <v>0</v>
      </c>
      <c r="AL360" s="1">
        <v>0</v>
      </c>
      <c r="AM360" s="1">
        <v>0</v>
      </c>
    </row>
    <row r="361" spans="1:39" x14ac:dyDescent="0.25">
      <c r="A361" s="1">
        <v>540</v>
      </c>
      <c r="B361" s="1" t="s">
        <v>757</v>
      </c>
      <c r="C361" s="1" t="s">
        <v>754</v>
      </c>
      <c r="D361" s="1" t="s">
        <v>115</v>
      </c>
      <c r="E361" s="1" t="s">
        <v>52</v>
      </c>
      <c r="F361" s="3">
        <v>46204</v>
      </c>
      <c r="G361" s="3">
        <v>46204</v>
      </c>
      <c r="H361" s="4">
        <v>0</v>
      </c>
      <c r="J361" s="1" t="s">
        <v>41</v>
      </c>
      <c r="K361" s="1">
        <v>539</v>
      </c>
      <c r="M361" s="1" t="s">
        <v>707</v>
      </c>
      <c r="N361" s="2">
        <v>46211</v>
      </c>
      <c r="P361" s="1" t="s">
        <v>67</v>
      </c>
      <c r="Q361" s="1" t="s">
        <v>55</v>
      </c>
      <c r="R361" s="1" t="s">
        <v>593</v>
      </c>
      <c r="S361" s="2">
        <v>46206</v>
      </c>
      <c r="T361" s="2">
        <v>46206</v>
      </c>
      <c r="AB361" s="1">
        <v>0</v>
      </c>
      <c r="AC361" s="1">
        <v>0</v>
      </c>
      <c r="AD361" s="1">
        <v>0</v>
      </c>
      <c r="AE361" s="1">
        <v>0</v>
      </c>
      <c r="AF361" s="1">
        <v>1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1</v>
      </c>
      <c r="AM361" s="1">
        <v>0</v>
      </c>
    </row>
    <row r="362" spans="1:39" x14ac:dyDescent="0.25">
      <c r="A362" s="1">
        <v>541</v>
      </c>
      <c r="B362" s="1" t="s">
        <v>758</v>
      </c>
      <c r="C362" s="1" t="s">
        <v>595</v>
      </c>
      <c r="D362" s="1" t="s">
        <v>759</v>
      </c>
      <c r="E362" s="1" t="s">
        <v>260</v>
      </c>
      <c r="F362" s="3">
        <v>46191</v>
      </c>
      <c r="G362" s="3">
        <v>46204</v>
      </c>
      <c r="H362" s="4">
        <v>0.7</v>
      </c>
      <c r="J362" s="1" t="s">
        <v>41</v>
      </c>
      <c r="M362" s="1" t="s">
        <v>342</v>
      </c>
      <c r="N362" s="2">
        <v>46211</v>
      </c>
      <c r="P362" s="1" t="s">
        <v>73</v>
      </c>
      <c r="Q362" s="1" t="s">
        <v>55</v>
      </c>
      <c r="R362" s="1" t="s">
        <v>593</v>
      </c>
      <c r="S362" s="2">
        <v>46189</v>
      </c>
      <c r="T362" s="2">
        <v>46206</v>
      </c>
      <c r="AB362" s="1">
        <v>0.7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</row>
    <row r="363" spans="1:39" x14ac:dyDescent="0.25">
      <c r="A363" s="1">
        <v>542</v>
      </c>
      <c r="B363" s="1" t="s">
        <v>760</v>
      </c>
      <c r="C363" s="1" t="s">
        <v>761</v>
      </c>
      <c r="D363" s="1" t="s">
        <v>101</v>
      </c>
      <c r="E363" s="1" t="s">
        <v>701</v>
      </c>
      <c r="F363" s="3">
        <v>46191</v>
      </c>
      <c r="G363" s="3">
        <v>46199</v>
      </c>
      <c r="H363" s="4">
        <v>1</v>
      </c>
      <c r="I363" s="3">
        <v>46199</v>
      </c>
      <c r="J363" s="1" t="s">
        <v>53</v>
      </c>
      <c r="K363" s="1" t="s">
        <v>712</v>
      </c>
      <c r="L363" s="1">
        <v>543</v>
      </c>
      <c r="M363" s="1" t="s">
        <v>342</v>
      </c>
      <c r="N363" s="2">
        <v>46205</v>
      </c>
      <c r="P363" s="1" t="s">
        <v>73</v>
      </c>
      <c r="Q363" s="1" t="s">
        <v>55</v>
      </c>
      <c r="R363" s="1" t="s">
        <v>593</v>
      </c>
      <c r="S363" s="2">
        <v>46189</v>
      </c>
      <c r="T363" s="2">
        <v>46202</v>
      </c>
      <c r="AB363" s="1">
        <v>1</v>
      </c>
      <c r="AC363" s="1">
        <v>1</v>
      </c>
      <c r="AD363" s="1">
        <v>1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1</v>
      </c>
    </row>
    <row r="364" spans="1:39" x14ac:dyDescent="0.25">
      <c r="A364" s="1">
        <v>543</v>
      </c>
      <c r="B364" s="1" t="s">
        <v>762</v>
      </c>
      <c r="C364" s="1" t="s">
        <v>761</v>
      </c>
      <c r="D364" s="1" t="s">
        <v>105</v>
      </c>
      <c r="E364" s="1" t="s">
        <v>52</v>
      </c>
      <c r="F364" s="3">
        <v>46202</v>
      </c>
      <c r="G364" s="3">
        <v>46202</v>
      </c>
      <c r="H364" s="4">
        <v>0</v>
      </c>
      <c r="J364" s="1" t="s">
        <v>41</v>
      </c>
      <c r="K364" s="1">
        <v>542</v>
      </c>
      <c r="L364" s="1">
        <v>544</v>
      </c>
      <c r="M364" s="1" t="s">
        <v>166</v>
      </c>
      <c r="N364" s="2">
        <v>46206</v>
      </c>
      <c r="P364" s="1" t="s">
        <v>146</v>
      </c>
      <c r="Q364" s="1" t="s">
        <v>55</v>
      </c>
      <c r="R364" s="1" t="s">
        <v>593</v>
      </c>
      <c r="S364" s="2">
        <v>46203</v>
      </c>
      <c r="T364" s="2">
        <v>46203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1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</row>
    <row r="365" spans="1:39" x14ac:dyDescent="0.25">
      <c r="A365" s="1">
        <v>544</v>
      </c>
      <c r="B365" s="1" t="s">
        <v>763</v>
      </c>
      <c r="C365" s="1" t="s">
        <v>761</v>
      </c>
      <c r="D365" s="1" t="s">
        <v>109</v>
      </c>
      <c r="E365" s="1" t="s">
        <v>52</v>
      </c>
      <c r="F365" s="3">
        <v>46203</v>
      </c>
      <c r="G365" s="3">
        <v>46203</v>
      </c>
      <c r="H365" s="4">
        <v>0</v>
      </c>
      <c r="J365" s="1" t="s">
        <v>41</v>
      </c>
      <c r="K365" s="1">
        <v>543</v>
      </c>
      <c r="L365" s="1">
        <v>545</v>
      </c>
      <c r="M365" s="1" t="s">
        <v>705</v>
      </c>
      <c r="N365" s="2">
        <v>46210</v>
      </c>
      <c r="P365" s="1" t="s">
        <v>67</v>
      </c>
      <c r="Q365" s="1" t="s">
        <v>55</v>
      </c>
      <c r="R365" s="1" t="s">
        <v>593</v>
      </c>
      <c r="S365" s="2">
        <v>46204</v>
      </c>
      <c r="T365" s="2">
        <v>46205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1</v>
      </c>
      <c r="AK365" s="1">
        <v>0</v>
      </c>
      <c r="AL365" s="1">
        <v>0</v>
      </c>
      <c r="AM365" s="1">
        <v>0</v>
      </c>
    </row>
    <row r="366" spans="1:39" x14ac:dyDescent="0.25">
      <c r="A366" s="1">
        <v>545</v>
      </c>
      <c r="B366" s="1" t="s">
        <v>764</v>
      </c>
      <c r="C366" s="1" t="s">
        <v>761</v>
      </c>
      <c r="D366" s="1" t="s">
        <v>115</v>
      </c>
      <c r="E366" s="1" t="s">
        <v>52</v>
      </c>
      <c r="F366" s="3">
        <v>46204</v>
      </c>
      <c r="G366" s="3">
        <v>46204</v>
      </c>
      <c r="H366" s="4">
        <v>0</v>
      </c>
      <c r="J366" s="1" t="s">
        <v>41</v>
      </c>
      <c r="K366" s="1">
        <v>544</v>
      </c>
      <c r="M366" s="1" t="s">
        <v>707</v>
      </c>
      <c r="N366" s="2">
        <v>46211</v>
      </c>
      <c r="P366" s="1" t="s">
        <v>67</v>
      </c>
      <c r="Q366" s="1" t="s">
        <v>55</v>
      </c>
      <c r="R366" s="1" t="s">
        <v>593</v>
      </c>
      <c r="S366" s="2">
        <v>46206</v>
      </c>
      <c r="T366" s="2">
        <v>46206</v>
      </c>
      <c r="AB366" s="1">
        <v>0</v>
      </c>
      <c r="AC366" s="1">
        <v>0</v>
      </c>
      <c r="AD366" s="1">
        <v>0</v>
      </c>
      <c r="AE366" s="1">
        <v>0</v>
      </c>
      <c r="AF366" s="1">
        <v>1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1</v>
      </c>
      <c r="AM366" s="1">
        <v>0</v>
      </c>
    </row>
    <row r="367" spans="1:39" x14ac:dyDescent="0.25">
      <c r="A367" s="1">
        <v>546</v>
      </c>
      <c r="B367" s="1" t="s">
        <v>765</v>
      </c>
      <c r="C367" s="1" t="s">
        <v>595</v>
      </c>
      <c r="D367" s="1" t="s">
        <v>766</v>
      </c>
      <c r="E367" s="1" t="s">
        <v>260</v>
      </c>
      <c r="F367" s="3">
        <v>46195</v>
      </c>
      <c r="G367" s="3">
        <v>46206</v>
      </c>
      <c r="H367" s="4">
        <v>0.7</v>
      </c>
      <c r="J367" s="1" t="s">
        <v>41</v>
      </c>
      <c r="M367" s="1" t="s">
        <v>342</v>
      </c>
      <c r="N367" s="2">
        <v>46211</v>
      </c>
      <c r="P367" s="1" t="s">
        <v>73</v>
      </c>
      <c r="Q367" s="1" t="s">
        <v>55</v>
      </c>
      <c r="R367" s="1" t="s">
        <v>593</v>
      </c>
      <c r="S367" s="2">
        <v>46189</v>
      </c>
      <c r="T367" s="2">
        <v>46206</v>
      </c>
      <c r="AB367" s="1">
        <v>0.7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</row>
    <row r="368" spans="1:39" x14ac:dyDescent="0.25">
      <c r="A368" s="1">
        <v>547</v>
      </c>
      <c r="B368" s="1" t="s">
        <v>767</v>
      </c>
      <c r="C368" s="1" t="s">
        <v>768</v>
      </c>
      <c r="D368" s="1" t="s">
        <v>101</v>
      </c>
      <c r="E368" s="1" t="s">
        <v>701</v>
      </c>
      <c r="F368" s="3">
        <v>46195</v>
      </c>
      <c r="G368" s="3">
        <v>46203</v>
      </c>
      <c r="H368" s="4">
        <v>1</v>
      </c>
      <c r="I368" s="3">
        <v>46203</v>
      </c>
      <c r="J368" s="1" t="s">
        <v>53</v>
      </c>
      <c r="K368" s="1" t="s">
        <v>712</v>
      </c>
      <c r="L368" s="1">
        <v>548</v>
      </c>
      <c r="M368" s="1" t="s">
        <v>342</v>
      </c>
      <c r="N368" s="2">
        <v>46205</v>
      </c>
      <c r="P368" s="1" t="s">
        <v>73</v>
      </c>
      <c r="Q368" s="1" t="s">
        <v>55</v>
      </c>
      <c r="R368" s="1" t="s">
        <v>593</v>
      </c>
      <c r="S368" s="2">
        <v>46189</v>
      </c>
      <c r="T368" s="2">
        <v>46202</v>
      </c>
      <c r="AB368" s="1">
        <v>1</v>
      </c>
      <c r="AC368" s="1">
        <v>1</v>
      </c>
      <c r="AD368" s="1">
        <v>1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1</v>
      </c>
    </row>
    <row r="369" spans="1:39" x14ac:dyDescent="0.25">
      <c r="A369" s="1">
        <v>548</v>
      </c>
      <c r="B369" s="1" t="s">
        <v>769</v>
      </c>
      <c r="C369" s="1" t="s">
        <v>768</v>
      </c>
      <c r="D369" s="1" t="s">
        <v>105</v>
      </c>
      <c r="E369" s="1" t="s">
        <v>52</v>
      </c>
      <c r="F369" s="3">
        <v>46204</v>
      </c>
      <c r="G369" s="3">
        <v>46204</v>
      </c>
      <c r="H369" s="4">
        <v>0</v>
      </c>
      <c r="J369" s="1" t="s">
        <v>41</v>
      </c>
      <c r="K369" s="1">
        <v>547</v>
      </c>
      <c r="L369" s="1">
        <v>549</v>
      </c>
      <c r="M369" s="1" t="s">
        <v>166</v>
      </c>
      <c r="N369" s="2">
        <v>46206</v>
      </c>
      <c r="P369" s="1" t="s">
        <v>146</v>
      </c>
      <c r="Q369" s="1" t="s">
        <v>55</v>
      </c>
      <c r="R369" s="1" t="s">
        <v>593</v>
      </c>
      <c r="S369" s="2">
        <v>46203</v>
      </c>
      <c r="T369" s="2">
        <v>46203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1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</row>
    <row r="370" spans="1:39" x14ac:dyDescent="0.25">
      <c r="A370" s="1">
        <v>549</v>
      </c>
      <c r="B370" s="1" t="s">
        <v>770</v>
      </c>
      <c r="C370" s="1" t="s">
        <v>768</v>
      </c>
      <c r="D370" s="1" t="s">
        <v>109</v>
      </c>
      <c r="E370" s="1" t="s">
        <v>52</v>
      </c>
      <c r="F370" s="3">
        <v>46205</v>
      </c>
      <c r="G370" s="3">
        <v>46205</v>
      </c>
      <c r="H370" s="4">
        <v>0</v>
      </c>
      <c r="J370" s="1" t="s">
        <v>41</v>
      </c>
      <c r="K370" s="1">
        <v>548</v>
      </c>
      <c r="L370" s="1">
        <v>550</v>
      </c>
      <c r="M370" s="1" t="s">
        <v>705</v>
      </c>
      <c r="N370" s="2">
        <v>46210</v>
      </c>
      <c r="P370" s="1" t="s">
        <v>67</v>
      </c>
      <c r="Q370" s="1" t="s">
        <v>55</v>
      </c>
      <c r="R370" s="1" t="s">
        <v>593</v>
      </c>
      <c r="S370" s="2">
        <v>46204</v>
      </c>
      <c r="T370" s="2">
        <v>46205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1</v>
      </c>
      <c r="AK370" s="1">
        <v>0</v>
      </c>
      <c r="AL370" s="1">
        <v>0</v>
      </c>
      <c r="AM370" s="1">
        <v>0</v>
      </c>
    </row>
    <row r="371" spans="1:39" x14ac:dyDescent="0.25">
      <c r="A371" s="1">
        <v>550</v>
      </c>
      <c r="B371" s="1" t="s">
        <v>771</v>
      </c>
      <c r="C371" s="1" t="s">
        <v>768</v>
      </c>
      <c r="D371" s="1" t="s">
        <v>115</v>
      </c>
      <c r="E371" s="1" t="s">
        <v>52</v>
      </c>
      <c r="F371" s="3">
        <v>46206</v>
      </c>
      <c r="G371" s="3">
        <v>46206</v>
      </c>
      <c r="H371" s="4">
        <v>0</v>
      </c>
      <c r="J371" s="1" t="s">
        <v>168</v>
      </c>
      <c r="K371" s="1">
        <v>549</v>
      </c>
      <c r="M371" s="1" t="s">
        <v>707</v>
      </c>
      <c r="N371" s="2">
        <v>46211</v>
      </c>
      <c r="P371" s="1" t="s">
        <v>67</v>
      </c>
      <c r="Q371" s="1" t="s">
        <v>55</v>
      </c>
      <c r="R371" s="1" t="s">
        <v>593</v>
      </c>
      <c r="S371" s="2">
        <v>46206</v>
      </c>
      <c r="T371" s="2">
        <v>46206</v>
      </c>
      <c r="AB371" s="1">
        <v>0</v>
      </c>
      <c r="AC371" s="1">
        <v>0</v>
      </c>
      <c r="AD371" s="1">
        <v>0</v>
      </c>
      <c r="AE371" s="1">
        <v>0</v>
      </c>
      <c r="AF371" s="1">
        <v>1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</row>
    <row r="372" spans="1:39" x14ac:dyDescent="0.25">
      <c r="A372" s="1">
        <v>551</v>
      </c>
      <c r="B372" s="1" t="s">
        <v>772</v>
      </c>
      <c r="C372" s="1" t="s">
        <v>595</v>
      </c>
      <c r="D372" s="1" t="s">
        <v>773</v>
      </c>
      <c r="E372" s="1" t="s">
        <v>260</v>
      </c>
      <c r="F372" s="3">
        <v>46191</v>
      </c>
      <c r="G372" s="3">
        <v>46204</v>
      </c>
      <c r="H372" s="4">
        <v>0.7</v>
      </c>
      <c r="J372" s="1" t="s">
        <v>41</v>
      </c>
      <c r="M372" s="1" t="s">
        <v>342</v>
      </c>
      <c r="N372" s="2">
        <v>46211</v>
      </c>
      <c r="P372" s="1" t="s">
        <v>73</v>
      </c>
      <c r="Q372" s="1" t="s">
        <v>55</v>
      </c>
      <c r="R372" s="1" t="s">
        <v>593</v>
      </c>
      <c r="S372" s="2">
        <v>46189</v>
      </c>
      <c r="T372" s="2">
        <v>46206</v>
      </c>
      <c r="AB372" s="1">
        <v>0.7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</row>
    <row r="373" spans="1:39" x14ac:dyDescent="0.25">
      <c r="A373" s="1">
        <v>552</v>
      </c>
      <c r="B373" s="1" t="s">
        <v>774</v>
      </c>
      <c r="C373" s="1" t="s">
        <v>775</v>
      </c>
      <c r="D373" s="1" t="s">
        <v>101</v>
      </c>
      <c r="E373" s="1" t="s">
        <v>701</v>
      </c>
      <c r="F373" s="3">
        <v>46191</v>
      </c>
      <c r="G373" s="3">
        <v>46199</v>
      </c>
      <c r="H373" s="4">
        <v>1</v>
      </c>
      <c r="I373" s="3">
        <v>46199</v>
      </c>
      <c r="J373" s="1" t="s">
        <v>53</v>
      </c>
      <c r="K373" s="1" t="s">
        <v>712</v>
      </c>
      <c r="L373" s="1">
        <v>553</v>
      </c>
      <c r="M373" s="1" t="s">
        <v>342</v>
      </c>
      <c r="N373" s="2">
        <v>46205</v>
      </c>
      <c r="P373" s="1" t="s">
        <v>73</v>
      </c>
      <c r="Q373" s="1" t="s">
        <v>55</v>
      </c>
      <c r="R373" s="1" t="s">
        <v>593</v>
      </c>
      <c r="S373" s="2">
        <v>46189</v>
      </c>
      <c r="T373" s="2">
        <v>46202</v>
      </c>
      <c r="AB373" s="1">
        <v>1</v>
      </c>
      <c r="AC373" s="1">
        <v>1</v>
      </c>
      <c r="AD373" s="1">
        <v>1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1</v>
      </c>
    </row>
    <row r="374" spans="1:39" x14ac:dyDescent="0.25">
      <c r="A374" s="1">
        <v>553</v>
      </c>
      <c r="B374" s="1" t="s">
        <v>776</v>
      </c>
      <c r="C374" s="1" t="s">
        <v>775</v>
      </c>
      <c r="D374" s="1" t="s">
        <v>105</v>
      </c>
      <c r="E374" s="1" t="s">
        <v>52</v>
      </c>
      <c r="F374" s="3">
        <v>46202</v>
      </c>
      <c r="G374" s="3">
        <v>46202</v>
      </c>
      <c r="H374" s="4">
        <v>0</v>
      </c>
      <c r="J374" s="1" t="s">
        <v>41</v>
      </c>
      <c r="K374" s="1">
        <v>552</v>
      </c>
      <c r="L374" s="1">
        <v>554</v>
      </c>
      <c r="M374" s="1" t="s">
        <v>166</v>
      </c>
      <c r="N374" s="2">
        <v>46206</v>
      </c>
      <c r="P374" s="1" t="s">
        <v>146</v>
      </c>
      <c r="Q374" s="1" t="s">
        <v>55</v>
      </c>
      <c r="R374" s="1" t="s">
        <v>593</v>
      </c>
      <c r="S374" s="2">
        <v>46203</v>
      </c>
      <c r="T374" s="2">
        <v>46203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1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</row>
    <row r="375" spans="1:39" x14ac:dyDescent="0.25">
      <c r="A375" s="1">
        <v>554</v>
      </c>
      <c r="B375" s="1" t="s">
        <v>777</v>
      </c>
      <c r="C375" s="1" t="s">
        <v>775</v>
      </c>
      <c r="D375" s="1" t="s">
        <v>109</v>
      </c>
      <c r="E375" s="1" t="s">
        <v>52</v>
      </c>
      <c r="F375" s="3">
        <v>46203</v>
      </c>
      <c r="G375" s="3">
        <v>46203</v>
      </c>
      <c r="H375" s="4">
        <v>0</v>
      </c>
      <c r="J375" s="1" t="s">
        <v>41</v>
      </c>
      <c r="K375" s="1">
        <v>553</v>
      </c>
      <c r="L375" s="1">
        <v>555</v>
      </c>
      <c r="M375" s="1" t="s">
        <v>705</v>
      </c>
      <c r="N375" s="2">
        <v>46210</v>
      </c>
      <c r="P375" s="1" t="s">
        <v>67</v>
      </c>
      <c r="Q375" s="1" t="s">
        <v>55</v>
      </c>
      <c r="R375" s="1" t="s">
        <v>593</v>
      </c>
      <c r="S375" s="2">
        <v>46204</v>
      </c>
      <c r="T375" s="2">
        <v>46205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1</v>
      </c>
      <c r="AK375" s="1">
        <v>0</v>
      </c>
      <c r="AL375" s="1">
        <v>0</v>
      </c>
      <c r="AM375" s="1">
        <v>0</v>
      </c>
    </row>
    <row r="376" spans="1:39" x14ac:dyDescent="0.25">
      <c r="A376" s="1">
        <v>555</v>
      </c>
      <c r="B376" s="1" t="s">
        <v>778</v>
      </c>
      <c r="C376" s="1" t="s">
        <v>775</v>
      </c>
      <c r="D376" s="1" t="s">
        <v>115</v>
      </c>
      <c r="E376" s="1" t="s">
        <v>52</v>
      </c>
      <c r="F376" s="3">
        <v>46204</v>
      </c>
      <c r="G376" s="3">
        <v>46204</v>
      </c>
      <c r="H376" s="4">
        <v>0</v>
      </c>
      <c r="J376" s="1" t="s">
        <v>41</v>
      </c>
      <c r="K376" s="1">
        <v>554</v>
      </c>
      <c r="M376" s="1" t="s">
        <v>707</v>
      </c>
      <c r="N376" s="2">
        <v>46211</v>
      </c>
      <c r="P376" s="1" t="s">
        <v>67</v>
      </c>
      <c r="Q376" s="1" t="s">
        <v>55</v>
      </c>
      <c r="R376" s="1" t="s">
        <v>593</v>
      </c>
      <c r="S376" s="2">
        <v>46206</v>
      </c>
      <c r="T376" s="2">
        <v>46206</v>
      </c>
      <c r="AB376" s="1">
        <v>0</v>
      </c>
      <c r="AC376" s="1">
        <v>0</v>
      </c>
      <c r="AD376" s="1">
        <v>0</v>
      </c>
      <c r="AE376" s="1">
        <v>0</v>
      </c>
      <c r="AF376" s="1">
        <v>1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1</v>
      </c>
      <c r="AM376" s="1">
        <v>0</v>
      </c>
    </row>
    <row r="377" spans="1:39" x14ac:dyDescent="0.25">
      <c r="A377" s="1">
        <v>556</v>
      </c>
      <c r="B377" s="1" t="s">
        <v>779</v>
      </c>
      <c r="C377" s="1" t="s">
        <v>595</v>
      </c>
      <c r="D377" s="1" t="s">
        <v>780</v>
      </c>
      <c r="E377" s="1" t="s">
        <v>260</v>
      </c>
      <c r="F377" s="3">
        <v>46195</v>
      </c>
      <c r="G377" s="3">
        <v>46206</v>
      </c>
      <c r="H377" s="4">
        <v>0.7</v>
      </c>
      <c r="J377" s="1" t="s">
        <v>41</v>
      </c>
      <c r="M377" s="1" t="s">
        <v>342</v>
      </c>
      <c r="N377" s="2">
        <v>46211</v>
      </c>
      <c r="P377" s="1" t="s">
        <v>73</v>
      </c>
      <c r="Q377" s="1" t="s">
        <v>55</v>
      </c>
      <c r="R377" s="1" t="s">
        <v>593</v>
      </c>
      <c r="S377" s="2">
        <v>46189</v>
      </c>
      <c r="T377" s="2">
        <v>46206</v>
      </c>
      <c r="AB377" s="1">
        <v>0.7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</row>
    <row r="378" spans="1:39" x14ac:dyDescent="0.25">
      <c r="A378" s="1">
        <v>557</v>
      </c>
      <c r="B378" s="1" t="s">
        <v>781</v>
      </c>
      <c r="C378" s="1" t="s">
        <v>782</v>
      </c>
      <c r="D378" s="1" t="s">
        <v>101</v>
      </c>
      <c r="E378" s="1" t="s">
        <v>701</v>
      </c>
      <c r="F378" s="3">
        <v>46195</v>
      </c>
      <c r="G378" s="3">
        <v>46203</v>
      </c>
      <c r="H378" s="4">
        <v>1</v>
      </c>
      <c r="I378" s="3">
        <v>46203</v>
      </c>
      <c r="J378" s="1" t="s">
        <v>53</v>
      </c>
      <c r="K378" s="1" t="s">
        <v>712</v>
      </c>
      <c r="L378" s="1">
        <v>558</v>
      </c>
      <c r="M378" s="1" t="s">
        <v>342</v>
      </c>
      <c r="N378" s="2">
        <v>46205</v>
      </c>
      <c r="P378" s="1" t="s">
        <v>73</v>
      </c>
      <c r="Q378" s="1" t="s">
        <v>55</v>
      </c>
      <c r="R378" s="1" t="s">
        <v>593</v>
      </c>
      <c r="S378" s="2">
        <v>46189</v>
      </c>
      <c r="T378" s="2">
        <v>46202</v>
      </c>
      <c r="AB378" s="1">
        <v>1</v>
      </c>
      <c r="AC378" s="1">
        <v>1</v>
      </c>
      <c r="AD378" s="1">
        <v>1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1</v>
      </c>
    </row>
    <row r="379" spans="1:39" x14ac:dyDescent="0.25">
      <c r="A379" s="1">
        <v>558</v>
      </c>
      <c r="B379" s="1" t="s">
        <v>783</v>
      </c>
      <c r="C379" s="1" t="s">
        <v>782</v>
      </c>
      <c r="D379" s="1" t="s">
        <v>105</v>
      </c>
      <c r="E379" s="1" t="s">
        <v>52</v>
      </c>
      <c r="F379" s="3">
        <v>46204</v>
      </c>
      <c r="G379" s="3">
        <v>46204</v>
      </c>
      <c r="H379" s="4">
        <v>0</v>
      </c>
      <c r="J379" s="1" t="s">
        <v>41</v>
      </c>
      <c r="K379" s="1">
        <v>557</v>
      </c>
      <c r="L379" s="1">
        <v>559</v>
      </c>
      <c r="M379" s="1" t="s">
        <v>166</v>
      </c>
      <c r="N379" s="2">
        <v>46206</v>
      </c>
      <c r="P379" s="1" t="s">
        <v>146</v>
      </c>
      <c r="Q379" s="1" t="s">
        <v>55</v>
      </c>
      <c r="R379" s="1" t="s">
        <v>593</v>
      </c>
      <c r="S379" s="2">
        <v>46203</v>
      </c>
      <c r="T379" s="2">
        <v>46203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1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</row>
    <row r="380" spans="1:39" x14ac:dyDescent="0.25">
      <c r="A380" s="1">
        <v>559</v>
      </c>
      <c r="B380" s="1" t="s">
        <v>784</v>
      </c>
      <c r="C380" s="1" t="s">
        <v>782</v>
      </c>
      <c r="D380" s="1" t="s">
        <v>109</v>
      </c>
      <c r="E380" s="1" t="s">
        <v>52</v>
      </c>
      <c r="F380" s="3">
        <v>46205</v>
      </c>
      <c r="G380" s="3">
        <v>46205</v>
      </c>
      <c r="H380" s="4">
        <v>0</v>
      </c>
      <c r="J380" s="1" t="s">
        <v>41</v>
      </c>
      <c r="K380" s="1">
        <v>558</v>
      </c>
      <c r="L380" s="1">
        <v>560</v>
      </c>
      <c r="M380" s="1" t="s">
        <v>705</v>
      </c>
      <c r="N380" s="2">
        <v>46210</v>
      </c>
      <c r="P380" s="1" t="s">
        <v>67</v>
      </c>
      <c r="Q380" s="1" t="s">
        <v>55</v>
      </c>
      <c r="R380" s="1" t="s">
        <v>593</v>
      </c>
      <c r="S380" s="2">
        <v>46204</v>
      </c>
      <c r="T380" s="2">
        <v>46205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1</v>
      </c>
      <c r="AK380" s="1">
        <v>0</v>
      </c>
      <c r="AL380" s="1">
        <v>0</v>
      </c>
      <c r="AM380" s="1">
        <v>0</v>
      </c>
    </row>
    <row r="381" spans="1:39" x14ac:dyDescent="0.25">
      <c r="A381" s="1">
        <v>560</v>
      </c>
      <c r="B381" s="1" t="s">
        <v>785</v>
      </c>
      <c r="C381" s="1" t="s">
        <v>782</v>
      </c>
      <c r="D381" s="1" t="s">
        <v>115</v>
      </c>
      <c r="E381" s="1" t="s">
        <v>52</v>
      </c>
      <c r="F381" s="3">
        <v>46206</v>
      </c>
      <c r="G381" s="3">
        <v>46206</v>
      </c>
      <c r="H381" s="4">
        <v>0</v>
      </c>
      <c r="J381" s="1" t="s">
        <v>168</v>
      </c>
      <c r="K381" s="1">
        <v>559</v>
      </c>
      <c r="M381" s="1" t="s">
        <v>707</v>
      </c>
      <c r="N381" s="2">
        <v>46211</v>
      </c>
      <c r="P381" s="1" t="s">
        <v>67</v>
      </c>
      <c r="Q381" s="1" t="s">
        <v>55</v>
      </c>
      <c r="R381" s="1" t="s">
        <v>593</v>
      </c>
      <c r="S381" s="2">
        <v>46206</v>
      </c>
      <c r="T381" s="2">
        <v>46206</v>
      </c>
      <c r="AB381" s="1">
        <v>0</v>
      </c>
      <c r="AC381" s="1">
        <v>0</v>
      </c>
      <c r="AD381" s="1">
        <v>0</v>
      </c>
      <c r="AE381" s="1">
        <v>0</v>
      </c>
      <c r="AF381" s="1">
        <v>1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</row>
    <row r="382" spans="1:39" x14ac:dyDescent="0.25">
      <c r="A382" s="1">
        <v>561</v>
      </c>
      <c r="B382" s="1" t="s">
        <v>786</v>
      </c>
      <c r="C382" s="1" t="s">
        <v>595</v>
      </c>
      <c r="D382" s="1" t="s">
        <v>787</v>
      </c>
      <c r="E382" s="1" t="s">
        <v>788</v>
      </c>
      <c r="F382" s="3">
        <v>46195</v>
      </c>
      <c r="G382" s="3">
        <v>46206</v>
      </c>
      <c r="H382" s="4">
        <v>0.75</v>
      </c>
      <c r="J382" s="1" t="s">
        <v>41</v>
      </c>
      <c r="M382" s="1" t="s">
        <v>342</v>
      </c>
      <c r="N382" s="2">
        <v>46211</v>
      </c>
      <c r="P382" s="1" t="s">
        <v>73</v>
      </c>
      <c r="Q382" s="1" t="s">
        <v>55</v>
      </c>
      <c r="R382" s="1" t="s">
        <v>593</v>
      </c>
      <c r="S382" s="2">
        <v>46189</v>
      </c>
      <c r="T382" s="2">
        <v>46206</v>
      </c>
      <c r="AB382" s="1">
        <v>0.75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</row>
    <row r="383" spans="1:39" x14ac:dyDescent="0.25">
      <c r="A383" s="1">
        <v>562</v>
      </c>
      <c r="B383" s="1" t="s">
        <v>789</v>
      </c>
      <c r="C383" s="1" t="s">
        <v>790</v>
      </c>
      <c r="D383" s="1" t="s">
        <v>101</v>
      </c>
      <c r="E383" s="1" t="s">
        <v>701</v>
      </c>
      <c r="F383" s="3">
        <v>46195</v>
      </c>
      <c r="G383" s="3">
        <v>46203</v>
      </c>
      <c r="H383" s="4">
        <v>1</v>
      </c>
      <c r="I383" s="3">
        <v>46203</v>
      </c>
      <c r="J383" s="1" t="s">
        <v>53</v>
      </c>
      <c r="K383" s="1" t="s">
        <v>712</v>
      </c>
      <c r="L383" s="1">
        <v>563</v>
      </c>
      <c r="M383" s="1" t="s">
        <v>342</v>
      </c>
      <c r="N383" s="2">
        <v>46205</v>
      </c>
      <c r="P383" s="1" t="s">
        <v>73</v>
      </c>
      <c r="Q383" s="1" t="s">
        <v>55</v>
      </c>
      <c r="R383" s="1" t="s">
        <v>593</v>
      </c>
      <c r="S383" s="2">
        <v>46189</v>
      </c>
      <c r="T383" s="2">
        <v>46202</v>
      </c>
      <c r="AB383" s="1">
        <v>1</v>
      </c>
      <c r="AC383" s="1">
        <v>1</v>
      </c>
      <c r="AD383" s="1">
        <v>1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1</v>
      </c>
    </row>
    <row r="384" spans="1:39" x14ac:dyDescent="0.25">
      <c r="A384" s="1">
        <v>563</v>
      </c>
      <c r="B384" s="1" t="s">
        <v>791</v>
      </c>
      <c r="C384" s="1" t="s">
        <v>790</v>
      </c>
      <c r="D384" s="1" t="s">
        <v>105</v>
      </c>
      <c r="E384" s="1" t="s">
        <v>52</v>
      </c>
      <c r="F384" s="3">
        <v>46202</v>
      </c>
      <c r="G384" s="3">
        <v>46204</v>
      </c>
      <c r="H384" s="4">
        <v>0.5</v>
      </c>
      <c r="J384" s="1" t="s">
        <v>41</v>
      </c>
      <c r="K384" s="1">
        <v>562</v>
      </c>
      <c r="L384" s="1">
        <v>564</v>
      </c>
      <c r="M384" s="1" t="s">
        <v>166</v>
      </c>
      <c r="N384" s="2">
        <v>46206</v>
      </c>
      <c r="P384" s="1" t="s">
        <v>146</v>
      </c>
      <c r="Q384" s="1" t="s">
        <v>55</v>
      </c>
      <c r="R384" s="1" t="s">
        <v>593</v>
      </c>
      <c r="S384" s="2">
        <v>46203</v>
      </c>
      <c r="T384" s="2">
        <v>46203</v>
      </c>
      <c r="AB384" s="1">
        <v>0.5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1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</row>
    <row r="385" spans="1:39" x14ac:dyDescent="0.25">
      <c r="A385" s="1">
        <v>564</v>
      </c>
      <c r="B385" s="1" t="s">
        <v>792</v>
      </c>
      <c r="C385" s="1" t="s">
        <v>790</v>
      </c>
      <c r="D385" s="1" t="s">
        <v>109</v>
      </c>
      <c r="E385" s="1" t="s">
        <v>52</v>
      </c>
      <c r="F385" s="3">
        <v>46204</v>
      </c>
      <c r="G385" s="3">
        <v>46205</v>
      </c>
      <c r="H385" s="4">
        <v>0</v>
      </c>
      <c r="J385" s="1" t="s">
        <v>41</v>
      </c>
      <c r="K385" s="1">
        <v>563</v>
      </c>
      <c r="L385" s="1">
        <v>565</v>
      </c>
      <c r="M385" s="1" t="s">
        <v>705</v>
      </c>
      <c r="N385" s="2">
        <v>46210</v>
      </c>
      <c r="P385" s="1" t="s">
        <v>67</v>
      </c>
      <c r="Q385" s="1" t="s">
        <v>55</v>
      </c>
      <c r="R385" s="1" t="s">
        <v>593</v>
      </c>
      <c r="S385" s="2">
        <v>46204</v>
      </c>
      <c r="T385" s="2">
        <v>46205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1</v>
      </c>
      <c r="AK385" s="1">
        <v>0</v>
      </c>
      <c r="AL385" s="1">
        <v>0</v>
      </c>
      <c r="AM385" s="1">
        <v>0</v>
      </c>
    </row>
    <row r="386" spans="1:39" x14ac:dyDescent="0.25">
      <c r="A386" s="1">
        <v>565</v>
      </c>
      <c r="B386" s="1" t="s">
        <v>793</v>
      </c>
      <c r="C386" s="1" t="s">
        <v>790</v>
      </c>
      <c r="D386" s="1" t="s">
        <v>115</v>
      </c>
      <c r="E386" s="1" t="s">
        <v>52</v>
      </c>
      <c r="F386" s="3">
        <v>46205</v>
      </c>
      <c r="G386" s="3">
        <v>46206</v>
      </c>
      <c r="H386" s="4">
        <v>0</v>
      </c>
      <c r="J386" s="1" t="s">
        <v>41</v>
      </c>
      <c r="K386" s="1">
        <v>564</v>
      </c>
      <c r="M386" s="1" t="s">
        <v>707</v>
      </c>
      <c r="N386" s="2">
        <v>46211</v>
      </c>
      <c r="P386" s="1" t="s">
        <v>67</v>
      </c>
      <c r="Q386" s="1" t="s">
        <v>55</v>
      </c>
      <c r="R386" s="1" t="s">
        <v>593</v>
      </c>
      <c r="S386" s="2">
        <v>46206</v>
      </c>
      <c r="T386" s="2">
        <v>46206</v>
      </c>
      <c r="AB386" s="1">
        <v>0</v>
      </c>
      <c r="AC386" s="1">
        <v>0</v>
      </c>
      <c r="AD386" s="1">
        <v>0</v>
      </c>
      <c r="AE386" s="1">
        <v>0</v>
      </c>
      <c r="AF386" s="1">
        <v>1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1</v>
      </c>
      <c r="AM386" s="1">
        <v>0</v>
      </c>
    </row>
    <row r="387" spans="1:39" x14ac:dyDescent="0.25">
      <c r="A387" s="1">
        <v>566</v>
      </c>
      <c r="B387" s="1" t="s">
        <v>794</v>
      </c>
      <c r="C387" s="1" t="s">
        <v>595</v>
      </c>
      <c r="D387" s="1" t="s">
        <v>795</v>
      </c>
      <c r="E387" s="1" t="s">
        <v>260</v>
      </c>
      <c r="F387" s="3">
        <v>46191</v>
      </c>
      <c r="G387" s="3">
        <v>46204</v>
      </c>
      <c r="H387" s="4">
        <v>0.7</v>
      </c>
      <c r="J387" s="1" t="s">
        <v>41</v>
      </c>
      <c r="M387" s="1" t="s">
        <v>342</v>
      </c>
      <c r="N387" s="2">
        <v>46211</v>
      </c>
      <c r="P387" s="1" t="s">
        <v>73</v>
      </c>
      <c r="Q387" s="1" t="s">
        <v>55</v>
      </c>
      <c r="R387" s="1" t="s">
        <v>593</v>
      </c>
      <c r="S387" s="2">
        <v>46189</v>
      </c>
      <c r="T387" s="2">
        <v>46206</v>
      </c>
      <c r="AB387" s="1">
        <v>0.7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</row>
    <row r="388" spans="1:39" x14ac:dyDescent="0.25">
      <c r="A388" s="1">
        <v>567</v>
      </c>
      <c r="B388" s="1" t="s">
        <v>796</v>
      </c>
      <c r="C388" s="1" t="s">
        <v>797</v>
      </c>
      <c r="D388" s="1" t="s">
        <v>101</v>
      </c>
      <c r="E388" s="1" t="s">
        <v>701</v>
      </c>
      <c r="F388" s="3">
        <v>46191</v>
      </c>
      <c r="G388" s="3">
        <v>46199</v>
      </c>
      <c r="H388" s="4">
        <v>1</v>
      </c>
      <c r="I388" s="3">
        <v>46199</v>
      </c>
      <c r="J388" s="1" t="s">
        <v>53</v>
      </c>
      <c r="K388" s="1" t="s">
        <v>712</v>
      </c>
      <c r="L388" s="1">
        <v>568</v>
      </c>
      <c r="M388" s="1" t="s">
        <v>342</v>
      </c>
      <c r="N388" s="2">
        <v>46205</v>
      </c>
      <c r="P388" s="1" t="s">
        <v>73</v>
      </c>
      <c r="Q388" s="1" t="s">
        <v>55</v>
      </c>
      <c r="R388" s="1" t="s">
        <v>593</v>
      </c>
      <c r="S388" s="2">
        <v>46189</v>
      </c>
      <c r="T388" s="2">
        <v>46202</v>
      </c>
      <c r="AB388" s="1">
        <v>1</v>
      </c>
      <c r="AC388" s="1">
        <v>1</v>
      </c>
      <c r="AD388" s="1">
        <v>1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1</v>
      </c>
    </row>
    <row r="389" spans="1:39" x14ac:dyDescent="0.25">
      <c r="A389" s="1">
        <v>568</v>
      </c>
      <c r="B389" s="1" t="s">
        <v>798</v>
      </c>
      <c r="C389" s="1" t="s">
        <v>797</v>
      </c>
      <c r="D389" s="1" t="s">
        <v>105</v>
      </c>
      <c r="E389" s="1" t="s">
        <v>52</v>
      </c>
      <c r="F389" s="3">
        <v>46202</v>
      </c>
      <c r="G389" s="3">
        <v>46202</v>
      </c>
      <c r="H389" s="4">
        <v>0</v>
      </c>
      <c r="J389" s="1" t="s">
        <v>41</v>
      </c>
      <c r="K389" s="1">
        <v>567</v>
      </c>
      <c r="L389" s="1">
        <v>569</v>
      </c>
      <c r="M389" s="1" t="s">
        <v>166</v>
      </c>
      <c r="N389" s="2">
        <v>46206</v>
      </c>
      <c r="P389" s="1" t="s">
        <v>146</v>
      </c>
      <c r="Q389" s="1" t="s">
        <v>55</v>
      </c>
      <c r="R389" s="1" t="s">
        <v>593</v>
      </c>
      <c r="S389" s="2">
        <v>46203</v>
      </c>
      <c r="T389" s="2">
        <v>46203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1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</row>
    <row r="390" spans="1:39" x14ac:dyDescent="0.25">
      <c r="A390" s="1">
        <v>569</v>
      </c>
      <c r="B390" s="1" t="s">
        <v>799</v>
      </c>
      <c r="C390" s="1" t="s">
        <v>797</v>
      </c>
      <c r="D390" s="1" t="s">
        <v>109</v>
      </c>
      <c r="E390" s="1" t="s">
        <v>52</v>
      </c>
      <c r="F390" s="3">
        <v>46203</v>
      </c>
      <c r="G390" s="3">
        <v>46203</v>
      </c>
      <c r="H390" s="4">
        <v>0</v>
      </c>
      <c r="J390" s="1" t="s">
        <v>41</v>
      </c>
      <c r="K390" s="1">
        <v>568</v>
      </c>
      <c r="L390" s="1">
        <v>570</v>
      </c>
      <c r="M390" s="1" t="s">
        <v>705</v>
      </c>
      <c r="N390" s="2">
        <v>46210</v>
      </c>
      <c r="P390" s="1" t="s">
        <v>67</v>
      </c>
      <c r="Q390" s="1" t="s">
        <v>55</v>
      </c>
      <c r="R390" s="1" t="s">
        <v>593</v>
      </c>
      <c r="S390" s="2">
        <v>46204</v>
      </c>
      <c r="T390" s="2">
        <v>46205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1</v>
      </c>
      <c r="AK390" s="1">
        <v>0</v>
      </c>
      <c r="AL390" s="1">
        <v>0</v>
      </c>
      <c r="AM390" s="1">
        <v>0</v>
      </c>
    </row>
    <row r="391" spans="1:39" x14ac:dyDescent="0.25">
      <c r="A391" s="1">
        <v>570</v>
      </c>
      <c r="B391" s="1" t="s">
        <v>800</v>
      </c>
      <c r="C391" s="1" t="s">
        <v>797</v>
      </c>
      <c r="D391" s="1" t="s">
        <v>115</v>
      </c>
      <c r="E391" s="1" t="s">
        <v>52</v>
      </c>
      <c r="F391" s="3">
        <v>46204</v>
      </c>
      <c r="G391" s="3">
        <v>46204</v>
      </c>
      <c r="H391" s="4">
        <v>0</v>
      </c>
      <c r="J391" s="1" t="s">
        <v>41</v>
      </c>
      <c r="K391" s="1">
        <v>569</v>
      </c>
      <c r="M391" s="1" t="s">
        <v>707</v>
      </c>
      <c r="N391" s="2">
        <v>46211</v>
      </c>
      <c r="P391" s="1" t="s">
        <v>67</v>
      </c>
      <c r="Q391" s="1" t="s">
        <v>55</v>
      </c>
      <c r="R391" s="1" t="s">
        <v>593</v>
      </c>
      <c r="S391" s="2">
        <v>46206</v>
      </c>
      <c r="T391" s="2">
        <v>46206</v>
      </c>
      <c r="AB391" s="1">
        <v>0</v>
      </c>
      <c r="AC391" s="1">
        <v>0</v>
      </c>
      <c r="AD391" s="1">
        <v>0</v>
      </c>
      <c r="AE391" s="1">
        <v>0</v>
      </c>
      <c r="AF391" s="1">
        <v>1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1</v>
      </c>
      <c r="AM391" s="1">
        <v>0</v>
      </c>
    </row>
    <row r="392" spans="1:39" x14ac:dyDescent="0.25">
      <c r="A392" s="1">
        <v>571</v>
      </c>
      <c r="B392" s="1" t="s">
        <v>801</v>
      </c>
      <c r="C392" s="1" t="s">
        <v>595</v>
      </c>
      <c r="D392" s="1" t="s">
        <v>802</v>
      </c>
      <c r="E392" s="1" t="s">
        <v>260</v>
      </c>
      <c r="F392" s="3">
        <v>46191</v>
      </c>
      <c r="G392" s="3">
        <v>46204</v>
      </c>
      <c r="H392" s="4">
        <v>0.75</v>
      </c>
      <c r="J392" s="1" t="s">
        <v>41</v>
      </c>
      <c r="M392" s="1" t="s">
        <v>342</v>
      </c>
      <c r="N392" s="2">
        <v>46211</v>
      </c>
      <c r="P392" s="1" t="s">
        <v>73</v>
      </c>
      <c r="Q392" s="1" t="s">
        <v>55</v>
      </c>
      <c r="R392" s="1" t="s">
        <v>593</v>
      </c>
      <c r="S392" s="2">
        <v>46189</v>
      </c>
      <c r="T392" s="2">
        <v>46206</v>
      </c>
      <c r="AB392" s="1">
        <v>0.75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</row>
    <row r="393" spans="1:39" x14ac:dyDescent="0.25">
      <c r="A393" s="1">
        <v>572</v>
      </c>
      <c r="B393" s="1" t="s">
        <v>803</v>
      </c>
      <c r="C393" s="1" t="s">
        <v>804</v>
      </c>
      <c r="D393" s="1" t="s">
        <v>101</v>
      </c>
      <c r="E393" s="1" t="s">
        <v>701</v>
      </c>
      <c r="F393" s="3">
        <v>46191</v>
      </c>
      <c r="G393" s="3">
        <v>46199</v>
      </c>
      <c r="H393" s="4">
        <v>1</v>
      </c>
      <c r="I393" s="3">
        <v>46199</v>
      </c>
      <c r="J393" s="1" t="s">
        <v>53</v>
      </c>
      <c r="K393" s="1" t="s">
        <v>712</v>
      </c>
      <c r="L393" s="1">
        <v>573</v>
      </c>
      <c r="M393" s="1" t="s">
        <v>342</v>
      </c>
      <c r="N393" s="2">
        <v>46205</v>
      </c>
      <c r="P393" s="1" t="s">
        <v>73</v>
      </c>
      <c r="Q393" s="1" t="s">
        <v>55</v>
      </c>
      <c r="R393" s="1" t="s">
        <v>593</v>
      </c>
      <c r="S393" s="2">
        <v>46189</v>
      </c>
      <c r="T393" s="2">
        <v>46202</v>
      </c>
      <c r="AB393" s="1">
        <v>1</v>
      </c>
      <c r="AC393" s="1">
        <v>1</v>
      </c>
      <c r="AD393" s="1">
        <v>1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1</v>
      </c>
    </row>
    <row r="394" spans="1:39" x14ac:dyDescent="0.25">
      <c r="A394" s="1">
        <v>573</v>
      </c>
      <c r="B394" s="1" t="s">
        <v>805</v>
      </c>
      <c r="C394" s="1" t="s">
        <v>804</v>
      </c>
      <c r="D394" s="1" t="s">
        <v>105</v>
      </c>
      <c r="E394" s="1" t="s">
        <v>52</v>
      </c>
      <c r="F394" s="3">
        <v>46202</v>
      </c>
      <c r="G394" s="3">
        <v>46202</v>
      </c>
      <c r="H394" s="4">
        <v>0.5</v>
      </c>
      <c r="J394" s="1" t="s">
        <v>41</v>
      </c>
      <c r="K394" s="1">
        <v>572</v>
      </c>
      <c r="L394" s="1">
        <v>574</v>
      </c>
      <c r="M394" s="1" t="s">
        <v>166</v>
      </c>
      <c r="N394" s="2">
        <v>46206</v>
      </c>
      <c r="P394" s="1" t="s">
        <v>146</v>
      </c>
      <c r="Q394" s="1" t="s">
        <v>55</v>
      </c>
      <c r="R394" s="1" t="s">
        <v>593</v>
      </c>
      <c r="S394" s="2">
        <v>46203</v>
      </c>
      <c r="T394" s="2">
        <v>46203</v>
      </c>
      <c r="AB394" s="1">
        <v>0.5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1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</row>
    <row r="395" spans="1:39" x14ac:dyDescent="0.25">
      <c r="A395" s="1">
        <v>574</v>
      </c>
      <c r="B395" s="1" t="s">
        <v>806</v>
      </c>
      <c r="C395" s="1" t="s">
        <v>804</v>
      </c>
      <c r="D395" s="1" t="s">
        <v>109</v>
      </c>
      <c r="E395" s="1" t="s">
        <v>52</v>
      </c>
      <c r="F395" s="3">
        <v>46203</v>
      </c>
      <c r="G395" s="3">
        <v>46203</v>
      </c>
      <c r="H395" s="4">
        <v>0</v>
      </c>
      <c r="J395" s="1" t="s">
        <v>41</v>
      </c>
      <c r="K395" s="1">
        <v>573</v>
      </c>
      <c r="L395" s="1">
        <v>575</v>
      </c>
      <c r="M395" s="1" t="s">
        <v>705</v>
      </c>
      <c r="N395" s="2">
        <v>46210</v>
      </c>
      <c r="P395" s="1" t="s">
        <v>67</v>
      </c>
      <c r="Q395" s="1" t="s">
        <v>55</v>
      </c>
      <c r="R395" s="1" t="s">
        <v>593</v>
      </c>
      <c r="S395" s="2">
        <v>46204</v>
      </c>
      <c r="T395" s="2">
        <v>46205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1</v>
      </c>
      <c r="AK395" s="1">
        <v>0</v>
      </c>
      <c r="AL395" s="1">
        <v>0</v>
      </c>
      <c r="AM395" s="1">
        <v>0</v>
      </c>
    </row>
    <row r="396" spans="1:39" x14ac:dyDescent="0.25">
      <c r="A396" s="1">
        <v>575</v>
      </c>
      <c r="B396" s="1" t="s">
        <v>807</v>
      </c>
      <c r="C396" s="1" t="s">
        <v>804</v>
      </c>
      <c r="D396" s="1" t="s">
        <v>115</v>
      </c>
      <c r="E396" s="1" t="s">
        <v>52</v>
      </c>
      <c r="F396" s="3">
        <v>46204</v>
      </c>
      <c r="G396" s="3">
        <v>46204</v>
      </c>
      <c r="H396" s="4">
        <v>0</v>
      </c>
      <c r="J396" s="1" t="s">
        <v>41</v>
      </c>
      <c r="K396" s="1">
        <v>574</v>
      </c>
      <c r="M396" s="1" t="s">
        <v>707</v>
      </c>
      <c r="N396" s="2">
        <v>46211</v>
      </c>
      <c r="P396" s="1" t="s">
        <v>67</v>
      </c>
      <c r="Q396" s="1" t="s">
        <v>55</v>
      </c>
      <c r="R396" s="1" t="s">
        <v>593</v>
      </c>
      <c r="S396" s="2">
        <v>46206</v>
      </c>
      <c r="T396" s="2">
        <v>46206</v>
      </c>
      <c r="AB396" s="1">
        <v>0</v>
      </c>
      <c r="AC396" s="1">
        <v>0</v>
      </c>
      <c r="AD396" s="1">
        <v>0</v>
      </c>
      <c r="AE396" s="1">
        <v>0</v>
      </c>
      <c r="AF396" s="1">
        <v>1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1</v>
      </c>
      <c r="AM396" s="1">
        <v>0</v>
      </c>
    </row>
    <row r="397" spans="1:39" x14ac:dyDescent="0.25">
      <c r="A397" s="1">
        <v>576</v>
      </c>
      <c r="B397" s="1" t="s">
        <v>808</v>
      </c>
      <c r="C397" s="1" t="s">
        <v>595</v>
      </c>
      <c r="D397" s="1" t="s">
        <v>809</v>
      </c>
      <c r="E397" s="1" t="s">
        <v>260</v>
      </c>
      <c r="F397" s="3">
        <v>46191</v>
      </c>
      <c r="G397" s="3">
        <v>46204</v>
      </c>
      <c r="H397" s="4">
        <v>0.7</v>
      </c>
      <c r="J397" s="1" t="s">
        <v>41</v>
      </c>
      <c r="M397" s="1" t="s">
        <v>342</v>
      </c>
      <c r="N397" s="2">
        <v>46211</v>
      </c>
      <c r="P397" s="1" t="s">
        <v>73</v>
      </c>
      <c r="Q397" s="1" t="s">
        <v>55</v>
      </c>
      <c r="R397" s="1" t="s">
        <v>593</v>
      </c>
      <c r="S397" s="2">
        <v>46189</v>
      </c>
      <c r="T397" s="2">
        <v>46206</v>
      </c>
      <c r="AB397" s="1">
        <v>0.7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</row>
    <row r="398" spans="1:39" x14ac:dyDescent="0.25">
      <c r="A398" s="1">
        <v>577</v>
      </c>
      <c r="B398" s="1" t="s">
        <v>810</v>
      </c>
      <c r="C398" s="1" t="s">
        <v>811</v>
      </c>
      <c r="D398" s="1" t="s">
        <v>101</v>
      </c>
      <c r="E398" s="1" t="s">
        <v>701</v>
      </c>
      <c r="F398" s="3">
        <v>46191</v>
      </c>
      <c r="G398" s="3">
        <v>46199</v>
      </c>
      <c r="H398" s="4">
        <v>1</v>
      </c>
      <c r="I398" s="3">
        <v>46199</v>
      </c>
      <c r="J398" s="1" t="s">
        <v>53</v>
      </c>
      <c r="K398" s="1" t="s">
        <v>712</v>
      </c>
      <c r="L398" s="1">
        <v>578</v>
      </c>
      <c r="M398" s="1" t="s">
        <v>342</v>
      </c>
      <c r="N398" s="2">
        <v>46205</v>
      </c>
      <c r="P398" s="1" t="s">
        <v>73</v>
      </c>
      <c r="Q398" s="1" t="s">
        <v>55</v>
      </c>
      <c r="R398" s="1" t="s">
        <v>593</v>
      </c>
      <c r="S398" s="2">
        <v>46189</v>
      </c>
      <c r="T398" s="2">
        <v>46202</v>
      </c>
      <c r="AB398" s="1">
        <v>1</v>
      </c>
      <c r="AC398" s="1">
        <v>1</v>
      </c>
      <c r="AD398" s="1">
        <v>1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1</v>
      </c>
    </row>
    <row r="399" spans="1:39" x14ac:dyDescent="0.25">
      <c r="A399" s="1">
        <v>578</v>
      </c>
      <c r="B399" s="1" t="s">
        <v>812</v>
      </c>
      <c r="C399" s="1" t="s">
        <v>811</v>
      </c>
      <c r="D399" s="1" t="s">
        <v>105</v>
      </c>
      <c r="E399" s="1" t="s">
        <v>52</v>
      </c>
      <c r="F399" s="3">
        <v>46202</v>
      </c>
      <c r="G399" s="3">
        <v>46202</v>
      </c>
      <c r="H399" s="4">
        <v>0</v>
      </c>
      <c r="J399" s="1" t="s">
        <v>41</v>
      </c>
      <c r="K399" s="1">
        <v>577</v>
      </c>
      <c r="L399" s="1">
        <v>579</v>
      </c>
      <c r="M399" s="1" t="s">
        <v>166</v>
      </c>
      <c r="N399" s="2">
        <v>46206</v>
      </c>
      <c r="P399" s="1" t="s">
        <v>146</v>
      </c>
      <c r="Q399" s="1" t="s">
        <v>55</v>
      </c>
      <c r="R399" s="1" t="s">
        <v>593</v>
      </c>
      <c r="S399" s="2">
        <v>46203</v>
      </c>
      <c r="T399" s="2">
        <v>46203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1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</row>
    <row r="400" spans="1:39" x14ac:dyDescent="0.25">
      <c r="A400" s="1">
        <v>579</v>
      </c>
      <c r="B400" s="1" t="s">
        <v>813</v>
      </c>
      <c r="C400" s="1" t="s">
        <v>811</v>
      </c>
      <c r="D400" s="1" t="s">
        <v>109</v>
      </c>
      <c r="E400" s="1" t="s">
        <v>52</v>
      </c>
      <c r="F400" s="3">
        <v>46203</v>
      </c>
      <c r="G400" s="3">
        <v>46203</v>
      </c>
      <c r="H400" s="4">
        <v>0</v>
      </c>
      <c r="J400" s="1" t="s">
        <v>41</v>
      </c>
      <c r="K400" s="1">
        <v>578</v>
      </c>
      <c r="L400" s="1">
        <v>580</v>
      </c>
      <c r="M400" s="1" t="s">
        <v>705</v>
      </c>
      <c r="N400" s="2">
        <v>46210</v>
      </c>
      <c r="P400" s="1" t="s">
        <v>67</v>
      </c>
      <c r="Q400" s="1" t="s">
        <v>55</v>
      </c>
      <c r="R400" s="1" t="s">
        <v>593</v>
      </c>
      <c r="S400" s="2">
        <v>46204</v>
      </c>
      <c r="T400" s="2">
        <v>46205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1</v>
      </c>
      <c r="AK400" s="1">
        <v>0</v>
      </c>
      <c r="AL400" s="1">
        <v>0</v>
      </c>
      <c r="AM400" s="1">
        <v>0</v>
      </c>
    </row>
    <row r="401" spans="1:39" x14ac:dyDescent="0.25">
      <c r="A401" s="1">
        <v>580</v>
      </c>
      <c r="B401" s="1" t="s">
        <v>814</v>
      </c>
      <c r="C401" s="1" t="s">
        <v>811</v>
      </c>
      <c r="D401" s="1" t="s">
        <v>115</v>
      </c>
      <c r="E401" s="1" t="s">
        <v>52</v>
      </c>
      <c r="F401" s="3">
        <v>46204</v>
      </c>
      <c r="G401" s="3">
        <v>46204</v>
      </c>
      <c r="H401" s="4">
        <v>0</v>
      </c>
      <c r="J401" s="1" t="s">
        <v>41</v>
      </c>
      <c r="K401" s="1">
        <v>579</v>
      </c>
      <c r="M401" s="1" t="s">
        <v>707</v>
      </c>
      <c r="N401" s="2">
        <v>46211</v>
      </c>
      <c r="P401" s="1" t="s">
        <v>67</v>
      </c>
      <c r="Q401" s="1" t="s">
        <v>55</v>
      </c>
      <c r="R401" s="1" t="s">
        <v>593</v>
      </c>
      <c r="S401" s="2">
        <v>46206</v>
      </c>
      <c r="T401" s="2">
        <v>46206</v>
      </c>
      <c r="AB401" s="1">
        <v>0</v>
      </c>
      <c r="AC401" s="1">
        <v>0</v>
      </c>
      <c r="AD401" s="1">
        <v>0</v>
      </c>
      <c r="AE401" s="1">
        <v>0</v>
      </c>
      <c r="AF401" s="1">
        <v>1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1</v>
      </c>
      <c r="AM401" s="1">
        <v>0</v>
      </c>
    </row>
    <row r="402" spans="1:39" x14ac:dyDescent="0.25">
      <c r="A402" s="1">
        <v>581</v>
      </c>
      <c r="B402" s="1" t="s">
        <v>815</v>
      </c>
      <c r="C402" s="1" t="s">
        <v>595</v>
      </c>
      <c r="D402" s="1" t="s">
        <v>816</v>
      </c>
      <c r="E402" s="1" t="s">
        <v>260</v>
      </c>
      <c r="F402" s="3">
        <v>46192</v>
      </c>
      <c r="G402" s="3">
        <v>46205</v>
      </c>
      <c r="H402" s="4">
        <v>0.7</v>
      </c>
      <c r="J402" s="1" t="s">
        <v>41</v>
      </c>
      <c r="M402" s="1" t="s">
        <v>342</v>
      </c>
      <c r="N402" s="2">
        <v>46211</v>
      </c>
      <c r="P402" s="1" t="s">
        <v>73</v>
      </c>
      <c r="Q402" s="1" t="s">
        <v>55</v>
      </c>
      <c r="R402" s="1" t="s">
        <v>593</v>
      </c>
      <c r="S402" s="2">
        <v>46189</v>
      </c>
      <c r="T402" s="2">
        <v>46206</v>
      </c>
      <c r="U402" s="1" t="s">
        <v>77</v>
      </c>
      <c r="AB402" s="1">
        <v>0.7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</row>
    <row r="403" spans="1:39" x14ac:dyDescent="0.25">
      <c r="A403" s="1">
        <v>582</v>
      </c>
      <c r="B403" s="1" t="s">
        <v>817</v>
      </c>
      <c r="C403" s="1" t="s">
        <v>818</v>
      </c>
      <c r="D403" s="1" t="s">
        <v>101</v>
      </c>
      <c r="E403" s="1" t="s">
        <v>701</v>
      </c>
      <c r="F403" s="3">
        <v>46192</v>
      </c>
      <c r="G403" s="3">
        <v>46202</v>
      </c>
      <c r="H403" s="4">
        <v>1</v>
      </c>
      <c r="I403" s="3">
        <v>46202</v>
      </c>
      <c r="J403" s="1" t="s">
        <v>53</v>
      </c>
      <c r="K403" s="1" t="s">
        <v>712</v>
      </c>
      <c r="L403" s="1">
        <v>583</v>
      </c>
      <c r="M403" s="1" t="s">
        <v>342</v>
      </c>
      <c r="N403" s="2">
        <v>46205</v>
      </c>
      <c r="P403" s="1" t="s">
        <v>73</v>
      </c>
      <c r="Q403" s="1" t="s">
        <v>55</v>
      </c>
      <c r="R403" s="1" t="s">
        <v>593</v>
      </c>
      <c r="S403" s="2">
        <v>46189</v>
      </c>
      <c r="T403" s="2">
        <v>46202</v>
      </c>
      <c r="AB403" s="1">
        <v>1</v>
      </c>
      <c r="AC403" s="1">
        <v>1</v>
      </c>
      <c r="AD403" s="1">
        <v>1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1</v>
      </c>
    </row>
    <row r="404" spans="1:39" x14ac:dyDescent="0.25">
      <c r="A404" s="1">
        <v>583</v>
      </c>
      <c r="B404" s="1" t="s">
        <v>819</v>
      </c>
      <c r="C404" s="1" t="s">
        <v>818</v>
      </c>
      <c r="D404" s="1" t="s">
        <v>105</v>
      </c>
      <c r="E404" s="1" t="s">
        <v>52</v>
      </c>
      <c r="F404" s="3">
        <v>46203</v>
      </c>
      <c r="G404" s="3">
        <v>46203</v>
      </c>
      <c r="H404" s="4">
        <v>0</v>
      </c>
      <c r="J404" s="1" t="s">
        <v>41</v>
      </c>
      <c r="K404" s="1">
        <v>582</v>
      </c>
      <c r="L404" s="1">
        <v>584</v>
      </c>
      <c r="M404" s="1" t="s">
        <v>166</v>
      </c>
      <c r="N404" s="2">
        <v>46206</v>
      </c>
      <c r="P404" s="1" t="s">
        <v>146</v>
      </c>
      <c r="Q404" s="1" t="s">
        <v>55</v>
      </c>
      <c r="R404" s="1" t="s">
        <v>593</v>
      </c>
      <c r="S404" s="2">
        <v>46203</v>
      </c>
      <c r="T404" s="2">
        <v>46203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1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</row>
    <row r="405" spans="1:39" x14ac:dyDescent="0.25">
      <c r="A405" s="1">
        <v>584</v>
      </c>
      <c r="B405" s="1" t="s">
        <v>820</v>
      </c>
      <c r="C405" s="1" t="s">
        <v>818</v>
      </c>
      <c r="D405" s="1" t="s">
        <v>109</v>
      </c>
      <c r="E405" s="1" t="s">
        <v>52</v>
      </c>
      <c r="F405" s="3">
        <v>46204</v>
      </c>
      <c r="G405" s="3">
        <v>46204</v>
      </c>
      <c r="H405" s="4">
        <v>0</v>
      </c>
      <c r="J405" s="1" t="s">
        <v>41</v>
      </c>
      <c r="K405" s="1">
        <v>583</v>
      </c>
      <c r="L405" s="1">
        <v>585</v>
      </c>
      <c r="M405" s="1" t="s">
        <v>705</v>
      </c>
      <c r="N405" s="2">
        <v>46210</v>
      </c>
      <c r="P405" s="1" t="s">
        <v>67</v>
      </c>
      <c r="Q405" s="1" t="s">
        <v>55</v>
      </c>
      <c r="R405" s="1" t="s">
        <v>593</v>
      </c>
      <c r="S405" s="2">
        <v>46204</v>
      </c>
      <c r="T405" s="2">
        <v>46205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1</v>
      </c>
      <c r="AK405" s="1">
        <v>0</v>
      </c>
      <c r="AL405" s="1">
        <v>0</v>
      </c>
      <c r="AM405" s="1">
        <v>0</v>
      </c>
    </row>
    <row r="406" spans="1:39" x14ac:dyDescent="0.25">
      <c r="A406" s="1">
        <v>585</v>
      </c>
      <c r="B406" s="1" t="s">
        <v>821</v>
      </c>
      <c r="C406" s="1" t="s">
        <v>818</v>
      </c>
      <c r="D406" s="1" t="s">
        <v>115</v>
      </c>
      <c r="E406" s="1" t="s">
        <v>52</v>
      </c>
      <c r="F406" s="3">
        <v>46205</v>
      </c>
      <c r="G406" s="3">
        <v>46205</v>
      </c>
      <c r="H406" s="4">
        <v>0</v>
      </c>
      <c r="J406" s="1" t="s">
        <v>41</v>
      </c>
      <c r="K406" s="1">
        <v>584</v>
      </c>
      <c r="M406" s="1" t="s">
        <v>707</v>
      </c>
      <c r="N406" s="2">
        <v>46211</v>
      </c>
      <c r="P406" s="1" t="s">
        <v>67</v>
      </c>
      <c r="Q406" s="1" t="s">
        <v>55</v>
      </c>
      <c r="R406" s="1" t="s">
        <v>593</v>
      </c>
      <c r="S406" s="2">
        <v>46206</v>
      </c>
      <c r="T406" s="2">
        <v>46206</v>
      </c>
      <c r="AB406" s="1">
        <v>0</v>
      </c>
      <c r="AC406" s="1">
        <v>0</v>
      </c>
      <c r="AD406" s="1">
        <v>0</v>
      </c>
      <c r="AE406" s="1">
        <v>0</v>
      </c>
      <c r="AF406" s="1">
        <v>1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1</v>
      </c>
      <c r="AM406" s="1">
        <v>0</v>
      </c>
    </row>
    <row r="407" spans="1:39" x14ac:dyDescent="0.25">
      <c r="A407" s="1">
        <v>586</v>
      </c>
      <c r="B407" s="1" t="s">
        <v>822</v>
      </c>
      <c r="C407" s="1" t="s">
        <v>595</v>
      </c>
      <c r="D407" s="1" t="s">
        <v>823</v>
      </c>
      <c r="E407" s="1" t="s">
        <v>260</v>
      </c>
      <c r="F407" s="3">
        <v>46195</v>
      </c>
      <c r="G407" s="3">
        <v>46206</v>
      </c>
      <c r="H407" s="4">
        <v>0.7</v>
      </c>
      <c r="J407" s="1" t="s">
        <v>41</v>
      </c>
      <c r="M407" s="1" t="s">
        <v>342</v>
      </c>
      <c r="N407" s="2">
        <v>46211</v>
      </c>
      <c r="P407" s="1" t="s">
        <v>73</v>
      </c>
      <c r="Q407" s="1" t="s">
        <v>55</v>
      </c>
      <c r="R407" s="1" t="s">
        <v>593</v>
      </c>
      <c r="S407" s="2">
        <v>46189</v>
      </c>
      <c r="T407" s="2">
        <v>46206</v>
      </c>
      <c r="U407" s="1" t="s">
        <v>77</v>
      </c>
      <c r="AB407" s="1">
        <v>0.7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</row>
    <row r="408" spans="1:39" x14ac:dyDescent="0.25">
      <c r="A408" s="1">
        <v>587</v>
      </c>
      <c r="B408" s="1" t="s">
        <v>824</v>
      </c>
      <c r="C408" s="1" t="s">
        <v>825</v>
      </c>
      <c r="D408" s="1" t="s">
        <v>101</v>
      </c>
      <c r="E408" s="1" t="s">
        <v>701</v>
      </c>
      <c r="F408" s="3">
        <v>46195</v>
      </c>
      <c r="G408" s="3">
        <v>46203</v>
      </c>
      <c r="H408" s="4">
        <v>1</v>
      </c>
      <c r="I408" s="3">
        <v>46203</v>
      </c>
      <c r="J408" s="1" t="s">
        <v>53</v>
      </c>
      <c r="K408" s="1" t="s">
        <v>712</v>
      </c>
      <c r="L408" s="1">
        <v>588</v>
      </c>
      <c r="M408" s="1" t="s">
        <v>342</v>
      </c>
      <c r="N408" s="2">
        <v>46205</v>
      </c>
      <c r="P408" s="1" t="s">
        <v>73</v>
      </c>
      <c r="Q408" s="1" t="s">
        <v>55</v>
      </c>
      <c r="R408" s="1" t="s">
        <v>593</v>
      </c>
      <c r="S408" s="2">
        <v>46189</v>
      </c>
      <c r="T408" s="2">
        <v>46202</v>
      </c>
      <c r="AB408" s="1">
        <v>1</v>
      </c>
      <c r="AC408" s="1">
        <v>1</v>
      </c>
      <c r="AD408" s="1">
        <v>1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1</v>
      </c>
    </row>
    <row r="409" spans="1:39" x14ac:dyDescent="0.25">
      <c r="A409" s="1">
        <v>588</v>
      </c>
      <c r="B409" s="1" t="s">
        <v>826</v>
      </c>
      <c r="C409" s="1" t="s">
        <v>825</v>
      </c>
      <c r="D409" s="1" t="s">
        <v>105</v>
      </c>
      <c r="E409" s="1" t="s">
        <v>52</v>
      </c>
      <c r="F409" s="3">
        <v>46204</v>
      </c>
      <c r="G409" s="3">
        <v>46204</v>
      </c>
      <c r="H409" s="4">
        <v>0</v>
      </c>
      <c r="J409" s="1" t="s">
        <v>41</v>
      </c>
      <c r="K409" s="1">
        <v>587</v>
      </c>
      <c r="L409" s="1">
        <v>589</v>
      </c>
      <c r="M409" s="1" t="s">
        <v>166</v>
      </c>
      <c r="N409" s="2">
        <v>46206</v>
      </c>
      <c r="P409" s="1" t="s">
        <v>146</v>
      </c>
      <c r="Q409" s="1" t="s">
        <v>55</v>
      </c>
      <c r="R409" s="1" t="s">
        <v>593</v>
      </c>
      <c r="S409" s="2">
        <v>46203</v>
      </c>
      <c r="T409" s="2">
        <v>46203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1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</row>
    <row r="410" spans="1:39" x14ac:dyDescent="0.25">
      <c r="A410" s="1">
        <v>589</v>
      </c>
      <c r="B410" s="1" t="s">
        <v>827</v>
      </c>
      <c r="C410" s="1" t="s">
        <v>825</v>
      </c>
      <c r="D410" s="1" t="s">
        <v>109</v>
      </c>
      <c r="E410" s="1" t="s">
        <v>52</v>
      </c>
      <c r="F410" s="3">
        <v>46205</v>
      </c>
      <c r="G410" s="3">
        <v>46205</v>
      </c>
      <c r="H410" s="4">
        <v>0</v>
      </c>
      <c r="J410" s="1" t="s">
        <v>41</v>
      </c>
      <c r="K410" s="1">
        <v>588</v>
      </c>
      <c r="L410" s="1">
        <v>590</v>
      </c>
      <c r="M410" s="1" t="s">
        <v>705</v>
      </c>
      <c r="N410" s="2">
        <v>46210</v>
      </c>
      <c r="P410" s="1" t="s">
        <v>67</v>
      </c>
      <c r="Q410" s="1" t="s">
        <v>55</v>
      </c>
      <c r="R410" s="1" t="s">
        <v>593</v>
      </c>
      <c r="S410" s="2">
        <v>46204</v>
      </c>
      <c r="T410" s="2">
        <v>46205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1</v>
      </c>
      <c r="AK410" s="1">
        <v>0</v>
      </c>
      <c r="AL410" s="1">
        <v>0</v>
      </c>
      <c r="AM410" s="1">
        <v>0</v>
      </c>
    </row>
    <row r="411" spans="1:39" x14ac:dyDescent="0.25">
      <c r="A411" s="1">
        <v>590</v>
      </c>
      <c r="B411" s="1" t="s">
        <v>828</v>
      </c>
      <c r="C411" s="1" t="s">
        <v>825</v>
      </c>
      <c r="D411" s="1" t="s">
        <v>115</v>
      </c>
      <c r="E411" s="1" t="s">
        <v>52</v>
      </c>
      <c r="F411" s="3">
        <v>46206</v>
      </c>
      <c r="G411" s="3">
        <v>46206</v>
      </c>
      <c r="H411" s="4">
        <v>0</v>
      </c>
      <c r="J411" s="1" t="s">
        <v>168</v>
      </c>
      <c r="K411" s="1">
        <v>589</v>
      </c>
      <c r="M411" s="1" t="s">
        <v>707</v>
      </c>
      <c r="N411" s="2">
        <v>46211</v>
      </c>
      <c r="P411" s="1" t="s">
        <v>67</v>
      </c>
      <c r="Q411" s="1" t="s">
        <v>55</v>
      </c>
      <c r="R411" s="1" t="s">
        <v>593</v>
      </c>
      <c r="S411" s="2">
        <v>46206</v>
      </c>
      <c r="T411" s="2">
        <v>46206</v>
      </c>
      <c r="AB411" s="1">
        <v>0</v>
      </c>
      <c r="AC411" s="1">
        <v>0</v>
      </c>
      <c r="AD411" s="1">
        <v>0</v>
      </c>
      <c r="AE411" s="1">
        <v>0</v>
      </c>
      <c r="AF411" s="1">
        <v>1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</row>
    <row r="412" spans="1:39" x14ac:dyDescent="0.25">
      <c r="A412" s="1">
        <v>591</v>
      </c>
      <c r="B412" s="1" t="s">
        <v>829</v>
      </c>
      <c r="C412" s="1" t="s">
        <v>595</v>
      </c>
      <c r="D412" s="1" t="s">
        <v>830</v>
      </c>
      <c r="E412" s="1" t="s">
        <v>260</v>
      </c>
      <c r="F412" s="3">
        <v>46195</v>
      </c>
      <c r="G412" s="3">
        <v>46206</v>
      </c>
      <c r="H412" s="4">
        <v>0.7</v>
      </c>
      <c r="J412" s="1" t="s">
        <v>41</v>
      </c>
      <c r="M412" s="1" t="s">
        <v>342</v>
      </c>
      <c r="N412" s="2">
        <v>46211</v>
      </c>
      <c r="P412" s="1" t="s">
        <v>73</v>
      </c>
      <c r="Q412" s="1" t="s">
        <v>55</v>
      </c>
      <c r="R412" s="1" t="s">
        <v>593</v>
      </c>
      <c r="S412" s="2">
        <v>46189</v>
      </c>
      <c r="T412" s="2">
        <v>46206</v>
      </c>
      <c r="U412" s="1" t="s">
        <v>77</v>
      </c>
      <c r="AB412" s="1">
        <v>0.7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</row>
    <row r="413" spans="1:39" x14ac:dyDescent="0.25">
      <c r="A413" s="1">
        <v>592</v>
      </c>
      <c r="B413" s="1" t="s">
        <v>831</v>
      </c>
      <c r="C413" s="1" t="s">
        <v>832</v>
      </c>
      <c r="D413" s="1" t="s">
        <v>101</v>
      </c>
      <c r="E413" s="1" t="s">
        <v>701</v>
      </c>
      <c r="F413" s="3">
        <v>46195</v>
      </c>
      <c r="G413" s="3">
        <v>46203</v>
      </c>
      <c r="H413" s="4">
        <v>1</v>
      </c>
      <c r="I413" s="3">
        <v>46203</v>
      </c>
      <c r="J413" s="1" t="s">
        <v>53</v>
      </c>
      <c r="K413" s="1" t="s">
        <v>712</v>
      </c>
      <c r="L413" s="1">
        <v>593</v>
      </c>
      <c r="M413" s="1" t="s">
        <v>342</v>
      </c>
      <c r="N413" s="2">
        <v>46205</v>
      </c>
      <c r="P413" s="1" t="s">
        <v>73</v>
      </c>
      <c r="Q413" s="1" t="s">
        <v>55</v>
      </c>
      <c r="R413" s="1" t="s">
        <v>593</v>
      </c>
      <c r="S413" s="2">
        <v>46189</v>
      </c>
      <c r="T413" s="2">
        <v>46202</v>
      </c>
      <c r="AB413" s="1">
        <v>1</v>
      </c>
      <c r="AC413" s="1">
        <v>1</v>
      </c>
      <c r="AD413" s="1">
        <v>1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1</v>
      </c>
    </row>
    <row r="414" spans="1:39" x14ac:dyDescent="0.25">
      <c r="A414" s="1">
        <v>593</v>
      </c>
      <c r="B414" s="1" t="s">
        <v>833</v>
      </c>
      <c r="C414" s="1" t="s">
        <v>832</v>
      </c>
      <c r="D414" s="1" t="s">
        <v>105</v>
      </c>
      <c r="E414" s="1" t="s">
        <v>52</v>
      </c>
      <c r="F414" s="3">
        <v>46204</v>
      </c>
      <c r="G414" s="3">
        <v>46204</v>
      </c>
      <c r="H414" s="4">
        <v>0</v>
      </c>
      <c r="J414" s="1" t="s">
        <v>41</v>
      </c>
      <c r="K414" s="1">
        <v>592</v>
      </c>
      <c r="L414" s="1">
        <v>594</v>
      </c>
      <c r="M414" s="1" t="s">
        <v>166</v>
      </c>
      <c r="N414" s="2">
        <v>46206</v>
      </c>
      <c r="P414" s="1" t="s">
        <v>146</v>
      </c>
      <c r="Q414" s="1" t="s">
        <v>55</v>
      </c>
      <c r="R414" s="1" t="s">
        <v>593</v>
      </c>
      <c r="S414" s="2">
        <v>46203</v>
      </c>
      <c r="T414" s="2">
        <v>46203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1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</row>
    <row r="415" spans="1:39" x14ac:dyDescent="0.25">
      <c r="A415" s="1">
        <v>594</v>
      </c>
      <c r="B415" s="1" t="s">
        <v>834</v>
      </c>
      <c r="C415" s="1" t="s">
        <v>832</v>
      </c>
      <c r="D415" s="1" t="s">
        <v>109</v>
      </c>
      <c r="E415" s="1" t="s">
        <v>52</v>
      </c>
      <c r="F415" s="3">
        <v>46205</v>
      </c>
      <c r="G415" s="3">
        <v>46205</v>
      </c>
      <c r="H415" s="4">
        <v>0</v>
      </c>
      <c r="J415" s="1" t="s">
        <v>41</v>
      </c>
      <c r="K415" s="1">
        <v>593</v>
      </c>
      <c r="L415" s="1">
        <v>595</v>
      </c>
      <c r="M415" s="1" t="s">
        <v>705</v>
      </c>
      <c r="N415" s="2">
        <v>46210</v>
      </c>
      <c r="P415" s="1" t="s">
        <v>67</v>
      </c>
      <c r="Q415" s="1" t="s">
        <v>55</v>
      </c>
      <c r="R415" s="1" t="s">
        <v>593</v>
      </c>
      <c r="S415" s="2">
        <v>46204</v>
      </c>
      <c r="T415" s="2">
        <v>46205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1</v>
      </c>
      <c r="AK415" s="1">
        <v>0</v>
      </c>
      <c r="AL415" s="1">
        <v>0</v>
      </c>
      <c r="AM415" s="1">
        <v>0</v>
      </c>
    </row>
    <row r="416" spans="1:39" x14ac:dyDescent="0.25">
      <c r="A416" s="1">
        <v>595</v>
      </c>
      <c r="B416" s="1" t="s">
        <v>835</v>
      </c>
      <c r="C416" s="1" t="s">
        <v>832</v>
      </c>
      <c r="D416" s="1" t="s">
        <v>115</v>
      </c>
      <c r="E416" s="1" t="s">
        <v>52</v>
      </c>
      <c r="F416" s="3">
        <v>46206</v>
      </c>
      <c r="G416" s="3">
        <v>46206</v>
      </c>
      <c r="H416" s="4">
        <v>0</v>
      </c>
      <c r="J416" s="1" t="s">
        <v>168</v>
      </c>
      <c r="K416" s="1">
        <v>594</v>
      </c>
      <c r="M416" s="1" t="s">
        <v>707</v>
      </c>
      <c r="N416" s="2">
        <v>46211</v>
      </c>
      <c r="P416" s="1" t="s">
        <v>67</v>
      </c>
      <c r="Q416" s="1" t="s">
        <v>55</v>
      </c>
      <c r="R416" s="1" t="s">
        <v>593</v>
      </c>
      <c r="S416" s="2">
        <v>46206</v>
      </c>
      <c r="T416" s="2">
        <v>46206</v>
      </c>
      <c r="AB416" s="1">
        <v>0</v>
      </c>
      <c r="AC416" s="1">
        <v>0</v>
      </c>
      <c r="AD416" s="1">
        <v>0</v>
      </c>
      <c r="AE416" s="1">
        <v>0</v>
      </c>
      <c r="AF416" s="1">
        <v>1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</row>
    <row r="417" spans="1:39" x14ac:dyDescent="0.25">
      <c r="A417" s="1">
        <v>596</v>
      </c>
      <c r="B417" s="1" t="s">
        <v>836</v>
      </c>
      <c r="C417" s="1" t="s">
        <v>595</v>
      </c>
      <c r="D417" s="1" t="s">
        <v>837</v>
      </c>
      <c r="E417" s="1" t="s">
        <v>260</v>
      </c>
      <c r="F417" s="3">
        <v>46192</v>
      </c>
      <c r="G417" s="3">
        <v>46205</v>
      </c>
      <c r="H417" s="4">
        <v>0.7</v>
      </c>
      <c r="J417" s="1" t="s">
        <v>41</v>
      </c>
      <c r="M417" s="1" t="s">
        <v>342</v>
      </c>
      <c r="N417" s="2">
        <v>46211</v>
      </c>
      <c r="P417" s="1" t="s">
        <v>73</v>
      </c>
      <c r="Q417" s="1" t="s">
        <v>55</v>
      </c>
      <c r="R417" s="1" t="s">
        <v>593</v>
      </c>
      <c r="S417" s="2">
        <v>46189</v>
      </c>
      <c r="T417" s="2">
        <v>46206</v>
      </c>
      <c r="U417" s="1" t="s">
        <v>77</v>
      </c>
      <c r="AB417" s="1">
        <v>0.7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</row>
    <row r="418" spans="1:39" x14ac:dyDescent="0.25">
      <c r="A418" s="1">
        <v>597</v>
      </c>
      <c r="B418" s="1" t="s">
        <v>838</v>
      </c>
      <c r="C418" s="1" t="s">
        <v>839</v>
      </c>
      <c r="D418" s="1" t="s">
        <v>101</v>
      </c>
      <c r="E418" s="1" t="s">
        <v>701</v>
      </c>
      <c r="F418" s="3">
        <v>46192</v>
      </c>
      <c r="G418" s="3">
        <v>46202</v>
      </c>
      <c r="H418" s="4">
        <v>1</v>
      </c>
      <c r="I418" s="3">
        <v>46202</v>
      </c>
      <c r="J418" s="1" t="s">
        <v>53</v>
      </c>
      <c r="K418" s="1" t="s">
        <v>712</v>
      </c>
      <c r="L418" s="1">
        <v>598</v>
      </c>
      <c r="M418" s="1" t="s">
        <v>342</v>
      </c>
      <c r="N418" s="2">
        <v>46205</v>
      </c>
      <c r="P418" s="1" t="s">
        <v>73</v>
      </c>
      <c r="Q418" s="1" t="s">
        <v>55</v>
      </c>
      <c r="R418" s="1" t="s">
        <v>593</v>
      </c>
      <c r="S418" s="2">
        <v>46189</v>
      </c>
      <c r="T418" s="2">
        <v>46202</v>
      </c>
      <c r="AB418" s="1">
        <v>1</v>
      </c>
      <c r="AC418" s="1">
        <v>1</v>
      </c>
      <c r="AD418" s="1">
        <v>1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1</v>
      </c>
    </row>
    <row r="419" spans="1:39" x14ac:dyDescent="0.25">
      <c r="A419" s="1">
        <v>598</v>
      </c>
      <c r="B419" s="1" t="s">
        <v>840</v>
      </c>
      <c r="C419" s="1" t="s">
        <v>839</v>
      </c>
      <c r="D419" s="1" t="s">
        <v>105</v>
      </c>
      <c r="E419" s="1" t="s">
        <v>52</v>
      </c>
      <c r="F419" s="3">
        <v>46203</v>
      </c>
      <c r="G419" s="3">
        <v>46203</v>
      </c>
      <c r="H419" s="4">
        <v>0</v>
      </c>
      <c r="J419" s="1" t="s">
        <v>41</v>
      </c>
      <c r="K419" s="1">
        <v>597</v>
      </c>
      <c r="L419" s="1">
        <v>599</v>
      </c>
      <c r="M419" s="1" t="s">
        <v>166</v>
      </c>
      <c r="N419" s="2">
        <v>46206</v>
      </c>
      <c r="P419" s="1" t="s">
        <v>146</v>
      </c>
      <c r="Q419" s="1" t="s">
        <v>55</v>
      </c>
      <c r="R419" s="1" t="s">
        <v>593</v>
      </c>
      <c r="S419" s="2">
        <v>46203</v>
      </c>
      <c r="T419" s="2">
        <v>46203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1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</row>
    <row r="420" spans="1:39" x14ac:dyDescent="0.25">
      <c r="A420" s="1">
        <v>599</v>
      </c>
      <c r="B420" s="1" t="s">
        <v>841</v>
      </c>
      <c r="C420" s="1" t="s">
        <v>839</v>
      </c>
      <c r="D420" s="1" t="s">
        <v>109</v>
      </c>
      <c r="E420" s="1" t="s">
        <v>52</v>
      </c>
      <c r="F420" s="3">
        <v>46204</v>
      </c>
      <c r="G420" s="3">
        <v>46204</v>
      </c>
      <c r="H420" s="4">
        <v>0</v>
      </c>
      <c r="J420" s="1" t="s">
        <v>41</v>
      </c>
      <c r="K420" s="1">
        <v>598</v>
      </c>
      <c r="L420" s="1">
        <v>600</v>
      </c>
      <c r="M420" s="1" t="s">
        <v>705</v>
      </c>
      <c r="N420" s="2">
        <v>46210</v>
      </c>
      <c r="P420" s="1" t="s">
        <v>67</v>
      </c>
      <c r="Q420" s="1" t="s">
        <v>55</v>
      </c>
      <c r="R420" s="1" t="s">
        <v>593</v>
      </c>
      <c r="S420" s="2">
        <v>46204</v>
      </c>
      <c r="T420" s="2">
        <v>46205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1</v>
      </c>
      <c r="AK420" s="1">
        <v>0</v>
      </c>
      <c r="AL420" s="1">
        <v>0</v>
      </c>
      <c r="AM420" s="1">
        <v>0</v>
      </c>
    </row>
    <row r="421" spans="1:39" x14ac:dyDescent="0.25">
      <c r="A421" s="1">
        <v>600</v>
      </c>
      <c r="B421" s="1" t="s">
        <v>842</v>
      </c>
      <c r="C421" s="1" t="s">
        <v>839</v>
      </c>
      <c r="D421" s="1" t="s">
        <v>115</v>
      </c>
      <c r="E421" s="1" t="s">
        <v>52</v>
      </c>
      <c r="F421" s="3">
        <v>46205</v>
      </c>
      <c r="G421" s="3">
        <v>46205</v>
      </c>
      <c r="H421" s="4">
        <v>0</v>
      </c>
      <c r="J421" s="1" t="s">
        <v>41</v>
      </c>
      <c r="K421" s="1">
        <v>599</v>
      </c>
      <c r="M421" s="1" t="s">
        <v>707</v>
      </c>
      <c r="N421" s="2">
        <v>46211</v>
      </c>
      <c r="P421" s="1" t="s">
        <v>67</v>
      </c>
      <c r="Q421" s="1" t="s">
        <v>55</v>
      </c>
      <c r="R421" s="1" t="s">
        <v>593</v>
      </c>
      <c r="S421" s="2">
        <v>46206</v>
      </c>
      <c r="T421" s="2">
        <v>46206</v>
      </c>
      <c r="AB421" s="1">
        <v>0</v>
      </c>
      <c r="AC421" s="1">
        <v>0</v>
      </c>
      <c r="AD421" s="1">
        <v>0</v>
      </c>
      <c r="AE421" s="1">
        <v>0</v>
      </c>
      <c r="AF421" s="1">
        <v>1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1</v>
      </c>
      <c r="AM421" s="1">
        <v>0</v>
      </c>
    </row>
    <row r="422" spans="1:39" x14ac:dyDescent="0.25">
      <c r="A422" s="1">
        <v>601</v>
      </c>
      <c r="B422" s="1" t="s">
        <v>843</v>
      </c>
      <c r="C422" s="1" t="s">
        <v>595</v>
      </c>
      <c r="D422" s="1" t="s">
        <v>844</v>
      </c>
      <c r="E422" s="1" t="s">
        <v>260</v>
      </c>
      <c r="F422" s="3">
        <v>46192</v>
      </c>
      <c r="G422" s="3">
        <v>46205</v>
      </c>
      <c r="H422" s="4">
        <v>0.7</v>
      </c>
      <c r="J422" s="1" t="s">
        <v>41</v>
      </c>
      <c r="M422" s="1" t="s">
        <v>342</v>
      </c>
      <c r="N422" s="2">
        <v>46211</v>
      </c>
      <c r="P422" s="1" t="s">
        <v>73</v>
      </c>
      <c r="Q422" s="1" t="s">
        <v>55</v>
      </c>
      <c r="R422" s="1" t="s">
        <v>593</v>
      </c>
      <c r="S422" s="2">
        <v>46189</v>
      </c>
      <c r="T422" s="2">
        <v>46206</v>
      </c>
      <c r="U422" s="1" t="s">
        <v>77</v>
      </c>
      <c r="AB422" s="1">
        <v>0.7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</row>
    <row r="423" spans="1:39" x14ac:dyDescent="0.25">
      <c r="A423" s="1">
        <v>602</v>
      </c>
      <c r="B423" s="1" t="s">
        <v>845</v>
      </c>
      <c r="C423" s="1" t="s">
        <v>846</v>
      </c>
      <c r="D423" s="1" t="s">
        <v>101</v>
      </c>
      <c r="E423" s="1" t="s">
        <v>701</v>
      </c>
      <c r="F423" s="3">
        <v>46192</v>
      </c>
      <c r="G423" s="3">
        <v>46202</v>
      </c>
      <c r="H423" s="4">
        <v>1</v>
      </c>
      <c r="I423" s="3">
        <v>46202</v>
      </c>
      <c r="J423" s="1" t="s">
        <v>53</v>
      </c>
      <c r="K423" s="1" t="s">
        <v>712</v>
      </c>
      <c r="L423" s="1">
        <v>603</v>
      </c>
      <c r="M423" s="1" t="s">
        <v>342</v>
      </c>
      <c r="N423" s="2">
        <v>46205</v>
      </c>
      <c r="P423" s="1" t="s">
        <v>73</v>
      </c>
      <c r="Q423" s="1" t="s">
        <v>55</v>
      </c>
      <c r="R423" s="1" t="s">
        <v>593</v>
      </c>
      <c r="S423" s="2">
        <v>46189</v>
      </c>
      <c r="T423" s="2">
        <v>46202</v>
      </c>
      <c r="AB423" s="1">
        <v>1</v>
      </c>
      <c r="AC423" s="1">
        <v>1</v>
      </c>
      <c r="AD423" s="1">
        <v>1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1</v>
      </c>
    </row>
    <row r="424" spans="1:39" x14ac:dyDescent="0.25">
      <c r="A424" s="1">
        <v>603</v>
      </c>
      <c r="B424" s="1" t="s">
        <v>847</v>
      </c>
      <c r="C424" s="1" t="s">
        <v>846</v>
      </c>
      <c r="D424" s="1" t="s">
        <v>105</v>
      </c>
      <c r="E424" s="1" t="s">
        <v>52</v>
      </c>
      <c r="F424" s="3">
        <v>46203</v>
      </c>
      <c r="G424" s="3">
        <v>46203</v>
      </c>
      <c r="H424" s="4">
        <v>0</v>
      </c>
      <c r="J424" s="1" t="s">
        <v>41</v>
      </c>
      <c r="K424" s="1">
        <v>602</v>
      </c>
      <c r="L424" s="1">
        <v>604</v>
      </c>
      <c r="M424" s="1" t="s">
        <v>166</v>
      </c>
      <c r="N424" s="2">
        <v>46206</v>
      </c>
      <c r="P424" s="1" t="s">
        <v>146</v>
      </c>
      <c r="Q424" s="1" t="s">
        <v>55</v>
      </c>
      <c r="R424" s="1" t="s">
        <v>593</v>
      </c>
      <c r="S424" s="2">
        <v>46203</v>
      </c>
      <c r="T424" s="2">
        <v>46203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1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</row>
    <row r="425" spans="1:39" x14ac:dyDescent="0.25">
      <c r="A425" s="1">
        <v>604</v>
      </c>
      <c r="B425" s="1" t="s">
        <v>848</v>
      </c>
      <c r="C425" s="1" t="s">
        <v>846</v>
      </c>
      <c r="D425" s="1" t="s">
        <v>109</v>
      </c>
      <c r="E425" s="1" t="s">
        <v>52</v>
      </c>
      <c r="F425" s="3">
        <v>46204</v>
      </c>
      <c r="G425" s="3">
        <v>46204</v>
      </c>
      <c r="H425" s="4">
        <v>0</v>
      </c>
      <c r="J425" s="1" t="s">
        <v>41</v>
      </c>
      <c r="K425" s="1">
        <v>603</v>
      </c>
      <c r="L425" s="1">
        <v>605</v>
      </c>
      <c r="M425" s="1" t="s">
        <v>705</v>
      </c>
      <c r="N425" s="2">
        <v>46210</v>
      </c>
      <c r="P425" s="1" t="s">
        <v>67</v>
      </c>
      <c r="Q425" s="1" t="s">
        <v>55</v>
      </c>
      <c r="R425" s="1" t="s">
        <v>593</v>
      </c>
      <c r="S425" s="2">
        <v>46204</v>
      </c>
      <c r="T425" s="2">
        <v>46205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1</v>
      </c>
      <c r="AK425" s="1">
        <v>0</v>
      </c>
      <c r="AL425" s="1">
        <v>0</v>
      </c>
      <c r="AM425" s="1">
        <v>0</v>
      </c>
    </row>
    <row r="426" spans="1:39" x14ac:dyDescent="0.25">
      <c r="A426" s="1">
        <v>605</v>
      </c>
      <c r="B426" s="1" t="s">
        <v>849</v>
      </c>
      <c r="C426" s="1" t="s">
        <v>846</v>
      </c>
      <c r="D426" s="1" t="s">
        <v>115</v>
      </c>
      <c r="E426" s="1" t="s">
        <v>52</v>
      </c>
      <c r="F426" s="3">
        <v>46205</v>
      </c>
      <c r="G426" s="3">
        <v>46205</v>
      </c>
      <c r="H426" s="4">
        <v>0</v>
      </c>
      <c r="J426" s="1" t="s">
        <v>41</v>
      </c>
      <c r="K426" s="1">
        <v>604</v>
      </c>
      <c r="M426" s="1" t="s">
        <v>707</v>
      </c>
      <c r="N426" s="2">
        <v>46211</v>
      </c>
      <c r="P426" s="1" t="s">
        <v>67</v>
      </c>
      <c r="Q426" s="1" t="s">
        <v>55</v>
      </c>
      <c r="R426" s="1" t="s">
        <v>593</v>
      </c>
      <c r="S426" s="2">
        <v>46206</v>
      </c>
      <c r="T426" s="2">
        <v>46206</v>
      </c>
      <c r="AB426" s="1">
        <v>0</v>
      </c>
      <c r="AC426" s="1">
        <v>0</v>
      </c>
      <c r="AD426" s="1">
        <v>0</v>
      </c>
      <c r="AE426" s="1">
        <v>0</v>
      </c>
      <c r="AF426" s="1">
        <v>1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1</v>
      </c>
      <c r="AM426" s="1">
        <v>0</v>
      </c>
    </row>
    <row r="427" spans="1:39" x14ac:dyDescent="0.25">
      <c r="A427" s="1">
        <v>606</v>
      </c>
      <c r="B427" s="1" t="s">
        <v>850</v>
      </c>
      <c r="C427" s="1" t="s">
        <v>595</v>
      </c>
      <c r="D427" s="1" t="s">
        <v>851</v>
      </c>
      <c r="E427" s="1" t="s">
        <v>260</v>
      </c>
      <c r="F427" s="3">
        <v>46192</v>
      </c>
      <c r="G427" s="3">
        <v>46205</v>
      </c>
      <c r="H427" s="4">
        <v>0.7</v>
      </c>
      <c r="J427" s="1" t="s">
        <v>41</v>
      </c>
      <c r="M427" s="1" t="s">
        <v>342</v>
      </c>
      <c r="N427" s="2">
        <v>46211</v>
      </c>
      <c r="P427" s="1" t="s">
        <v>73</v>
      </c>
      <c r="Q427" s="1" t="s">
        <v>55</v>
      </c>
      <c r="R427" s="1" t="s">
        <v>593</v>
      </c>
      <c r="S427" s="2">
        <v>46189</v>
      </c>
      <c r="T427" s="2">
        <v>46206</v>
      </c>
      <c r="U427" s="1" t="s">
        <v>77</v>
      </c>
      <c r="AB427" s="1">
        <v>0.7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</row>
    <row r="428" spans="1:39" x14ac:dyDescent="0.25">
      <c r="A428" s="1">
        <v>607</v>
      </c>
      <c r="B428" s="1" t="s">
        <v>852</v>
      </c>
      <c r="C428" s="1" t="s">
        <v>853</v>
      </c>
      <c r="D428" s="1" t="s">
        <v>101</v>
      </c>
      <c r="E428" s="1" t="s">
        <v>701</v>
      </c>
      <c r="F428" s="3">
        <v>46192</v>
      </c>
      <c r="G428" s="3">
        <v>46202</v>
      </c>
      <c r="H428" s="4">
        <v>1</v>
      </c>
      <c r="I428" s="3">
        <v>46202</v>
      </c>
      <c r="J428" s="1" t="s">
        <v>53</v>
      </c>
      <c r="K428" s="1" t="s">
        <v>712</v>
      </c>
      <c r="L428" s="1">
        <v>608</v>
      </c>
      <c r="M428" s="1" t="s">
        <v>342</v>
      </c>
      <c r="N428" s="2">
        <v>46205</v>
      </c>
      <c r="P428" s="1" t="s">
        <v>73</v>
      </c>
      <c r="Q428" s="1" t="s">
        <v>55</v>
      </c>
      <c r="R428" s="1" t="s">
        <v>593</v>
      </c>
      <c r="S428" s="2">
        <v>46189</v>
      </c>
      <c r="T428" s="2">
        <v>46202</v>
      </c>
      <c r="AB428" s="1">
        <v>1</v>
      </c>
      <c r="AC428" s="1">
        <v>1</v>
      </c>
      <c r="AD428" s="1">
        <v>1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1</v>
      </c>
    </row>
    <row r="429" spans="1:39" x14ac:dyDescent="0.25">
      <c r="A429" s="1">
        <v>608</v>
      </c>
      <c r="B429" s="1" t="s">
        <v>854</v>
      </c>
      <c r="C429" s="1" t="s">
        <v>853</v>
      </c>
      <c r="D429" s="1" t="s">
        <v>105</v>
      </c>
      <c r="E429" s="1" t="s">
        <v>52</v>
      </c>
      <c r="F429" s="3">
        <v>46203</v>
      </c>
      <c r="G429" s="3">
        <v>46203</v>
      </c>
      <c r="H429" s="4">
        <v>0</v>
      </c>
      <c r="J429" s="1" t="s">
        <v>41</v>
      </c>
      <c r="K429" s="1">
        <v>607</v>
      </c>
      <c r="L429" s="1">
        <v>609</v>
      </c>
      <c r="M429" s="1" t="s">
        <v>166</v>
      </c>
      <c r="N429" s="2">
        <v>46206</v>
      </c>
      <c r="P429" s="1" t="s">
        <v>146</v>
      </c>
      <c r="Q429" s="1" t="s">
        <v>55</v>
      </c>
      <c r="R429" s="1" t="s">
        <v>593</v>
      </c>
      <c r="S429" s="2">
        <v>46203</v>
      </c>
      <c r="T429" s="2">
        <v>46203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1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</row>
    <row r="430" spans="1:39" x14ac:dyDescent="0.25">
      <c r="A430" s="1">
        <v>609</v>
      </c>
      <c r="B430" s="1" t="s">
        <v>855</v>
      </c>
      <c r="C430" s="1" t="s">
        <v>853</v>
      </c>
      <c r="D430" s="1" t="s">
        <v>109</v>
      </c>
      <c r="E430" s="1" t="s">
        <v>52</v>
      </c>
      <c r="F430" s="3">
        <v>46204</v>
      </c>
      <c r="G430" s="3">
        <v>46204</v>
      </c>
      <c r="H430" s="4">
        <v>0</v>
      </c>
      <c r="J430" s="1" t="s">
        <v>41</v>
      </c>
      <c r="K430" s="1">
        <v>608</v>
      </c>
      <c r="L430" s="1">
        <v>610</v>
      </c>
      <c r="M430" s="1" t="s">
        <v>705</v>
      </c>
      <c r="N430" s="2">
        <v>46210</v>
      </c>
      <c r="P430" s="1" t="s">
        <v>67</v>
      </c>
      <c r="Q430" s="1" t="s">
        <v>55</v>
      </c>
      <c r="R430" s="1" t="s">
        <v>593</v>
      </c>
      <c r="S430" s="2">
        <v>46204</v>
      </c>
      <c r="T430" s="2">
        <v>46205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1</v>
      </c>
      <c r="AK430" s="1">
        <v>0</v>
      </c>
      <c r="AL430" s="1">
        <v>0</v>
      </c>
      <c r="AM430" s="1">
        <v>0</v>
      </c>
    </row>
    <row r="431" spans="1:39" x14ac:dyDescent="0.25">
      <c r="A431" s="1">
        <v>610</v>
      </c>
      <c r="B431" s="1" t="s">
        <v>856</v>
      </c>
      <c r="C431" s="1" t="s">
        <v>853</v>
      </c>
      <c r="D431" s="1" t="s">
        <v>115</v>
      </c>
      <c r="E431" s="1" t="s">
        <v>52</v>
      </c>
      <c r="F431" s="3">
        <v>46205</v>
      </c>
      <c r="G431" s="3">
        <v>46205</v>
      </c>
      <c r="H431" s="4">
        <v>0</v>
      </c>
      <c r="J431" s="1" t="s">
        <v>41</v>
      </c>
      <c r="K431" s="1">
        <v>609</v>
      </c>
      <c r="M431" s="1" t="s">
        <v>707</v>
      </c>
      <c r="N431" s="2">
        <v>46211</v>
      </c>
      <c r="P431" s="1" t="s">
        <v>67</v>
      </c>
      <c r="Q431" s="1" t="s">
        <v>55</v>
      </c>
      <c r="R431" s="1" t="s">
        <v>593</v>
      </c>
      <c r="S431" s="2">
        <v>46206</v>
      </c>
      <c r="T431" s="2">
        <v>46206</v>
      </c>
      <c r="AB431" s="1">
        <v>0</v>
      </c>
      <c r="AC431" s="1">
        <v>0</v>
      </c>
      <c r="AD431" s="1">
        <v>0</v>
      </c>
      <c r="AE431" s="1">
        <v>0</v>
      </c>
      <c r="AF431" s="1">
        <v>1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1</v>
      </c>
      <c r="AM431" s="1">
        <v>0</v>
      </c>
    </row>
    <row r="432" spans="1:39" x14ac:dyDescent="0.25">
      <c r="A432" s="1">
        <v>611</v>
      </c>
      <c r="B432" s="1" t="s">
        <v>857</v>
      </c>
      <c r="C432" s="1" t="s">
        <v>595</v>
      </c>
      <c r="D432" s="1" t="s">
        <v>858</v>
      </c>
      <c r="E432" s="1" t="s">
        <v>260</v>
      </c>
      <c r="F432" s="3">
        <v>46192</v>
      </c>
      <c r="G432" s="3">
        <v>46205</v>
      </c>
      <c r="H432" s="4">
        <v>0.7</v>
      </c>
      <c r="J432" s="1" t="s">
        <v>41</v>
      </c>
      <c r="M432" s="1" t="s">
        <v>342</v>
      </c>
      <c r="N432" s="2">
        <v>46211</v>
      </c>
      <c r="P432" s="1" t="s">
        <v>73</v>
      </c>
      <c r="Q432" s="1" t="s">
        <v>55</v>
      </c>
      <c r="R432" s="1" t="s">
        <v>593</v>
      </c>
      <c r="S432" s="2">
        <v>46189</v>
      </c>
      <c r="T432" s="2">
        <v>46206</v>
      </c>
      <c r="U432" s="1" t="s">
        <v>77</v>
      </c>
      <c r="AB432" s="1">
        <v>0.7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</row>
    <row r="433" spans="1:39" x14ac:dyDescent="0.25">
      <c r="A433" s="1">
        <v>612</v>
      </c>
      <c r="B433" s="1" t="s">
        <v>859</v>
      </c>
      <c r="C433" s="1" t="s">
        <v>860</v>
      </c>
      <c r="D433" s="1" t="s">
        <v>101</v>
      </c>
      <c r="E433" s="1" t="s">
        <v>701</v>
      </c>
      <c r="F433" s="3">
        <v>46192</v>
      </c>
      <c r="G433" s="3">
        <v>46202</v>
      </c>
      <c r="H433" s="4">
        <v>1</v>
      </c>
      <c r="I433" s="3">
        <v>46202</v>
      </c>
      <c r="J433" s="1" t="s">
        <v>53</v>
      </c>
      <c r="K433" s="1" t="s">
        <v>712</v>
      </c>
      <c r="L433" s="1">
        <v>613</v>
      </c>
      <c r="M433" s="1" t="s">
        <v>342</v>
      </c>
      <c r="N433" s="2">
        <v>46205</v>
      </c>
      <c r="P433" s="1" t="s">
        <v>73</v>
      </c>
      <c r="Q433" s="1" t="s">
        <v>55</v>
      </c>
      <c r="R433" s="1" t="s">
        <v>593</v>
      </c>
      <c r="S433" s="2">
        <v>46189</v>
      </c>
      <c r="T433" s="2">
        <v>46202</v>
      </c>
      <c r="AB433" s="1">
        <v>1</v>
      </c>
      <c r="AC433" s="1">
        <v>1</v>
      </c>
      <c r="AD433" s="1">
        <v>1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1</v>
      </c>
    </row>
    <row r="434" spans="1:39" x14ac:dyDescent="0.25">
      <c r="A434" s="1">
        <v>613</v>
      </c>
      <c r="B434" s="1" t="s">
        <v>861</v>
      </c>
      <c r="C434" s="1" t="s">
        <v>860</v>
      </c>
      <c r="D434" s="1" t="s">
        <v>105</v>
      </c>
      <c r="E434" s="1" t="s">
        <v>52</v>
      </c>
      <c r="F434" s="3">
        <v>46203</v>
      </c>
      <c r="G434" s="3">
        <v>46203</v>
      </c>
      <c r="H434" s="4">
        <v>0</v>
      </c>
      <c r="J434" s="1" t="s">
        <v>41</v>
      </c>
      <c r="K434" s="1">
        <v>612</v>
      </c>
      <c r="L434" s="1">
        <v>614</v>
      </c>
      <c r="M434" s="1" t="s">
        <v>166</v>
      </c>
      <c r="N434" s="2">
        <v>46206</v>
      </c>
      <c r="P434" s="1" t="s">
        <v>146</v>
      </c>
      <c r="Q434" s="1" t="s">
        <v>55</v>
      </c>
      <c r="R434" s="1" t="s">
        <v>593</v>
      </c>
      <c r="S434" s="2">
        <v>46203</v>
      </c>
      <c r="T434" s="2">
        <v>46203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1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</row>
    <row r="435" spans="1:39" x14ac:dyDescent="0.25">
      <c r="A435" s="1">
        <v>614</v>
      </c>
      <c r="B435" s="1" t="s">
        <v>862</v>
      </c>
      <c r="C435" s="1" t="s">
        <v>860</v>
      </c>
      <c r="D435" s="1" t="s">
        <v>109</v>
      </c>
      <c r="E435" s="1" t="s">
        <v>52</v>
      </c>
      <c r="F435" s="3">
        <v>46204</v>
      </c>
      <c r="G435" s="3">
        <v>46204</v>
      </c>
      <c r="H435" s="4">
        <v>0</v>
      </c>
      <c r="J435" s="1" t="s">
        <v>41</v>
      </c>
      <c r="K435" s="1">
        <v>613</v>
      </c>
      <c r="L435" s="1">
        <v>615</v>
      </c>
      <c r="M435" s="1" t="s">
        <v>705</v>
      </c>
      <c r="N435" s="2">
        <v>46210</v>
      </c>
      <c r="P435" s="1" t="s">
        <v>67</v>
      </c>
      <c r="Q435" s="1" t="s">
        <v>55</v>
      </c>
      <c r="R435" s="1" t="s">
        <v>593</v>
      </c>
      <c r="S435" s="2">
        <v>46204</v>
      </c>
      <c r="T435" s="2">
        <v>46205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1</v>
      </c>
      <c r="AK435" s="1">
        <v>0</v>
      </c>
      <c r="AL435" s="1">
        <v>0</v>
      </c>
      <c r="AM435" s="1">
        <v>0</v>
      </c>
    </row>
    <row r="436" spans="1:39" x14ac:dyDescent="0.25">
      <c r="A436" s="1">
        <v>615</v>
      </c>
      <c r="B436" s="1" t="s">
        <v>863</v>
      </c>
      <c r="C436" s="1" t="s">
        <v>860</v>
      </c>
      <c r="D436" s="1" t="s">
        <v>115</v>
      </c>
      <c r="E436" s="1" t="s">
        <v>52</v>
      </c>
      <c r="F436" s="3">
        <v>46205</v>
      </c>
      <c r="G436" s="3">
        <v>46205</v>
      </c>
      <c r="H436" s="4">
        <v>0</v>
      </c>
      <c r="J436" s="1" t="s">
        <v>41</v>
      </c>
      <c r="K436" s="1">
        <v>614</v>
      </c>
      <c r="M436" s="1" t="s">
        <v>707</v>
      </c>
      <c r="N436" s="2">
        <v>46211</v>
      </c>
      <c r="P436" s="1" t="s">
        <v>67</v>
      </c>
      <c r="Q436" s="1" t="s">
        <v>55</v>
      </c>
      <c r="R436" s="1" t="s">
        <v>593</v>
      </c>
      <c r="S436" s="2">
        <v>46206</v>
      </c>
      <c r="T436" s="2">
        <v>46206</v>
      </c>
      <c r="AB436" s="1">
        <v>0</v>
      </c>
      <c r="AC436" s="1">
        <v>0</v>
      </c>
      <c r="AD436" s="1">
        <v>0</v>
      </c>
      <c r="AE436" s="1">
        <v>0</v>
      </c>
      <c r="AF436" s="1">
        <v>1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1</v>
      </c>
      <c r="AM436" s="1">
        <v>0</v>
      </c>
    </row>
    <row r="437" spans="1:39" x14ac:dyDescent="0.25">
      <c r="A437" s="1">
        <v>616</v>
      </c>
      <c r="B437" s="1" t="s">
        <v>864</v>
      </c>
      <c r="C437" s="1" t="s">
        <v>595</v>
      </c>
      <c r="D437" s="1" t="s">
        <v>865</v>
      </c>
      <c r="E437" s="1" t="s">
        <v>866</v>
      </c>
      <c r="F437" s="3">
        <v>46203</v>
      </c>
      <c r="G437" s="3">
        <v>46217</v>
      </c>
      <c r="H437" s="4">
        <v>0.3</v>
      </c>
      <c r="J437" s="1" t="s">
        <v>168</v>
      </c>
      <c r="M437" s="1" t="s">
        <v>160</v>
      </c>
      <c r="N437" s="2">
        <v>46211</v>
      </c>
      <c r="P437" s="1" t="s">
        <v>146</v>
      </c>
      <c r="Q437" s="1" t="s">
        <v>55</v>
      </c>
      <c r="R437" s="1" t="s">
        <v>593</v>
      </c>
      <c r="S437" s="2">
        <v>46197</v>
      </c>
      <c r="T437" s="2">
        <v>46205</v>
      </c>
      <c r="U437" s="1" t="s">
        <v>77</v>
      </c>
      <c r="AB437" s="1">
        <v>0.3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</row>
    <row r="438" spans="1:39" x14ac:dyDescent="0.25">
      <c r="A438" s="1">
        <v>617</v>
      </c>
      <c r="B438" s="1" t="s">
        <v>867</v>
      </c>
      <c r="C438" s="1" t="s">
        <v>868</v>
      </c>
      <c r="D438" s="1" t="s">
        <v>101</v>
      </c>
      <c r="E438" s="1" t="s">
        <v>116</v>
      </c>
      <c r="F438" s="3">
        <v>46203</v>
      </c>
      <c r="G438" s="3">
        <v>46209</v>
      </c>
      <c r="H438" s="4">
        <v>0.9</v>
      </c>
      <c r="J438" s="1" t="s">
        <v>168</v>
      </c>
      <c r="K438" s="1">
        <v>477</v>
      </c>
      <c r="L438" s="1">
        <v>618</v>
      </c>
      <c r="M438" s="1" t="s">
        <v>160</v>
      </c>
      <c r="N438" s="2">
        <v>46205</v>
      </c>
      <c r="P438" s="1" t="s">
        <v>146</v>
      </c>
      <c r="Q438" s="1" t="s">
        <v>55</v>
      </c>
      <c r="R438" s="1" t="s">
        <v>593</v>
      </c>
      <c r="S438" s="2">
        <v>46197</v>
      </c>
      <c r="T438" s="2">
        <v>46199</v>
      </c>
      <c r="AB438" s="1">
        <v>0.9</v>
      </c>
      <c r="AC438" s="1">
        <v>1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</row>
    <row r="439" spans="1:39" x14ac:dyDescent="0.25">
      <c r="A439" s="1">
        <v>618</v>
      </c>
      <c r="B439" s="1" t="s">
        <v>869</v>
      </c>
      <c r="C439" s="1" t="s">
        <v>868</v>
      </c>
      <c r="D439" s="1" t="s">
        <v>105</v>
      </c>
      <c r="E439" s="1" t="s">
        <v>52</v>
      </c>
      <c r="F439" s="3">
        <v>46209</v>
      </c>
      <c r="G439" s="3">
        <v>46210</v>
      </c>
      <c r="H439" s="4">
        <v>0</v>
      </c>
      <c r="J439" s="1" t="s">
        <v>83</v>
      </c>
      <c r="K439" s="1">
        <v>617</v>
      </c>
      <c r="L439" s="1">
        <v>619</v>
      </c>
      <c r="M439" s="1" t="s">
        <v>166</v>
      </c>
      <c r="N439" s="2">
        <v>46206</v>
      </c>
      <c r="P439" s="1" t="s">
        <v>146</v>
      </c>
      <c r="Q439" s="1" t="s">
        <v>55</v>
      </c>
      <c r="R439" s="1" t="s">
        <v>593</v>
      </c>
      <c r="S439" s="2">
        <v>46202</v>
      </c>
      <c r="T439" s="2">
        <v>46202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</row>
    <row r="440" spans="1:39" x14ac:dyDescent="0.25">
      <c r="A440" s="1">
        <v>619</v>
      </c>
      <c r="B440" s="1" t="s">
        <v>870</v>
      </c>
      <c r="C440" s="1" t="s">
        <v>868</v>
      </c>
      <c r="D440" s="1" t="s">
        <v>109</v>
      </c>
      <c r="E440" s="1" t="s">
        <v>116</v>
      </c>
      <c r="F440" s="3">
        <v>46210</v>
      </c>
      <c r="G440" s="3">
        <v>46216</v>
      </c>
      <c r="H440" s="4">
        <v>0</v>
      </c>
      <c r="J440" s="1" t="s">
        <v>83</v>
      </c>
      <c r="K440" s="1">
        <v>618</v>
      </c>
      <c r="L440" s="1">
        <v>620</v>
      </c>
      <c r="M440" s="1" t="s">
        <v>705</v>
      </c>
      <c r="N440" s="2">
        <v>46210</v>
      </c>
      <c r="P440" s="1" t="s">
        <v>146</v>
      </c>
      <c r="Q440" s="1" t="s">
        <v>55</v>
      </c>
      <c r="R440" s="1" t="s">
        <v>593</v>
      </c>
      <c r="S440" s="2">
        <v>46203</v>
      </c>
      <c r="T440" s="2">
        <v>46204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</row>
    <row r="441" spans="1:39" x14ac:dyDescent="0.25">
      <c r="A441" s="1">
        <v>620</v>
      </c>
      <c r="B441" s="1" t="s">
        <v>871</v>
      </c>
      <c r="C441" s="1" t="s">
        <v>868</v>
      </c>
      <c r="D441" s="1" t="s">
        <v>115</v>
      </c>
      <c r="E441" s="1" t="s">
        <v>52</v>
      </c>
      <c r="F441" s="3">
        <v>46216</v>
      </c>
      <c r="G441" s="3">
        <v>46217</v>
      </c>
      <c r="H441" s="4">
        <v>0</v>
      </c>
      <c r="J441" s="1" t="s">
        <v>83</v>
      </c>
      <c r="K441" s="1">
        <v>619</v>
      </c>
      <c r="M441" s="1" t="s">
        <v>707</v>
      </c>
      <c r="N441" s="2">
        <v>46211</v>
      </c>
      <c r="P441" s="1" t="s">
        <v>67</v>
      </c>
      <c r="Q441" s="1" t="s">
        <v>55</v>
      </c>
      <c r="R441" s="1" t="s">
        <v>593</v>
      </c>
      <c r="S441" s="2">
        <v>46205</v>
      </c>
      <c r="T441" s="2">
        <v>46205</v>
      </c>
      <c r="AB441" s="1">
        <v>0</v>
      </c>
      <c r="AC441" s="1">
        <v>0</v>
      </c>
      <c r="AD441" s="1">
        <v>0</v>
      </c>
      <c r="AE441" s="1">
        <v>0</v>
      </c>
      <c r="AF441" s="1">
        <v>1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</row>
    <row r="442" spans="1:39" x14ac:dyDescent="0.25">
      <c r="A442" s="1">
        <v>621</v>
      </c>
      <c r="B442" s="1" t="s">
        <v>872</v>
      </c>
      <c r="C442" s="1" t="s">
        <v>595</v>
      </c>
      <c r="D442" s="1" t="s">
        <v>873</v>
      </c>
      <c r="E442" s="1" t="s">
        <v>272</v>
      </c>
      <c r="F442" s="3">
        <v>46189</v>
      </c>
      <c r="G442" s="3">
        <v>46198</v>
      </c>
      <c r="H442" s="4">
        <v>0.75</v>
      </c>
      <c r="J442" s="1" t="s">
        <v>41</v>
      </c>
      <c r="M442" s="1" t="s">
        <v>160</v>
      </c>
      <c r="N442" s="2">
        <v>46211</v>
      </c>
      <c r="P442" s="1" t="s">
        <v>73</v>
      </c>
      <c r="Q442" s="1" t="s">
        <v>55</v>
      </c>
      <c r="R442" s="1" t="s">
        <v>593</v>
      </c>
      <c r="S442" s="2">
        <v>46197</v>
      </c>
      <c r="T442" s="2">
        <v>46205</v>
      </c>
      <c r="U442" s="1" t="s">
        <v>77</v>
      </c>
      <c r="AB442" s="1">
        <v>0.75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</row>
    <row r="443" spans="1:39" x14ac:dyDescent="0.25">
      <c r="A443" s="1">
        <v>622</v>
      </c>
      <c r="B443" s="1" t="s">
        <v>874</v>
      </c>
      <c r="C443" s="1" t="s">
        <v>875</v>
      </c>
      <c r="D443" s="1" t="s">
        <v>101</v>
      </c>
      <c r="E443" s="1" t="s">
        <v>231</v>
      </c>
      <c r="F443" s="3">
        <v>46189</v>
      </c>
      <c r="G443" s="3">
        <v>46192</v>
      </c>
      <c r="H443" s="4">
        <v>1</v>
      </c>
      <c r="I443" s="3">
        <v>46192</v>
      </c>
      <c r="J443" s="1" t="s">
        <v>53</v>
      </c>
      <c r="L443" s="1">
        <v>623</v>
      </c>
      <c r="M443" s="1" t="s">
        <v>160</v>
      </c>
      <c r="N443" s="2">
        <v>46205</v>
      </c>
      <c r="P443" s="1" t="s">
        <v>73</v>
      </c>
      <c r="Q443" s="1" t="s">
        <v>55</v>
      </c>
      <c r="R443" s="1" t="s">
        <v>593</v>
      </c>
      <c r="S443" s="2">
        <v>46197</v>
      </c>
      <c r="T443" s="2">
        <v>46199</v>
      </c>
      <c r="AB443" s="1">
        <v>1</v>
      </c>
      <c r="AC443" s="1">
        <v>1</v>
      </c>
      <c r="AD443" s="1">
        <v>1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1</v>
      </c>
    </row>
    <row r="444" spans="1:39" x14ac:dyDescent="0.25">
      <c r="A444" s="1">
        <v>623</v>
      </c>
      <c r="B444" s="1" t="s">
        <v>876</v>
      </c>
      <c r="C444" s="1" t="s">
        <v>875</v>
      </c>
      <c r="D444" s="1" t="s">
        <v>105</v>
      </c>
      <c r="E444" s="1" t="s">
        <v>52</v>
      </c>
      <c r="F444" s="3">
        <v>46195</v>
      </c>
      <c r="G444" s="3">
        <v>46195</v>
      </c>
      <c r="H444" s="4">
        <v>1</v>
      </c>
      <c r="I444" s="3">
        <v>46195</v>
      </c>
      <c r="J444" s="1" t="s">
        <v>53</v>
      </c>
      <c r="K444" s="1">
        <v>622</v>
      </c>
      <c r="L444" s="1">
        <v>624</v>
      </c>
      <c r="M444" s="1" t="s">
        <v>166</v>
      </c>
      <c r="N444" s="2">
        <v>46206</v>
      </c>
      <c r="P444" s="1" t="s">
        <v>146</v>
      </c>
      <c r="Q444" s="1" t="s">
        <v>55</v>
      </c>
      <c r="R444" s="1" t="s">
        <v>593</v>
      </c>
      <c r="S444" s="2">
        <v>46202</v>
      </c>
      <c r="T444" s="2">
        <v>46202</v>
      </c>
      <c r="AB444" s="1">
        <v>1</v>
      </c>
      <c r="AC444" s="1">
        <v>0</v>
      </c>
      <c r="AD444" s="1">
        <v>0</v>
      </c>
      <c r="AE444" s="1">
        <v>0</v>
      </c>
      <c r="AF444" s="1">
        <v>0</v>
      </c>
      <c r="AG444" s="1">
        <v>1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</row>
    <row r="445" spans="1:39" x14ac:dyDescent="0.25">
      <c r="A445" s="1">
        <v>624</v>
      </c>
      <c r="B445" s="1" t="s">
        <v>877</v>
      </c>
      <c r="C445" s="1" t="s">
        <v>875</v>
      </c>
      <c r="D445" s="1" t="s">
        <v>109</v>
      </c>
      <c r="E445" s="1" t="s">
        <v>116</v>
      </c>
      <c r="F445" s="3">
        <v>46196</v>
      </c>
      <c r="G445" s="3">
        <v>46197</v>
      </c>
      <c r="H445" s="4">
        <v>0.5</v>
      </c>
      <c r="J445" s="1" t="s">
        <v>41</v>
      </c>
      <c r="K445" s="1">
        <v>623</v>
      </c>
      <c r="L445" s="1">
        <v>625</v>
      </c>
      <c r="M445" s="1" t="s">
        <v>705</v>
      </c>
      <c r="N445" s="2">
        <v>46210</v>
      </c>
      <c r="P445" s="1" t="s">
        <v>146</v>
      </c>
      <c r="Q445" s="1" t="s">
        <v>55</v>
      </c>
      <c r="R445" s="1" t="s">
        <v>593</v>
      </c>
      <c r="S445" s="2">
        <v>46203</v>
      </c>
      <c r="T445" s="2">
        <v>46204</v>
      </c>
      <c r="AB445" s="1">
        <v>0.5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1</v>
      </c>
      <c r="AK445" s="1">
        <v>0</v>
      </c>
      <c r="AL445" s="1">
        <v>0</v>
      </c>
      <c r="AM445" s="1">
        <v>0</v>
      </c>
    </row>
    <row r="446" spans="1:39" x14ac:dyDescent="0.25">
      <c r="A446" s="1">
        <v>625</v>
      </c>
      <c r="B446" s="1" t="s">
        <v>878</v>
      </c>
      <c r="C446" s="1" t="s">
        <v>875</v>
      </c>
      <c r="D446" s="1" t="s">
        <v>115</v>
      </c>
      <c r="E446" s="1" t="s">
        <v>52</v>
      </c>
      <c r="F446" s="3">
        <v>46198</v>
      </c>
      <c r="G446" s="3">
        <v>46198</v>
      </c>
      <c r="H446" s="4">
        <v>0</v>
      </c>
      <c r="J446" s="1" t="s">
        <v>41</v>
      </c>
      <c r="K446" s="1">
        <v>624</v>
      </c>
      <c r="M446" s="1" t="s">
        <v>707</v>
      </c>
      <c r="N446" s="2">
        <v>46211</v>
      </c>
      <c r="P446" s="1" t="s">
        <v>146</v>
      </c>
      <c r="Q446" s="1" t="s">
        <v>55</v>
      </c>
      <c r="R446" s="1" t="s">
        <v>593</v>
      </c>
      <c r="S446" s="2">
        <v>46205</v>
      </c>
      <c r="T446" s="2">
        <v>46205</v>
      </c>
      <c r="AB446" s="1">
        <v>0</v>
      </c>
      <c r="AC446" s="1">
        <v>0</v>
      </c>
      <c r="AD446" s="1">
        <v>0</v>
      </c>
      <c r="AE446" s="1">
        <v>0</v>
      </c>
      <c r="AF446" s="1">
        <v>1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1</v>
      </c>
      <c r="AM446" s="1">
        <v>0</v>
      </c>
    </row>
    <row r="447" spans="1:39" x14ac:dyDescent="0.25">
      <c r="A447" s="1">
        <v>626</v>
      </c>
      <c r="B447" s="1" t="s">
        <v>879</v>
      </c>
      <c r="C447" s="1" t="s">
        <v>595</v>
      </c>
      <c r="D447" s="1" t="s">
        <v>880</v>
      </c>
      <c r="E447" s="1" t="s">
        <v>272</v>
      </c>
      <c r="F447" s="3">
        <v>46202</v>
      </c>
      <c r="G447" s="3">
        <v>46211</v>
      </c>
      <c r="H447" s="4">
        <v>0.5</v>
      </c>
      <c r="J447" s="1" t="s">
        <v>168</v>
      </c>
      <c r="M447" s="1" t="s">
        <v>160</v>
      </c>
      <c r="N447" s="2">
        <v>46211</v>
      </c>
      <c r="P447" s="1" t="s">
        <v>73</v>
      </c>
      <c r="Q447" s="1" t="s">
        <v>55</v>
      </c>
      <c r="R447" s="1" t="s">
        <v>593</v>
      </c>
      <c r="S447" s="2">
        <v>46197</v>
      </c>
      <c r="T447" s="2">
        <v>46205</v>
      </c>
      <c r="AB447" s="1">
        <v>0.5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</row>
    <row r="448" spans="1:39" x14ac:dyDescent="0.25">
      <c r="A448" s="1">
        <v>627</v>
      </c>
      <c r="B448" s="1" t="s">
        <v>881</v>
      </c>
      <c r="C448" s="1" t="s">
        <v>882</v>
      </c>
      <c r="D448" s="1" t="s">
        <v>101</v>
      </c>
      <c r="E448" s="1" t="s">
        <v>231</v>
      </c>
      <c r="F448" s="3">
        <v>46202</v>
      </c>
      <c r="G448" s="3">
        <v>46205</v>
      </c>
      <c r="H448" s="4">
        <v>1</v>
      </c>
      <c r="I448" s="3">
        <v>46205</v>
      </c>
      <c r="J448" s="1" t="s">
        <v>53</v>
      </c>
      <c r="L448" s="1">
        <v>628</v>
      </c>
      <c r="M448" s="1" t="s">
        <v>160</v>
      </c>
      <c r="N448" s="2">
        <v>46205</v>
      </c>
      <c r="P448" s="1" t="s">
        <v>73</v>
      </c>
      <c r="Q448" s="1" t="s">
        <v>55</v>
      </c>
      <c r="R448" s="1" t="s">
        <v>593</v>
      </c>
      <c r="S448" s="2">
        <v>46197</v>
      </c>
      <c r="T448" s="2">
        <v>46199</v>
      </c>
      <c r="AB448" s="1">
        <v>1</v>
      </c>
      <c r="AC448" s="1">
        <v>1</v>
      </c>
      <c r="AD448" s="1">
        <v>1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1</v>
      </c>
    </row>
    <row r="449" spans="1:39" x14ac:dyDescent="0.25">
      <c r="A449" s="1">
        <v>628</v>
      </c>
      <c r="B449" s="1" t="s">
        <v>883</v>
      </c>
      <c r="C449" s="1" t="s">
        <v>882</v>
      </c>
      <c r="D449" s="1" t="s">
        <v>105</v>
      </c>
      <c r="E449" s="1" t="s">
        <v>52</v>
      </c>
      <c r="F449" s="3">
        <v>46206</v>
      </c>
      <c r="G449" s="3">
        <v>46206</v>
      </c>
      <c r="H449" s="4">
        <v>0</v>
      </c>
      <c r="J449" s="1" t="s">
        <v>168</v>
      </c>
      <c r="K449" s="1">
        <v>627</v>
      </c>
      <c r="L449" s="1">
        <v>629</v>
      </c>
      <c r="M449" s="1" t="s">
        <v>166</v>
      </c>
      <c r="N449" s="2">
        <v>46206</v>
      </c>
      <c r="P449" s="1" t="s">
        <v>146</v>
      </c>
      <c r="Q449" s="1" t="s">
        <v>55</v>
      </c>
      <c r="R449" s="1" t="s">
        <v>593</v>
      </c>
      <c r="S449" s="2">
        <v>46202</v>
      </c>
      <c r="T449" s="2">
        <v>46202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</row>
    <row r="450" spans="1:39" x14ac:dyDescent="0.25">
      <c r="A450" s="1">
        <v>629</v>
      </c>
      <c r="B450" s="1" t="s">
        <v>884</v>
      </c>
      <c r="C450" s="1" t="s">
        <v>882</v>
      </c>
      <c r="D450" s="1" t="s">
        <v>109</v>
      </c>
      <c r="E450" s="1" t="s">
        <v>116</v>
      </c>
      <c r="F450" s="3">
        <v>46209</v>
      </c>
      <c r="G450" s="3">
        <v>46210</v>
      </c>
      <c r="H450" s="4">
        <v>0</v>
      </c>
      <c r="J450" s="1" t="s">
        <v>83</v>
      </c>
      <c r="K450" s="1">
        <v>628</v>
      </c>
      <c r="L450" s="1">
        <v>630</v>
      </c>
      <c r="M450" s="1" t="s">
        <v>705</v>
      </c>
      <c r="N450" s="2">
        <v>46210</v>
      </c>
      <c r="P450" s="1" t="s">
        <v>146</v>
      </c>
      <c r="Q450" s="1" t="s">
        <v>55</v>
      </c>
      <c r="R450" s="1" t="s">
        <v>593</v>
      </c>
      <c r="S450" s="2">
        <v>46203</v>
      </c>
      <c r="T450" s="2">
        <v>46204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</row>
    <row r="451" spans="1:39" x14ac:dyDescent="0.25">
      <c r="A451" s="1">
        <v>630</v>
      </c>
      <c r="B451" s="1" t="s">
        <v>885</v>
      </c>
      <c r="C451" s="1" t="s">
        <v>882</v>
      </c>
      <c r="D451" s="1" t="s">
        <v>115</v>
      </c>
      <c r="E451" s="1" t="s">
        <v>52</v>
      </c>
      <c r="F451" s="3">
        <v>46211</v>
      </c>
      <c r="G451" s="3">
        <v>46211</v>
      </c>
      <c r="H451" s="4">
        <v>0</v>
      </c>
      <c r="J451" s="1" t="s">
        <v>83</v>
      </c>
      <c r="K451" s="1">
        <v>629</v>
      </c>
      <c r="M451" s="1" t="s">
        <v>707</v>
      </c>
      <c r="N451" s="2">
        <v>46211</v>
      </c>
      <c r="P451" s="1" t="s">
        <v>67</v>
      </c>
      <c r="Q451" s="1" t="s">
        <v>55</v>
      </c>
      <c r="R451" s="1" t="s">
        <v>593</v>
      </c>
      <c r="S451" s="2">
        <v>46205</v>
      </c>
      <c r="T451" s="2">
        <v>46205</v>
      </c>
      <c r="AB451" s="1">
        <v>0</v>
      </c>
      <c r="AC451" s="1">
        <v>0</v>
      </c>
      <c r="AD451" s="1">
        <v>0</v>
      </c>
      <c r="AE451" s="1">
        <v>0</v>
      </c>
      <c r="AF451" s="1">
        <v>1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</row>
    <row r="452" spans="1:39" x14ac:dyDescent="0.25">
      <c r="A452" s="1">
        <v>631</v>
      </c>
      <c r="B452" s="1" t="s">
        <v>886</v>
      </c>
      <c r="C452" s="1" t="s">
        <v>50</v>
      </c>
      <c r="D452" s="1" t="s">
        <v>887</v>
      </c>
      <c r="E452" s="1" t="s">
        <v>272</v>
      </c>
      <c r="F452" s="3">
        <v>46205</v>
      </c>
      <c r="G452" s="3">
        <v>46218</v>
      </c>
      <c r="H452" s="4">
        <v>0</v>
      </c>
      <c r="J452" s="1" t="s">
        <v>41</v>
      </c>
      <c r="M452" s="1" t="s">
        <v>268</v>
      </c>
      <c r="N452" s="2">
        <v>46205</v>
      </c>
      <c r="P452" s="1" t="s">
        <v>146</v>
      </c>
      <c r="Q452" s="1" t="s">
        <v>44</v>
      </c>
      <c r="R452" s="1" t="s">
        <v>888</v>
      </c>
      <c r="S452" s="2">
        <v>46176</v>
      </c>
      <c r="T452" s="2">
        <v>46192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</row>
    <row r="453" spans="1:39" x14ac:dyDescent="0.25">
      <c r="A453" s="1">
        <v>632</v>
      </c>
      <c r="B453" s="1" t="s">
        <v>889</v>
      </c>
      <c r="C453" s="1" t="s">
        <v>890</v>
      </c>
      <c r="D453" s="1" t="s">
        <v>891</v>
      </c>
      <c r="E453" s="1" t="s">
        <v>272</v>
      </c>
      <c r="F453" s="3">
        <v>46205</v>
      </c>
      <c r="G453" s="3">
        <v>46218</v>
      </c>
      <c r="H453" s="4">
        <v>0</v>
      </c>
      <c r="J453" s="1" t="s">
        <v>41</v>
      </c>
      <c r="M453" s="1" t="s">
        <v>268</v>
      </c>
      <c r="N453" s="2">
        <v>46204</v>
      </c>
      <c r="P453" s="1" t="s">
        <v>146</v>
      </c>
      <c r="Q453" s="1" t="s">
        <v>44</v>
      </c>
      <c r="R453" s="1" t="s">
        <v>888</v>
      </c>
      <c r="S453" s="2">
        <v>46176</v>
      </c>
      <c r="T453" s="2">
        <v>46191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</row>
    <row r="454" spans="1:39" x14ac:dyDescent="0.25">
      <c r="A454" s="1">
        <v>633</v>
      </c>
      <c r="B454" s="1" t="s">
        <v>892</v>
      </c>
      <c r="C454" s="1" t="s">
        <v>893</v>
      </c>
      <c r="D454" s="1" t="s">
        <v>101</v>
      </c>
      <c r="E454" s="1" t="s">
        <v>294</v>
      </c>
      <c r="F454" s="3">
        <v>46205</v>
      </c>
      <c r="G454" s="3">
        <v>46211</v>
      </c>
      <c r="H454" s="4">
        <v>0</v>
      </c>
      <c r="J454" s="1" t="s">
        <v>41</v>
      </c>
      <c r="K454" s="1" t="s">
        <v>894</v>
      </c>
      <c r="L454" s="1" t="s">
        <v>895</v>
      </c>
      <c r="M454" s="1" t="s">
        <v>268</v>
      </c>
      <c r="N454" s="2">
        <v>46198</v>
      </c>
      <c r="P454" s="1" t="s">
        <v>146</v>
      </c>
      <c r="Q454" s="1" t="s">
        <v>44</v>
      </c>
      <c r="R454" s="1" t="s">
        <v>888</v>
      </c>
      <c r="S454" s="2">
        <v>46176</v>
      </c>
      <c r="T454" s="2">
        <v>46185</v>
      </c>
      <c r="AB454" s="1">
        <v>0</v>
      </c>
      <c r="AC454" s="1">
        <v>1</v>
      </c>
      <c r="AD454" s="1">
        <v>0</v>
      </c>
      <c r="AE454" s="1">
        <v>1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</row>
    <row r="455" spans="1:39" x14ac:dyDescent="0.25">
      <c r="A455" s="1">
        <v>634</v>
      </c>
      <c r="B455" s="1" t="s">
        <v>896</v>
      </c>
      <c r="C455" s="1" t="s">
        <v>893</v>
      </c>
      <c r="D455" s="1" t="s">
        <v>105</v>
      </c>
      <c r="E455" s="1" t="s">
        <v>52</v>
      </c>
      <c r="F455" s="3">
        <v>46216</v>
      </c>
      <c r="G455" s="3">
        <v>46216</v>
      </c>
      <c r="H455" s="4">
        <v>0</v>
      </c>
      <c r="J455" s="1" t="s">
        <v>83</v>
      </c>
      <c r="K455" s="1">
        <v>633</v>
      </c>
      <c r="L455" s="1">
        <v>635</v>
      </c>
      <c r="M455" s="1" t="s">
        <v>182</v>
      </c>
      <c r="N455" s="2">
        <v>46199</v>
      </c>
      <c r="P455" s="1" t="s">
        <v>67</v>
      </c>
      <c r="Q455" s="1" t="s">
        <v>44</v>
      </c>
      <c r="R455" s="1" t="s">
        <v>888</v>
      </c>
      <c r="S455" s="2">
        <v>46188</v>
      </c>
      <c r="T455" s="2">
        <v>46188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</row>
    <row r="456" spans="1:39" x14ac:dyDescent="0.25">
      <c r="A456" s="1">
        <v>635</v>
      </c>
      <c r="B456" s="1" t="s">
        <v>897</v>
      </c>
      <c r="C456" s="1" t="s">
        <v>893</v>
      </c>
      <c r="D456" s="1" t="s">
        <v>109</v>
      </c>
      <c r="E456" s="1" t="s">
        <v>52</v>
      </c>
      <c r="F456" s="3">
        <v>46217</v>
      </c>
      <c r="G456" s="3">
        <v>46217</v>
      </c>
      <c r="H456" s="4">
        <v>0</v>
      </c>
      <c r="J456" s="1" t="s">
        <v>83</v>
      </c>
      <c r="K456" s="1">
        <v>634</v>
      </c>
      <c r="L456" s="1">
        <v>636</v>
      </c>
      <c r="M456" s="1" t="s">
        <v>345</v>
      </c>
      <c r="N456" s="2">
        <v>46203</v>
      </c>
      <c r="P456" s="1" t="s">
        <v>67</v>
      </c>
      <c r="Q456" s="1" t="s">
        <v>44</v>
      </c>
      <c r="R456" s="1" t="s">
        <v>888</v>
      </c>
      <c r="S456" s="2">
        <v>46189</v>
      </c>
      <c r="T456" s="2">
        <v>46190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</row>
    <row r="457" spans="1:39" x14ac:dyDescent="0.25">
      <c r="A457" s="1">
        <v>636</v>
      </c>
      <c r="B457" s="1" t="s">
        <v>898</v>
      </c>
      <c r="C457" s="1" t="s">
        <v>893</v>
      </c>
      <c r="D457" s="1" t="s">
        <v>115</v>
      </c>
      <c r="E457" s="1" t="s">
        <v>52</v>
      </c>
      <c r="F457" s="3">
        <v>46218</v>
      </c>
      <c r="G457" s="3">
        <v>46218</v>
      </c>
      <c r="H457" s="4">
        <v>0</v>
      </c>
      <c r="J457" s="1" t="s">
        <v>83</v>
      </c>
      <c r="K457" s="1">
        <v>635</v>
      </c>
      <c r="M457" s="1" t="s">
        <v>436</v>
      </c>
      <c r="N457" s="2">
        <v>46204</v>
      </c>
      <c r="P457" s="1" t="s">
        <v>67</v>
      </c>
      <c r="Q457" s="1" t="s">
        <v>44</v>
      </c>
      <c r="R457" s="1" t="s">
        <v>888</v>
      </c>
      <c r="S457" s="2">
        <v>46191</v>
      </c>
      <c r="T457" s="2">
        <v>46191</v>
      </c>
      <c r="AB457" s="1">
        <v>0</v>
      </c>
      <c r="AC457" s="1">
        <v>0</v>
      </c>
      <c r="AD457" s="1">
        <v>0</v>
      </c>
      <c r="AE457" s="1">
        <v>0</v>
      </c>
      <c r="AF457" s="1">
        <v>1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</row>
    <row r="458" spans="1:39" x14ac:dyDescent="0.25">
      <c r="A458" s="1">
        <v>637</v>
      </c>
      <c r="B458" s="1" t="s">
        <v>899</v>
      </c>
      <c r="C458" s="1" t="s">
        <v>890</v>
      </c>
      <c r="D458" s="1" t="s">
        <v>900</v>
      </c>
      <c r="E458" s="1" t="s">
        <v>159</v>
      </c>
      <c r="F458" s="3">
        <v>46211</v>
      </c>
      <c r="G458" s="3">
        <v>46218</v>
      </c>
      <c r="H458" s="4">
        <v>0</v>
      </c>
      <c r="J458" s="1" t="s">
        <v>83</v>
      </c>
      <c r="M458" s="1" t="s">
        <v>182</v>
      </c>
      <c r="N458" s="2">
        <v>46205</v>
      </c>
      <c r="P458" s="1" t="s">
        <v>67</v>
      </c>
      <c r="Q458" s="1" t="s">
        <v>44</v>
      </c>
      <c r="R458" s="1" t="s">
        <v>888</v>
      </c>
      <c r="S458" s="2">
        <v>46188</v>
      </c>
      <c r="T458" s="2">
        <v>46192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</row>
    <row r="459" spans="1:39" x14ac:dyDescent="0.25">
      <c r="A459" s="1">
        <v>638</v>
      </c>
      <c r="B459" s="1" t="s">
        <v>901</v>
      </c>
      <c r="C459" s="1" t="s">
        <v>902</v>
      </c>
      <c r="D459" s="1" t="s">
        <v>101</v>
      </c>
      <c r="E459" s="1" t="s">
        <v>52</v>
      </c>
      <c r="F459" s="3">
        <v>46211</v>
      </c>
      <c r="G459" s="3">
        <v>46211</v>
      </c>
      <c r="H459" s="4">
        <v>0</v>
      </c>
      <c r="J459" s="1" t="s">
        <v>83</v>
      </c>
      <c r="K459" s="1" t="s">
        <v>903</v>
      </c>
      <c r="L459" s="1">
        <v>639</v>
      </c>
      <c r="M459" s="1" t="s">
        <v>182</v>
      </c>
      <c r="N459" s="2">
        <v>46199</v>
      </c>
      <c r="P459" s="1" t="s">
        <v>67</v>
      </c>
      <c r="Q459" s="1" t="s">
        <v>44</v>
      </c>
      <c r="R459" s="1" t="s">
        <v>888</v>
      </c>
      <c r="S459" s="2">
        <v>46188</v>
      </c>
      <c r="T459" s="2">
        <v>46188</v>
      </c>
      <c r="AB459" s="1">
        <v>0</v>
      </c>
      <c r="AC459" s="1">
        <v>1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</row>
    <row r="460" spans="1:39" x14ac:dyDescent="0.25">
      <c r="A460" s="1">
        <v>639</v>
      </c>
      <c r="B460" s="1" t="s">
        <v>904</v>
      </c>
      <c r="C460" s="1" t="s">
        <v>902</v>
      </c>
      <c r="D460" s="1" t="s">
        <v>105</v>
      </c>
      <c r="E460" s="1" t="s">
        <v>52</v>
      </c>
      <c r="F460" s="3">
        <v>46216</v>
      </c>
      <c r="G460" s="3">
        <v>46216</v>
      </c>
      <c r="H460" s="4">
        <v>0</v>
      </c>
      <c r="J460" s="1" t="s">
        <v>83</v>
      </c>
      <c r="K460" s="1">
        <v>638</v>
      </c>
      <c r="L460" s="1">
        <v>640</v>
      </c>
      <c r="M460" s="1" t="s">
        <v>345</v>
      </c>
      <c r="N460" s="2">
        <v>46202</v>
      </c>
      <c r="P460" s="1" t="s">
        <v>67</v>
      </c>
      <c r="Q460" s="1" t="s">
        <v>44</v>
      </c>
      <c r="R460" s="1" t="s">
        <v>888</v>
      </c>
      <c r="S460" s="2">
        <v>46189</v>
      </c>
      <c r="T460" s="2">
        <v>46189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</row>
    <row r="461" spans="1:39" x14ac:dyDescent="0.25">
      <c r="A461" s="1">
        <v>640</v>
      </c>
      <c r="B461" s="1" t="s">
        <v>905</v>
      </c>
      <c r="C461" s="1" t="s">
        <v>902</v>
      </c>
      <c r="D461" s="1" t="s">
        <v>109</v>
      </c>
      <c r="E461" s="1" t="s">
        <v>52</v>
      </c>
      <c r="F461" s="3">
        <v>46217</v>
      </c>
      <c r="G461" s="3">
        <v>46217</v>
      </c>
      <c r="H461" s="4">
        <v>0</v>
      </c>
      <c r="J461" s="1" t="s">
        <v>83</v>
      </c>
      <c r="K461" s="1">
        <v>639</v>
      </c>
      <c r="L461" s="1">
        <v>641</v>
      </c>
      <c r="M461" s="1" t="s">
        <v>160</v>
      </c>
      <c r="N461" s="2">
        <v>46204</v>
      </c>
      <c r="P461" s="1" t="s">
        <v>67</v>
      </c>
      <c r="Q461" s="1" t="s">
        <v>44</v>
      </c>
      <c r="R461" s="1" t="s">
        <v>888</v>
      </c>
      <c r="S461" s="2">
        <v>46190</v>
      </c>
      <c r="T461" s="2">
        <v>46191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</row>
    <row r="462" spans="1:39" x14ac:dyDescent="0.25">
      <c r="A462" s="1">
        <v>641</v>
      </c>
      <c r="B462" s="1" t="s">
        <v>906</v>
      </c>
      <c r="C462" s="1" t="s">
        <v>902</v>
      </c>
      <c r="D462" s="1" t="s">
        <v>115</v>
      </c>
      <c r="E462" s="1" t="s">
        <v>52</v>
      </c>
      <c r="F462" s="3">
        <v>46218</v>
      </c>
      <c r="G462" s="3">
        <v>46218</v>
      </c>
      <c r="H462" s="4">
        <v>0</v>
      </c>
      <c r="J462" s="1" t="s">
        <v>83</v>
      </c>
      <c r="K462" s="1">
        <v>640</v>
      </c>
      <c r="M462" s="1" t="s">
        <v>164</v>
      </c>
      <c r="N462" s="2">
        <v>46205</v>
      </c>
      <c r="P462" s="1" t="s">
        <v>67</v>
      </c>
      <c r="Q462" s="1" t="s">
        <v>44</v>
      </c>
      <c r="R462" s="1" t="s">
        <v>888</v>
      </c>
      <c r="S462" s="2">
        <v>46192</v>
      </c>
      <c r="T462" s="2">
        <v>46192</v>
      </c>
      <c r="AB462" s="1">
        <v>0</v>
      </c>
      <c r="AC462" s="1">
        <v>0</v>
      </c>
      <c r="AD462" s="1">
        <v>0</v>
      </c>
      <c r="AE462" s="1">
        <v>0</v>
      </c>
      <c r="AF462" s="1">
        <v>1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</row>
    <row r="463" spans="1:39" x14ac:dyDescent="0.25">
      <c r="A463" s="1">
        <v>8</v>
      </c>
      <c r="B463" s="1" t="s">
        <v>74</v>
      </c>
      <c r="C463" s="1" t="s">
        <v>63</v>
      </c>
      <c r="D463" s="1" t="s">
        <v>75</v>
      </c>
      <c r="E463" s="1" t="s">
        <v>907</v>
      </c>
      <c r="F463" s="3">
        <v>46178</v>
      </c>
      <c r="G463" s="3">
        <v>46178</v>
      </c>
      <c r="H463" s="4">
        <v>0</v>
      </c>
      <c r="J463" s="1" t="s">
        <v>83</v>
      </c>
      <c r="L463" s="1">
        <v>393</v>
      </c>
      <c r="M463" s="1" t="s">
        <v>66</v>
      </c>
      <c r="N463" s="2">
        <v>46178</v>
      </c>
      <c r="P463" s="1" t="s">
        <v>348</v>
      </c>
      <c r="Q463" s="1" t="s">
        <v>55</v>
      </c>
      <c r="R463" s="1" t="s">
        <v>61</v>
      </c>
      <c r="S463" s="2">
        <v>46178</v>
      </c>
      <c r="T463" s="2">
        <v>46178</v>
      </c>
      <c r="U463" s="1" t="s">
        <v>908</v>
      </c>
      <c r="W463" s="1" t="s">
        <v>909</v>
      </c>
      <c r="X463" s="1" t="s">
        <v>63</v>
      </c>
      <c r="Y463" s="1" t="s">
        <v>910</v>
      </c>
      <c r="Z463" s="1" t="s">
        <v>911</v>
      </c>
      <c r="AA463" s="1" t="b">
        <v>1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</row>
    <row r="464" spans="1:39" x14ac:dyDescent="0.25">
      <c r="A464" s="1">
        <v>30</v>
      </c>
      <c r="B464" s="1" t="s">
        <v>912</v>
      </c>
      <c r="C464" s="1" t="s">
        <v>142</v>
      </c>
      <c r="D464" s="1" t="s">
        <v>913</v>
      </c>
      <c r="E464" s="1" t="s">
        <v>701</v>
      </c>
      <c r="F464" s="3">
        <v>46191</v>
      </c>
      <c r="G464" s="3">
        <v>46199</v>
      </c>
      <c r="H464" s="4">
        <v>0</v>
      </c>
      <c r="J464" s="1" t="s">
        <v>83</v>
      </c>
      <c r="M464" s="1" t="s">
        <v>228</v>
      </c>
      <c r="N464" s="2">
        <v>46199</v>
      </c>
      <c r="P464" s="1" t="s">
        <v>348</v>
      </c>
      <c r="Q464" s="1" t="s">
        <v>55</v>
      </c>
      <c r="R464" s="1" t="s">
        <v>140</v>
      </c>
      <c r="S464" s="2">
        <v>46184</v>
      </c>
      <c r="T464" s="2">
        <v>46192</v>
      </c>
      <c r="U464" s="1" t="s">
        <v>908</v>
      </c>
      <c r="W464" s="1" t="s">
        <v>914</v>
      </c>
      <c r="X464" s="1" t="s">
        <v>142</v>
      </c>
      <c r="Y464" s="1" t="s">
        <v>915</v>
      </c>
      <c r="Z464" s="1" t="s">
        <v>914</v>
      </c>
      <c r="AA464" s="1" t="b">
        <v>1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</row>
    <row r="465" spans="1:39" x14ac:dyDescent="0.25">
      <c r="A465" s="1">
        <v>107</v>
      </c>
      <c r="B465" s="1" t="s">
        <v>916</v>
      </c>
      <c r="C465" s="1" t="s">
        <v>204</v>
      </c>
      <c r="D465" s="1" t="s">
        <v>917</v>
      </c>
      <c r="E465" s="1" t="s">
        <v>918</v>
      </c>
      <c r="F465" s="3">
        <v>46176</v>
      </c>
      <c r="G465" s="3">
        <v>46191</v>
      </c>
      <c r="H465" s="4">
        <v>0</v>
      </c>
      <c r="J465" s="1" t="s">
        <v>83</v>
      </c>
      <c r="M465" s="1" t="s">
        <v>261</v>
      </c>
      <c r="N465" s="2">
        <v>46191</v>
      </c>
      <c r="P465" s="1" t="s">
        <v>348</v>
      </c>
      <c r="Q465" s="1" t="s">
        <v>55</v>
      </c>
      <c r="R465" s="1" t="s">
        <v>202</v>
      </c>
      <c r="S465" s="2">
        <v>46163</v>
      </c>
      <c r="T465" s="2">
        <v>46178</v>
      </c>
      <c r="U465" s="1" t="s">
        <v>908</v>
      </c>
      <c r="W465" s="1" t="s">
        <v>919</v>
      </c>
      <c r="X465" s="1" t="s">
        <v>204</v>
      </c>
      <c r="Y465" s="1" t="s">
        <v>920</v>
      </c>
      <c r="Z465" s="1" t="s">
        <v>919</v>
      </c>
      <c r="AA465" s="1" t="b">
        <v>1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</row>
    <row r="466" spans="1:39" x14ac:dyDescent="0.25">
      <c r="A466" s="1">
        <v>138</v>
      </c>
      <c r="B466" s="1" t="s">
        <v>921</v>
      </c>
      <c r="C466" s="1" t="s">
        <v>328</v>
      </c>
      <c r="D466" s="1" t="s">
        <v>922</v>
      </c>
      <c r="E466" s="1" t="s">
        <v>701</v>
      </c>
      <c r="F466" s="3">
        <v>46189</v>
      </c>
      <c r="G466" s="3">
        <v>46197</v>
      </c>
      <c r="H466" s="4">
        <v>0</v>
      </c>
      <c r="J466" s="1" t="s">
        <v>83</v>
      </c>
      <c r="M466" s="1" t="s">
        <v>268</v>
      </c>
      <c r="N466" s="2">
        <v>46197</v>
      </c>
      <c r="P466" s="1" t="s">
        <v>348</v>
      </c>
      <c r="Q466" s="1" t="s">
        <v>55</v>
      </c>
      <c r="R466" s="1" t="s">
        <v>326</v>
      </c>
      <c r="S466" s="2">
        <v>46176</v>
      </c>
      <c r="T466" s="2">
        <v>46184</v>
      </c>
      <c r="U466" s="1" t="s">
        <v>908</v>
      </c>
      <c r="W466" s="1" t="s">
        <v>923</v>
      </c>
      <c r="AA466" s="1" t="b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</row>
    <row r="467" spans="1:39" x14ac:dyDescent="0.25">
      <c r="A467" s="1">
        <v>148</v>
      </c>
      <c r="B467" s="1" t="s">
        <v>924</v>
      </c>
      <c r="C467" s="1" t="s">
        <v>328</v>
      </c>
      <c r="D467" s="1" t="s">
        <v>925</v>
      </c>
      <c r="E467" s="1" t="s">
        <v>701</v>
      </c>
      <c r="F467" s="3">
        <v>46183</v>
      </c>
      <c r="G467" s="3">
        <v>46191</v>
      </c>
      <c r="H467" s="4">
        <v>0</v>
      </c>
      <c r="J467" s="1" t="s">
        <v>83</v>
      </c>
      <c r="M467" s="1" t="s">
        <v>224</v>
      </c>
      <c r="N467" s="2">
        <v>46191</v>
      </c>
      <c r="P467" s="1" t="s">
        <v>348</v>
      </c>
      <c r="Q467" s="1" t="s">
        <v>55</v>
      </c>
      <c r="R467" s="1" t="s">
        <v>326</v>
      </c>
      <c r="S467" s="2">
        <v>46170</v>
      </c>
      <c r="T467" s="2">
        <v>46178</v>
      </c>
      <c r="U467" s="1" t="s">
        <v>908</v>
      </c>
      <c r="W467" s="1" t="s">
        <v>926</v>
      </c>
      <c r="AA467" s="1" t="b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</row>
    <row r="468" spans="1:39" x14ac:dyDescent="0.25">
      <c r="A468" s="1">
        <v>153</v>
      </c>
      <c r="B468" s="1" t="s">
        <v>927</v>
      </c>
      <c r="C468" s="1" t="s">
        <v>328</v>
      </c>
      <c r="D468" s="1" t="s">
        <v>928</v>
      </c>
      <c r="E468" s="1" t="s">
        <v>701</v>
      </c>
      <c r="F468" s="3">
        <v>46178</v>
      </c>
      <c r="G468" s="3">
        <v>46188</v>
      </c>
      <c r="H468" s="4">
        <v>0</v>
      </c>
      <c r="J468" s="1" t="s">
        <v>83</v>
      </c>
      <c r="M468" s="1" t="s">
        <v>66</v>
      </c>
      <c r="N468" s="2">
        <v>46188</v>
      </c>
      <c r="P468" s="1" t="s">
        <v>348</v>
      </c>
      <c r="Q468" s="1" t="s">
        <v>55</v>
      </c>
      <c r="R468" s="1" t="s">
        <v>326</v>
      </c>
      <c r="S468" s="2">
        <v>46167</v>
      </c>
      <c r="T468" s="2">
        <v>46175</v>
      </c>
      <c r="U468" s="1" t="s">
        <v>908</v>
      </c>
      <c r="W468" s="1" t="s">
        <v>929</v>
      </c>
      <c r="X468" s="1" t="s">
        <v>328</v>
      </c>
      <c r="Y468" s="1" t="s">
        <v>930</v>
      </c>
      <c r="Z468" s="1" t="s">
        <v>929</v>
      </c>
      <c r="AA468" s="1" t="b">
        <v>1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</row>
    <row r="469" spans="1:39" x14ac:dyDescent="0.25">
      <c r="A469" s="1">
        <v>158</v>
      </c>
      <c r="B469" s="1" t="s">
        <v>931</v>
      </c>
      <c r="C469" s="1" t="s">
        <v>328</v>
      </c>
      <c r="D469" s="1" t="s">
        <v>932</v>
      </c>
      <c r="E469" s="1" t="s">
        <v>701</v>
      </c>
      <c r="F469" s="3">
        <v>46178</v>
      </c>
      <c r="G469" s="3">
        <v>46188</v>
      </c>
      <c r="H469" s="4">
        <v>0</v>
      </c>
      <c r="J469" s="1" t="s">
        <v>83</v>
      </c>
      <c r="M469" s="1" t="s">
        <v>66</v>
      </c>
      <c r="N469" s="2">
        <v>46188</v>
      </c>
      <c r="P469" s="1" t="s">
        <v>348</v>
      </c>
      <c r="Q469" s="1" t="s">
        <v>55</v>
      </c>
      <c r="R469" s="1" t="s">
        <v>326</v>
      </c>
      <c r="S469" s="2">
        <v>46167</v>
      </c>
      <c r="T469" s="2">
        <v>46175</v>
      </c>
      <c r="U469" s="1" t="s">
        <v>908</v>
      </c>
      <c r="W469" s="1" t="s">
        <v>933</v>
      </c>
      <c r="AA469" s="1" t="b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</row>
    <row r="470" spans="1:39" x14ac:dyDescent="0.25">
      <c r="A470" s="1">
        <v>178</v>
      </c>
      <c r="B470" s="1" t="s">
        <v>934</v>
      </c>
      <c r="C470" s="1" t="s">
        <v>328</v>
      </c>
      <c r="D470" s="1" t="s">
        <v>935</v>
      </c>
      <c r="E470" s="1" t="s">
        <v>936</v>
      </c>
      <c r="F470" s="3">
        <v>46181</v>
      </c>
      <c r="G470" s="3">
        <v>46198</v>
      </c>
      <c r="H470" s="4">
        <v>0</v>
      </c>
      <c r="J470" s="1" t="s">
        <v>83</v>
      </c>
      <c r="M470" s="1" t="s">
        <v>195</v>
      </c>
      <c r="N470" s="2">
        <v>46198</v>
      </c>
      <c r="P470" s="1" t="s">
        <v>348</v>
      </c>
      <c r="Q470" s="1" t="s">
        <v>55</v>
      </c>
      <c r="R470" s="1" t="s">
        <v>326</v>
      </c>
      <c r="S470" s="2">
        <v>46157</v>
      </c>
      <c r="T470" s="2">
        <v>46176</v>
      </c>
      <c r="U470" s="1" t="s">
        <v>908</v>
      </c>
      <c r="W470" s="1" t="s">
        <v>937</v>
      </c>
      <c r="AA470" s="1" t="b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</row>
    <row r="471" spans="1:39" x14ac:dyDescent="0.25">
      <c r="A471" s="1">
        <v>198</v>
      </c>
      <c r="B471" s="1" t="s">
        <v>938</v>
      </c>
      <c r="C471" s="1" t="s">
        <v>328</v>
      </c>
      <c r="D471" s="1" t="s">
        <v>939</v>
      </c>
      <c r="E471" s="1" t="s">
        <v>701</v>
      </c>
      <c r="F471" s="3">
        <v>46178</v>
      </c>
      <c r="G471" s="3">
        <v>46188</v>
      </c>
      <c r="H471" s="4">
        <v>0</v>
      </c>
      <c r="J471" s="1" t="s">
        <v>83</v>
      </c>
      <c r="M471" s="1" t="s">
        <v>66</v>
      </c>
      <c r="N471" s="2">
        <v>46188</v>
      </c>
      <c r="P471" s="1" t="s">
        <v>348</v>
      </c>
      <c r="Q471" s="1" t="s">
        <v>55</v>
      </c>
      <c r="R471" s="1" t="s">
        <v>326</v>
      </c>
      <c r="S471" s="2">
        <v>46167</v>
      </c>
      <c r="T471" s="2">
        <v>46175</v>
      </c>
      <c r="U471" s="1" t="s">
        <v>908</v>
      </c>
      <c r="W471" s="1" t="s">
        <v>940</v>
      </c>
      <c r="AA471" s="1" t="b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</row>
    <row r="472" spans="1:39" x14ac:dyDescent="0.25">
      <c r="A472" s="1">
        <v>203</v>
      </c>
      <c r="B472" s="1" t="s">
        <v>941</v>
      </c>
      <c r="C472" s="1" t="s">
        <v>328</v>
      </c>
      <c r="D472" s="1" t="s">
        <v>942</v>
      </c>
      <c r="E472" s="1" t="s">
        <v>701</v>
      </c>
      <c r="F472" s="3">
        <v>46178</v>
      </c>
      <c r="G472" s="3">
        <v>46188</v>
      </c>
      <c r="H472" s="4">
        <v>0</v>
      </c>
      <c r="J472" s="1" t="s">
        <v>83</v>
      </c>
      <c r="M472" s="1" t="s">
        <v>66</v>
      </c>
      <c r="N472" s="2">
        <v>46188</v>
      </c>
      <c r="P472" s="1" t="s">
        <v>348</v>
      </c>
      <c r="Q472" s="1" t="s">
        <v>55</v>
      </c>
      <c r="R472" s="1" t="s">
        <v>326</v>
      </c>
      <c r="S472" s="2">
        <v>46167</v>
      </c>
      <c r="T472" s="2">
        <v>46175</v>
      </c>
      <c r="U472" s="1" t="s">
        <v>908</v>
      </c>
      <c r="W472" s="1" t="s">
        <v>943</v>
      </c>
      <c r="AA472" s="1" t="b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</row>
    <row r="473" spans="1:39" x14ac:dyDescent="0.25">
      <c r="A473" s="1">
        <v>208</v>
      </c>
      <c r="B473" s="1" t="s">
        <v>944</v>
      </c>
      <c r="C473" s="1" t="s">
        <v>328</v>
      </c>
      <c r="D473" s="1" t="s">
        <v>945</v>
      </c>
      <c r="E473" s="1" t="s">
        <v>701</v>
      </c>
      <c r="F473" s="3">
        <v>46178</v>
      </c>
      <c r="G473" s="3">
        <v>46188</v>
      </c>
      <c r="H473" s="4">
        <v>0</v>
      </c>
      <c r="J473" s="1" t="s">
        <v>83</v>
      </c>
      <c r="M473" s="1" t="s">
        <v>66</v>
      </c>
      <c r="N473" s="2">
        <v>46188</v>
      </c>
      <c r="P473" s="1" t="s">
        <v>348</v>
      </c>
      <c r="Q473" s="1" t="s">
        <v>55</v>
      </c>
      <c r="R473" s="1" t="s">
        <v>326</v>
      </c>
      <c r="S473" s="2">
        <v>46167</v>
      </c>
      <c r="T473" s="2">
        <v>46175</v>
      </c>
      <c r="U473" s="1" t="s">
        <v>908</v>
      </c>
      <c r="W473" s="1" t="s">
        <v>946</v>
      </c>
      <c r="AA473" s="1" t="b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</row>
    <row r="474" spans="1:39" x14ac:dyDescent="0.25">
      <c r="A474" s="1">
        <v>218</v>
      </c>
      <c r="B474" s="1" t="s">
        <v>947</v>
      </c>
      <c r="C474" s="1" t="s">
        <v>328</v>
      </c>
      <c r="D474" s="1" t="s">
        <v>948</v>
      </c>
      <c r="E474" s="1" t="s">
        <v>936</v>
      </c>
      <c r="F474" s="3">
        <v>46175</v>
      </c>
      <c r="G474" s="3">
        <v>46192</v>
      </c>
      <c r="H474" s="4">
        <v>0</v>
      </c>
      <c r="J474" s="1" t="s">
        <v>83</v>
      </c>
      <c r="M474" s="1" t="s">
        <v>214</v>
      </c>
      <c r="N474" s="2">
        <v>46192</v>
      </c>
      <c r="P474" s="1" t="s">
        <v>348</v>
      </c>
      <c r="Q474" s="1" t="s">
        <v>55</v>
      </c>
      <c r="R474" s="1" t="s">
        <v>326</v>
      </c>
      <c r="S474" s="2">
        <v>46162</v>
      </c>
      <c r="T474" s="2">
        <v>46181</v>
      </c>
      <c r="U474" s="1" t="s">
        <v>908</v>
      </c>
      <c r="W474" s="1" t="s">
        <v>949</v>
      </c>
      <c r="AA474" s="1" t="b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</row>
    <row r="475" spans="1:39" x14ac:dyDescent="0.25">
      <c r="A475" s="1">
        <v>239</v>
      </c>
      <c r="B475" s="1" t="s">
        <v>950</v>
      </c>
      <c r="C475" s="1" t="s">
        <v>403</v>
      </c>
      <c r="D475" s="1" t="s">
        <v>951</v>
      </c>
      <c r="E475" s="1" t="s">
        <v>701</v>
      </c>
      <c r="F475" s="3">
        <v>46197</v>
      </c>
      <c r="G475" s="3">
        <v>46205</v>
      </c>
      <c r="H475" s="4">
        <v>0</v>
      </c>
      <c r="J475" s="1" t="s">
        <v>83</v>
      </c>
      <c r="M475" s="1" t="s">
        <v>342</v>
      </c>
      <c r="N475" s="2">
        <v>46205</v>
      </c>
      <c r="P475" s="1" t="s">
        <v>348</v>
      </c>
      <c r="Q475" s="1" t="s">
        <v>55</v>
      </c>
      <c r="R475" s="1" t="s">
        <v>401</v>
      </c>
      <c r="S475" s="2">
        <v>46189</v>
      </c>
      <c r="T475" s="2">
        <v>46197</v>
      </c>
      <c r="U475" s="1" t="s">
        <v>908</v>
      </c>
      <c r="W475" s="1" t="s">
        <v>952</v>
      </c>
      <c r="X475" s="1" t="s">
        <v>403</v>
      </c>
      <c r="Y475" s="1" t="s">
        <v>953</v>
      </c>
      <c r="Z475" s="1" t="s">
        <v>952</v>
      </c>
      <c r="AA475" s="1" t="b">
        <v>1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</row>
    <row r="476" spans="1:39" x14ac:dyDescent="0.25">
      <c r="A476" s="1">
        <v>269</v>
      </c>
      <c r="B476" s="1" t="s">
        <v>954</v>
      </c>
      <c r="C476" s="1" t="s">
        <v>403</v>
      </c>
      <c r="D476" s="1" t="s">
        <v>955</v>
      </c>
      <c r="E476" s="1" t="s">
        <v>956</v>
      </c>
      <c r="F476" s="3">
        <v>46196</v>
      </c>
      <c r="G476" s="3">
        <v>46206</v>
      </c>
      <c r="H476" s="4">
        <v>0</v>
      </c>
      <c r="J476" s="1" t="s">
        <v>83</v>
      </c>
      <c r="M476" s="1" t="s">
        <v>367</v>
      </c>
      <c r="N476" s="2">
        <v>46206</v>
      </c>
      <c r="P476" s="1" t="s">
        <v>348</v>
      </c>
      <c r="Q476" s="1" t="s">
        <v>55</v>
      </c>
      <c r="R476" s="1" t="s">
        <v>401</v>
      </c>
      <c r="S476" s="2">
        <v>46188</v>
      </c>
      <c r="T476" s="2">
        <v>46198</v>
      </c>
      <c r="U476" s="1" t="s">
        <v>908</v>
      </c>
      <c r="W476" s="1" t="s">
        <v>957</v>
      </c>
      <c r="X476" s="1" t="s">
        <v>403</v>
      </c>
      <c r="Y476" s="1" t="s">
        <v>958</v>
      </c>
      <c r="Z476" s="1" t="s">
        <v>957</v>
      </c>
      <c r="AA476" s="1" t="b">
        <v>1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</row>
    <row r="477" spans="1:39" x14ac:dyDescent="0.25">
      <c r="A477" s="1">
        <v>295</v>
      </c>
      <c r="B477" s="1" t="s">
        <v>959</v>
      </c>
      <c r="C477" s="1" t="s">
        <v>472</v>
      </c>
      <c r="D477" s="1" t="s">
        <v>960</v>
      </c>
      <c r="E477" s="1" t="s">
        <v>701</v>
      </c>
      <c r="F477" s="3">
        <v>46197</v>
      </c>
      <c r="G477" s="3">
        <v>46205</v>
      </c>
      <c r="H477" s="4">
        <v>0</v>
      </c>
      <c r="J477" s="1" t="s">
        <v>83</v>
      </c>
      <c r="M477" s="1" t="s">
        <v>342</v>
      </c>
      <c r="N477" s="2">
        <v>46205</v>
      </c>
      <c r="P477" s="1" t="s">
        <v>348</v>
      </c>
      <c r="Q477" s="1" t="s">
        <v>55</v>
      </c>
      <c r="R477" s="1" t="s">
        <v>470</v>
      </c>
      <c r="S477" s="2">
        <v>46185</v>
      </c>
      <c r="T477" s="2">
        <v>46195</v>
      </c>
      <c r="U477" s="1" t="s">
        <v>908</v>
      </c>
      <c r="W477" s="1" t="s">
        <v>961</v>
      </c>
      <c r="X477" s="1" t="s">
        <v>472</v>
      </c>
      <c r="Y477" s="1" t="s">
        <v>962</v>
      </c>
      <c r="Z477" s="1" t="s">
        <v>961</v>
      </c>
      <c r="AA477" s="1" t="b">
        <v>1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</row>
    <row r="478" spans="1:39" x14ac:dyDescent="0.25">
      <c r="A478" s="1">
        <v>340</v>
      </c>
      <c r="B478" s="1" t="s">
        <v>564</v>
      </c>
      <c r="C478" s="1" t="s">
        <v>472</v>
      </c>
      <c r="D478" s="1" t="s">
        <v>963</v>
      </c>
      <c r="E478" s="1" t="s">
        <v>264</v>
      </c>
      <c r="F478" s="3">
        <v>46197</v>
      </c>
      <c r="G478" s="3">
        <v>46204</v>
      </c>
      <c r="H478" s="4">
        <v>0</v>
      </c>
      <c r="J478" s="1" t="s">
        <v>83</v>
      </c>
      <c r="M478" s="1" t="s">
        <v>342</v>
      </c>
      <c r="N478" s="2">
        <v>46204</v>
      </c>
      <c r="P478" s="1" t="s">
        <v>348</v>
      </c>
      <c r="Q478" s="1" t="s">
        <v>55</v>
      </c>
      <c r="R478" s="1" t="s">
        <v>470</v>
      </c>
      <c r="S478" s="2">
        <v>46185</v>
      </c>
      <c r="T478" s="2">
        <v>46197</v>
      </c>
      <c r="U478" s="1" t="s">
        <v>908</v>
      </c>
      <c r="W478" s="1" t="s">
        <v>964</v>
      </c>
      <c r="X478" s="1" t="s">
        <v>472</v>
      </c>
      <c r="Y478" s="1" t="s">
        <v>965</v>
      </c>
      <c r="Z478" s="1" t="s">
        <v>964</v>
      </c>
      <c r="AA478" s="1" t="b">
        <v>1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</row>
    <row r="479" spans="1:39" x14ac:dyDescent="0.25">
      <c r="A479" s="1">
        <v>345</v>
      </c>
      <c r="B479" s="1" t="s">
        <v>573</v>
      </c>
      <c r="C479" s="1" t="s">
        <v>472</v>
      </c>
      <c r="D479" s="1" t="s">
        <v>966</v>
      </c>
      <c r="E479" s="1" t="s">
        <v>956</v>
      </c>
      <c r="F479" s="3">
        <v>46197</v>
      </c>
      <c r="G479" s="3">
        <v>46209</v>
      </c>
      <c r="H479" s="4">
        <v>0</v>
      </c>
      <c r="J479" s="1" t="s">
        <v>83</v>
      </c>
      <c r="M479" s="1" t="s">
        <v>342</v>
      </c>
      <c r="N479" s="2">
        <v>46209</v>
      </c>
      <c r="P479" s="1" t="s">
        <v>348</v>
      </c>
      <c r="Q479" s="1" t="s">
        <v>55</v>
      </c>
      <c r="R479" s="1" t="s">
        <v>470</v>
      </c>
      <c r="S479" s="2">
        <v>46185</v>
      </c>
      <c r="T479" s="2">
        <v>46197</v>
      </c>
      <c r="U479" s="1" t="s">
        <v>908</v>
      </c>
      <c r="W479" s="1" t="s">
        <v>967</v>
      </c>
      <c r="X479" s="1" t="s">
        <v>472</v>
      </c>
      <c r="Y479" s="1" t="s">
        <v>968</v>
      </c>
      <c r="Z479" s="1" t="s">
        <v>967</v>
      </c>
      <c r="AA479" s="1" t="b">
        <v>1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</row>
    <row r="480" spans="1:39" x14ac:dyDescent="0.25">
      <c r="A480" s="1">
        <v>350</v>
      </c>
      <c r="B480" s="1" t="s">
        <v>969</v>
      </c>
      <c r="C480" s="1" t="s">
        <v>472</v>
      </c>
      <c r="D480" s="1" t="s">
        <v>970</v>
      </c>
      <c r="E480" s="1" t="s">
        <v>971</v>
      </c>
      <c r="F480" s="3">
        <v>46178</v>
      </c>
      <c r="G480" s="3">
        <v>46202</v>
      </c>
      <c r="H480" s="4">
        <v>0</v>
      </c>
      <c r="J480" s="1" t="s">
        <v>83</v>
      </c>
      <c r="M480" s="1" t="s">
        <v>66</v>
      </c>
      <c r="N480" s="2">
        <v>46202</v>
      </c>
      <c r="P480" s="1" t="s">
        <v>348</v>
      </c>
      <c r="Q480" s="1" t="s">
        <v>55</v>
      </c>
      <c r="R480" s="1" t="s">
        <v>470</v>
      </c>
      <c r="S480" s="2">
        <v>46168</v>
      </c>
      <c r="T480" s="2">
        <v>46190</v>
      </c>
      <c r="U480" s="1" t="s">
        <v>908</v>
      </c>
      <c r="W480" s="1" t="s">
        <v>972</v>
      </c>
      <c r="X480" s="1" t="s">
        <v>472</v>
      </c>
      <c r="Y480" s="1" t="s">
        <v>973</v>
      </c>
      <c r="Z480" s="1" t="s">
        <v>972</v>
      </c>
      <c r="AA480" s="1" t="b">
        <v>1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</row>
    <row r="481" spans="1:39" x14ac:dyDescent="0.25">
      <c r="A481" s="1">
        <v>370</v>
      </c>
      <c r="B481" s="1" t="s">
        <v>974</v>
      </c>
      <c r="C481" s="1" t="s">
        <v>472</v>
      </c>
      <c r="D481" s="1" t="s">
        <v>975</v>
      </c>
      <c r="E481" s="1" t="s">
        <v>956</v>
      </c>
      <c r="F481" s="3">
        <v>46183</v>
      </c>
      <c r="G481" s="3">
        <v>46195</v>
      </c>
      <c r="H481" s="4">
        <v>0</v>
      </c>
      <c r="J481" s="1" t="s">
        <v>83</v>
      </c>
      <c r="M481" s="1" t="s">
        <v>224</v>
      </c>
      <c r="N481" s="2">
        <v>46195</v>
      </c>
      <c r="P481" s="1" t="s">
        <v>348</v>
      </c>
      <c r="Q481" s="1" t="s">
        <v>55</v>
      </c>
      <c r="R481" s="1" t="s">
        <v>470</v>
      </c>
      <c r="S481" s="2">
        <v>46171</v>
      </c>
      <c r="T481" s="2">
        <v>46183</v>
      </c>
      <c r="U481" s="1" t="s">
        <v>908</v>
      </c>
      <c r="W481" s="1" t="s">
        <v>976</v>
      </c>
      <c r="X481" s="1" t="s">
        <v>472</v>
      </c>
      <c r="Y481" s="1" t="s">
        <v>977</v>
      </c>
      <c r="Z481" s="1" t="s">
        <v>976</v>
      </c>
      <c r="AA481" s="1" t="b">
        <v>1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</row>
    <row r="482" spans="1:39" x14ac:dyDescent="0.25">
      <c r="A482" s="1">
        <v>375</v>
      </c>
      <c r="B482" s="1" t="s">
        <v>978</v>
      </c>
      <c r="C482" s="1" t="s">
        <v>472</v>
      </c>
      <c r="D482" s="1" t="s">
        <v>979</v>
      </c>
      <c r="E482" s="1" t="s">
        <v>956</v>
      </c>
      <c r="F482" s="3">
        <v>46183</v>
      </c>
      <c r="G482" s="3">
        <v>46195</v>
      </c>
      <c r="H482" s="4">
        <v>0</v>
      </c>
      <c r="J482" s="1" t="s">
        <v>83</v>
      </c>
      <c r="M482" s="1" t="s">
        <v>224</v>
      </c>
      <c r="N482" s="2">
        <v>46195</v>
      </c>
      <c r="P482" s="1" t="s">
        <v>348</v>
      </c>
      <c r="Q482" s="1" t="s">
        <v>55</v>
      </c>
      <c r="R482" s="1" t="s">
        <v>470</v>
      </c>
      <c r="S482" s="2">
        <v>46171</v>
      </c>
      <c r="T482" s="2">
        <v>46183</v>
      </c>
      <c r="U482" s="1" t="s">
        <v>908</v>
      </c>
      <c r="W482" s="1" t="s">
        <v>980</v>
      </c>
      <c r="X482" s="1" t="s">
        <v>472</v>
      </c>
      <c r="Y482" s="1" t="s">
        <v>981</v>
      </c>
      <c r="Z482" s="1" t="s">
        <v>980</v>
      </c>
      <c r="AA482" s="1" t="b">
        <v>1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</row>
    <row r="483" spans="1:39" x14ac:dyDescent="0.25">
      <c r="A483" s="1">
        <v>380</v>
      </c>
      <c r="B483" s="1" t="s">
        <v>982</v>
      </c>
      <c r="C483" s="1" t="s">
        <v>472</v>
      </c>
      <c r="D483" s="1" t="s">
        <v>983</v>
      </c>
      <c r="E483" s="1" t="s">
        <v>956</v>
      </c>
      <c r="F483" s="3">
        <v>46183</v>
      </c>
      <c r="G483" s="3">
        <v>46195</v>
      </c>
      <c r="H483" s="4">
        <v>0</v>
      </c>
      <c r="J483" s="1" t="s">
        <v>83</v>
      </c>
      <c r="M483" s="1" t="s">
        <v>224</v>
      </c>
      <c r="N483" s="2">
        <v>46195</v>
      </c>
      <c r="P483" s="1" t="s">
        <v>348</v>
      </c>
      <c r="Q483" s="1" t="s">
        <v>55</v>
      </c>
      <c r="R483" s="1" t="s">
        <v>470</v>
      </c>
      <c r="S483" s="2">
        <v>46171</v>
      </c>
      <c r="T483" s="2">
        <v>46183</v>
      </c>
      <c r="U483" s="1" t="s">
        <v>908</v>
      </c>
      <c r="W483" s="1" t="s">
        <v>984</v>
      </c>
      <c r="X483" s="1" t="s">
        <v>472</v>
      </c>
      <c r="Y483" s="1" t="s">
        <v>985</v>
      </c>
      <c r="Z483" s="1" t="s">
        <v>984</v>
      </c>
      <c r="AA483" s="1" t="b">
        <v>1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</row>
    <row r="484" spans="1:39" x14ac:dyDescent="0.25">
      <c r="A484" s="1">
        <v>385</v>
      </c>
      <c r="B484" s="1" t="s">
        <v>986</v>
      </c>
      <c r="C484" s="1" t="s">
        <v>472</v>
      </c>
      <c r="D484" s="1" t="s">
        <v>987</v>
      </c>
      <c r="E484" s="1" t="s">
        <v>956</v>
      </c>
      <c r="F484" s="3">
        <v>46183</v>
      </c>
      <c r="G484" s="3">
        <v>46195</v>
      </c>
      <c r="H484" s="4">
        <v>0</v>
      </c>
      <c r="J484" s="1" t="s">
        <v>83</v>
      </c>
      <c r="M484" s="1" t="s">
        <v>224</v>
      </c>
      <c r="N484" s="2">
        <v>46195</v>
      </c>
      <c r="P484" s="1" t="s">
        <v>348</v>
      </c>
      <c r="Q484" s="1" t="s">
        <v>55</v>
      </c>
      <c r="R484" s="1" t="s">
        <v>470</v>
      </c>
      <c r="S484" s="2">
        <v>46171</v>
      </c>
      <c r="T484" s="2">
        <v>46183</v>
      </c>
      <c r="U484" s="1" t="s">
        <v>908</v>
      </c>
      <c r="W484" s="1" t="s">
        <v>988</v>
      </c>
      <c r="X484" s="1" t="s">
        <v>472</v>
      </c>
      <c r="Y484" s="1" t="s">
        <v>989</v>
      </c>
      <c r="Z484" s="1" t="s">
        <v>988</v>
      </c>
      <c r="AA484" s="1" t="b">
        <v>1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</row>
    <row r="485" spans="1:39" x14ac:dyDescent="0.25">
      <c r="A485" s="1">
        <v>406</v>
      </c>
      <c r="B485" s="1" t="s">
        <v>610</v>
      </c>
      <c r="C485" s="1" t="s">
        <v>595</v>
      </c>
      <c r="D485" s="1" t="s">
        <v>990</v>
      </c>
      <c r="E485" s="1" t="s">
        <v>264</v>
      </c>
      <c r="F485" s="3">
        <v>46195</v>
      </c>
      <c r="G485" s="3">
        <v>46202</v>
      </c>
      <c r="H485" s="4">
        <v>0</v>
      </c>
      <c r="J485" s="1" t="s">
        <v>83</v>
      </c>
      <c r="M485" s="1" t="s">
        <v>365</v>
      </c>
      <c r="N485" s="2">
        <v>46202</v>
      </c>
      <c r="P485" s="1" t="s">
        <v>348</v>
      </c>
      <c r="Q485" s="1" t="s">
        <v>44</v>
      </c>
      <c r="R485" s="1" t="s">
        <v>593</v>
      </c>
      <c r="S485" s="2">
        <v>46184</v>
      </c>
      <c r="T485" s="2">
        <v>46192</v>
      </c>
      <c r="U485" s="1" t="s">
        <v>908</v>
      </c>
      <c r="W485" s="1" t="s">
        <v>991</v>
      </c>
      <c r="X485" s="1" t="s">
        <v>595</v>
      </c>
      <c r="Y485" s="1" t="s">
        <v>992</v>
      </c>
      <c r="Z485" s="1" t="s">
        <v>991</v>
      </c>
      <c r="AA485" s="1" t="b">
        <v>1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</row>
    <row r="486" spans="1:39" x14ac:dyDescent="0.25">
      <c r="A486" s="1">
        <v>411</v>
      </c>
      <c r="B486" s="1" t="s">
        <v>993</v>
      </c>
      <c r="C486" s="1" t="s">
        <v>595</v>
      </c>
      <c r="D486" s="1" t="s">
        <v>994</v>
      </c>
      <c r="E486" s="1" t="s">
        <v>701</v>
      </c>
      <c r="F486" s="3">
        <v>46195</v>
      </c>
      <c r="G486" s="3">
        <v>46203</v>
      </c>
      <c r="H486" s="4">
        <v>0</v>
      </c>
      <c r="J486" s="1" t="s">
        <v>83</v>
      </c>
      <c r="M486" s="1" t="s">
        <v>365</v>
      </c>
      <c r="N486" s="2">
        <v>46203</v>
      </c>
      <c r="P486" s="1" t="s">
        <v>348</v>
      </c>
      <c r="Q486" s="1" t="s">
        <v>55</v>
      </c>
      <c r="R486" s="1" t="s">
        <v>593</v>
      </c>
      <c r="S486" s="2">
        <v>46192</v>
      </c>
      <c r="T486" s="2">
        <v>46202</v>
      </c>
      <c r="U486" s="1" t="s">
        <v>908</v>
      </c>
      <c r="W486" s="1" t="s">
        <v>995</v>
      </c>
      <c r="X486" s="1" t="s">
        <v>595</v>
      </c>
      <c r="Y486" s="1" t="s">
        <v>996</v>
      </c>
      <c r="Z486" s="1" t="s">
        <v>995</v>
      </c>
      <c r="AA486" s="1" t="b">
        <v>1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</row>
    <row r="487" spans="1:39" x14ac:dyDescent="0.25">
      <c r="A487" s="1">
        <v>451</v>
      </c>
      <c r="B487" s="1" t="s">
        <v>666</v>
      </c>
      <c r="C487" s="1" t="s">
        <v>595</v>
      </c>
      <c r="D487" s="1" t="s">
        <v>997</v>
      </c>
      <c r="E487" s="1" t="s">
        <v>936</v>
      </c>
      <c r="F487" s="3">
        <v>46183</v>
      </c>
      <c r="G487" s="3">
        <v>46202</v>
      </c>
      <c r="H487" s="4">
        <v>0</v>
      </c>
      <c r="J487" s="1" t="s">
        <v>83</v>
      </c>
      <c r="M487" s="1" t="s">
        <v>224</v>
      </c>
      <c r="N487" s="2">
        <v>46202</v>
      </c>
      <c r="P487" s="1" t="s">
        <v>348</v>
      </c>
      <c r="Q487" s="1" t="s">
        <v>55</v>
      </c>
      <c r="R487" s="1" t="s">
        <v>593</v>
      </c>
      <c r="S487" s="2">
        <v>46167</v>
      </c>
      <c r="T487" s="2">
        <v>46184</v>
      </c>
      <c r="U487" s="1" t="s">
        <v>908</v>
      </c>
      <c r="W487" s="1" t="s">
        <v>998</v>
      </c>
      <c r="X487" s="1" t="s">
        <v>595</v>
      </c>
      <c r="Y487" s="1" t="s">
        <v>999</v>
      </c>
      <c r="Z487" s="1" t="s">
        <v>998</v>
      </c>
      <c r="AA487" s="1" t="b">
        <v>1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</row>
    <row r="488" spans="1:39" x14ac:dyDescent="0.25">
      <c r="A488" s="1">
        <v>461</v>
      </c>
      <c r="B488" s="1" t="s">
        <v>673</v>
      </c>
      <c r="C488" s="1" t="s">
        <v>595</v>
      </c>
      <c r="D488" s="1" t="s">
        <v>1000</v>
      </c>
      <c r="E488" s="1" t="s">
        <v>701</v>
      </c>
      <c r="F488" s="3">
        <v>46199</v>
      </c>
      <c r="G488" s="3">
        <v>46209</v>
      </c>
      <c r="H488" s="4">
        <v>0</v>
      </c>
      <c r="J488" s="1" t="s">
        <v>83</v>
      </c>
      <c r="M488" s="1" t="s">
        <v>182</v>
      </c>
      <c r="N488" s="2">
        <v>46209</v>
      </c>
      <c r="P488" s="1" t="s">
        <v>348</v>
      </c>
      <c r="Q488" s="1" t="s">
        <v>55</v>
      </c>
      <c r="R488" s="1" t="s">
        <v>593</v>
      </c>
      <c r="S488" s="2">
        <v>46192</v>
      </c>
      <c r="T488" s="2">
        <v>46202</v>
      </c>
      <c r="U488" s="1" t="s">
        <v>908</v>
      </c>
      <c r="W488" s="1" t="s">
        <v>1001</v>
      </c>
      <c r="X488" s="1" t="s">
        <v>595</v>
      </c>
      <c r="Y488" s="1" t="s">
        <v>1002</v>
      </c>
      <c r="Z488" s="1" t="s">
        <v>1001</v>
      </c>
      <c r="AA488" s="1" t="b">
        <v>1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</row>
    <row r="489" spans="1:39" x14ac:dyDescent="0.25">
      <c r="A489" s="1">
        <v>466</v>
      </c>
      <c r="B489" s="1" t="s">
        <v>1003</v>
      </c>
      <c r="C489" s="1" t="s">
        <v>595</v>
      </c>
      <c r="D489" s="1" t="s">
        <v>1004</v>
      </c>
      <c r="E489" s="1" t="s">
        <v>264</v>
      </c>
      <c r="F489" s="3">
        <v>46199</v>
      </c>
      <c r="G489" s="3">
        <v>46206</v>
      </c>
      <c r="H489" s="4">
        <v>0</v>
      </c>
      <c r="J489" s="1" t="s">
        <v>83</v>
      </c>
      <c r="M489" s="1" t="s">
        <v>182</v>
      </c>
      <c r="N489" s="2">
        <v>46206</v>
      </c>
      <c r="P489" s="1" t="s">
        <v>348</v>
      </c>
      <c r="Q489" s="1" t="s">
        <v>44</v>
      </c>
      <c r="R489" s="1" t="s">
        <v>593</v>
      </c>
      <c r="S489" s="2">
        <v>46192</v>
      </c>
      <c r="T489" s="2">
        <v>46202</v>
      </c>
      <c r="U489" s="1" t="s">
        <v>908</v>
      </c>
      <c r="W489" s="1" t="s">
        <v>1005</v>
      </c>
      <c r="X489" s="1" t="s">
        <v>595</v>
      </c>
      <c r="Y489" s="1" t="s">
        <v>1006</v>
      </c>
      <c r="Z489" s="1" t="s">
        <v>1005</v>
      </c>
      <c r="AA489" s="1" t="b">
        <v>1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</row>
    <row r="490" spans="1:39" x14ac:dyDescent="0.25">
      <c r="U490" s="1" t="s">
        <v>908</v>
      </c>
      <c r="X490" s="1" t="s">
        <v>902</v>
      </c>
      <c r="Z490" s="1" t="s">
        <v>1007</v>
      </c>
      <c r="AA490" s="1" t="b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</row>
    <row r="491" spans="1:39" x14ac:dyDescent="0.25">
      <c r="U491" s="1" t="s">
        <v>908</v>
      </c>
      <c r="X491" s="1" t="s">
        <v>902</v>
      </c>
      <c r="Z491" s="1" t="s">
        <v>1007</v>
      </c>
      <c r="AA491" s="1" t="b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</row>
    <row r="492" spans="1:39" x14ac:dyDescent="0.25">
      <c r="U492" s="1" t="s">
        <v>908</v>
      </c>
      <c r="X492" s="1" t="s">
        <v>902</v>
      </c>
      <c r="Z492" s="1" t="s">
        <v>1007</v>
      </c>
      <c r="AA492" s="1" t="b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</row>
    <row r="493" spans="1:39" x14ac:dyDescent="0.25">
      <c r="U493" s="1" t="s">
        <v>908</v>
      </c>
      <c r="X493" s="1" t="s">
        <v>902</v>
      </c>
      <c r="Z493" s="1" t="s">
        <v>1007</v>
      </c>
      <c r="AA493" s="1" t="b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</row>
    <row r="494" spans="1:39" x14ac:dyDescent="0.25">
      <c r="U494" s="1" t="s">
        <v>908</v>
      </c>
      <c r="X494" s="1" t="s">
        <v>902</v>
      </c>
      <c r="Z494" s="1" t="s">
        <v>1007</v>
      </c>
      <c r="AA494" s="1" t="b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</row>
    <row r="495" spans="1:39" x14ac:dyDescent="0.25">
      <c r="U495" s="1" t="s">
        <v>908</v>
      </c>
      <c r="X495" s="1" t="s">
        <v>902</v>
      </c>
      <c r="Z495" s="1" t="s">
        <v>1007</v>
      </c>
      <c r="AA495" s="1" t="b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</row>
    <row r="496" spans="1:39" x14ac:dyDescent="0.25">
      <c r="U496" s="1" t="s">
        <v>908</v>
      </c>
      <c r="X496" s="1" t="s">
        <v>902</v>
      </c>
      <c r="Z496" s="1" t="s">
        <v>1007</v>
      </c>
      <c r="AA496" s="1" t="b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</row>
    <row r="497" spans="21:39" x14ac:dyDescent="0.25">
      <c r="U497" s="1" t="s">
        <v>908</v>
      </c>
      <c r="X497" s="1" t="s">
        <v>902</v>
      </c>
      <c r="Z497" s="1" t="s">
        <v>1007</v>
      </c>
      <c r="AA497" s="1" t="b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</row>
    <row r="498" spans="21:39" x14ac:dyDescent="0.25">
      <c r="U498" s="1" t="s">
        <v>908</v>
      </c>
      <c r="X498" s="1" t="s">
        <v>902</v>
      </c>
      <c r="Z498" s="1" t="s">
        <v>1007</v>
      </c>
      <c r="AA498" s="1" t="b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</row>
    <row r="499" spans="21:39" x14ac:dyDescent="0.25">
      <c r="U499" s="1" t="s">
        <v>908</v>
      </c>
      <c r="X499" s="1" t="s">
        <v>902</v>
      </c>
      <c r="Z499" s="1" t="s">
        <v>1007</v>
      </c>
      <c r="AA499" s="1" t="b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</row>
    <row r="500" spans="21:39" x14ac:dyDescent="0.25">
      <c r="U500" s="1" t="s">
        <v>908</v>
      </c>
      <c r="X500" s="1" t="s">
        <v>902</v>
      </c>
      <c r="Z500" s="1" t="s">
        <v>1007</v>
      </c>
      <c r="AA500" s="1" t="b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</row>
    <row r="501" spans="21:39" x14ac:dyDescent="0.25">
      <c r="U501" s="1" t="s">
        <v>908</v>
      </c>
      <c r="X501" s="1" t="s">
        <v>902</v>
      </c>
      <c r="Z501" s="1" t="s">
        <v>1007</v>
      </c>
      <c r="AA501" s="1" t="b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</row>
    <row r="502" spans="21:39" x14ac:dyDescent="0.25">
      <c r="U502" s="1" t="s">
        <v>908</v>
      </c>
      <c r="X502" s="1" t="s">
        <v>902</v>
      </c>
      <c r="Z502" s="1" t="s">
        <v>1007</v>
      </c>
      <c r="AA502" s="1" t="b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</row>
    <row r="503" spans="21:39" x14ac:dyDescent="0.25">
      <c r="U503" s="1" t="s">
        <v>908</v>
      </c>
      <c r="X503" s="1" t="s">
        <v>902</v>
      </c>
      <c r="Z503" s="1" t="s">
        <v>1007</v>
      </c>
      <c r="AA503" s="1" t="b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</row>
    <row r="504" spans="21:39" x14ac:dyDescent="0.25">
      <c r="U504" s="1" t="s">
        <v>908</v>
      </c>
      <c r="X504" s="1" t="s">
        <v>902</v>
      </c>
      <c r="Z504" s="1" t="s">
        <v>1007</v>
      </c>
      <c r="AA504" s="1" t="b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</row>
    <row r="505" spans="21:39" x14ac:dyDescent="0.25">
      <c r="U505" s="1" t="s">
        <v>908</v>
      </c>
      <c r="X505" s="1" t="s">
        <v>902</v>
      </c>
      <c r="Z505" s="1" t="s">
        <v>1007</v>
      </c>
      <c r="AA505" s="1" t="b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</row>
    <row r="506" spans="21:39" x14ac:dyDescent="0.25">
      <c r="U506" s="1" t="s">
        <v>908</v>
      </c>
      <c r="X506" s="1" t="s">
        <v>902</v>
      </c>
      <c r="Z506" s="1" t="s">
        <v>1007</v>
      </c>
      <c r="AA506" s="1" t="b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</row>
    <row r="507" spans="21:39" x14ac:dyDescent="0.25">
      <c r="U507" s="1" t="s">
        <v>908</v>
      </c>
      <c r="X507" s="1" t="s">
        <v>902</v>
      </c>
      <c r="Z507" s="1" t="s">
        <v>1007</v>
      </c>
      <c r="AA507" s="1" t="b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</row>
    <row r="508" spans="21:39" x14ac:dyDescent="0.25">
      <c r="U508" s="1" t="s">
        <v>908</v>
      </c>
      <c r="X508" s="1" t="s">
        <v>902</v>
      </c>
      <c r="Z508" s="1" t="s">
        <v>1007</v>
      </c>
      <c r="AA508" s="1" t="b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</row>
    <row r="509" spans="21:39" x14ac:dyDescent="0.25">
      <c r="U509" s="1" t="s">
        <v>908</v>
      </c>
      <c r="X509" s="1" t="s">
        <v>902</v>
      </c>
      <c r="Z509" s="1" t="s">
        <v>1007</v>
      </c>
      <c r="AA509" s="1" t="b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</row>
    <row r="510" spans="21:39" x14ac:dyDescent="0.25">
      <c r="U510" s="1" t="s">
        <v>908</v>
      </c>
      <c r="X510" s="1" t="s">
        <v>902</v>
      </c>
      <c r="Z510" s="1" t="s">
        <v>1007</v>
      </c>
      <c r="AA510" s="1" t="b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</row>
    <row r="511" spans="21:39" x14ac:dyDescent="0.25">
      <c r="U511" s="1" t="s">
        <v>908</v>
      </c>
      <c r="X511" s="1" t="s">
        <v>902</v>
      </c>
      <c r="Z511" s="1" t="s">
        <v>1007</v>
      </c>
      <c r="AA511" s="1" t="b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</row>
    <row r="512" spans="21:39" x14ac:dyDescent="0.25">
      <c r="U512" s="1" t="s">
        <v>908</v>
      </c>
      <c r="X512" s="1" t="s">
        <v>902</v>
      </c>
      <c r="Z512" s="1" t="s">
        <v>1007</v>
      </c>
      <c r="AA512" s="1" t="b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</row>
    <row r="513" spans="21:39" x14ac:dyDescent="0.25">
      <c r="U513" s="1" t="s">
        <v>908</v>
      </c>
      <c r="X513" s="1" t="s">
        <v>902</v>
      </c>
      <c r="Z513" s="1" t="s">
        <v>1007</v>
      </c>
      <c r="AA513" s="1" t="b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</row>
    <row r="514" spans="21:39" x14ac:dyDescent="0.25">
      <c r="U514" s="1" t="s">
        <v>908</v>
      </c>
      <c r="X514" s="1" t="s">
        <v>902</v>
      </c>
      <c r="Z514" s="1" t="s">
        <v>1007</v>
      </c>
      <c r="AA514" s="1" t="b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</row>
    <row r="515" spans="21:39" x14ac:dyDescent="0.25">
      <c r="U515" s="1" t="s">
        <v>908</v>
      </c>
      <c r="X515" s="1" t="s">
        <v>902</v>
      </c>
      <c r="Z515" s="1" t="s">
        <v>1007</v>
      </c>
      <c r="AA515" s="1" t="b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</row>
    <row r="516" spans="21:39" x14ac:dyDescent="0.25">
      <c r="U516" s="1" t="s">
        <v>908</v>
      </c>
      <c r="X516" s="1" t="s">
        <v>902</v>
      </c>
      <c r="Z516" s="1" t="s">
        <v>1007</v>
      </c>
      <c r="AA516" s="1" t="b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</row>
    <row r="517" spans="21:39" x14ac:dyDescent="0.25">
      <c r="U517" s="1" t="s">
        <v>908</v>
      </c>
      <c r="X517" s="1" t="s">
        <v>902</v>
      </c>
      <c r="Z517" s="1" t="s">
        <v>1007</v>
      </c>
      <c r="AA517" s="1" t="b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</row>
    <row r="518" spans="21:39" x14ac:dyDescent="0.25">
      <c r="U518" s="1" t="s">
        <v>908</v>
      </c>
      <c r="X518" s="1" t="s">
        <v>902</v>
      </c>
      <c r="Z518" s="1" t="s">
        <v>1007</v>
      </c>
      <c r="AA518" s="1" t="b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</row>
    <row r="519" spans="21:39" x14ac:dyDescent="0.25">
      <c r="U519" s="1" t="s">
        <v>908</v>
      </c>
      <c r="X519" s="1" t="s">
        <v>902</v>
      </c>
      <c r="Z519" s="1" t="s">
        <v>1007</v>
      </c>
      <c r="AA519" s="1" t="b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</row>
    <row r="520" spans="21:39" x14ac:dyDescent="0.25">
      <c r="U520" s="1" t="s">
        <v>908</v>
      </c>
      <c r="X520" s="1" t="s">
        <v>902</v>
      </c>
      <c r="Z520" s="1" t="s">
        <v>1007</v>
      </c>
      <c r="AA520" s="1" t="b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</row>
    <row r="521" spans="21:39" x14ac:dyDescent="0.25">
      <c r="U521" s="1" t="s">
        <v>908</v>
      </c>
      <c r="X521" s="1" t="s">
        <v>902</v>
      </c>
      <c r="Z521" s="1" t="s">
        <v>1007</v>
      </c>
      <c r="AA521" s="1" t="b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</row>
    <row r="522" spans="21:39" x14ac:dyDescent="0.25">
      <c r="U522" s="1" t="s">
        <v>908</v>
      </c>
      <c r="X522" s="1" t="s">
        <v>902</v>
      </c>
      <c r="Z522" s="1" t="s">
        <v>1007</v>
      </c>
      <c r="AA522" s="1" t="b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</row>
    <row r="523" spans="21:39" x14ac:dyDescent="0.25">
      <c r="U523" s="1" t="s">
        <v>908</v>
      </c>
      <c r="X523" s="1" t="s">
        <v>902</v>
      </c>
      <c r="Z523" s="1" t="s">
        <v>1007</v>
      </c>
      <c r="AA523" s="1" t="b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</row>
    <row r="524" spans="21:39" x14ac:dyDescent="0.25">
      <c r="U524" s="1" t="s">
        <v>908</v>
      </c>
      <c r="X524" s="1" t="s">
        <v>902</v>
      </c>
      <c r="Z524" s="1" t="s">
        <v>1007</v>
      </c>
      <c r="AA524" s="1" t="b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</row>
    <row r="525" spans="21:39" x14ac:dyDescent="0.25">
      <c r="U525" s="1" t="s">
        <v>908</v>
      </c>
      <c r="X525" s="1" t="s">
        <v>902</v>
      </c>
      <c r="Z525" s="1" t="s">
        <v>1007</v>
      </c>
      <c r="AA525" s="1" t="b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</row>
    <row r="526" spans="21:39" x14ac:dyDescent="0.25">
      <c r="U526" s="1" t="s">
        <v>908</v>
      </c>
      <c r="X526" s="1" t="s">
        <v>902</v>
      </c>
      <c r="Z526" s="1" t="s">
        <v>1007</v>
      </c>
      <c r="AA526" s="1" t="b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</row>
    <row r="527" spans="21:39" x14ac:dyDescent="0.25">
      <c r="U527" s="1" t="s">
        <v>908</v>
      </c>
      <c r="X527" s="1" t="s">
        <v>902</v>
      </c>
      <c r="Z527" s="1" t="s">
        <v>1007</v>
      </c>
      <c r="AA527" s="1" t="b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</row>
    <row r="528" spans="21:39" x14ac:dyDescent="0.25">
      <c r="U528" s="1" t="s">
        <v>908</v>
      </c>
      <c r="X528" s="1" t="s">
        <v>902</v>
      </c>
      <c r="Z528" s="1" t="s">
        <v>1007</v>
      </c>
      <c r="AA528" s="1" t="b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</row>
    <row r="529" spans="21:39" x14ac:dyDescent="0.25">
      <c r="U529" s="1" t="s">
        <v>908</v>
      </c>
      <c r="X529" s="1" t="s">
        <v>902</v>
      </c>
      <c r="Z529" s="1" t="s">
        <v>1007</v>
      </c>
      <c r="AA529" s="1" t="b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topLeftCell="A3" zoomScale="85" zoomScaleNormal="85" workbookViewId="0">
      <selection activeCell="H33" sqref="H33"/>
    </sheetView>
  </sheetViews>
  <sheetFormatPr defaultColWidth="22.85546875" defaultRowHeight="15" x14ac:dyDescent="0.25"/>
  <cols>
    <col min="1" max="16384" width="22.85546875" style="5"/>
  </cols>
  <sheetData>
    <row r="1" spans="1:8" ht="30" x14ac:dyDescent="0.25">
      <c r="A1" s="5" t="s">
        <v>1008</v>
      </c>
      <c r="B1" s="5">
        <v>88</v>
      </c>
    </row>
    <row r="2" spans="1:8" ht="30" x14ac:dyDescent="0.25">
      <c r="A2" s="5" t="s">
        <v>1009</v>
      </c>
      <c r="B2" s="6">
        <v>0.7816091954022989</v>
      </c>
    </row>
    <row r="3" spans="1:8" ht="30" x14ac:dyDescent="0.25">
      <c r="A3" s="5" t="s">
        <v>17</v>
      </c>
      <c r="B3" s="5" t="s">
        <v>28</v>
      </c>
      <c r="C3" s="5" t="s">
        <v>29</v>
      </c>
      <c r="D3" s="5" t="s">
        <v>1010</v>
      </c>
      <c r="E3" s="5" t="s">
        <v>32</v>
      </c>
      <c r="F3" s="5" t="s">
        <v>34</v>
      </c>
      <c r="G3" s="5" t="s">
        <v>36</v>
      </c>
      <c r="H3" s="5" t="s">
        <v>1011</v>
      </c>
    </row>
    <row r="4" spans="1:8" ht="30" x14ac:dyDescent="0.25">
      <c r="A4" s="5" t="s">
        <v>593</v>
      </c>
      <c r="B4" s="5">
        <v>39</v>
      </c>
      <c r="C4" s="5">
        <v>36</v>
      </c>
      <c r="D4" s="6">
        <v>0.92307692307692313</v>
      </c>
      <c r="E4" s="5">
        <v>3</v>
      </c>
      <c r="F4" s="5">
        <v>0</v>
      </c>
      <c r="G4" s="5">
        <v>0</v>
      </c>
      <c r="H4" s="6">
        <v>0</v>
      </c>
    </row>
    <row r="5" spans="1:8" x14ac:dyDescent="0.25">
      <c r="A5" s="5" t="s">
        <v>888</v>
      </c>
      <c r="B5" s="5">
        <v>2</v>
      </c>
      <c r="C5" s="5">
        <v>0</v>
      </c>
      <c r="D5" s="6">
        <v>0</v>
      </c>
      <c r="E5" s="5">
        <v>0</v>
      </c>
      <c r="F5" s="5">
        <v>0</v>
      </c>
      <c r="G5" s="5">
        <v>0</v>
      </c>
      <c r="H5" s="6">
        <v>0</v>
      </c>
    </row>
    <row r="6" spans="1:8" x14ac:dyDescent="0.25">
      <c r="A6" s="5" t="s">
        <v>140</v>
      </c>
      <c r="B6" s="5">
        <v>3</v>
      </c>
      <c r="C6" s="5">
        <v>1</v>
      </c>
      <c r="D6" s="6">
        <v>0.33333333333333331</v>
      </c>
      <c r="E6" s="5">
        <v>1</v>
      </c>
      <c r="F6" s="5">
        <v>0</v>
      </c>
      <c r="G6" s="5">
        <v>0</v>
      </c>
      <c r="H6" s="6">
        <v>0</v>
      </c>
    </row>
    <row r="7" spans="1:8" x14ac:dyDescent="0.25">
      <c r="A7" s="5" t="s">
        <v>470</v>
      </c>
      <c r="B7" s="5">
        <v>12</v>
      </c>
      <c r="C7" s="5">
        <v>4</v>
      </c>
      <c r="D7" s="6">
        <v>0.33333333333333331</v>
      </c>
      <c r="E7" s="5">
        <v>2</v>
      </c>
      <c r="F7" s="5">
        <v>1</v>
      </c>
      <c r="G7" s="5">
        <v>0</v>
      </c>
      <c r="H7" s="6">
        <v>0</v>
      </c>
    </row>
    <row r="8" spans="1:8" x14ac:dyDescent="0.25">
      <c r="A8" s="5" t="s">
        <v>401</v>
      </c>
      <c r="B8" s="5">
        <v>8</v>
      </c>
      <c r="C8" s="5">
        <v>8</v>
      </c>
      <c r="D8" s="6">
        <v>1</v>
      </c>
      <c r="E8" s="5">
        <v>0</v>
      </c>
      <c r="F8" s="5">
        <v>0</v>
      </c>
      <c r="G8" s="5">
        <v>0</v>
      </c>
      <c r="H8" s="6">
        <v>0</v>
      </c>
    </row>
    <row r="9" spans="1:8" x14ac:dyDescent="0.25">
      <c r="A9" s="5" t="s">
        <v>45</v>
      </c>
      <c r="B9" s="5">
        <v>0</v>
      </c>
      <c r="C9" s="5">
        <v>0</v>
      </c>
      <c r="D9" s="6">
        <v>0</v>
      </c>
      <c r="E9" s="5">
        <v>0</v>
      </c>
      <c r="F9" s="5">
        <v>0</v>
      </c>
      <c r="G9" s="5">
        <v>0</v>
      </c>
      <c r="H9" s="6">
        <v>0</v>
      </c>
    </row>
    <row r="10" spans="1:8" x14ac:dyDescent="0.25">
      <c r="A10" s="5" t="s">
        <v>61</v>
      </c>
      <c r="B10" s="5">
        <v>0</v>
      </c>
      <c r="C10" s="5">
        <v>0</v>
      </c>
      <c r="D10" s="6">
        <v>0</v>
      </c>
      <c r="E10" s="5">
        <v>0</v>
      </c>
      <c r="F10" s="5">
        <v>0</v>
      </c>
      <c r="G10" s="5">
        <v>0</v>
      </c>
      <c r="H10" s="6">
        <v>0</v>
      </c>
    </row>
    <row r="11" spans="1:8" x14ac:dyDescent="0.25">
      <c r="A11" s="5" t="s">
        <v>202</v>
      </c>
      <c r="B11" s="5">
        <v>13</v>
      </c>
      <c r="C11" s="5">
        <v>9</v>
      </c>
      <c r="D11" s="6">
        <v>0.69230769230769229</v>
      </c>
      <c r="E11" s="5">
        <v>6</v>
      </c>
      <c r="F11" s="5">
        <v>5</v>
      </c>
      <c r="G11" s="5">
        <v>3</v>
      </c>
      <c r="H11" s="6">
        <v>0.23076923076923081</v>
      </c>
    </row>
    <row r="12" spans="1:8" x14ac:dyDescent="0.25">
      <c r="A12" s="5" t="s">
        <v>88</v>
      </c>
      <c r="B12" s="5">
        <v>0</v>
      </c>
      <c r="C12" s="5">
        <v>0</v>
      </c>
      <c r="D12" s="6">
        <v>0</v>
      </c>
      <c r="E12" s="5">
        <v>0</v>
      </c>
      <c r="F12" s="5">
        <v>0</v>
      </c>
      <c r="G12" s="5">
        <v>0</v>
      </c>
      <c r="H12" s="6">
        <v>0</v>
      </c>
    </row>
    <row r="13" spans="1:8" x14ac:dyDescent="0.25">
      <c r="A13" s="5" t="s">
        <v>95</v>
      </c>
      <c r="B13" s="5">
        <v>2</v>
      </c>
      <c r="C13" s="5">
        <v>2</v>
      </c>
      <c r="D13" s="6">
        <v>1</v>
      </c>
      <c r="E13" s="5">
        <v>2</v>
      </c>
      <c r="F13" s="5">
        <v>2</v>
      </c>
      <c r="G13" s="5">
        <v>2</v>
      </c>
      <c r="H13" s="6">
        <v>1</v>
      </c>
    </row>
    <row r="14" spans="1:8" x14ac:dyDescent="0.25">
      <c r="A14" s="5" t="s">
        <v>186</v>
      </c>
      <c r="B14" s="5">
        <v>1</v>
      </c>
      <c r="C14" s="5">
        <v>1</v>
      </c>
      <c r="D14" s="6">
        <v>1</v>
      </c>
      <c r="E14" s="5">
        <v>1</v>
      </c>
      <c r="F14" s="5">
        <v>1</v>
      </c>
      <c r="G14" s="5">
        <v>1</v>
      </c>
      <c r="H14" s="6">
        <v>1</v>
      </c>
    </row>
    <row r="15" spans="1:8" ht="30" x14ac:dyDescent="0.25">
      <c r="A15" s="5" t="s">
        <v>326</v>
      </c>
      <c r="B15" s="5">
        <v>8</v>
      </c>
      <c r="C15" s="5">
        <v>8</v>
      </c>
      <c r="D15" s="6">
        <v>1</v>
      </c>
      <c r="E15" s="5">
        <v>1</v>
      </c>
      <c r="F15" s="5">
        <v>0</v>
      </c>
      <c r="G15" s="5">
        <v>0</v>
      </c>
      <c r="H15" s="6">
        <v>0</v>
      </c>
    </row>
    <row r="16" spans="1:8" x14ac:dyDescent="0.25">
      <c r="A16" s="5" t="s">
        <v>1027</v>
      </c>
      <c r="B16" s="5">
        <f>SUBTOTAL(109,Tabela2[Emissão inicial total])</f>
        <v>88</v>
      </c>
      <c r="C16" s="5">
        <f>SUBTOTAL(109,Tabela2[Emissão inicial concluída])</f>
        <v>69</v>
      </c>
      <c r="D16" s="6">
        <f>SUBTOTAL(109,Tabela2[%EI])</f>
        <v>6.2820512820512819</v>
      </c>
      <c r="E16" s="5">
        <f>SUBTOTAL(109,Tabela2[Avaliação do cliente concluída])</f>
        <v>16</v>
      </c>
      <c r="F16" s="5">
        <f>SUBTOTAL(109,Tabela2[Atendimento de comentário concluído])</f>
        <v>9</v>
      </c>
      <c r="G16" s="5">
        <f>SUBTOTAL(109,Tabela2[Aprovação concluída])</f>
        <v>6</v>
      </c>
      <c r="H16" s="6">
        <f>SUBTOTAL(109,Tabela2[%AP])</f>
        <v>2.2307692307692308</v>
      </c>
    </row>
    <row r="21" spans="1:5" ht="30" x14ac:dyDescent="0.25">
      <c r="A21" s="5" t="s">
        <v>17</v>
      </c>
      <c r="B21" s="5" t="s">
        <v>30</v>
      </c>
      <c r="C21" s="5" t="s">
        <v>33</v>
      </c>
      <c r="D21" s="5" t="s">
        <v>35</v>
      </c>
      <c r="E21" s="5" t="s">
        <v>37</v>
      </c>
    </row>
    <row r="22" spans="1:5" ht="30" x14ac:dyDescent="0.25">
      <c r="A22" s="5" t="s">
        <v>593</v>
      </c>
      <c r="B22" s="5">
        <v>2</v>
      </c>
      <c r="C22" s="5">
        <v>31</v>
      </c>
      <c r="D22" s="5">
        <v>31</v>
      </c>
      <c r="E22" s="5">
        <v>27</v>
      </c>
    </row>
    <row r="23" spans="1:5" x14ac:dyDescent="0.25">
      <c r="A23" s="5" t="s">
        <v>888</v>
      </c>
      <c r="B23" s="5">
        <v>1</v>
      </c>
      <c r="C23" s="5">
        <v>0</v>
      </c>
      <c r="D23" s="5">
        <v>0</v>
      </c>
      <c r="E23" s="5">
        <v>0</v>
      </c>
    </row>
    <row r="24" spans="1:5" x14ac:dyDescent="0.25">
      <c r="A24" s="5" t="s">
        <v>140</v>
      </c>
      <c r="B24" s="5">
        <v>2</v>
      </c>
      <c r="C24" s="5">
        <v>2</v>
      </c>
      <c r="D24" s="5">
        <v>3</v>
      </c>
      <c r="E24" s="5">
        <v>2</v>
      </c>
    </row>
    <row r="25" spans="1:5" x14ac:dyDescent="0.25">
      <c r="A25" s="5" t="s">
        <v>470</v>
      </c>
      <c r="B25" s="5">
        <v>3</v>
      </c>
      <c r="C25" s="5">
        <v>2</v>
      </c>
      <c r="D25" s="5">
        <v>3</v>
      </c>
      <c r="E25" s="5">
        <v>4</v>
      </c>
    </row>
    <row r="26" spans="1:5" x14ac:dyDescent="0.25">
      <c r="A26" s="5" t="s">
        <v>401</v>
      </c>
      <c r="B26" s="5">
        <v>0</v>
      </c>
      <c r="C26" s="5">
        <v>3</v>
      </c>
      <c r="D26" s="5">
        <v>3</v>
      </c>
      <c r="E26" s="5">
        <v>3</v>
      </c>
    </row>
    <row r="27" spans="1:5" x14ac:dyDescent="0.25">
      <c r="A27" s="5" t="s">
        <v>45</v>
      </c>
      <c r="B27" s="5">
        <v>0</v>
      </c>
      <c r="C27" s="5">
        <v>0</v>
      </c>
      <c r="D27" s="5">
        <v>0</v>
      </c>
      <c r="E27" s="5">
        <v>0</v>
      </c>
    </row>
    <row r="28" spans="1:5" x14ac:dyDescent="0.25">
      <c r="A28" s="5" t="s">
        <v>61</v>
      </c>
      <c r="B28" s="5">
        <v>0</v>
      </c>
      <c r="C28" s="5">
        <v>0</v>
      </c>
      <c r="D28" s="5">
        <v>0</v>
      </c>
      <c r="E28" s="5">
        <v>0</v>
      </c>
    </row>
    <row r="29" spans="1:5" x14ac:dyDescent="0.25">
      <c r="A29" s="5" t="s">
        <v>202</v>
      </c>
      <c r="B29" s="5">
        <v>4</v>
      </c>
      <c r="C29" s="5">
        <v>3</v>
      </c>
      <c r="D29" s="5">
        <v>4</v>
      </c>
      <c r="E29" s="5">
        <v>6</v>
      </c>
    </row>
    <row r="30" spans="1:5" x14ac:dyDescent="0.25">
      <c r="A30" s="5" t="s">
        <v>88</v>
      </c>
      <c r="B30" s="5">
        <v>0</v>
      </c>
      <c r="C30" s="5">
        <v>0</v>
      </c>
      <c r="D30" s="5">
        <v>0</v>
      </c>
      <c r="E30" s="5">
        <v>0</v>
      </c>
    </row>
    <row r="31" spans="1:5" x14ac:dyDescent="0.25">
      <c r="A31" s="5" t="s">
        <v>95</v>
      </c>
      <c r="B31" s="5">
        <v>0</v>
      </c>
      <c r="C31" s="5">
        <v>0</v>
      </c>
      <c r="D31" s="5">
        <v>0</v>
      </c>
      <c r="E31" s="5">
        <v>0</v>
      </c>
    </row>
    <row r="32" spans="1:5" x14ac:dyDescent="0.25">
      <c r="A32" s="5" t="s">
        <v>186</v>
      </c>
      <c r="B32" s="5">
        <v>0</v>
      </c>
      <c r="C32" s="5">
        <v>0</v>
      </c>
      <c r="D32" s="5">
        <v>0</v>
      </c>
      <c r="E32" s="5">
        <v>0</v>
      </c>
    </row>
    <row r="33" spans="1:5" ht="30" x14ac:dyDescent="0.25">
      <c r="A33" s="5" t="s">
        <v>326</v>
      </c>
      <c r="B33" s="5">
        <v>0</v>
      </c>
      <c r="C33" s="5">
        <v>7</v>
      </c>
      <c r="D33" s="5">
        <v>6</v>
      </c>
      <c r="E33" s="5">
        <v>6</v>
      </c>
    </row>
    <row r="34" spans="1:5" x14ac:dyDescent="0.25">
      <c r="A34" s="5" t="s">
        <v>1027</v>
      </c>
      <c r="B34" s="5">
        <f>SUBTOTAL(109,Tabela3[Emissão Inicial Atrasada])</f>
        <v>12</v>
      </c>
      <c r="C34" s="5">
        <f>SUBTOTAL(109,Tabela3[Avaliação Cliente Atrasada])</f>
        <v>48</v>
      </c>
      <c r="D34" s="5">
        <f>SUBTOTAL(109,Tabela3[Atendimento Atrasado])</f>
        <v>50</v>
      </c>
      <c r="E34" s="5">
        <f>SUBTOTAL(109,Tabela3[Aprovação Atrasada])</f>
        <v>48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5"/>
  <sheetViews>
    <sheetView topLeftCell="L1" zoomScale="115" zoomScaleNormal="115" workbookViewId="0">
      <selection activeCell="AB1" sqref="AB1"/>
    </sheetView>
  </sheetViews>
  <sheetFormatPr defaultColWidth="10.28515625" defaultRowHeight="15" x14ac:dyDescent="0.25"/>
  <cols>
    <col min="1" max="1" width="10.7109375" style="7" bestFit="1" customWidth="1"/>
    <col min="2" max="9" width="10.28515625" style="5"/>
    <col min="10" max="11" width="10.28515625" style="8"/>
    <col min="12" max="12" width="10.28515625" style="5"/>
    <col min="13" max="14" width="10.28515625" style="8"/>
    <col min="15" max="16384" width="10.28515625" style="5"/>
  </cols>
  <sheetData>
    <row r="1" spans="1:15" ht="75" x14ac:dyDescent="0.25">
      <c r="A1" s="7" t="s">
        <v>1012</v>
      </c>
      <c r="B1" s="5" t="s">
        <v>1013</v>
      </c>
      <c r="C1" s="5" t="s">
        <v>1014</v>
      </c>
      <c r="D1" s="5" t="s">
        <v>1015</v>
      </c>
      <c r="E1" s="5" t="s">
        <v>1016</v>
      </c>
      <c r="F1" s="5" t="s">
        <v>1017</v>
      </c>
      <c r="G1" s="5" t="s">
        <v>1018</v>
      </c>
      <c r="H1" s="5" t="s">
        <v>1019</v>
      </c>
      <c r="I1" s="5" t="s">
        <v>1020</v>
      </c>
      <c r="J1" s="8" t="s">
        <v>1021</v>
      </c>
      <c r="K1" s="8" t="s">
        <v>1022</v>
      </c>
      <c r="L1" s="5" t="s">
        <v>1023</v>
      </c>
      <c r="M1" s="8" t="s">
        <v>1024</v>
      </c>
      <c r="N1" s="8" t="s">
        <v>1025</v>
      </c>
      <c r="O1" s="5" t="s">
        <v>1026</v>
      </c>
    </row>
    <row r="2" spans="1:15" x14ac:dyDescent="0.25">
      <c r="A2" s="7">
        <v>46101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8">
        <v>0</v>
      </c>
      <c r="K2" s="8">
        <v>0</v>
      </c>
      <c r="L2" s="5">
        <v>0</v>
      </c>
      <c r="M2" s="8">
        <v>0</v>
      </c>
      <c r="N2" s="8">
        <v>0</v>
      </c>
      <c r="O2" s="5">
        <v>0</v>
      </c>
    </row>
    <row r="3" spans="1:15" x14ac:dyDescent="0.25">
      <c r="A3" s="7">
        <v>46102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8">
        <v>0</v>
      </c>
      <c r="K3" s="8">
        <v>0</v>
      </c>
      <c r="L3" s="5">
        <v>0</v>
      </c>
      <c r="M3" s="8">
        <v>0</v>
      </c>
      <c r="N3" s="8">
        <v>0</v>
      </c>
      <c r="O3" s="5">
        <v>0</v>
      </c>
    </row>
    <row r="4" spans="1:15" x14ac:dyDescent="0.25">
      <c r="A4" s="7">
        <v>46103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8">
        <v>0</v>
      </c>
      <c r="K4" s="8">
        <v>0</v>
      </c>
      <c r="L4" s="5">
        <v>0</v>
      </c>
      <c r="M4" s="8">
        <v>0</v>
      </c>
      <c r="N4" s="8">
        <v>0</v>
      </c>
      <c r="O4" s="5">
        <v>0</v>
      </c>
    </row>
    <row r="5" spans="1:15" x14ac:dyDescent="0.25">
      <c r="A5" s="7">
        <v>46104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8">
        <v>0</v>
      </c>
      <c r="K5" s="8">
        <v>0</v>
      </c>
      <c r="L5" s="5">
        <v>0</v>
      </c>
      <c r="M5" s="8">
        <v>0</v>
      </c>
      <c r="N5" s="8">
        <v>0</v>
      </c>
      <c r="O5" s="5">
        <v>0</v>
      </c>
    </row>
    <row r="6" spans="1:15" x14ac:dyDescent="0.25">
      <c r="A6" s="7">
        <v>46105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8">
        <v>0</v>
      </c>
      <c r="K6" s="8">
        <v>0</v>
      </c>
      <c r="L6" s="5">
        <v>0</v>
      </c>
      <c r="M6" s="8">
        <v>0</v>
      </c>
      <c r="N6" s="8">
        <v>0</v>
      </c>
      <c r="O6" s="5">
        <v>0</v>
      </c>
    </row>
    <row r="7" spans="1:15" x14ac:dyDescent="0.25">
      <c r="A7" s="7">
        <v>46106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8">
        <v>0</v>
      </c>
      <c r="K7" s="8">
        <v>0</v>
      </c>
      <c r="L7" s="5">
        <v>0</v>
      </c>
      <c r="M7" s="8">
        <v>0</v>
      </c>
      <c r="N7" s="8">
        <v>0</v>
      </c>
      <c r="O7" s="5">
        <v>0</v>
      </c>
    </row>
    <row r="8" spans="1:15" x14ac:dyDescent="0.25">
      <c r="A8" s="7">
        <v>46107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8">
        <v>0</v>
      </c>
      <c r="K8" s="8">
        <v>0</v>
      </c>
      <c r="L8" s="5">
        <v>0</v>
      </c>
      <c r="M8" s="8">
        <v>0</v>
      </c>
      <c r="N8" s="8">
        <v>0</v>
      </c>
      <c r="O8" s="5">
        <v>0</v>
      </c>
    </row>
    <row r="9" spans="1:15" x14ac:dyDescent="0.25">
      <c r="A9" s="7">
        <v>46108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8">
        <v>0</v>
      </c>
      <c r="K9" s="8">
        <v>0</v>
      </c>
      <c r="L9" s="5">
        <v>0</v>
      </c>
      <c r="M9" s="8">
        <v>0</v>
      </c>
      <c r="N9" s="8">
        <v>0</v>
      </c>
      <c r="O9" s="5">
        <v>0</v>
      </c>
    </row>
    <row r="10" spans="1:15" x14ac:dyDescent="0.25">
      <c r="A10" s="7">
        <v>46109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8">
        <v>0</v>
      </c>
      <c r="K10" s="8">
        <v>0</v>
      </c>
      <c r="L10" s="5">
        <v>0</v>
      </c>
      <c r="M10" s="8">
        <v>0</v>
      </c>
      <c r="N10" s="8">
        <v>0</v>
      </c>
      <c r="O10" s="5">
        <v>0</v>
      </c>
    </row>
    <row r="11" spans="1:15" x14ac:dyDescent="0.25">
      <c r="A11" s="7">
        <v>46110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8">
        <v>0</v>
      </c>
      <c r="K11" s="8">
        <v>0</v>
      </c>
      <c r="L11" s="5">
        <v>0</v>
      </c>
      <c r="M11" s="8">
        <v>0</v>
      </c>
      <c r="N11" s="8">
        <v>0</v>
      </c>
      <c r="O11" s="5">
        <v>0</v>
      </c>
    </row>
    <row r="12" spans="1:15" x14ac:dyDescent="0.25">
      <c r="A12" s="7">
        <v>46111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8">
        <v>0</v>
      </c>
      <c r="K12" s="8">
        <v>0</v>
      </c>
      <c r="L12" s="5">
        <v>0</v>
      </c>
      <c r="M12" s="8">
        <v>0</v>
      </c>
      <c r="N12" s="8">
        <v>0</v>
      </c>
      <c r="O12" s="5">
        <v>0</v>
      </c>
    </row>
    <row r="13" spans="1:15" x14ac:dyDescent="0.25">
      <c r="A13" s="7">
        <v>46112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8">
        <v>0</v>
      </c>
      <c r="K13" s="8">
        <v>0</v>
      </c>
      <c r="L13" s="5">
        <v>0</v>
      </c>
      <c r="M13" s="8">
        <v>0</v>
      </c>
      <c r="N13" s="8">
        <v>0</v>
      </c>
      <c r="O13" s="5">
        <v>0</v>
      </c>
    </row>
    <row r="14" spans="1:15" x14ac:dyDescent="0.25">
      <c r="A14" s="7">
        <v>46113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8">
        <v>0</v>
      </c>
      <c r="K14" s="8">
        <v>0</v>
      </c>
      <c r="L14" s="5">
        <v>0</v>
      </c>
      <c r="M14" s="8">
        <v>0</v>
      </c>
      <c r="N14" s="8">
        <v>0</v>
      </c>
      <c r="O14" s="5">
        <v>0</v>
      </c>
    </row>
    <row r="15" spans="1:15" x14ac:dyDescent="0.25">
      <c r="A15" s="7">
        <v>46114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8">
        <v>0</v>
      </c>
      <c r="K15" s="8">
        <v>0</v>
      </c>
      <c r="L15" s="5">
        <v>0</v>
      </c>
      <c r="M15" s="8">
        <v>0</v>
      </c>
      <c r="N15" s="8">
        <v>0</v>
      </c>
      <c r="O15" s="5">
        <v>0</v>
      </c>
    </row>
    <row r="16" spans="1:15" x14ac:dyDescent="0.25">
      <c r="A16" s="7">
        <v>46115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8">
        <v>0</v>
      </c>
      <c r="K16" s="8">
        <v>0</v>
      </c>
      <c r="L16" s="5">
        <v>0</v>
      </c>
      <c r="M16" s="8">
        <v>0</v>
      </c>
      <c r="N16" s="8">
        <v>0</v>
      </c>
      <c r="O16" s="5">
        <v>0</v>
      </c>
    </row>
    <row r="17" spans="1:15" x14ac:dyDescent="0.25">
      <c r="A17" s="7">
        <v>46116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8">
        <v>0</v>
      </c>
      <c r="K17" s="8">
        <v>0</v>
      </c>
      <c r="L17" s="5">
        <v>0</v>
      </c>
      <c r="M17" s="8">
        <v>0</v>
      </c>
      <c r="N17" s="8">
        <v>0</v>
      </c>
      <c r="O17" s="5">
        <v>0</v>
      </c>
    </row>
    <row r="18" spans="1:15" x14ac:dyDescent="0.25">
      <c r="A18" s="7">
        <v>46117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8">
        <v>0</v>
      </c>
      <c r="K18" s="8">
        <v>0</v>
      </c>
      <c r="L18" s="5">
        <v>0</v>
      </c>
      <c r="M18" s="8">
        <v>0</v>
      </c>
      <c r="N18" s="8">
        <v>0</v>
      </c>
      <c r="O18" s="5">
        <v>0</v>
      </c>
    </row>
    <row r="19" spans="1:15" x14ac:dyDescent="0.25">
      <c r="A19" s="7">
        <v>46118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8">
        <v>0</v>
      </c>
      <c r="K19" s="8">
        <v>0</v>
      </c>
      <c r="L19" s="5">
        <v>0</v>
      </c>
      <c r="M19" s="8">
        <v>0</v>
      </c>
      <c r="N19" s="8">
        <v>0</v>
      </c>
      <c r="O19" s="5">
        <v>0</v>
      </c>
    </row>
    <row r="20" spans="1:15" x14ac:dyDescent="0.25">
      <c r="A20" s="7">
        <v>46119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8">
        <v>0</v>
      </c>
      <c r="K20" s="8">
        <v>0</v>
      </c>
      <c r="L20" s="5">
        <v>0</v>
      </c>
      <c r="M20" s="8">
        <v>0</v>
      </c>
      <c r="N20" s="8">
        <v>0</v>
      </c>
      <c r="O20" s="5">
        <v>0</v>
      </c>
    </row>
    <row r="21" spans="1:15" x14ac:dyDescent="0.25">
      <c r="A21" s="7">
        <v>46120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8">
        <v>0</v>
      </c>
      <c r="K21" s="8">
        <v>0</v>
      </c>
      <c r="L21" s="5">
        <v>0</v>
      </c>
      <c r="M21" s="8">
        <v>0</v>
      </c>
      <c r="N21" s="8">
        <v>0</v>
      </c>
      <c r="O21" s="5">
        <v>0</v>
      </c>
    </row>
    <row r="22" spans="1:15" x14ac:dyDescent="0.25">
      <c r="A22" s="7">
        <v>46121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8">
        <v>0</v>
      </c>
      <c r="K22" s="8">
        <v>0</v>
      </c>
      <c r="L22" s="5">
        <v>0</v>
      </c>
      <c r="M22" s="8">
        <v>0</v>
      </c>
      <c r="N22" s="8">
        <v>0</v>
      </c>
      <c r="O22" s="5">
        <v>0</v>
      </c>
    </row>
    <row r="23" spans="1:15" x14ac:dyDescent="0.25">
      <c r="A23" s="7">
        <v>46122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8">
        <v>0</v>
      </c>
      <c r="K23" s="8">
        <v>0</v>
      </c>
      <c r="L23" s="5">
        <v>0</v>
      </c>
      <c r="M23" s="8">
        <v>0</v>
      </c>
      <c r="N23" s="8">
        <v>0</v>
      </c>
      <c r="O23" s="5">
        <v>0</v>
      </c>
    </row>
    <row r="24" spans="1:15" x14ac:dyDescent="0.25">
      <c r="A24" s="7">
        <v>46123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8">
        <v>0</v>
      </c>
      <c r="K24" s="8">
        <v>0</v>
      </c>
      <c r="L24" s="5">
        <v>0</v>
      </c>
      <c r="M24" s="8">
        <v>0</v>
      </c>
      <c r="N24" s="8">
        <v>0</v>
      </c>
      <c r="O24" s="5">
        <v>0</v>
      </c>
    </row>
    <row r="25" spans="1:15" x14ac:dyDescent="0.25">
      <c r="A25" s="7">
        <v>46124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8">
        <v>0</v>
      </c>
      <c r="K25" s="8">
        <v>0</v>
      </c>
      <c r="L25" s="5">
        <v>0</v>
      </c>
      <c r="M25" s="8">
        <v>0</v>
      </c>
      <c r="N25" s="8">
        <v>0</v>
      </c>
      <c r="O25" s="5">
        <v>0</v>
      </c>
    </row>
    <row r="26" spans="1:15" x14ac:dyDescent="0.25">
      <c r="A26" s="7">
        <v>46125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8">
        <v>0</v>
      </c>
      <c r="K26" s="8">
        <v>0</v>
      </c>
      <c r="L26" s="5">
        <v>0</v>
      </c>
      <c r="M26" s="8">
        <v>0</v>
      </c>
      <c r="N26" s="8">
        <v>0</v>
      </c>
      <c r="O26" s="5">
        <v>0</v>
      </c>
    </row>
    <row r="27" spans="1:15" x14ac:dyDescent="0.25">
      <c r="A27" s="7">
        <v>46126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8">
        <v>0</v>
      </c>
      <c r="K27" s="8">
        <v>0</v>
      </c>
      <c r="L27" s="5">
        <v>0</v>
      </c>
      <c r="M27" s="8">
        <v>0</v>
      </c>
      <c r="N27" s="8">
        <v>0</v>
      </c>
      <c r="O27" s="5">
        <v>0</v>
      </c>
    </row>
    <row r="28" spans="1:15" x14ac:dyDescent="0.25">
      <c r="A28" s="7">
        <v>46127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8">
        <v>0</v>
      </c>
      <c r="K28" s="8">
        <v>0</v>
      </c>
      <c r="L28" s="5">
        <v>0</v>
      </c>
      <c r="M28" s="8">
        <v>0</v>
      </c>
      <c r="N28" s="8">
        <v>0</v>
      </c>
      <c r="O28" s="5">
        <v>0</v>
      </c>
    </row>
    <row r="29" spans="1:15" x14ac:dyDescent="0.25">
      <c r="A29" s="7">
        <v>46128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8">
        <v>0</v>
      </c>
      <c r="K29" s="8">
        <v>0</v>
      </c>
      <c r="L29" s="5">
        <v>0</v>
      </c>
      <c r="M29" s="8">
        <v>0</v>
      </c>
      <c r="N29" s="8">
        <v>0</v>
      </c>
      <c r="O29" s="5">
        <v>0</v>
      </c>
    </row>
    <row r="30" spans="1:15" x14ac:dyDescent="0.25">
      <c r="A30" s="7">
        <v>46129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8">
        <v>0</v>
      </c>
      <c r="K30" s="8">
        <v>0</v>
      </c>
      <c r="L30" s="5">
        <v>0</v>
      </c>
      <c r="M30" s="8">
        <v>0</v>
      </c>
      <c r="N30" s="8">
        <v>0</v>
      </c>
      <c r="O30" s="5">
        <v>0</v>
      </c>
    </row>
    <row r="31" spans="1:15" x14ac:dyDescent="0.25">
      <c r="A31" s="7">
        <v>46130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8">
        <v>0</v>
      </c>
      <c r="K31" s="8">
        <v>0</v>
      </c>
      <c r="L31" s="5">
        <v>0</v>
      </c>
      <c r="M31" s="8">
        <v>0</v>
      </c>
      <c r="N31" s="8">
        <v>0</v>
      </c>
      <c r="O31" s="5">
        <v>0</v>
      </c>
    </row>
    <row r="32" spans="1:15" x14ac:dyDescent="0.25">
      <c r="A32" s="7">
        <v>46131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8">
        <v>0</v>
      </c>
      <c r="K32" s="8">
        <v>0</v>
      </c>
      <c r="L32" s="5">
        <v>0</v>
      </c>
      <c r="M32" s="8">
        <v>0</v>
      </c>
      <c r="N32" s="8">
        <v>0</v>
      </c>
      <c r="O32" s="5">
        <v>0</v>
      </c>
    </row>
    <row r="33" spans="1:15" x14ac:dyDescent="0.25">
      <c r="A33" s="7">
        <v>46132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8">
        <v>0</v>
      </c>
      <c r="K33" s="8">
        <v>0</v>
      </c>
      <c r="L33" s="5">
        <v>0</v>
      </c>
      <c r="M33" s="8">
        <v>0</v>
      </c>
      <c r="N33" s="8">
        <v>0</v>
      </c>
      <c r="O33" s="5">
        <v>0</v>
      </c>
    </row>
    <row r="34" spans="1:15" x14ac:dyDescent="0.25">
      <c r="A34" s="7">
        <v>46133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8">
        <v>0</v>
      </c>
      <c r="K34" s="8">
        <v>0</v>
      </c>
      <c r="L34" s="5">
        <v>0</v>
      </c>
      <c r="M34" s="8">
        <v>0</v>
      </c>
      <c r="N34" s="8">
        <v>0</v>
      </c>
      <c r="O34" s="5">
        <v>0</v>
      </c>
    </row>
    <row r="35" spans="1:15" x14ac:dyDescent="0.25">
      <c r="A35" s="7">
        <v>46134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8">
        <v>0</v>
      </c>
      <c r="K35" s="8">
        <v>0</v>
      </c>
      <c r="L35" s="5">
        <v>0</v>
      </c>
      <c r="M35" s="8">
        <v>0</v>
      </c>
      <c r="N35" s="8">
        <v>0</v>
      </c>
      <c r="O35" s="5">
        <v>0</v>
      </c>
    </row>
    <row r="36" spans="1:15" x14ac:dyDescent="0.25">
      <c r="A36" s="7">
        <v>46135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8">
        <v>0</v>
      </c>
      <c r="K36" s="8">
        <v>0</v>
      </c>
      <c r="L36" s="5">
        <v>0</v>
      </c>
      <c r="M36" s="8">
        <v>0</v>
      </c>
      <c r="N36" s="8">
        <v>0</v>
      </c>
      <c r="O36" s="5">
        <v>0</v>
      </c>
    </row>
    <row r="37" spans="1:15" x14ac:dyDescent="0.25">
      <c r="A37" s="7">
        <v>46136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8">
        <v>0</v>
      </c>
      <c r="K37" s="8">
        <v>0</v>
      </c>
      <c r="L37" s="5">
        <v>0</v>
      </c>
      <c r="M37" s="8">
        <v>0</v>
      </c>
      <c r="N37" s="8">
        <v>0</v>
      </c>
      <c r="O37" s="5">
        <v>0</v>
      </c>
    </row>
    <row r="38" spans="1:15" x14ac:dyDescent="0.25">
      <c r="A38" s="7">
        <v>46137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8">
        <v>0</v>
      </c>
      <c r="K38" s="8">
        <v>0</v>
      </c>
      <c r="L38" s="5">
        <v>0</v>
      </c>
      <c r="M38" s="8">
        <v>0</v>
      </c>
      <c r="N38" s="8">
        <v>0</v>
      </c>
      <c r="O38" s="5">
        <v>0</v>
      </c>
    </row>
    <row r="39" spans="1:15" x14ac:dyDescent="0.25">
      <c r="A39" s="7">
        <v>46138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8">
        <v>0</v>
      </c>
      <c r="K39" s="8">
        <v>0</v>
      </c>
      <c r="L39" s="5">
        <v>0</v>
      </c>
      <c r="M39" s="8">
        <v>0</v>
      </c>
      <c r="N39" s="8">
        <v>0</v>
      </c>
      <c r="O39" s="5">
        <v>0</v>
      </c>
    </row>
    <row r="40" spans="1:15" x14ac:dyDescent="0.25">
      <c r="A40" s="7">
        <v>46139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8">
        <v>0</v>
      </c>
      <c r="K40" s="8">
        <v>0</v>
      </c>
      <c r="L40" s="5">
        <v>0</v>
      </c>
      <c r="M40" s="8">
        <v>0</v>
      </c>
      <c r="N40" s="8">
        <v>0</v>
      </c>
      <c r="O40" s="5">
        <v>0</v>
      </c>
    </row>
    <row r="41" spans="1:15" x14ac:dyDescent="0.25">
      <c r="A41" s="7">
        <v>46140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8">
        <v>0</v>
      </c>
      <c r="K41" s="8">
        <v>0</v>
      </c>
      <c r="L41" s="5">
        <v>0</v>
      </c>
      <c r="M41" s="8">
        <v>0</v>
      </c>
      <c r="N41" s="8">
        <v>0</v>
      </c>
      <c r="O41" s="5">
        <v>0</v>
      </c>
    </row>
    <row r="42" spans="1:15" x14ac:dyDescent="0.25">
      <c r="A42" s="7">
        <v>46141</v>
      </c>
      <c r="B42" s="5">
        <v>1</v>
      </c>
      <c r="C42" s="5">
        <v>1</v>
      </c>
      <c r="D42" s="5">
        <v>2</v>
      </c>
      <c r="E42" s="5">
        <v>2</v>
      </c>
      <c r="F42" s="5">
        <v>0</v>
      </c>
      <c r="G42" s="5">
        <v>0</v>
      </c>
      <c r="H42" s="5">
        <v>0</v>
      </c>
      <c r="I42" s="5">
        <v>0</v>
      </c>
      <c r="J42" s="8">
        <v>1.149425287356322E-2</v>
      </c>
      <c r="K42" s="8">
        <v>2.298850574712644E-2</v>
      </c>
      <c r="L42" s="5">
        <v>1</v>
      </c>
      <c r="M42" s="8">
        <v>0</v>
      </c>
      <c r="N42" s="8">
        <v>0</v>
      </c>
      <c r="O42" s="5">
        <v>0</v>
      </c>
    </row>
    <row r="43" spans="1:15" x14ac:dyDescent="0.25">
      <c r="A43" s="7">
        <v>46142</v>
      </c>
      <c r="B43" s="5">
        <v>0</v>
      </c>
      <c r="C43" s="5">
        <v>1</v>
      </c>
      <c r="D43" s="5">
        <v>0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8">
        <v>1.149425287356322E-2</v>
      </c>
      <c r="K43" s="8">
        <v>2.298850574712644E-2</v>
      </c>
      <c r="L43" s="5">
        <v>1</v>
      </c>
      <c r="M43" s="8">
        <v>0</v>
      </c>
      <c r="N43" s="8">
        <v>0</v>
      </c>
      <c r="O43" s="5">
        <v>0</v>
      </c>
    </row>
    <row r="44" spans="1:15" x14ac:dyDescent="0.25">
      <c r="A44" s="7">
        <v>46143</v>
      </c>
      <c r="B44" s="5">
        <v>0</v>
      </c>
      <c r="C44" s="5">
        <v>1</v>
      </c>
      <c r="D44" s="5">
        <v>0</v>
      </c>
      <c r="E44" s="5">
        <v>2</v>
      </c>
      <c r="F44" s="5">
        <v>0</v>
      </c>
      <c r="G44" s="5">
        <v>0</v>
      </c>
      <c r="H44" s="5">
        <v>0</v>
      </c>
      <c r="I44" s="5">
        <v>0</v>
      </c>
      <c r="J44" s="8">
        <v>1.149425287356322E-2</v>
      </c>
      <c r="K44" s="8">
        <v>2.298850574712644E-2</v>
      </c>
      <c r="L44" s="5">
        <v>1</v>
      </c>
      <c r="M44" s="8">
        <v>0</v>
      </c>
      <c r="N44" s="8">
        <v>0</v>
      </c>
      <c r="O44" s="5">
        <v>0</v>
      </c>
    </row>
    <row r="45" spans="1:15" x14ac:dyDescent="0.25">
      <c r="A45" s="7">
        <v>46144</v>
      </c>
      <c r="B45" s="5">
        <v>0</v>
      </c>
      <c r="C45" s="5">
        <v>1</v>
      </c>
      <c r="D45" s="5">
        <v>0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8">
        <v>1.149425287356322E-2</v>
      </c>
      <c r="K45" s="8">
        <v>2.298850574712644E-2</v>
      </c>
      <c r="L45" s="5">
        <v>1</v>
      </c>
      <c r="M45" s="8">
        <v>0</v>
      </c>
      <c r="N45" s="8">
        <v>0</v>
      </c>
      <c r="O45" s="5">
        <v>0</v>
      </c>
    </row>
    <row r="46" spans="1:15" x14ac:dyDescent="0.25">
      <c r="A46" s="7">
        <v>46145</v>
      </c>
      <c r="B46" s="5">
        <v>0</v>
      </c>
      <c r="C46" s="5">
        <v>1</v>
      </c>
      <c r="D46" s="5">
        <v>0</v>
      </c>
      <c r="E46" s="5">
        <v>2</v>
      </c>
      <c r="F46" s="5">
        <v>0</v>
      </c>
      <c r="G46" s="5">
        <v>0</v>
      </c>
      <c r="H46" s="5">
        <v>0</v>
      </c>
      <c r="I46" s="5">
        <v>0</v>
      </c>
      <c r="J46" s="8">
        <v>1.149425287356322E-2</v>
      </c>
      <c r="K46" s="8">
        <v>2.298850574712644E-2</v>
      </c>
      <c r="L46" s="5">
        <v>1</v>
      </c>
      <c r="M46" s="8">
        <v>0</v>
      </c>
      <c r="N46" s="8">
        <v>0</v>
      </c>
      <c r="O46" s="5">
        <v>0</v>
      </c>
    </row>
    <row r="47" spans="1:15" x14ac:dyDescent="0.25">
      <c r="A47" s="7">
        <v>46146</v>
      </c>
      <c r="B47" s="5">
        <v>1</v>
      </c>
      <c r="C47" s="5">
        <v>2</v>
      </c>
      <c r="D47" s="5">
        <v>1</v>
      </c>
      <c r="E47" s="5">
        <v>3</v>
      </c>
      <c r="F47" s="5">
        <v>0</v>
      </c>
      <c r="G47" s="5">
        <v>0</v>
      </c>
      <c r="H47" s="5">
        <v>0</v>
      </c>
      <c r="I47" s="5">
        <v>0</v>
      </c>
      <c r="J47" s="8">
        <v>2.298850574712644E-2</v>
      </c>
      <c r="K47" s="8">
        <v>3.4482758620689648E-2</v>
      </c>
      <c r="L47" s="5">
        <v>1</v>
      </c>
      <c r="M47" s="8">
        <v>0</v>
      </c>
      <c r="N47" s="8">
        <v>0</v>
      </c>
      <c r="O47" s="5">
        <v>0</v>
      </c>
    </row>
    <row r="48" spans="1:15" x14ac:dyDescent="0.25">
      <c r="A48" s="7">
        <v>46147</v>
      </c>
      <c r="B48" s="5">
        <v>0</v>
      </c>
      <c r="C48" s="5">
        <v>2</v>
      </c>
      <c r="D48" s="5">
        <v>0</v>
      </c>
      <c r="E48" s="5">
        <v>3</v>
      </c>
      <c r="F48" s="5">
        <v>0</v>
      </c>
      <c r="G48" s="5">
        <v>0</v>
      </c>
      <c r="H48" s="5">
        <v>0</v>
      </c>
      <c r="I48" s="5">
        <v>0</v>
      </c>
      <c r="J48" s="8">
        <v>2.298850574712644E-2</v>
      </c>
      <c r="K48" s="8">
        <v>3.4482758620689648E-2</v>
      </c>
      <c r="L48" s="5">
        <v>1</v>
      </c>
      <c r="M48" s="8">
        <v>0</v>
      </c>
      <c r="N48" s="8">
        <v>0</v>
      </c>
      <c r="O48" s="5">
        <v>0</v>
      </c>
    </row>
    <row r="49" spans="1:15" x14ac:dyDescent="0.25">
      <c r="A49" s="7">
        <v>46148</v>
      </c>
      <c r="B49" s="5">
        <v>0</v>
      </c>
      <c r="C49" s="5">
        <v>2</v>
      </c>
      <c r="D49" s="5">
        <v>0</v>
      </c>
      <c r="E49" s="5">
        <v>3</v>
      </c>
      <c r="F49" s="5">
        <v>0</v>
      </c>
      <c r="G49" s="5">
        <v>0</v>
      </c>
      <c r="H49" s="5">
        <v>0</v>
      </c>
      <c r="I49" s="5">
        <v>0</v>
      </c>
      <c r="J49" s="8">
        <v>2.298850574712644E-2</v>
      </c>
      <c r="K49" s="8">
        <v>3.4482758620689648E-2</v>
      </c>
      <c r="L49" s="5">
        <v>1</v>
      </c>
      <c r="M49" s="8">
        <v>0</v>
      </c>
      <c r="N49" s="8">
        <v>0</v>
      </c>
      <c r="O49" s="5">
        <v>0</v>
      </c>
    </row>
    <row r="50" spans="1:15" x14ac:dyDescent="0.25">
      <c r="A50" s="7">
        <v>46149</v>
      </c>
      <c r="B50" s="5">
        <v>0</v>
      </c>
      <c r="C50" s="5">
        <v>2</v>
      </c>
      <c r="D50" s="5">
        <v>0</v>
      </c>
      <c r="E50" s="5">
        <v>3</v>
      </c>
      <c r="F50" s="5">
        <v>0</v>
      </c>
      <c r="G50" s="5">
        <v>0</v>
      </c>
      <c r="H50" s="5">
        <v>0</v>
      </c>
      <c r="I50" s="5">
        <v>0</v>
      </c>
      <c r="J50" s="8">
        <v>2.298850574712644E-2</v>
      </c>
      <c r="K50" s="8">
        <v>3.4482758620689648E-2</v>
      </c>
      <c r="L50" s="5">
        <v>1</v>
      </c>
      <c r="M50" s="8">
        <v>0</v>
      </c>
      <c r="N50" s="8">
        <v>0</v>
      </c>
      <c r="O50" s="5">
        <v>0</v>
      </c>
    </row>
    <row r="51" spans="1:15" x14ac:dyDescent="0.25">
      <c r="A51" s="7">
        <v>46150</v>
      </c>
      <c r="B51" s="5">
        <v>0</v>
      </c>
      <c r="C51" s="5">
        <v>2</v>
      </c>
      <c r="D51" s="5">
        <v>0</v>
      </c>
      <c r="E51" s="5">
        <v>3</v>
      </c>
      <c r="F51" s="5">
        <v>0</v>
      </c>
      <c r="G51" s="5">
        <v>0</v>
      </c>
      <c r="H51" s="5">
        <v>0</v>
      </c>
      <c r="I51" s="5">
        <v>0</v>
      </c>
      <c r="J51" s="8">
        <v>2.298850574712644E-2</v>
      </c>
      <c r="K51" s="8">
        <v>3.4482758620689648E-2</v>
      </c>
      <c r="L51" s="5">
        <v>1</v>
      </c>
      <c r="M51" s="8">
        <v>0</v>
      </c>
      <c r="N51" s="8">
        <v>0</v>
      </c>
      <c r="O51" s="5">
        <v>0</v>
      </c>
    </row>
    <row r="52" spans="1:15" x14ac:dyDescent="0.25">
      <c r="A52" s="7">
        <v>46151</v>
      </c>
      <c r="B52" s="5">
        <v>0</v>
      </c>
      <c r="C52" s="5">
        <v>2</v>
      </c>
      <c r="D52" s="5">
        <v>0</v>
      </c>
      <c r="E52" s="5">
        <v>3</v>
      </c>
      <c r="F52" s="5">
        <v>0</v>
      </c>
      <c r="G52" s="5">
        <v>0</v>
      </c>
      <c r="H52" s="5">
        <v>0</v>
      </c>
      <c r="I52" s="5">
        <v>0</v>
      </c>
      <c r="J52" s="8">
        <v>2.298850574712644E-2</v>
      </c>
      <c r="K52" s="8">
        <v>3.4482758620689648E-2</v>
      </c>
      <c r="L52" s="5">
        <v>1</v>
      </c>
      <c r="M52" s="8">
        <v>0</v>
      </c>
      <c r="N52" s="8">
        <v>0</v>
      </c>
      <c r="O52" s="5">
        <v>0</v>
      </c>
    </row>
    <row r="53" spans="1:15" x14ac:dyDescent="0.25">
      <c r="A53" s="7">
        <v>46152</v>
      </c>
      <c r="B53" s="5">
        <v>0</v>
      </c>
      <c r="C53" s="5">
        <v>2</v>
      </c>
      <c r="D53" s="5">
        <v>0</v>
      </c>
      <c r="E53" s="5">
        <v>3</v>
      </c>
      <c r="F53" s="5">
        <v>0</v>
      </c>
      <c r="G53" s="5">
        <v>0</v>
      </c>
      <c r="H53" s="5">
        <v>0</v>
      </c>
      <c r="I53" s="5">
        <v>0</v>
      </c>
      <c r="J53" s="8">
        <v>2.298850574712644E-2</v>
      </c>
      <c r="K53" s="8">
        <v>3.4482758620689648E-2</v>
      </c>
      <c r="L53" s="5">
        <v>1</v>
      </c>
      <c r="M53" s="8">
        <v>0</v>
      </c>
      <c r="N53" s="8">
        <v>0</v>
      </c>
      <c r="O53" s="5">
        <v>0</v>
      </c>
    </row>
    <row r="54" spans="1:15" x14ac:dyDescent="0.25">
      <c r="A54" s="7">
        <v>46153</v>
      </c>
      <c r="B54" s="5">
        <v>0</v>
      </c>
      <c r="C54" s="5">
        <v>2</v>
      </c>
      <c r="D54" s="5">
        <v>0</v>
      </c>
      <c r="E54" s="5">
        <v>3</v>
      </c>
      <c r="F54" s="5">
        <v>0</v>
      </c>
      <c r="G54" s="5">
        <v>0</v>
      </c>
      <c r="H54" s="5">
        <v>0</v>
      </c>
      <c r="I54" s="5">
        <v>0</v>
      </c>
      <c r="J54" s="8">
        <v>2.298850574712644E-2</v>
      </c>
      <c r="K54" s="8">
        <v>3.4482758620689648E-2</v>
      </c>
      <c r="L54" s="5">
        <v>1</v>
      </c>
      <c r="M54" s="8">
        <v>0</v>
      </c>
      <c r="N54" s="8">
        <v>0</v>
      </c>
      <c r="O54" s="5">
        <v>0</v>
      </c>
    </row>
    <row r="55" spans="1:15" x14ac:dyDescent="0.25">
      <c r="A55" s="7">
        <v>46154</v>
      </c>
      <c r="B55" s="5">
        <v>0</v>
      </c>
      <c r="C55" s="5">
        <v>2</v>
      </c>
      <c r="D55" s="5">
        <v>0</v>
      </c>
      <c r="E55" s="5">
        <v>3</v>
      </c>
      <c r="F55" s="5">
        <v>0</v>
      </c>
      <c r="G55" s="5">
        <v>0</v>
      </c>
      <c r="H55" s="5">
        <v>0</v>
      </c>
      <c r="I55" s="5">
        <v>0</v>
      </c>
      <c r="J55" s="8">
        <v>2.298850574712644E-2</v>
      </c>
      <c r="K55" s="8">
        <v>3.4482758620689648E-2</v>
      </c>
      <c r="L55" s="5">
        <v>1</v>
      </c>
      <c r="M55" s="8">
        <v>0</v>
      </c>
      <c r="N55" s="8">
        <v>0</v>
      </c>
      <c r="O55" s="5">
        <v>0</v>
      </c>
    </row>
    <row r="56" spans="1:15" x14ac:dyDescent="0.25">
      <c r="A56" s="7">
        <v>46155</v>
      </c>
      <c r="B56" s="5">
        <v>0</v>
      </c>
      <c r="C56" s="5">
        <v>2</v>
      </c>
      <c r="D56" s="5">
        <v>0</v>
      </c>
      <c r="E56" s="5">
        <v>3</v>
      </c>
      <c r="F56" s="5">
        <v>1</v>
      </c>
      <c r="G56" s="5">
        <v>0</v>
      </c>
      <c r="H56" s="5">
        <v>1</v>
      </c>
      <c r="I56" s="5">
        <v>0</v>
      </c>
      <c r="J56" s="8">
        <v>2.298850574712644E-2</v>
      </c>
      <c r="K56" s="8">
        <v>3.4482758620689648E-2</v>
      </c>
      <c r="L56" s="5">
        <v>1</v>
      </c>
      <c r="M56" s="8">
        <v>1.136363636363636E-2</v>
      </c>
      <c r="N56" s="8">
        <v>0</v>
      </c>
      <c r="O56" s="5">
        <v>-1</v>
      </c>
    </row>
    <row r="57" spans="1:15" x14ac:dyDescent="0.25">
      <c r="A57" s="7">
        <v>46156</v>
      </c>
      <c r="B57" s="5">
        <v>1</v>
      </c>
      <c r="C57" s="5">
        <v>3</v>
      </c>
      <c r="D57" s="5">
        <v>0</v>
      </c>
      <c r="E57" s="5">
        <v>3</v>
      </c>
      <c r="F57" s="5">
        <v>0</v>
      </c>
      <c r="G57" s="5">
        <v>0</v>
      </c>
      <c r="H57" s="5">
        <v>1</v>
      </c>
      <c r="I57" s="5">
        <v>0</v>
      </c>
      <c r="J57" s="8">
        <v>3.4482758620689648E-2</v>
      </c>
      <c r="K57" s="8">
        <v>3.4482758620689648E-2</v>
      </c>
      <c r="L57" s="5">
        <v>0</v>
      </c>
      <c r="M57" s="8">
        <v>1.136363636363636E-2</v>
      </c>
      <c r="N57" s="8">
        <v>0</v>
      </c>
      <c r="O57" s="5">
        <v>-1</v>
      </c>
    </row>
    <row r="58" spans="1:15" x14ac:dyDescent="0.25">
      <c r="A58" s="7">
        <v>46157</v>
      </c>
      <c r="B58" s="5">
        <v>1</v>
      </c>
      <c r="C58" s="5">
        <v>4</v>
      </c>
      <c r="D58" s="5">
        <v>0</v>
      </c>
      <c r="E58" s="5">
        <v>3</v>
      </c>
      <c r="F58" s="5">
        <v>0</v>
      </c>
      <c r="G58" s="5">
        <v>0</v>
      </c>
      <c r="H58" s="5">
        <v>1</v>
      </c>
      <c r="I58" s="5">
        <v>0</v>
      </c>
      <c r="J58" s="8">
        <v>4.5977011494252873E-2</v>
      </c>
      <c r="K58" s="8">
        <v>3.4482758620689648E-2</v>
      </c>
      <c r="L58" s="5">
        <v>-1</v>
      </c>
      <c r="M58" s="8">
        <v>1.136363636363636E-2</v>
      </c>
      <c r="N58" s="8">
        <v>0</v>
      </c>
      <c r="O58" s="5">
        <v>-1</v>
      </c>
    </row>
    <row r="59" spans="1:15" x14ac:dyDescent="0.25">
      <c r="A59" s="7">
        <v>46158</v>
      </c>
      <c r="B59" s="5">
        <v>0</v>
      </c>
      <c r="C59" s="5">
        <v>4</v>
      </c>
      <c r="D59" s="5">
        <v>0</v>
      </c>
      <c r="E59" s="5">
        <v>3</v>
      </c>
      <c r="F59" s="5">
        <v>0</v>
      </c>
      <c r="G59" s="5">
        <v>0</v>
      </c>
      <c r="H59" s="5">
        <v>1</v>
      </c>
      <c r="I59" s="5">
        <v>0</v>
      </c>
      <c r="J59" s="8">
        <v>4.5977011494252873E-2</v>
      </c>
      <c r="K59" s="8">
        <v>3.4482758620689648E-2</v>
      </c>
      <c r="L59" s="5">
        <v>-1</v>
      </c>
      <c r="M59" s="8">
        <v>1.136363636363636E-2</v>
      </c>
      <c r="N59" s="8">
        <v>0</v>
      </c>
      <c r="O59" s="5">
        <v>-1</v>
      </c>
    </row>
    <row r="60" spans="1:15" x14ac:dyDescent="0.25">
      <c r="A60" s="7">
        <v>46159</v>
      </c>
      <c r="B60" s="5">
        <v>0</v>
      </c>
      <c r="C60" s="5">
        <v>4</v>
      </c>
      <c r="D60" s="5">
        <v>0</v>
      </c>
      <c r="E60" s="5">
        <v>3</v>
      </c>
      <c r="F60" s="5">
        <v>0</v>
      </c>
      <c r="G60" s="5">
        <v>0</v>
      </c>
      <c r="H60" s="5">
        <v>1</v>
      </c>
      <c r="I60" s="5">
        <v>0</v>
      </c>
      <c r="J60" s="8">
        <v>4.5977011494252873E-2</v>
      </c>
      <c r="K60" s="8">
        <v>3.4482758620689648E-2</v>
      </c>
      <c r="L60" s="5">
        <v>-1</v>
      </c>
      <c r="M60" s="8">
        <v>1.136363636363636E-2</v>
      </c>
      <c r="N60" s="8">
        <v>0</v>
      </c>
      <c r="O60" s="5">
        <v>-1</v>
      </c>
    </row>
    <row r="61" spans="1:15" x14ac:dyDescent="0.25">
      <c r="A61" s="7">
        <v>46160</v>
      </c>
      <c r="B61" s="5">
        <v>0</v>
      </c>
      <c r="C61" s="5">
        <v>4</v>
      </c>
      <c r="D61" s="5">
        <v>0</v>
      </c>
      <c r="E61" s="5">
        <v>3</v>
      </c>
      <c r="F61" s="5">
        <v>1</v>
      </c>
      <c r="G61" s="5">
        <v>0</v>
      </c>
      <c r="H61" s="5">
        <v>2</v>
      </c>
      <c r="I61" s="5">
        <v>0</v>
      </c>
      <c r="J61" s="8">
        <v>4.5977011494252873E-2</v>
      </c>
      <c r="K61" s="8">
        <v>3.4482758620689648E-2</v>
      </c>
      <c r="L61" s="5">
        <v>-1</v>
      </c>
      <c r="M61" s="8">
        <v>2.2727272727272731E-2</v>
      </c>
      <c r="N61" s="8">
        <v>0</v>
      </c>
      <c r="O61" s="5">
        <v>-1</v>
      </c>
    </row>
    <row r="62" spans="1:15" x14ac:dyDescent="0.25">
      <c r="A62" s="7">
        <v>46161</v>
      </c>
      <c r="B62" s="5">
        <v>2</v>
      </c>
      <c r="C62" s="5">
        <v>6</v>
      </c>
      <c r="D62" s="5">
        <v>0</v>
      </c>
      <c r="E62" s="5">
        <v>3</v>
      </c>
      <c r="F62" s="5">
        <v>0</v>
      </c>
      <c r="G62" s="5">
        <v>0</v>
      </c>
      <c r="H62" s="5">
        <v>2</v>
      </c>
      <c r="I62" s="5">
        <v>0</v>
      </c>
      <c r="J62" s="8">
        <v>6.8965517241379309E-2</v>
      </c>
      <c r="K62" s="8">
        <v>3.4482758620689648E-2</v>
      </c>
      <c r="L62" s="5">
        <v>-1</v>
      </c>
      <c r="M62" s="8">
        <v>2.2727272727272731E-2</v>
      </c>
      <c r="N62" s="8">
        <v>0</v>
      </c>
      <c r="O62" s="5">
        <v>-1</v>
      </c>
    </row>
    <row r="63" spans="1:15" x14ac:dyDescent="0.25">
      <c r="A63" s="7">
        <v>46162</v>
      </c>
      <c r="B63" s="5">
        <v>1</v>
      </c>
      <c r="C63" s="5">
        <v>7</v>
      </c>
      <c r="D63" s="5">
        <v>0</v>
      </c>
      <c r="E63" s="5">
        <v>3</v>
      </c>
      <c r="F63" s="5">
        <v>1</v>
      </c>
      <c r="G63" s="5">
        <v>0</v>
      </c>
      <c r="H63" s="5">
        <v>3</v>
      </c>
      <c r="I63" s="5">
        <v>0</v>
      </c>
      <c r="J63" s="8">
        <v>8.0459770114942528E-2</v>
      </c>
      <c r="K63" s="8">
        <v>3.4482758620689648E-2</v>
      </c>
      <c r="L63" s="5">
        <v>-1</v>
      </c>
      <c r="M63" s="8">
        <v>3.4090909090909088E-2</v>
      </c>
      <c r="N63" s="8">
        <v>0</v>
      </c>
      <c r="O63" s="5">
        <v>-1</v>
      </c>
    </row>
    <row r="64" spans="1:15" x14ac:dyDescent="0.25">
      <c r="A64" s="7">
        <v>46163</v>
      </c>
      <c r="B64" s="5">
        <v>2</v>
      </c>
      <c r="C64" s="5">
        <v>9</v>
      </c>
      <c r="D64" s="5">
        <v>0</v>
      </c>
      <c r="E64" s="5">
        <v>3</v>
      </c>
      <c r="F64" s="5">
        <v>1</v>
      </c>
      <c r="G64" s="5">
        <v>0</v>
      </c>
      <c r="H64" s="5">
        <v>4</v>
      </c>
      <c r="I64" s="5">
        <v>0</v>
      </c>
      <c r="J64" s="8">
        <v>0.10344827586206901</v>
      </c>
      <c r="K64" s="8">
        <v>3.4482758620689648E-2</v>
      </c>
      <c r="L64" s="5">
        <v>-1</v>
      </c>
      <c r="M64" s="8">
        <v>4.5454545454545463E-2</v>
      </c>
      <c r="N64" s="8">
        <v>0</v>
      </c>
      <c r="O64" s="5">
        <v>-1</v>
      </c>
    </row>
    <row r="65" spans="1:15" x14ac:dyDescent="0.25">
      <c r="A65" s="7">
        <v>46164</v>
      </c>
      <c r="B65" s="5">
        <v>3</v>
      </c>
      <c r="C65" s="5">
        <v>12</v>
      </c>
      <c r="D65" s="5">
        <v>0</v>
      </c>
      <c r="E65" s="5">
        <v>3</v>
      </c>
      <c r="F65" s="5">
        <v>0</v>
      </c>
      <c r="G65" s="5">
        <v>0</v>
      </c>
      <c r="H65" s="5">
        <v>4</v>
      </c>
      <c r="I65" s="5">
        <v>0</v>
      </c>
      <c r="J65" s="8">
        <v>0.13793103448275859</v>
      </c>
      <c r="K65" s="8">
        <v>3.4482758620689648E-2</v>
      </c>
      <c r="L65" s="5">
        <v>-1</v>
      </c>
      <c r="M65" s="8">
        <v>4.5454545454545463E-2</v>
      </c>
      <c r="N65" s="8">
        <v>0</v>
      </c>
      <c r="O65" s="5">
        <v>-1</v>
      </c>
    </row>
    <row r="66" spans="1:15" x14ac:dyDescent="0.25">
      <c r="A66" s="7">
        <v>46165</v>
      </c>
      <c r="B66" s="5">
        <v>0</v>
      </c>
      <c r="C66" s="5">
        <v>12</v>
      </c>
      <c r="D66" s="5">
        <v>0</v>
      </c>
      <c r="E66" s="5">
        <v>3</v>
      </c>
      <c r="F66" s="5">
        <v>0</v>
      </c>
      <c r="G66" s="5">
        <v>0</v>
      </c>
      <c r="H66" s="5">
        <v>4</v>
      </c>
      <c r="I66" s="5">
        <v>0</v>
      </c>
      <c r="J66" s="8">
        <v>0.13793103448275859</v>
      </c>
      <c r="K66" s="8">
        <v>3.4482758620689648E-2</v>
      </c>
      <c r="L66" s="5">
        <v>-1</v>
      </c>
      <c r="M66" s="8">
        <v>4.5454545454545463E-2</v>
      </c>
      <c r="N66" s="8">
        <v>0</v>
      </c>
      <c r="O66" s="5">
        <v>-1</v>
      </c>
    </row>
    <row r="67" spans="1:15" x14ac:dyDescent="0.25">
      <c r="A67" s="7">
        <v>46166</v>
      </c>
      <c r="B67" s="5">
        <v>0</v>
      </c>
      <c r="C67" s="5">
        <v>12</v>
      </c>
      <c r="D67" s="5">
        <v>0</v>
      </c>
      <c r="E67" s="5">
        <v>3</v>
      </c>
      <c r="F67" s="5">
        <v>0</v>
      </c>
      <c r="G67" s="5">
        <v>0</v>
      </c>
      <c r="H67" s="5">
        <v>4</v>
      </c>
      <c r="I67" s="5">
        <v>0</v>
      </c>
      <c r="J67" s="8">
        <v>0.13793103448275859</v>
      </c>
      <c r="K67" s="8">
        <v>3.4482758620689648E-2</v>
      </c>
      <c r="L67" s="5">
        <v>-1</v>
      </c>
      <c r="M67" s="8">
        <v>4.5454545454545463E-2</v>
      </c>
      <c r="N67" s="8">
        <v>0</v>
      </c>
      <c r="O67" s="5">
        <v>-1</v>
      </c>
    </row>
    <row r="68" spans="1:15" x14ac:dyDescent="0.25">
      <c r="A68" s="7">
        <v>46167</v>
      </c>
      <c r="B68" s="5">
        <v>1</v>
      </c>
      <c r="C68" s="5">
        <v>13</v>
      </c>
      <c r="D68" s="5">
        <v>0</v>
      </c>
      <c r="E68" s="5">
        <v>3</v>
      </c>
      <c r="F68" s="5">
        <v>2</v>
      </c>
      <c r="G68" s="5">
        <v>0</v>
      </c>
      <c r="H68" s="5">
        <v>6</v>
      </c>
      <c r="I68" s="5">
        <v>0</v>
      </c>
      <c r="J68" s="8">
        <v>0.14942528735632191</v>
      </c>
      <c r="K68" s="8">
        <v>3.4482758620689648E-2</v>
      </c>
      <c r="L68" s="5">
        <v>-1</v>
      </c>
      <c r="M68" s="8">
        <v>6.8181818181818177E-2</v>
      </c>
      <c r="N68" s="8">
        <v>0</v>
      </c>
      <c r="O68" s="5">
        <v>-1</v>
      </c>
    </row>
    <row r="69" spans="1:15" x14ac:dyDescent="0.25">
      <c r="A69" s="7">
        <v>46168</v>
      </c>
      <c r="B69" s="5">
        <v>0</v>
      </c>
      <c r="C69" s="5">
        <v>13</v>
      </c>
      <c r="D69" s="5">
        <v>0</v>
      </c>
      <c r="E69" s="5">
        <v>3</v>
      </c>
      <c r="F69" s="5">
        <v>1</v>
      </c>
      <c r="G69" s="5">
        <v>0</v>
      </c>
      <c r="H69" s="5">
        <v>7</v>
      </c>
      <c r="I69" s="5">
        <v>0</v>
      </c>
      <c r="J69" s="8">
        <v>0.14942528735632191</v>
      </c>
      <c r="K69" s="8">
        <v>3.4482758620689648E-2</v>
      </c>
      <c r="L69" s="5">
        <v>-1</v>
      </c>
      <c r="M69" s="8">
        <v>7.9545454545454544E-2</v>
      </c>
      <c r="N69" s="8">
        <v>0</v>
      </c>
      <c r="O69" s="5">
        <v>-1</v>
      </c>
    </row>
    <row r="70" spans="1:15" x14ac:dyDescent="0.25">
      <c r="A70" s="7">
        <v>46169</v>
      </c>
      <c r="B70" s="5">
        <v>7</v>
      </c>
      <c r="C70" s="5">
        <v>20</v>
      </c>
      <c r="D70" s="5">
        <v>0</v>
      </c>
      <c r="E70" s="5">
        <v>3</v>
      </c>
      <c r="F70" s="5">
        <v>2</v>
      </c>
      <c r="G70" s="5">
        <v>0</v>
      </c>
      <c r="H70" s="5">
        <v>9</v>
      </c>
      <c r="I70" s="5">
        <v>0</v>
      </c>
      <c r="J70" s="8">
        <v>0.22988505747126439</v>
      </c>
      <c r="K70" s="8">
        <v>3.4482758620689648E-2</v>
      </c>
      <c r="L70" s="5">
        <v>-1</v>
      </c>
      <c r="M70" s="8">
        <v>0.10227272727272731</v>
      </c>
      <c r="N70" s="8">
        <v>0</v>
      </c>
      <c r="O70" s="5">
        <v>-1</v>
      </c>
    </row>
    <row r="71" spans="1:15" x14ac:dyDescent="0.25">
      <c r="A71" s="7">
        <v>46170</v>
      </c>
      <c r="B71" s="5">
        <v>3</v>
      </c>
      <c r="C71" s="5">
        <v>23</v>
      </c>
      <c r="D71" s="5">
        <v>0</v>
      </c>
      <c r="E71" s="5">
        <v>3</v>
      </c>
      <c r="F71" s="5">
        <v>3</v>
      </c>
      <c r="G71" s="5">
        <v>0</v>
      </c>
      <c r="H71" s="5">
        <v>12</v>
      </c>
      <c r="I71" s="5">
        <v>0</v>
      </c>
      <c r="J71" s="8">
        <v>0.26436781609195398</v>
      </c>
      <c r="K71" s="8">
        <v>3.4482758620689648E-2</v>
      </c>
      <c r="L71" s="5">
        <v>-1</v>
      </c>
      <c r="M71" s="8">
        <v>0.13636363636363641</v>
      </c>
      <c r="N71" s="8">
        <v>0</v>
      </c>
      <c r="O71" s="5">
        <v>-1</v>
      </c>
    </row>
    <row r="72" spans="1:15" x14ac:dyDescent="0.25">
      <c r="A72" s="7">
        <v>46171</v>
      </c>
      <c r="B72" s="5">
        <v>0</v>
      </c>
      <c r="C72" s="5">
        <v>23</v>
      </c>
      <c r="D72" s="5">
        <v>0</v>
      </c>
      <c r="E72" s="5">
        <v>3</v>
      </c>
      <c r="F72" s="5">
        <v>1</v>
      </c>
      <c r="G72" s="5">
        <v>0</v>
      </c>
      <c r="H72" s="5">
        <v>13</v>
      </c>
      <c r="I72" s="5">
        <v>0</v>
      </c>
      <c r="J72" s="8">
        <v>0.26436781609195398</v>
      </c>
      <c r="K72" s="8">
        <v>3.4482758620689648E-2</v>
      </c>
      <c r="L72" s="5">
        <v>-1</v>
      </c>
      <c r="M72" s="8">
        <v>0.14772727272727271</v>
      </c>
      <c r="N72" s="8">
        <v>0</v>
      </c>
      <c r="O72" s="5">
        <v>-1</v>
      </c>
    </row>
    <row r="73" spans="1:15" x14ac:dyDescent="0.25">
      <c r="A73" s="7">
        <v>46172</v>
      </c>
      <c r="B73" s="5">
        <v>0</v>
      </c>
      <c r="C73" s="5">
        <v>23</v>
      </c>
      <c r="D73" s="5">
        <v>0</v>
      </c>
      <c r="E73" s="5">
        <v>3</v>
      </c>
      <c r="F73" s="5">
        <v>0</v>
      </c>
      <c r="G73" s="5">
        <v>0</v>
      </c>
      <c r="H73" s="5">
        <v>13</v>
      </c>
      <c r="I73" s="5">
        <v>0</v>
      </c>
      <c r="J73" s="8">
        <v>0.26436781609195398</v>
      </c>
      <c r="K73" s="8">
        <v>3.4482758620689648E-2</v>
      </c>
      <c r="L73" s="5">
        <v>-1</v>
      </c>
      <c r="M73" s="8">
        <v>0.14772727272727271</v>
      </c>
      <c r="N73" s="8">
        <v>0</v>
      </c>
      <c r="O73" s="5">
        <v>-1</v>
      </c>
    </row>
    <row r="74" spans="1:15" x14ac:dyDescent="0.25">
      <c r="A74" s="7">
        <v>46173</v>
      </c>
      <c r="B74" s="5">
        <v>0</v>
      </c>
      <c r="C74" s="5">
        <v>23</v>
      </c>
      <c r="D74" s="5">
        <v>0</v>
      </c>
      <c r="E74" s="5">
        <v>3</v>
      </c>
      <c r="F74" s="5">
        <v>0</v>
      </c>
      <c r="G74" s="5">
        <v>0</v>
      </c>
      <c r="H74" s="5">
        <v>13</v>
      </c>
      <c r="I74" s="5">
        <v>0</v>
      </c>
      <c r="J74" s="8">
        <v>0.26436781609195398</v>
      </c>
      <c r="K74" s="8">
        <v>3.4482758620689648E-2</v>
      </c>
      <c r="L74" s="5">
        <v>-1</v>
      </c>
      <c r="M74" s="8">
        <v>0.14772727272727271</v>
      </c>
      <c r="N74" s="8">
        <v>0</v>
      </c>
      <c r="O74" s="5">
        <v>-1</v>
      </c>
    </row>
    <row r="75" spans="1:15" x14ac:dyDescent="0.25">
      <c r="A75" s="7">
        <v>46174</v>
      </c>
      <c r="B75" s="5">
        <v>4</v>
      </c>
      <c r="C75" s="5">
        <v>27</v>
      </c>
      <c r="D75" s="5">
        <v>2</v>
      </c>
      <c r="E75" s="5">
        <v>5</v>
      </c>
      <c r="F75" s="5">
        <v>0</v>
      </c>
      <c r="G75" s="5">
        <v>1</v>
      </c>
      <c r="H75" s="5">
        <v>13</v>
      </c>
      <c r="I75" s="5">
        <v>1</v>
      </c>
      <c r="J75" s="8">
        <v>0.31034482758620691</v>
      </c>
      <c r="K75" s="8">
        <v>5.7471264367816091E-2</v>
      </c>
      <c r="L75" s="5">
        <v>-1</v>
      </c>
      <c r="M75" s="8">
        <v>0.14772727272727271</v>
      </c>
      <c r="N75" s="8">
        <v>1.136363636363636E-2</v>
      </c>
      <c r="O75" s="5">
        <v>-1</v>
      </c>
    </row>
    <row r="76" spans="1:15" x14ac:dyDescent="0.25">
      <c r="A76" s="7">
        <v>46175</v>
      </c>
      <c r="B76" s="5">
        <v>1</v>
      </c>
      <c r="C76" s="5">
        <v>28</v>
      </c>
      <c r="D76" s="5">
        <v>0</v>
      </c>
      <c r="E76" s="5">
        <v>5</v>
      </c>
      <c r="F76" s="5">
        <v>7</v>
      </c>
      <c r="G76" s="5">
        <v>1</v>
      </c>
      <c r="H76" s="5">
        <v>20</v>
      </c>
      <c r="I76" s="5">
        <v>2</v>
      </c>
      <c r="J76" s="8">
        <v>0.32183908045977011</v>
      </c>
      <c r="K76" s="8">
        <v>5.7471264367816091E-2</v>
      </c>
      <c r="L76" s="5">
        <v>-1</v>
      </c>
      <c r="M76" s="8">
        <v>0.22727272727272729</v>
      </c>
      <c r="N76" s="8">
        <v>2.2727272727272731E-2</v>
      </c>
      <c r="O76" s="5">
        <v>-1</v>
      </c>
    </row>
    <row r="77" spans="1:15" x14ac:dyDescent="0.25">
      <c r="A77" s="7">
        <v>46176</v>
      </c>
      <c r="B77" s="5">
        <v>0</v>
      </c>
      <c r="C77" s="5">
        <v>28</v>
      </c>
      <c r="D77" s="5">
        <v>0</v>
      </c>
      <c r="E77" s="5">
        <v>5</v>
      </c>
      <c r="F77" s="5">
        <v>3</v>
      </c>
      <c r="G77" s="5">
        <v>0</v>
      </c>
      <c r="H77" s="5">
        <v>23</v>
      </c>
      <c r="I77" s="5">
        <v>2</v>
      </c>
      <c r="J77" s="8">
        <v>0.32183908045977011</v>
      </c>
      <c r="K77" s="8">
        <v>5.7471264367816091E-2</v>
      </c>
      <c r="L77" s="5">
        <v>-1</v>
      </c>
      <c r="M77" s="8">
        <v>0.26136363636363641</v>
      </c>
      <c r="N77" s="8">
        <v>2.2727272727272731E-2</v>
      </c>
      <c r="O77" s="5">
        <v>-1</v>
      </c>
    </row>
    <row r="78" spans="1:15" x14ac:dyDescent="0.25">
      <c r="A78" s="7">
        <v>46177</v>
      </c>
      <c r="B78" s="5">
        <v>1</v>
      </c>
      <c r="C78" s="5">
        <v>29</v>
      </c>
      <c r="D78" s="5">
        <v>0</v>
      </c>
      <c r="E78" s="5">
        <v>5</v>
      </c>
      <c r="F78" s="5">
        <v>0</v>
      </c>
      <c r="G78" s="5">
        <v>0</v>
      </c>
      <c r="H78" s="5">
        <v>23</v>
      </c>
      <c r="I78" s="5">
        <v>2</v>
      </c>
      <c r="J78" s="8">
        <v>0.33333333333333331</v>
      </c>
      <c r="K78" s="8">
        <v>5.7471264367816091E-2</v>
      </c>
      <c r="L78" s="5">
        <v>-1</v>
      </c>
      <c r="M78" s="8">
        <v>0.26136363636363641</v>
      </c>
      <c r="N78" s="8">
        <v>2.2727272727272731E-2</v>
      </c>
      <c r="O78" s="5">
        <v>-1</v>
      </c>
    </row>
    <row r="79" spans="1:15" x14ac:dyDescent="0.25">
      <c r="A79" s="7">
        <v>46178</v>
      </c>
      <c r="B79" s="5">
        <v>3</v>
      </c>
      <c r="C79" s="5">
        <v>32</v>
      </c>
      <c r="D79" s="5">
        <v>1</v>
      </c>
      <c r="E79" s="5">
        <v>6</v>
      </c>
      <c r="F79" s="5">
        <v>4</v>
      </c>
      <c r="G79" s="5">
        <v>0</v>
      </c>
      <c r="H79" s="5">
        <v>27</v>
      </c>
      <c r="I79" s="5">
        <v>2</v>
      </c>
      <c r="J79" s="8">
        <v>0.36781609195402298</v>
      </c>
      <c r="K79" s="8">
        <v>6.8965517241379309E-2</v>
      </c>
      <c r="L79" s="5">
        <v>-1</v>
      </c>
      <c r="M79" s="8">
        <v>0.30681818181818182</v>
      </c>
      <c r="N79" s="8">
        <v>2.2727272727272731E-2</v>
      </c>
      <c r="O79" s="5">
        <v>-1</v>
      </c>
    </row>
    <row r="80" spans="1:15" x14ac:dyDescent="0.25">
      <c r="A80" s="7">
        <v>46179</v>
      </c>
      <c r="B80" s="5">
        <v>0</v>
      </c>
      <c r="C80" s="5">
        <v>32</v>
      </c>
      <c r="D80" s="5">
        <v>0</v>
      </c>
      <c r="E80" s="5">
        <v>6</v>
      </c>
      <c r="F80" s="5">
        <v>0</v>
      </c>
      <c r="G80" s="5">
        <v>0</v>
      </c>
      <c r="H80" s="5">
        <v>27</v>
      </c>
      <c r="I80" s="5">
        <v>2</v>
      </c>
      <c r="J80" s="8">
        <v>0.36781609195402298</v>
      </c>
      <c r="K80" s="8">
        <v>6.8965517241379309E-2</v>
      </c>
      <c r="L80" s="5">
        <v>-1</v>
      </c>
      <c r="M80" s="8">
        <v>0.30681818181818182</v>
      </c>
      <c r="N80" s="8">
        <v>2.2727272727272731E-2</v>
      </c>
      <c r="O80" s="5">
        <v>-1</v>
      </c>
    </row>
    <row r="81" spans="1:15" x14ac:dyDescent="0.25">
      <c r="A81" s="7">
        <v>46180</v>
      </c>
      <c r="B81" s="5">
        <v>0</v>
      </c>
      <c r="C81" s="5">
        <v>32</v>
      </c>
      <c r="D81" s="5">
        <v>0</v>
      </c>
      <c r="E81" s="5">
        <v>6</v>
      </c>
      <c r="F81" s="5">
        <v>0</v>
      </c>
      <c r="G81" s="5">
        <v>0</v>
      </c>
      <c r="H81" s="5">
        <v>27</v>
      </c>
      <c r="I81" s="5">
        <v>2</v>
      </c>
      <c r="J81" s="8">
        <v>0.36781609195402298</v>
      </c>
      <c r="K81" s="8">
        <v>6.8965517241379309E-2</v>
      </c>
      <c r="L81" s="5">
        <v>-1</v>
      </c>
      <c r="M81" s="8">
        <v>0.30681818181818182</v>
      </c>
      <c r="N81" s="8">
        <v>2.2727272727272731E-2</v>
      </c>
      <c r="O81" s="5">
        <v>-1</v>
      </c>
    </row>
    <row r="82" spans="1:15" x14ac:dyDescent="0.25">
      <c r="A82" s="7">
        <v>46181</v>
      </c>
      <c r="B82" s="5">
        <v>0</v>
      </c>
      <c r="C82" s="5">
        <v>32</v>
      </c>
      <c r="D82" s="5">
        <v>2</v>
      </c>
      <c r="E82" s="5">
        <v>8</v>
      </c>
      <c r="F82" s="5">
        <v>1</v>
      </c>
      <c r="G82" s="5">
        <v>0</v>
      </c>
      <c r="H82" s="5">
        <v>28</v>
      </c>
      <c r="I82" s="5">
        <v>2</v>
      </c>
      <c r="J82" s="8">
        <v>0.36781609195402298</v>
      </c>
      <c r="K82" s="8">
        <v>9.1954022988505746E-2</v>
      </c>
      <c r="L82" s="5">
        <v>-1</v>
      </c>
      <c r="M82" s="8">
        <v>0.31818181818181818</v>
      </c>
      <c r="N82" s="8">
        <v>2.2727272727272731E-2</v>
      </c>
      <c r="O82" s="5">
        <v>-1</v>
      </c>
    </row>
    <row r="83" spans="1:15" x14ac:dyDescent="0.25">
      <c r="A83" s="7">
        <v>46182</v>
      </c>
      <c r="B83" s="5">
        <v>1</v>
      </c>
      <c r="C83" s="5">
        <v>33</v>
      </c>
      <c r="D83" s="5">
        <v>0</v>
      </c>
      <c r="E83" s="5">
        <v>8</v>
      </c>
      <c r="F83" s="5">
        <v>0</v>
      </c>
      <c r="G83" s="5">
        <v>1</v>
      </c>
      <c r="H83" s="5">
        <v>28</v>
      </c>
      <c r="I83" s="5">
        <v>3</v>
      </c>
      <c r="J83" s="8">
        <v>0.37931034482758619</v>
      </c>
      <c r="K83" s="8">
        <v>9.1954022988505746E-2</v>
      </c>
      <c r="L83" s="5">
        <v>-1</v>
      </c>
      <c r="M83" s="8">
        <v>0.31818181818181818</v>
      </c>
      <c r="N83" s="8">
        <v>3.4090909090909088E-2</v>
      </c>
      <c r="O83" s="5">
        <v>-1</v>
      </c>
    </row>
    <row r="84" spans="1:15" x14ac:dyDescent="0.25">
      <c r="A84" s="7">
        <v>46183</v>
      </c>
      <c r="B84" s="5">
        <v>2</v>
      </c>
      <c r="C84" s="5">
        <v>35</v>
      </c>
      <c r="D84" s="5">
        <v>0</v>
      </c>
      <c r="E84" s="5">
        <v>8</v>
      </c>
      <c r="F84" s="5">
        <v>1</v>
      </c>
      <c r="G84" s="5">
        <v>0</v>
      </c>
      <c r="H84" s="5">
        <v>29</v>
      </c>
      <c r="I84" s="5">
        <v>3</v>
      </c>
      <c r="J84" s="8">
        <v>0.40229885057471271</v>
      </c>
      <c r="K84" s="8">
        <v>9.1954022988505746E-2</v>
      </c>
      <c r="L84" s="5">
        <v>-1</v>
      </c>
      <c r="M84" s="8">
        <v>0.32954545454545447</v>
      </c>
      <c r="N84" s="8">
        <v>3.4090909090909088E-2</v>
      </c>
      <c r="O84" s="5">
        <v>-1</v>
      </c>
    </row>
    <row r="85" spans="1:15" x14ac:dyDescent="0.25">
      <c r="A85" s="7">
        <v>46184</v>
      </c>
      <c r="B85" s="5">
        <v>2</v>
      </c>
      <c r="C85" s="5">
        <v>37</v>
      </c>
      <c r="D85" s="5">
        <v>0</v>
      </c>
      <c r="E85" s="5">
        <v>8</v>
      </c>
      <c r="F85" s="5">
        <v>3</v>
      </c>
      <c r="G85" s="5">
        <v>1</v>
      </c>
      <c r="H85" s="5">
        <v>32</v>
      </c>
      <c r="I85" s="5">
        <v>4</v>
      </c>
      <c r="J85" s="8">
        <v>0.42528735632183912</v>
      </c>
      <c r="K85" s="8">
        <v>9.1954022988505746E-2</v>
      </c>
      <c r="L85" s="5">
        <v>-1</v>
      </c>
      <c r="M85" s="8">
        <v>0.36363636363636359</v>
      </c>
      <c r="N85" s="8">
        <v>4.5454545454545463E-2</v>
      </c>
      <c r="O85" s="5">
        <v>-1</v>
      </c>
    </row>
    <row r="86" spans="1:15" x14ac:dyDescent="0.25">
      <c r="A86" s="7">
        <v>46185</v>
      </c>
      <c r="B86" s="5">
        <v>1</v>
      </c>
      <c r="C86" s="5">
        <v>38</v>
      </c>
      <c r="D86" s="5">
        <v>2</v>
      </c>
      <c r="E86" s="5">
        <v>10</v>
      </c>
      <c r="F86" s="5">
        <v>0</v>
      </c>
      <c r="G86" s="5">
        <v>0</v>
      </c>
      <c r="H86" s="5">
        <v>32</v>
      </c>
      <c r="I86" s="5">
        <v>4</v>
      </c>
      <c r="J86" s="8">
        <v>0.43678160919540232</v>
      </c>
      <c r="K86" s="8">
        <v>0.1149425287356322</v>
      </c>
      <c r="L86" s="5">
        <v>-1</v>
      </c>
      <c r="M86" s="8">
        <v>0.36363636363636359</v>
      </c>
      <c r="N86" s="8">
        <v>4.5454545454545463E-2</v>
      </c>
      <c r="O86" s="5">
        <v>-1</v>
      </c>
    </row>
    <row r="87" spans="1:15" x14ac:dyDescent="0.25">
      <c r="A87" s="7">
        <v>46186</v>
      </c>
      <c r="B87" s="5">
        <v>0</v>
      </c>
      <c r="C87" s="5">
        <v>38</v>
      </c>
      <c r="D87" s="5">
        <v>0</v>
      </c>
      <c r="E87" s="5">
        <v>10</v>
      </c>
      <c r="F87" s="5">
        <v>0</v>
      </c>
      <c r="G87" s="5">
        <v>0</v>
      </c>
      <c r="H87" s="5">
        <v>32</v>
      </c>
      <c r="I87" s="5">
        <v>4</v>
      </c>
      <c r="J87" s="8">
        <v>0.43678160919540232</v>
      </c>
      <c r="K87" s="8">
        <v>0.1149425287356322</v>
      </c>
      <c r="L87" s="5">
        <v>-1</v>
      </c>
      <c r="M87" s="8">
        <v>0.36363636363636359</v>
      </c>
      <c r="N87" s="8">
        <v>4.5454545454545463E-2</v>
      </c>
      <c r="O87" s="5">
        <v>-1</v>
      </c>
    </row>
    <row r="88" spans="1:15" x14ac:dyDescent="0.25">
      <c r="A88" s="7">
        <v>46187</v>
      </c>
      <c r="B88" s="5">
        <v>0</v>
      </c>
      <c r="C88" s="5">
        <v>38</v>
      </c>
      <c r="D88" s="5">
        <v>0</v>
      </c>
      <c r="E88" s="5">
        <v>10</v>
      </c>
      <c r="F88" s="5">
        <v>0</v>
      </c>
      <c r="G88" s="5">
        <v>0</v>
      </c>
      <c r="H88" s="5">
        <v>32</v>
      </c>
      <c r="I88" s="5">
        <v>4</v>
      </c>
      <c r="J88" s="8">
        <v>0.43678160919540232</v>
      </c>
      <c r="K88" s="8">
        <v>0.1149425287356322</v>
      </c>
      <c r="L88" s="5">
        <v>-1</v>
      </c>
      <c r="M88" s="8">
        <v>0.36363636363636359</v>
      </c>
      <c r="N88" s="8">
        <v>4.5454545454545463E-2</v>
      </c>
      <c r="O88" s="5">
        <v>-1</v>
      </c>
    </row>
    <row r="89" spans="1:15" x14ac:dyDescent="0.25">
      <c r="A89" s="7">
        <v>46188</v>
      </c>
      <c r="B89" s="5">
        <v>2</v>
      </c>
      <c r="C89" s="5">
        <v>40</v>
      </c>
      <c r="D89" s="5">
        <v>3</v>
      </c>
      <c r="E89" s="5">
        <v>13</v>
      </c>
      <c r="F89" s="5">
        <v>1</v>
      </c>
      <c r="G89" s="5">
        <v>0</v>
      </c>
      <c r="H89" s="5">
        <v>33</v>
      </c>
      <c r="I89" s="5">
        <v>4</v>
      </c>
      <c r="J89" s="8">
        <v>0.45977011494252867</v>
      </c>
      <c r="K89" s="8">
        <v>0.14942528735632191</v>
      </c>
      <c r="L89" s="5">
        <v>-1</v>
      </c>
      <c r="M89" s="8">
        <v>0.375</v>
      </c>
      <c r="N89" s="8">
        <v>4.5454545454545463E-2</v>
      </c>
      <c r="O89" s="5">
        <v>-1</v>
      </c>
    </row>
    <row r="90" spans="1:15" x14ac:dyDescent="0.25">
      <c r="A90" s="7">
        <v>46189</v>
      </c>
      <c r="B90" s="5">
        <v>4</v>
      </c>
      <c r="C90" s="5">
        <v>44</v>
      </c>
      <c r="D90" s="5">
        <v>0</v>
      </c>
      <c r="E90" s="5">
        <v>13</v>
      </c>
      <c r="F90" s="5">
        <v>2</v>
      </c>
      <c r="G90" s="5">
        <v>0</v>
      </c>
      <c r="H90" s="5">
        <v>35</v>
      </c>
      <c r="I90" s="5">
        <v>4</v>
      </c>
      <c r="J90" s="8">
        <v>0.50574712643678166</v>
      </c>
      <c r="K90" s="8">
        <v>0.14942528735632191</v>
      </c>
      <c r="L90" s="5">
        <v>-1</v>
      </c>
      <c r="M90" s="8">
        <v>0.39772727272727271</v>
      </c>
      <c r="N90" s="8">
        <v>4.5454545454545463E-2</v>
      </c>
      <c r="O90" s="5">
        <v>-1</v>
      </c>
    </row>
    <row r="91" spans="1:15" x14ac:dyDescent="0.25">
      <c r="A91" s="7">
        <v>46190</v>
      </c>
      <c r="B91" s="5">
        <v>0</v>
      </c>
      <c r="C91" s="5">
        <v>44</v>
      </c>
      <c r="D91" s="5">
        <v>0</v>
      </c>
      <c r="E91" s="5">
        <v>13</v>
      </c>
      <c r="F91" s="5">
        <v>2</v>
      </c>
      <c r="G91" s="5">
        <v>0</v>
      </c>
      <c r="H91" s="5">
        <v>37</v>
      </c>
      <c r="I91" s="5">
        <v>4</v>
      </c>
      <c r="J91" s="8">
        <v>0.50574712643678166</v>
      </c>
      <c r="K91" s="8">
        <v>0.14942528735632191</v>
      </c>
      <c r="L91" s="5">
        <v>-1</v>
      </c>
      <c r="M91" s="8">
        <v>0.42045454545454553</v>
      </c>
      <c r="N91" s="8">
        <v>4.5454545454545463E-2</v>
      </c>
      <c r="O91" s="5">
        <v>-1</v>
      </c>
    </row>
    <row r="92" spans="1:15" x14ac:dyDescent="0.25">
      <c r="A92" s="7">
        <v>46191</v>
      </c>
      <c r="B92" s="5">
        <v>2</v>
      </c>
      <c r="C92" s="5">
        <v>46</v>
      </c>
      <c r="D92" s="5">
        <v>1</v>
      </c>
      <c r="E92" s="5">
        <v>14</v>
      </c>
      <c r="F92" s="5">
        <v>1</v>
      </c>
      <c r="G92" s="5">
        <v>2</v>
      </c>
      <c r="H92" s="5">
        <v>38</v>
      </c>
      <c r="I92" s="5">
        <v>6</v>
      </c>
      <c r="J92" s="8">
        <v>0.52873563218390807</v>
      </c>
      <c r="K92" s="8">
        <v>0.16091954022988511</v>
      </c>
      <c r="L92" s="5">
        <v>-1</v>
      </c>
      <c r="M92" s="8">
        <v>0.43181818181818182</v>
      </c>
      <c r="N92" s="8">
        <v>6.8181818181818177E-2</v>
      </c>
      <c r="O92" s="5">
        <v>-1</v>
      </c>
    </row>
    <row r="93" spans="1:15" x14ac:dyDescent="0.25">
      <c r="A93" s="7">
        <v>46192</v>
      </c>
      <c r="B93" s="5">
        <v>5</v>
      </c>
      <c r="C93" s="5">
        <v>51</v>
      </c>
      <c r="D93" s="5">
        <v>9</v>
      </c>
      <c r="E93" s="5">
        <v>23</v>
      </c>
      <c r="F93" s="5">
        <v>2</v>
      </c>
      <c r="G93" s="5">
        <v>0</v>
      </c>
      <c r="H93" s="5">
        <v>40</v>
      </c>
      <c r="I93" s="5">
        <v>6</v>
      </c>
      <c r="J93" s="8">
        <v>0.58620689655172409</v>
      </c>
      <c r="K93" s="8">
        <v>0.26436781609195398</v>
      </c>
      <c r="L93" s="5">
        <v>-1</v>
      </c>
      <c r="M93" s="8">
        <v>0.45454545454545447</v>
      </c>
      <c r="N93" s="8">
        <v>6.8181818181818177E-2</v>
      </c>
      <c r="O93" s="5">
        <v>-1</v>
      </c>
    </row>
    <row r="94" spans="1:15" x14ac:dyDescent="0.25">
      <c r="A94" s="7">
        <v>46193</v>
      </c>
      <c r="B94" s="5">
        <v>0</v>
      </c>
      <c r="C94" s="5">
        <v>51</v>
      </c>
      <c r="D94" s="5">
        <v>0</v>
      </c>
      <c r="E94" s="5">
        <v>23</v>
      </c>
      <c r="F94" s="5">
        <v>0</v>
      </c>
      <c r="G94" s="5">
        <v>0</v>
      </c>
      <c r="H94" s="5">
        <v>40</v>
      </c>
      <c r="I94" s="5">
        <v>6</v>
      </c>
      <c r="J94" s="8">
        <v>0.58620689655172409</v>
      </c>
      <c r="K94" s="8">
        <v>0.26436781609195398</v>
      </c>
      <c r="L94" s="5">
        <v>-1</v>
      </c>
      <c r="M94" s="8">
        <v>0.45454545454545447</v>
      </c>
      <c r="N94" s="8">
        <v>6.8181818181818177E-2</v>
      </c>
      <c r="O94" s="5">
        <v>-1</v>
      </c>
    </row>
    <row r="95" spans="1:15" x14ac:dyDescent="0.25">
      <c r="A95" s="7">
        <v>46194</v>
      </c>
      <c r="B95" s="5">
        <v>0</v>
      </c>
      <c r="C95" s="5">
        <v>51</v>
      </c>
      <c r="D95" s="5">
        <v>0</v>
      </c>
      <c r="E95" s="5">
        <v>23</v>
      </c>
      <c r="F95" s="5">
        <v>0</v>
      </c>
      <c r="G95" s="5">
        <v>0</v>
      </c>
      <c r="H95" s="5">
        <v>40</v>
      </c>
      <c r="I95" s="5">
        <v>6</v>
      </c>
      <c r="J95" s="8">
        <v>0.58620689655172409</v>
      </c>
      <c r="K95" s="8">
        <v>0.26436781609195398</v>
      </c>
      <c r="L95" s="5">
        <v>-1</v>
      </c>
      <c r="M95" s="8">
        <v>0.45454545454545447</v>
      </c>
      <c r="N95" s="8">
        <v>6.8181818181818177E-2</v>
      </c>
      <c r="O95" s="5">
        <v>-1</v>
      </c>
    </row>
    <row r="96" spans="1:15" x14ac:dyDescent="0.25">
      <c r="A96" s="7">
        <v>46195</v>
      </c>
      <c r="B96" s="5">
        <v>0</v>
      </c>
      <c r="C96" s="5">
        <v>51</v>
      </c>
      <c r="D96" s="5">
        <v>0</v>
      </c>
      <c r="E96" s="5">
        <v>23</v>
      </c>
      <c r="F96" s="5">
        <v>4</v>
      </c>
      <c r="G96" s="5">
        <v>0</v>
      </c>
      <c r="H96" s="5">
        <v>44</v>
      </c>
      <c r="I96" s="5">
        <v>6</v>
      </c>
      <c r="J96" s="8">
        <v>0.58620689655172409</v>
      </c>
      <c r="K96" s="8">
        <v>0.26436781609195398</v>
      </c>
      <c r="L96" s="5">
        <v>-1</v>
      </c>
      <c r="M96" s="8">
        <v>0.5</v>
      </c>
      <c r="N96" s="8">
        <v>6.8181818181818177E-2</v>
      </c>
      <c r="O96" s="5">
        <v>-1</v>
      </c>
    </row>
    <row r="97" spans="1:15" x14ac:dyDescent="0.25">
      <c r="A97" s="7">
        <v>46196</v>
      </c>
      <c r="B97" s="5">
        <v>2</v>
      </c>
      <c r="C97" s="5">
        <v>53</v>
      </c>
      <c r="D97" s="5">
        <v>2</v>
      </c>
      <c r="E97" s="5">
        <v>25</v>
      </c>
      <c r="F97" s="5">
        <v>0</v>
      </c>
      <c r="G97" s="5">
        <v>0</v>
      </c>
      <c r="H97" s="5">
        <v>44</v>
      </c>
      <c r="I97" s="5">
        <v>6</v>
      </c>
      <c r="J97" s="8">
        <v>0.60919540229885061</v>
      </c>
      <c r="K97" s="8">
        <v>0.28735632183908039</v>
      </c>
      <c r="L97" s="5">
        <v>-1</v>
      </c>
      <c r="M97" s="8">
        <v>0.5</v>
      </c>
      <c r="N97" s="8">
        <v>6.8181818181818177E-2</v>
      </c>
      <c r="O97" s="5">
        <v>-1</v>
      </c>
    </row>
    <row r="98" spans="1:15" x14ac:dyDescent="0.25">
      <c r="A98" s="7">
        <v>46197</v>
      </c>
      <c r="B98" s="5">
        <v>3</v>
      </c>
      <c r="C98" s="5">
        <v>56</v>
      </c>
      <c r="D98" s="5">
        <v>0</v>
      </c>
      <c r="E98" s="5">
        <v>25</v>
      </c>
      <c r="F98" s="5">
        <v>2</v>
      </c>
      <c r="G98" s="5">
        <v>0</v>
      </c>
      <c r="H98" s="5">
        <v>46</v>
      </c>
      <c r="I98" s="5">
        <v>6</v>
      </c>
      <c r="J98" s="8">
        <v>0.64367816091954022</v>
      </c>
      <c r="K98" s="8">
        <v>0.28735632183908039</v>
      </c>
      <c r="L98" s="5">
        <v>-1</v>
      </c>
      <c r="M98" s="8">
        <v>0.52272727272727271</v>
      </c>
      <c r="N98" s="8">
        <v>6.8181818181818177E-2</v>
      </c>
      <c r="O98" s="5">
        <v>-1</v>
      </c>
    </row>
    <row r="99" spans="1:15" x14ac:dyDescent="0.25">
      <c r="A99" s="7">
        <v>46198</v>
      </c>
      <c r="B99" s="5">
        <v>1</v>
      </c>
      <c r="C99" s="5">
        <v>57</v>
      </c>
      <c r="D99" s="5">
        <v>5</v>
      </c>
      <c r="E99" s="5">
        <v>30</v>
      </c>
      <c r="F99" s="5">
        <v>5</v>
      </c>
      <c r="G99" s="5">
        <v>0</v>
      </c>
      <c r="H99" s="5">
        <v>51</v>
      </c>
      <c r="I99" s="5">
        <v>6</v>
      </c>
      <c r="J99" s="8">
        <v>0.65517241379310343</v>
      </c>
      <c r="K99" s="8">
        <v>0.34482758620689657</v>
      </c>
      <c r="L99" s="5">
        <v>-1</v>
      </c>
      <c r="M99" s="8">
        <v>0.57954545454545459</v>
      </c>
      <c r="N99" s="8">
        <v>6.8181818181818177E-2</v>
      </c>
      <c r="O99" s="5">
        <v>-1</v>
      </c>
    </row>
    <row r="100" spans="1:15" x14ac:dyDescent="0.25">
      <c r="A100" s="7">
        <v>46199</v>
      </c>
      <c r="B100" s="5">
        <v>4</v>
      </c>
      <c r="C100" s="5">
        <v>61</v>
      </c>
      <c r="D100" s="5">
        <v>16</v>
      </c>
      <c r="E100" s="5">
        <v>46</v>
      </c>
      <c r="F100" s="5">
        <v>0</v>
      </c>
      <c r="G100" s="5">
        <v>0</v>
      </c>
      <c r="H100" s="5">
        <v>51</v>
      </c>
      <c r="I100" s="5">
        <v>6</v>
      </c>
      <c r="J100" s="8">
        <v>0.70114942528735635</v>
      </c>
      <c r="K100" s="8">
        <v>0.52873563218390807</v>
      </c>
      <c r="L100" s="5">
        <v>-1</v>
      </c>
      <c r="M100" s="8">
        <v>0.57954545454545459</v>
      </c>
      <c r="N100" s="8">
        <v>6.8181818181818177E-2</v>
      </c>
      <c r="O100" s="5">
        <v>-1</v>
      </c>
    </row>
    <row r="101" spans="1:15" x14ac:dyDescent="0.25">
      <c r="A101" s="7">
        <v>46200</v>
      </c>
      <c r="B101" s="5">
        <v>0</v>
      </c>
      <c r="C101" s="5">
        <v>61</v>
      </c>
      <c r="D101" s="5">
        <v>0</v>
      </c>
      <c r="E101" s="5">
        <v>46</v>
      </c>
      <c r="F101" s="5">
        <v>0</v>
      </c>
      <c r="G101" s="5">
        <v>0</v>
      </c>
      <c r="H101" s="5">
        <v>51</v>
      </c>
      <c r="I101" s="5">
        <v>6</v>
      </c>
      <c r="J101" s="8">
        <v>0.70114942528735635</v>
      </c>
      <c r="K101" s="8">
        <v>0.52873563218390807</v>
      </c>
      <c r="L101" s="5">
        <v>-1</v>
      </c>
      <c r="M101" s="8">
        <v>0.57954545454545459</v>
      </c>
      <c r="N101" s="8">
        <v>6.8181818181818177E-2</v>
      </c>
      <c r="O101" s="5">
        <v>-1</v>
      </c>
    </row>
    <row r="102" spans="1:15" x14ac:dyDescent="0.25">
      <c r="A102" s="7">
        <v>46201</v>
      </c>
      <c r="B102" s="5">
        <v>0</v>
      </c>
      <c r="C102" s="5">
        <v>61</v>
      </c>
      <c r="D102" s="5">
        <v>0</v>
      </c>
      <c r="E102" s="5">
        <v>46</v>
      </c>
      <c r="F102" s="5">
        <v>0</v>
      </c>
      <c r="G102" s="5">
        <v>0</v>
      </c>
      <c r="H102" s="5">
        <v>51</v>
      </c>
      <c r="I102" s="5">
        <v>6</v>
      </c>
      <c r="J102" s="8">
        <v>0.70114942528735635</v>
      </c>
      <c r="K102" s="8">
        <v>0.52873563218390807</v>
      </c>
      <c r="L102" s="5">
        <v>-1</v>
      </c>
      <c r="M102" s="8">
        <v>0.57954545454545459</v>
      </c>
      <c r="N102" s="8">
        <v>6.8181818181818177E-2</v>
      </c>
      <c r="O102" s="5">
        <v>-1</v>
      </c>
    </row>
    <row r="103" spans="1:15" x14ac:dyDescent="0.25">
      <c r="A103" s="7">
        <v>46202</v>
      </c>
      <c r="B103" s="5">
        <v>23</v>
      </c>
      <c r="C103" s="5">
        <v>84</v>
      </c>
      <c r="D103" s="5">
        <v>6</v>
      </c>
      <c r="E103" s="5">
        <v>52</v>
      </c>
      <c r="F103" s="5">
        <v>2</v>
      </c>
      <c r="G103" s="5">
        <v>0</v>
      </c>
      <c r="H103" s="5">
        <v>53</v>
      </c>
      <c r="I103" s="5">
        <v>6</v>
      </c>
      <c r="J103" s="8">
        <v>0.96551724137931039</v>
      </c>
      <c r="K103" s="8">
        <v>0.5977011494252874</v>
      </c>
      <c r="L103" s="5">
        <v>-1</v>
      </c>
      <c r="M103" s="8">
        <v>0.60227272727272729</v>
      </c>
      <c r="N103" s="8">
        <v>6.8181818181818177E-2</v>
      </c>
      <c r="O103" s="5">
        <v>-1</v>
      </c>
    </row>
    <row r="104" spans="1:15" x14ac:dyDescent="0.25">
      <c r="A104" s="7">
        <v>46203</v>
      </c>
      <c r="B104" s="5">
        <v>1</v>
      </c>
      <c r="C104" s="5">
        <v>85</v>
      </c>
      <c r="D104" s="5">
        <v>5</v>
      </c>
      <c r="E104" s="5">
        <v>57</v>
      </c>
      <c r="F104" s="5">
        <v>4</v>
      </c>
      <c r="G104" s="5">
        <v>0</v>
      </c>
      <c r="H104" s="5">
        <v>57</v>
      </c>
      <c r="I104" s="5">
        <v>6</v>
      </c>
      <c r="J104" s="8">
        <v>0.97701149425287359</v>
      </c>
      <c r="K104" s="8">
        <v>0.65517241379310343</v>
      </c>
      <c r="L104" s="5">
        <v>-1</v>
      </c>
      <c r="M104" s="8">
        <v>0.64772727272727271</v>
      </c>
      <c r="N104" s="8">
        <v>6.8181818181818177E-2</v>
      </c>
      <c r="O104" s="5">
        <v>-1</v>
      </c>
    </row>
    <row r="105" spans="1:15" x14ac:dyDescent="0.25">
      <c r="A105" s="7">
        <v>46204</v>
      </c>
      <c r="B105" s="5">
        <v>2</v>
      </c>
      <c r="C105" s="5">
        <v>87</v>
      </c>
      <c r="D105" s="5">
        <v>5</v>
      </c>
      <c r="E105" s="5">
        <v>62</v>
      </c>
      <c r="F105" s="5">
        <v>1</v>
      </c>
      <c r="G105" s="5">
        <v>0</v>
      </c>
      <c r="H105" s="5">
        <v>58</v>
      </c>
      <c r="I105" s="5">
        <v>6</v>
      </c>
      <c r="J105" s="8">
        <v>1</v>
      </c>
      <c r="K105" s="8">
        <v>0.71264367816091956</v>
      </c>
      <c r="L105" s="5">
        <v>-1</v>
      </c>
      <c r="M105" s="8">
        <v>0.65909090909090906</v>
      </c>
      <c r="N105" s="8">
        <v>6.8181818181818177E-2</v>
      </c>
      <c r="O105" s="5">
        <v>-1</v>
      </c>
    </row>
    <row r="106" spans="1:15" x14ac:dyDescent="0.25">
      <c r="A106" s="7">
        <v>46205</v>
      </c>
      <c r="B106" s="5">
        <v>0</v>
      </c>
      <c r="C106" s="5">
        <v>87</v>
      </c>
      <c r="D106" s="5">
        <v>5</v>
      </c>
      <c r="E106" s="5">
        <v>67</v>
      </c>
      <c r="F106" s="5">
        <v>4</v>
      </c>
      <c r="G106" s="5">
        <v>0</v>
      </c>
      <c r="H106" s="5">
        <v>62</v>
      </c>
      <c r="I106" s="5">
        <v>6</v>
      </c>
      <c r="J106" s="8">
        <v>1</v>
      </c>
      <c r="K106" s="8">
        <v>0.77011494252873558</v>
      </c>
      <c r="L106" s="5">
        <v>-1</v>
      </c>
      <c r="M106" s="8">
        <v>0.70454545454545459</v>
      </c>
      <c r="N106" s="8">
        <v>6.8181818181818177E-2</v>
      </c>
      <c r="O106" s="5">
        <v>-1</v>
      </c>
    </row>
    <row r="107" spans="1:15" x14ac:dyDescent="0.25">
      <c r="A107" s="9">
        <v>46206</v>
      </c>
      <c r="B107" s="10">
        <v>0</v>
      </c>
      <c r="C107" s="10">
        <v>87</v>
      </c>
      <c r="D107" s="10">
        <v>2</v>
      </c>
      <c r="E107" s="10">
        <v>69</v>
      </c>
      <c r="F107" s="10">
        <v>23</v>
      </c>
      <c r="G107" s="10">
        <v>0</v>
      </c>
      <c r="H107" s="10">
        <v>85</v>
      </c>
      <c r="I107" s="10">
        <v>6</v>
      </c>
      <c r="J107" s="11">
        <v>1</v>
      </c>
      <c r="K107" s="11">
        <v>0.7931034482758621</v>
      </c>
      <c r="L107" s="10">
        <v>-1</v>
      </c>
      <c r="M107" s="11">
        <v>0.96590909090909094</v>
      </c>
      <c r="N107" s="11">
        <v>6.8181818181818177E-2</v>
      </c>
      <c r="O107" s="10">
        <v>-1</v>
      </c>
    </row>
    <row r="108" spans="1:15" x14ac:dyDescent="0.25">
      <c r="A108" s="7">
        <v>46207</v>
      </c>
      <c r="B108" s="5">
        <v>0</v>
      </c>
      <c r="C108" s="5">
        <v>87</v>
      </c>
      <c r="D108" s="5">
        <v>0</v>
      </c>
      <c r="F108" s="5">
        <v>0</v>
      </c>
      <c r="G108" s="5">
        <v>0</v>
      </c>
      <c r="H108" s="5">
        <v>85</v>
      </c>
      <c r="J108" s="8">
        <v>1</v>
      </c>
      <c r="K108" s="8">
        <v>0.7931034482758621</v>
      </c>
      <c r="L108" s="5">
        <v>-1</v>
      </c>
      <c r="M108" s="8">
        <v>0.96590909090909094</v>
      </c>
      <c r="N108" s="8">
        <v>6.8181818181818177E-2</v>
      </c>
      <c r="O108" s="5">
        <v>-1</v>
      </c>
    </row>
    <row r="109" spans="1:15" x14ac:dyDescent="0.25">
      <c r="A109" s="7">
        <v>46208</v>
      </c>
      <c r="B109" s="5">
        <v>0</v>
      </c>
      <c r="C109" s="5">
        <v>87</v>
      </c>
      <c r="D109" s="5">
        <v>0</v>
      </c>
      <c r="F109" s="5">
        <v>0</v>
      </c>
      <c r="G109" s="5">
        <v>0</v>
      </c>
      <c r="H109" s="5">
        <v>85</v>
      </c>
      <c r="J109" s="8">
        <v>1</v>
      </c>
      <c r="K109" s="8">
        <v>0.7931034482758621</v>
      </c>
      <c r="L109" s="5">
        <v>-1</v>
      </c>
      <c r="M109" s="8">
        <v>0.96590909090909094</v>
      </c>
      <c r="N109" s="8">
        <v>6.8181818181818177E-2</v>
      </c>
      <c r="O109" s="5">
        <v>-1</v>
      </c>
    </row>
    <row r="110" spans="1:15" x14ac:dyDescent="0.25">
      <c r="A110" s="7">
        <v>46209</v>
      </c>
      <c r="B110" s="5">
        <v>0</v>
      </c>
      <c r="C110" s="5">
        <v>87</v>
      </c>
      <c r="D110" s="5">
        <v>0</v>
      </c>
      <c r="F110" s="5">
        <v>1</v>
      </c>
      <c r="G110" s="5">
        <v>0</v>
      </c>
      <c r="H110" s="5">
        <v>86</v>
      </c>
      <c r="J110" s="8">
        <v>1</v>
      </c>
      <c r="K110" s="8">
        <v>0.7931034482758621</v>
      </c>
      <c r="L110" s="5">
        <v>-1</v>
      </c>
      <c r="M110" s="8">
        <v>0.97727272727272729</v>
      </c>
      <c r="N110" s="8">
        <v>6.8181818181818177E-2</v>
      </c>
      <c r="O110" s="5">
        <v>-1</v>
      </c>
    </row>
    <row r="111" spans="1:15" x14ac:dyDescent="0.25">
      <c r="A111" s="7">
        <v>46210</v>
      </c>
      <c r="B111" s="5">
        <v>0</v>
      </c>
      <c r="C111" s="5">
        <v>87</v>
      </c>
      <c r="D111" s="5">
        <v>0</v>
      </c>
      <c r="F111" s="5">
        <v>2</v>
      </c>
      <c r="G111" s="5">
        <v>0</v>
      </c>
      <c r="H111" s="5">
        <v>88</v>
      </c>
      <c r="J111" s="8">
        <v>1</v>
      </c>
      <c r="K111" s="8">
        <v>0.7931034482758621</v>
      </c>
      <c r="L111" s="5">
        <v>-1</v>
      </c>
      <c r="M111" s="8">
        <v>1</v>
      </c>
      <c r="N111" s="8">
        <v>6.8181818181818177E-2</v>
      </c>
      <c r="O111" s="5">
        <v>-1</v>
      </c>
    </row>
    <row r="113" spans="12:15" x14ac:dyDescent="0.25">
      <c r="L113" s="5">
        <v>1</v>
      </c>
      <c r="O113" s="5">
        <v>1</v>
      </c>
    </row>
    <row r="114" spans="12:15" x14ac:dyDescent="0.25">
      <c r="L114" s="5">
        <v>0</v>
      </c>
      <c r="O114" s="5">
        <v>0</v>
      </c>
    </row>
    <row r="115" spans="12:15" x14ac:dyDescent="0.25">
      <c r="L115" s="5">
        <v>-1</v>
      </c>
      <c r="O115" s="5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31F64516-2918-46F3-A4AE-F5C553021B88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L1:L115</xm:sqref>
        </x14:conditionalFormatting>
        <x14:conditionalFormatting xmlns:xm="http://schemas.microsoft.com/office/excel/2006/main">
          <x14:cfRule type="iconSet" priority="2" id="{DB04667B-B097-48BB-A296-6B688A8D3AE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O1:O115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16"/>
  <sheetViews>
    <sheetView topLeftCell="A47" workbookViewId="0">
      <selection activeCell="D4" sqref="D4"/>
    </sheetView>
  </sheetViews>
  <sheetFormatPr defaultRowHeight="15" x14ac:dyDescent="0.25"/>
  <cols>
    <col min="1" max="1" width="7.28515625" style="1" bestFit="1" customWidth="1"/>
    <col min="2" max="2" width="10.28515625" style="1" bestFit="1" customWidth="1"/>
    <col min="3" max="3" width="30.42578125" style="1" bestFit="1" customWidth="1"/>
    <col min="4" max="4" width="31.5703125" style="1" bestFit="1" customWidth="1"/>
    <col min="5" max="5" width="12.7109375" style="1" bestFit="1" customWidth="1"/>
    <col min="6" max="6" width="10.7109375" style="3" bestFit="1" customWidth="1"/>
    <col min="7" max="7" width="13" style="3" bestFit="1" customWidth="1"/>
    <col min="8" max="8" width="16" style="1" bestFit="1" customWidth="1"/>
    <col min="9" max="9" width="16.85546875" style="3" bestFit="1" customWidth="1"/>
    <col min="10" max="10" width="11" style="1" bestFit="1" customWidth="1"/>
    <col min="11" max="11" width="18.42578125" style="1" bestFit="1" customWidth="1"/>
    <col min="12" max="12" width="111.140625" style="1" bestFit="1" customWidth="1"/>
    <col min="13" max="13" width="25.7109375" style="1" bestFit="1" customWidth="1"/>
    <col min="14" max="14" width="28.140625" style="1" bestFit="1" customWidth="1"/>
    <col min="15" max="15" width="23.5703125" style="1" bestFit="1" customWidth="1"/>
    <col min="16" max="16" width="14.5703125" style="1" bestFit="1" customWidth="1"/>
    <col min="17" max="17" width="11.140625" style="1" bestFit="1" customWidth="1"/>
    <col min="18" max="18" width="32.140625" style="1" bestFit="1" customWidth="1"/>
    <col min="19" max="19" width="18.28515625" style="1" bestFit="1" customWidth="1"/>
    <col min="20" max="20" width="19.28515625" style="1" bestFit="1" customWidth="1"/>
    <col min="21" max="21" width="16.42578125" style="1" bestFit="1" customWidth="1"/>
    <col min="22" max="22" width="17.28515625" style="1" bestFit="1" customWidth="1"/>
    <col min="23" max="23" width="16.42578125" style="1" bestFit="1" customWidth="1"/>
    <col min="24" max="24" width="32" style="1" bestFit="1" customWidth="1"/>
    <col min="25" max="25" width="21.28515625" style="1" bestFit="1" customWidth="1"/>
    <col min="26" max="26" width="16.140625" style="1" bestFit="1" customWidth="1"/>
    <col min="27" max="27" width="17.28515625" style="1" bestFit="1" customWidth="1"/>
    <col min="28" max="28" width="11.85546875" style="1" bestFit="1" customWidth="1"/>
    <col min="29" max="29" width="23.28515625" style="1" bestFit="1" customWidth="1"/>
    <col min="30" max="30" width="27.7109375" style="1" bestFit="1" customWidth="1"/>
    <col min="31" max="31" width="27" style="1" bestFit="1" customWidth="1"/>
    <col min="32" max="32" width="19.5703125" style="1" bestFit="1" customWidth="1"/>
    <col min="33" max="33" width="32.7109375" style="1" bestFit="1" customWidth="1"/>
    <col min="34" max="34" width="29.42578125" style="1" bestFit="1" customWidth="1"/>
    <col min="35" max="35" width="40.5703125" style="1" bestFit="1" customWidth="1"/>
    <col min="36" max="36" width="26.140625" style="1" bestFit="1" customWidth="1"/>
    <col min="37" max="37" width="24" style="1" bestFit="1" customWidth="1"/>
    <col min="38" max="38" width="23.28515625" style="1" bestFit="1" customWidth="1"/>
    <col min="39" max="39" width="14.5703125" style="1" bestFit="1" customWidth="1"/>
    <col min="40" max="16384" width="9.140625" style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idden="1" x14ac:dyDescent="0.25">
      <c r="A2" s="1">
        <v>3</v>
      </c>
      <c r="B2" s="1" t="s">
        <v>49</v>
      </c>
      <c r="C2" s="1" t="s">
        <v>50</v>
      </c>
      <c r="D2" s="1" t="s">
        <v>51</v>
      </c>
      <c r="E2" s="1" t="s">
        <v>52</v>
      </c>
      <c r="F2" s="3">
        <v>46139</v>
      </c>
      <c r="G2" s="3">
        <v>46139</v>
      </c>
      <c r="H2" s="1">
        <v>1</v>
      </c>
      <c r="I2" s="3">
        <v>46139</v>
      </c>
      <c r="J2" s="1" t="s">
        <v>53</v>
      </c>
      <c r="L2" s="1" t="s">
        <v>54</v>
      </c>
      <c r="M2" s="1" t="s">
        <v>42</v>
      </c>
      <c r="N2" s="2">
        <v>46139</v>
      </c>
      <c r="P2" s="1" t="s">
        <v>43</v>
      </c>
      <c r="Q2" s="1" t="s">
        <v>55</v>
      </c>
      <c r="R2" s="1" t="s">
        <v>45</v>
      </c>
      <c r="S2" s="2">
        <v>46139</v>
      </c>
      <c r="T2" s="2">
        <v>46139</v>
      </c>
      <c r="AB2" s="1">
        <v>1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</row>
    <row r="3" spans="1:39" hidden="1" x14ac:dyDescent="0.25">
      <c r="A3" s="1">
        <v>6</v>
      </c>
      <c r="B3" s="1" t="s">
        <v>68</v>
      </c>
      <c r="C3" s="1" t="s">
        <v>63</v>
      </c>
      <c r="D3" s="1" t="s">
        <v>69</v>
      </c>
      <c r="E3" s="1" t="s">
        <v>52</v>
      </c>
      <c r="F3" s="3">
        <v>46161</v>
      </c>
      <c r="G3" s="3">
        <v>46161</v>
      </c>
      <c r="H3" s="1">
        <v>1</v>
      </c>
      <c r="I3" s="3">
        <v>46161</v>
      </c>
      <c r="J3" s="1" t="s">
        <v>53</v>
      </c>
      <c r="L3" s="1" t="s">
        <v>70</v>
      </c>
      <c r="M3" s="1" t="s">
        <v>59</v>
      </c>
      <c r="N3" s="2">
        <v>46161</v>
      </c>
      <c r="P3" s="1" t="s">
        <v>60</v>
      </c>
      <c r="Q3" s="1" t="s">
        <v>55</v>
      </c>
      <c r="R3" s="1" t="s">
        <v>61</v>
      </c>
      <c r="S3" s="2">
        <v>46161</v>
      </c>
      <c r="T3" s="2">
        <v>46161</v>
      </c>
      <c r="AB3" s="1">
        <v>1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</row>
    <row r="4" spans="1:39" hidden="1" x14ac:dyDescent="0.25">
      <c r="A4" s="1">
        <v>7</v>
      </c>
      <c r="B4" s="1" t="s">
        <v>71</v>
      </c>
      <c r="C4" s="1" t="s">
        <v>63</v>
      </c>
      <c r="D4" s="1" t="s">
        <v>72</v>
      </c>
      <c r="E4" s="1" t="s">
        <v>52</v>
      </c>
      <c r="F4" s="3">
        <v>46188</v>
      </c>
      <c r="G4" s="3">
        <v>46188</v>
      </c>
      <c r="H4" s="1">
        <v>1</v>
      </c>
      <c r="I4" s="3">
        <v>46188</v>
      </c>
      <c r="J4" s="1" t="s">
        <v>53</v>
      </c>
      <c r="L4" s="1">
        <v>297</v>
      </c>
      <c r="M4" s="1" t="s">
        <v>66</v>
      </c>
      <c r="N4" s="2">
        <v>46178</v>
      </c>
      <c r="P4" s="1" t="s">
        <v>73</v>
      </c>
      <c r="Q4" s="1" t="s">
        <v>55</v>
      </c>
      <c r="R4" s="1" t="s">
        <v>61</v>
      </c>
      <c r="S4" s="2">
        <v>46178</v>
      </c>
      <c r="T4" s="2">
        <v>46178</v>
      </c>
      <c r="AB4" s="1">
        <v>1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</row>
    <row r="5" spans="1:39" hidden="1" x14ac:dyDescent="0.25">
      <c r="A5" s="1">
        <v>8</v>
      </c>
      <c r="B5" s="1" t="s">
        <v>74</v>
      </c>
      <c r="C5" s="1" t="s">
        <v>63</v>
      </c>
      <c r="D5" s="1" t="s">
        <v>75</v>
      </c>
      <c r="E5" s="1" t="s">
        <v>52</v>
      </c>
      <c r="F5" s="3">
        <v>46182</v>
      </c>
      <c r="G5" s="3">
        <v>46182</v>
      </c>
      <c r="H5" s="1">
        <v>1</v>
      </c>
      <c r="I5" s="3">
        <v>46182</v>
      </c>
      <c r="J5" s="1" t="s">
        <v>53</v>
      </c>
      <c r="L5" s="1">
        <v>408</v>
      </c>
      <c r="M5" s="1" t="s">
        <v>66</v>
      </c>
      <c r="N5" s="2">
        <v>46178</v>
      </c>
      <c r="P5" s="1" t="s">
        <v>76</v>
      </c>
      <c r="Q5" s="1" t="s">
        <v>55</v>
      </c>
      <c r="R5" s="1" t="s">
        <v>61</v>
      </c>
      <c r="S5" s="2">
        <v>46178</v>
      </c>
      <c r="T5" s="2">
        <v>46178</v>
      </c>
      <c r="U5" s="1" t="s">
        <v>77</v>
      </c>
      <c r="AB5" s="1">
        <v>1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</row>
    <row r="6" spans="1:39" hidden="1" x14ac:dyDescent="0.25">
      <c r="A6" s="1">
        <v>9</v>
      </c>
      <c r="B6" s="1" t="s">
        <v>78</v>
      </c>
      <c r="C6" s="1" t="s">
        <v>63</v>
      </c>
      <c r="D6" s="1" t="s">
        <v>79</v>
      </c>
      <c r="E6" s="1" t="s">
        <v>52</v>
      </c>
      <c r="F6" s="3">
        <v>46164</v>
      </c>
      <c r="G6" s="3">
        <v>46164</v>
      </c>
      <c r="H6" s="1">
        <v>1</v>
      </c>
      <c r="I6" s="3">
        <v>46164</v>
      </c>
      <c r="J6" s="1" t="s">
        <v>53</v>
      </c>
      <c r="L6" s="1">
        <v>150</v>
      </c>
      <c r="M6" s="1" t="s">
        <v>80</v>
      </c>
      <c r="N6" s="2">
        <v>46164</v>
      </c>
      <c r="P6" s="1" t="s">
        <v>60</v>
      </c>
      <c r="Q6" s="1" t="s">
        <v>55</v>
      </c>
      <c r="R6" s="1" t="s">
        <v>61</v>
      </c>
      <c r="S6" s="2">
        <v>46164</v>
      </c>
      <c r="T6" s="2">
        <v>46164</v>
      </c>
      <c r="AB6" s="1">
        <v>1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</row>
    <row r="7" spans="1:39" hidden="1" x14ac:dyDescent="0.25">
      <c r="A7" s="1">
        <v>11</v>
      </c>
      <c r="B7" s="1" t="s">
        <v>84</v>
      </c>
      <c r="C7" s="1" t="s">
        <v>50</v>
      </c>
      <c r="D7" s="1" t="s">
        <v>85</v>
      </c>
      <c r="E7" s="1" t="s">
        <v>86</v>
      </c>
      <c r="F7" s="3">
        <v>46141</v>
      </c>
      <c r="G7" s="3">
        <v>46141</v>
      </c>
      <c r="H7" s="1">
        <v>1</v>
      </c>
      <c r="I7" s="3">
        <v>46141</v>
      </c>
      <c r="J7" s="1" t="s">
        <v>53</v>
      </c>
      <c r="M7" s="1" t="s">
        <v>87</v>
      </c>
      <c r="N7" s="2">
        <v>46141</v>
      </c>
      <c r="P7" s="1" t="s">
        <v>43</v>
      </c>
      <c r="Q7" s="1" t="s">
        <v>55</v>
      </c>
      <c r="R7" s="1" t="s">
        <v>88</v>
      </c>
      <c r="S7" s="2">
        <v>46141</v>
      </c>
      <c r="T7" s="2">
        <v>46141</v>
      </c>
      <c r="AB7" s="1">
        <v>1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</row>
    <row r="8" spans="1:39" hidden="1" x14ac:dyDescent="0.25">
      <c r="A8" s="1">
        <v>12</v>
      </c>
      <c r="B8" s="1" t="s">
        <v>89</v>
      </c>
      <c r="C8" s="1" t="s">
        <v>90</v>
      </c>
      <c r="D8" s="1" t="s">
        <v>91</v>
      </c>
      <c r="E8" s="1" t="s">
        <v>52</v>
      </c>
      <c r="F8" s="3">
        <v>46141</v>
      </c>
      <c r="G8" s="3">
        <v>46141</v>
      </c>
      <c r="H8" s="1">
        <v>1</v>
      </c>
      <c r="I8" s="3">
        <v>46141</v>
      </c>
      <c r="J8" s="1" t="s">
        <v>53</v>
      </c>
      <c r="M8" s="1" t="s">
        <v>87</v>
      </c>
      <c r="N8" s="2">
        <v>46141</v>
      </c>
      <c r="P8" s="1" t="s">
        <v>43</v>
      </c>
      <c r="Q8" s="1" t="s">
        <v>55</v>
      </c>
      <c r="R8" s="1" t="s">
        <v>88</v>
      </c>
      <c r="S8" s="2">
        <v>46141</v>
      </c>
      <c r="T8" s="2">
        <v>46141</v>
      </c>
      <c r="AB8" s="1">
        <v>1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</row>
    <row r="9" spans="1:39" hidden="1" x14ac:dyDescent="0.25">
      <c r="A9" s="1">
        <v>13</v>
      </c>
      <c r="B9" s="1" t="s">
        <v>92</v>
      </c>
      <c r="C9" s="1" t="s">
        <v>50</v>
      </c>
      <c r="D9" s="1" t="s">
        <v>93</v>
      </c>
      <c r="E9" s="1" t="s">
        <v>94</v>
      </c>
      <c r="F9" s="3">
        <v>46139</v>
      </c>
      <c r="G9" s="3">
        <v>46175</v>
      </c>
      <c r="H9" s="1">
        <v>1</v>
      </c>
      <c r="I9" s="3">
        <v>46175</v>
      </c>
      <c r="J9" s="1" t="s">
        <v>53</v>
      </c>
      <c r="M9" s="1" t="s">
        <v>42</v>
      </c>
      <c r="N9" s="2">
        <v>46174</v>
      </c>
      <c r="P9" s="1" t="s">
        <v>43</v>
      </c>
      <c r="Q9" s="1" t="s">
        <v>55</v>
      </c>
      <c r="R9" s="1" t="s">
        <v>95</v>
      </c>
      <c r="S9" s="2">
        <v>46139</v>
      </c>
      <c r="T9" s="2">
        <v>46160</v>
      </c>
      <c r="AB9" s="1">
        <v>1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</row>
    <row r="10" spans="1:39" hidden="1" x14ac:dyDescent="0.25">
      <c r="A10" s="1">
        <v>14</v>
      </c>
      <c r="B10" s="1" t="s">
        <v>96</v>
      </c>
      <c r="C10" s="1" t="s">
        <v>97</v>
      </c>
      <c r="D10" s="1" t="s">
        <v>98</v>
      </c>
      <c r="E10" s="1" t="s">
        <v>94</v>
      </c>
      <c r="F10" s="3">
        <v>46139</v>
      </c>
      <c r="G10" s="3">
        <v>46175</v>
      </c>
      <c r="H10" s="1">
        <v>1</v>
      </c>
      <c r="I10" s="3">
        <v>46175</v>
      </c>
      <c r="J10" s="1" t="s">
        <v>53</v>
      </c>
      <c r="M10" s="1" t="s">
        <v>42</v>
      </c>
      <c r="N10" s="2">
        <v>46174</v>
      </c>
      <c r="P10" s="1" t="s">
        <v>43</v>
      </c>
      <c r="Q10" s="1" t="s">
        <v>55</v>
      </c>
      <c r="R10" s="1" t="s">
        <v>95</v>
      </c>
      <c r="S10" s="2">
        <v>46139</v>
      </c>
      <c r="T10" s="2">
        <v>46155</v>
      </c>
      <c r="AB10" s="1">
        <v>1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</row>
    <row r="11" spans="1:39" x14ac:dyDescent="0.25">
      <c r="A11" s="1">
        <v>15</v>
      </c>
      <c r="B11" s="1" t="s">
        <v>99</v>
      </c>
      <c r="C11" s="1" t="s">
        <v>100</v>
      </c>
      <c r="D11" s="1" t="s">
        <v>101</v>
      </c>
      <c r="E11" s="1" t="s">
        <v>102</v>
      </c>
      <c r="F11" s="3">
        <v>46139</v>
      </c>
      <c r="G11" s="3">
        <v>46141</v>
      </c>
      <c r="H11" s="1">
        <v>1</v>
      </c>
      <c r="I11" s="3">
        <v>46141</v>
      </c>
      <c r="J11" s="1" t="s">
        <v>53</v>
      </c>
      <c r="K11" s="1">
        <v>3</v>
      </c>
      <c r="L11" s="1" t="s">
        <v>103</v>
      </c>
      <c r="M11" s="1" t="s">
        <v>42</v>
      </c>
      <c r="N11" s="2">
        <v>46141</v>
      </c>
      <c r="P11" s="1" t="s">
        <v>43</v>
      </c>
      <c r="Q11" s="1" t="s">
        <v>55</v>
      </c>
      <c r="R11" s="1" t="s">
        <v>95</v>
      </c>
      <c r="S11" s="2">
        <v>46139</v>
      </c>
      <c r="AB11" s="1">
        <v>1</v>
      </c>
      <c r="AC11" s="1">
        <v>1</v>
      </c>
      <c r="AD11" s="1">
        <v>1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</row>
    <row r="12" spans="1:39" hidden="1" x14ac:dyDescent="0.25">
      <c r="A12" s="1">
        <v>16</v>
      </c>
      <c r="B12" s="1" t="s">
        <v>104</v>
      </c>
      <c r="C12" s="1" t="s">
        <v>100</v>
      </c>
      <c r="D12" s="1" t="s">
        <v>105</v>
      </c>
      <c r="E12" s="1" t="s">
        <v>52</v>
      </c>
      <c r="F12" s="3">
        <v>46142</v>
      </c>
      <c r="G12" s="3">
        <v>46142</v>
      </c>
      <c r="H12" s="1">
        <v>1</v>
      </c>
      <c r="I12" s="3">
        <v>46142</v>
      </c>
      <c r="J12" s="1" t="s">
        <v>53</v>
      </c>
      <c r="K12" s="1">
        <v>15</v>
      </c>
      <c r="L12" s="1" t="s">
        <v>106</v>
      </c>
      <c r="M12" s="1" t="s">
        <v>107</v>
      </c>
      <c r="N12" s="2">
        <v>46142</v>
      </c>
      <c r="P12" s="1" t="s">
        <v>43</v>
      </c>
      <c r="Q12" s="1" t="s">
        <v>55</v>
      </c>
      <c r="R12" s="1" t="s">
        <v>95</v>
      </c>
      <c r="S12" s="2">
        <v>46142</v>
      </c>
      <c r="T12" s="2">
        <v>46142</v>
      </c>
      <c r="AB12" s="1">
        <v>1</v>
      </c>
      <c r="AC12" s="1">
        <v>0</v>
      </c>
      <c r="AD12" s="1">
        <v>0</v>
      </c>
      <c r="AE12" s="1">
        <v>0</v>
      </c>
      <c r="AF12" s="1">
        <v>0</v>
      </c>
      <c r="AG12" s="1">
        <v>1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</row>
    <row r="13" spans="1:39" hidden="1" x14ac:dyDescent="0.25">
      <c r="A13" s="1">
        <v>17</v>
      </c>
      <c r="B13" s="1" t="s">
        <v>108</v>
      </c>
      <c r="C13" s="1" t="s">
        <v>100</v>
      </c>
      <c r="D13" s="1" t="s">
        <v>109</v>
      </c>
      <c r="E13" s="1" t="s">
        <v>110</v>
      </c>
      <c r="F13" s="3">
        <v>46143</v>
      </c>
      <c r="G13" s="3">
        <v>46154</v>
      </c>
      <c r="H13" s="1">
        <v>1</v>
      </c>
      <c r="I13" s="3">
        <v>46154</v>
      </c>
      <c r="J13" s="1" t="s">
        <v>53</v>
      </c>
      <c r="K13" s="1" t="s">
        <v>111</v>
      </c>
      <c r="L13" s="1" t="s">
        <v>112</v>
      </c>
      <c r="M13" s="1" t="s">
        <v>113</v>
      </c>
      <c r="N13" s="2">
        <v>46154</v>
      </c>
      <c r="P13" s="1" t="s">
        <v>43</v>
      </c>
      <c r="Q13" s="1" t="s">
        <v>55</v>
      </c>
      <c r="R13" s="1" t="s">
        <v>95</v>
      </c>
      <c r="S13" s="2">
        <v>46143</v>
      </c>
      <c r="T13" s="2">
        <v>46154</v>
      </c>
      <c r="AB13" s="1">
        <v>1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1</v>
      </c>
      <c r="AJ13" s="1">
        <v>0</v>
      </c>
      <c r="AK13" s="1">
        <v>0</v>
      </c>
      <c r="AL13" s="1">
        <v>0</v>
      </c>
      <c r="AM13" s="1">
        <v>0</v>
      </c>
    </row>
    <row r="14" spans="1:39" hidden="1" x14ac:dyDescent="0.25">
      <c r="A14" s="1">
        <v>18</v>
      </c>
      <c r="B14" s="1" t="s">
        <v>114</v>
      </c>
      <c r="C14" s="1" t="s">
        <v>100</v>
      </c>
      <c r="D14" s="1" t="s">
        <v>115</v>
      </c>
      <c r="E14" s="1" t="s">
        <v>116</v>
      </c>
      <c r="F14" s="3">
        <v>46174</v>
      </c>
      <c r="G14" s="3">
        <v>46175</v>
      </c>
      <c r="H14" s="1">
        <v>1</v>
      </c>
      <c r="I14" s="3">
        <v>46175</v>
      </c>
      <c r="J14" s="1" t="s">
        <v>53</v>
      </c>
      <c r="K14" s="1" t="s">
        <v>117</v>
      </c>
      <c r="M14" s="1" t="s">
        <v>118</v>
      </c>
      <c r="N14" s="2">
        <v>46174</v>
      </c>
      <c r="P14" s="1" t="s">
        <v>119</v>
      </c>
      <c r="Q14" s="1" t="s">
        <v>55</v>
      </c>
      <c r="R14" s="1" t="s">
        <v>95</v>
      </c>
      <c r="S14" s="2">
        <v>46154</v>
      </c>
      <c r="T14" s="2">
        <v>46155</v>
      </c>
      <c r="AB14" s="1">
        <v>1</v>
      </c>
      <c r="AC14" s="1">
        <v>0</v>
      </c>
      <c r="AD14" s="1">
        <v>0</v>
      </c>
      <c r="AE14" s="1">
        <v>0</v>
      </c>
      <c r="AF14" s="1">
        <v>1</v>
      </c>
      <c r="AG14" s="1">
        <v>0</v>
      </c>
      <c r="AH14" s="1">
        <v>0</v>
      </c>
      <c r="AI14" s="1">
        <v>0</v>
      </c>
      <c r="AJ14" s="1">
        <v>0</v>
      </c>
      <c r="AK14" s="1">
        <v>1</v>
      </c>
      <c r="AL14" s="1">
        <v>0</v>
      </c>
      <c r="AM14" s="1">
        <v>0</v>
      </c>
    </row>
    <row r="15" spans="1:39" hidden="1" x14ac:dyDescent="0.25">
      <c r="A15" s="1">
        <v>19</v>
      </c>
      <c r="B15" s="1" t="s">
        <v>120</v>
      </c>
      <c r="C15" s="1" t="s">
        <v>97</v>
      </c>
      <c r="D15" s="1" t="s">
        <v>121</v>
      </c>
      <c r="E15" s="1" t="s">
        <v>122</v>
      </c>
      <c r="F15" s="3">
        <v>46142</v>
      </c>
      <c r="G15" s="3">
        <v>46174</v>
      </c>
      <c r="H15" s="1">
        <v>1</v>
      </c>
      <c r="I15" s="3">
        <v>46174</v>
      </c>
      <c r="J15" s="1" t="s">
        <v>53</v>
      </c>
      <c r="M15" s="1" t="s">
        <v>107</v>
      </c>
      <c r="N15" s="2">
        <v>46171</v>
      </c>
      <c r="P15" s="1" t="s">
        <v>43</v>
      </c>
      <c r="Q15" s="1" t="s">
        <v>55</v>
      </c>
      <c r="R15" s="1" t="s">
        <v>95</v>
      </c>
      <c r="S15" s="2">
        <v>46142</v>
      </c>
      <c r="T15" s="2">
        <v>46160</v>
      </c>
      <c r="AB15" s="1">
        <v>1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</row>
    <row r="16" spans="1:39" x14ac:dyDescent="0.25">
      <c r="A16" s="1">
        <v>20</v>
      </c>
      <c r="B16" s="1" t="s">
        <v>123</v>
      </c>
      <c r="C16" s="1" t="s">
        <v>124</v>
      </c>
      <c r="D16" s="1" t="s">
        <v>101</v>
      </c>
      <c r="E16" s="1" t="s">
        <v>102</v>
      </c>
      <c r="F16" s="3">
        <v>46142</v>
      </c>
      <c r="G16" s="3">
        <v>46146</v>
      </c>
      <c r="H16" s="1">
        <v>1</v>
      </c>
      <c r="I16" s="3">
        <v>46146</v>
      </c>
      <c r="J16" s="1" t="s">
        <v>53</v>
      </c>
      <c r="K16" s="1">
        <v>15</v>
      </c>
      <c r="L16" s="1" t="s">
        <v>125</v>
      </c>
      <c r="M16" s="1" t="s">
        <v>107</v>
      </c>
      <c r="N16" s="2">
        <v>46146</v>
      </c>
      <c r="P16" s="1" t="s">
        <v>43</v>
      </c>
      <c r="Q16" s="1" t="s">
        <v>55</v>
      </c>
      <c r="R16" s="1" t="s">
        <v>95</v>
      </c>
      <c r="S16" s="2">
        <v>46142</v>
      </c>
      <c r="T16" s="2">
        <v>46146</v>
      </c>
      <c r="AB16" s="1">
        <v>1</v>
      </c>
      <c r="AC16" s="1">
        <v>1</v>
      </c>
      <c r="AD16" s="1">
        <v>1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1</v>
      </c>
    </row>
    <row r="17" spans="1:39" hidden="1" x14ac:dyDescent="0.25">
      <c r="A17" s="1">
        <v>21</v>
      </c>
      <c r="B17" s="1" t="s">
        <v>126</v>
      </c>
      <c r="C17" s="1" t="s">
        <v>124</v>
      </c>
      <c r="D17" s="1" t="s">
        <v>105</v>
      </c>
      <c r="E17" s="1" t="s">
        <v>52</v>
      </c>
      <c r="F17" s="3">
        <v>46147</v>
      </c>
      <c r="G17" s="3">
        <v>46147</v>
      </c>
      <c r="H17" s="1">
        <v>1</v>
      </c>
      <c r="I17" s="3">
        <v>46147</v>
      </c>
      <c r="J17" s="1" t="s">
        <v>53</v>
      </c>
      <c r="K17" s="1">
        <v>20</v>
      </c>
      <c r="L17" s="1" t="s">
        <v>127</v>
      </c>
      <c r="M17" s="1" t="s">
        <v>128</v>
      </c>
      <c r="N17" s="2">
        <v>46147</v>
      </c>
      <c r="P17" s="1" t="s">
        <v>43</v>
      </c>
      <c r="Q17" s="1" t="s">
        <v>55</v>
      </c>
      <c r="R17" s="1" t="s">
        <v>95</v>
      </c>
      <c r="S17" s="2">
        <v>46147</v>
      </c>
      <c r="T17" s="2">
        <v>46147</v>
      </c>
      <c r="AB17" s="1">
        <v>1</v>
      </c>
      <c r="AC17" s="1">
        <v>0</v>
      </c>
      <c r="AD17" s="1">
        <v>0</v>
      </c>
      <c r="AE17" s="1">
        <v>0</v>
      </c>
      <c r="AF17" s="1">
        <v>0</v>
      </c>
      <c r="AG17" s="1">
        <v>1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</row>
    <row r="18" spans="1:39" hidden="1" x14ac:dyDescent="0.25">
      <c r="A18" s="1">
        <v>22</v>
      </c>
      <c r="B18" s="1" t="s">
        <v>129</v>
      </c>
      <c r="C18" s="1" t="s">
        <v>124</v>
      </c>
      <c r="D18" s="1" t="s">
        <v>109</v>
      </c>
      <c r="E18" s="1" t="s">
        <v>110</v>
      </c>
      <c r="F18" s="3">
        <v>46148</v>
      </c>
      <c r="G18" s="3">
        <v>46157</v>
      </c>
      <c r="H18" s="1">
        <v>1</v>
      </c>
      <c r="I18" s="3">
        <v>46157</v>
      </c>
      <c r="J18" s="1" t="s">
        <v>53</v>
      </c>
      <c r="K18" s="1" t="s">
        <v>130</v>
      </c>
      <c r="L18" s="1" t="s">
        <v>131</v>
      </c>
      <c r="M18" s="1" t="s">
        <v>132</v>
      </c>
      <c r="N18" s="2">
        <v>46157</v>
      </c>
      <c r="P18" s="1" t="s">
        <v>43</v>
      </c>
      <c r="Q18" s="1" t="s">
        <v>55</v>
      </c>
      <c r="R18" s="1" t="s">
        <v>95</v>
      </c>
      <c r="S18" s="2">
        <v>46148</v>
      </c>
      <c r="T18" s="2">
        <v>46157</v>
      </c>
      <c r="AB18" s="1">
        <v>1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1</v>
      </c>
      <c r="AJ18" s="1">
        <v>0</v>
      </c>
      <c r="AK18" s="1">
        <v>0</v>
      </c>
      <c r="AL18" s="1">
        <v>0</v>
      </c>
      <c r="AM18" s="1">
        <v>0</v>
      </c>
    </row>
    <row r="19" spans="1:39" hidden="1" x14ac:dyDescent="0.25">
      <c r="A19" s="1">
        <v>23</v>
      </c>
      <c r="B19" s="1" t="s">
        <v>133</v>
      </c>
      <c r="C19" s="1" t="s">
        <v>124</v>
      </c>
      <c r="D19" s="1" t="s">
        <v>115</v>
      </c>
      <c r="E19" s="1" t="s">
        <v>116</v>
      </c>
      <c r="F19" s="3">
        <v>46171</v>
      </c>
      <c r="G19" s="3">
        <v>46174</v>
      </c>
      <c r="H19" s="1">
        <v>1</v>
      </c>
      <c r="I19" s="3">
        <v>46174</v>
      </c>
      <c r="J19" s="1" t="s">
        <v>53</v>
      </c>
      <c r="K19" s="1" t="s">
        <v>134</v>
      </c>
      <c r="M19" s="1" t="s">
        <v>135</v>
      </c>
      <c r="N19" s="2">
        <v>46171</v>
      </c>
      <c r="P19" s="1" t="s">
        <v>136</v>
      </c>
      <c r="Q19" s="1" t="s">
        <v>55</v>
      </c>
      <c r="R19" s="1" t="s">
        <v>95</v>
      </c>
      <c r="S19" s="2">
        <v>46157</v>
      </c>
      <c r="T19" s="2">
        <v>46160</v>
      </c>
      <c r="AB19" s="1">
        <v>1</v>
      </c>
      <c r="AC19" s="1">
        <v>0</v>
      </c>
      <c r="AD19" s="1">
        <v>0</v>
      </c>
      <c r="AE19" s="1">
        <v>0</v>
      </c>
      <c r="AF19" s="1">
        <v>1</v>
      </c>
      <c r="AG19" s="1">
        <v>0</v>
      </c>
      <c r="AH19" s="1">
        <v>0</v>
      </c>
      <c r="AI19" s="1">
        <v>0</v>
      </c>
      <c r="AJ19" s="1">
        <v>0</v>
      </c>
      <c r="AK19" s="1">
        <v>1</v>
      </c>
      <c r="AL19" s="1">
        <v>0</v>
      </c>
      <c r="AM19" s="1">
        <v>0</v>
      </c>
    </row>
    <row r="20" spans="1:39" x14ac:dyDescent="0.25">
      <c r="A20" s="1">
        <v>46</v>
      </c>
      <c r="B20" s="1" t="s">
        <v>173</v>
      </c>
      <c r="C20" s="1" t="s">
        <v>174</v>
      </c>
      <c r="D20" s="1" t="s">
        <v>101</v>
      </c>
      <c r="E20" s="1" t="s">
        <v>102</v>
      </c>
      <c r="F20" s="3">
        <v>46139</v>
      </c>
      <c r="G20" s="3">
        <v>46141</v>
      </c>
      <c r="H20" s="1">
        <v>1</v>
      </c>
      <c r="I20" s="3">
        <v>46141</v>
      </c>
      <c r="J20" s="1" t="s">
        <v>53</v>
      </c>
      <c r="K20" s="1">
        <v>3</v>
      </c>
      <c r="L20" s="1" t="s">
        <v>175</v>
      </c>
      <c r="M20" s="1" t="s">
        <v>42</v>
      </c>
      <c r="N20" s="2">
        <v>46141</v>
      </c>
      <c r="P20" s="1" t="s">
        <v>43</v>
      </c>
      <c r="Q20" s="1" t="s">
        <v>55</v>
      </c>
      <c r="R20" s="1" t="s">
        <v>140</v>
      </c>
      <c r="S20" s="2">
        <v>46139</v>
      </c>
      <c r="T20" s="2">
        <v>46141</v>
      </c>
      <c r="AB20" s="1">
        <v>1</v>
      </c>
      <c r="AC20" s="1">
        <v>1</v>
      </c>
      <c r="AD20" s="1">
        <v>1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1</v>
      </c>
    </row>
    <row r="21" spans="1:39" hidden="1" x14ac:dyDescent="0.25">
      <c r="A21" s="1">
        <v>47</v>
      </c>
      <c r="B21" s="1" t="s">
        <v>176</v>
      </c>
      <c r="C21" s="1" t="s">
        <v>174</v>
      </c>
      <c r="D21" s="1" t="s">
        <v>105</v>
      </c>
      <c r="E21" s="1" t="s">
        <v>52</v>
      </c>
      <c r="F21" s="3">
        <v>46191</v>
      </c>
      <c r="G21" s="3">
        <v>46191</v>
      </c>
      <c r="H21" s="1">
        <v>1</v>
      </c>
      <c r="I21" s="3">
        <v>46191</v>
      </c>
      <c r="J21" s="1" t="s">
        <v>53</v>
      </c>
      <c r="K21" s="1" t="s">
        <v>177</v>
      </c>
      <c r="L21" s="1" t="s">
        <v>178</v>
      </c>
      <c r="M21" s="1" t="s">
        <v>179</v>
      </c>
      <c r="N21" s="2">
        <v>46184</v>
      </c>
      <c r="P21" s="1" t="s">
        <v>73</v>
      </c>
      <c r="Q21" s="1" t="s">
        <v>55</v>
      </c>
      <c r="R21" s="1" t="s">
        <v>140</v>
      </c>
      <c r="S21" s="2">
        <v>46184</v>
      </c>
      <c r="T21" s="2">
        <v>46184</v>
      </c>
      <c r="AB21" s="1">
        <v>1</v>
      </c>
      <c r="AC21" s="1">
        <v>0</v>
      </c>
      <c r="AD21" s="1">
        <v>0</v>
      </c>
      <c r="AE21" s="1">
        <v>0</v>
      </c>
      <c r="AF21" s="1">
        <v>0</v>
      </c>
      <c r="AG21" s="1">
        <v>1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</row>
    <row r="22" spans="1:39" hidden="1" x14ac:dyDescent="0.25">
      <c r="A22" s="1">
        <v>50</v>
      </c>
      <c r="B22" s="1" t="s">
        <v>184</v>
      </c>
      <c r="C22" s="1" t="s">
        <v>50</v>
      </c>
      <c r="D22" s="1" t="s">
        <v>185</v>
      </c>
      <c r="E22" s="1" t="s">
        <v>159</v>
      </c>
      <c r="F22" s="3">
        <v>46178</v>
      </c>
      <c r="G22" s="3">
        <v>46184</v>
      </c>
      <c r="H22" s="1">
        <v>1</v>
      </c>
      <c r="I22" s="3">
        <v>46184</v>
      </c>
      <c r="J22" s="1" t="s">
        <v>53</v>
      </c>
      <c r="M22" s="1" t="s">
        <v>66</v>
      </c>
      <c r="N22" s="2">
        <v>46184</v>
      </c>
      <c r="P22" s="1" t="s">
        <v>119</v>
      </c>
      <c r="Q22" s="1" t="s">
        <v>55</v>
      </c>
      <c r="R22" s="1" t="s">
        <v>186</v>
      </c>
      <c r="S22" s="2">
        <v>46147</v>
      </c>
      <c r="T22" s="2">
        <v>46195</v>
      </c>
      <c r="AB22" s="1">
        <v>1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</row>
    <row r="23" spans="1:39" hidden="1" x14ac:dyDescent="0.25">
      <c r="A23" s="1">
        <v>61</v>
      </c>
      <c r="B23" s="1" t="s">
        <v>187</v>
      </c>
      <c r="C23" s="1" t="s">
        <v>188</v>
      </c>
      <c r="D23" s="1" t="s">
        <v>189</v>
      </c>
      <c r="E23" s="1" t="s">
        <v>159</v>
      </c>
      <c r="F23" s="3">
        <v>46178</v>
      </c>
      <c r="G23" s="3">
        <v>46184</v>
      </c>
      <c r="H23" s="1">
        <v>1</v>
      </c>
      <c r="I23" s="3">
        <v>46184</v>
      </c>
      <c r="J23" s="1" t="s">
        <v>53</v>
      </c>
      <c r="M23" s="1" t="s">
        <v>66</v>
      </c>
      <c r="N23" s="2">
        <v>46184</v>
      </c>
      <c r="P23" s="1" t="s">
        <v>119</v>
      </c>
      <c r="Q23" s="1" t="s">
        <v>55</v>
      </c>
      <c r="R23" s="1" t="s">
        <v>186</v>
      </c>
      <c r="S23" s="2">
        <v>46156</v>
      </c>
      <c r="T23" s="2">
        <v>46162</v>
      </c>
      <c r="AB23" s="1">
        <v>1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</row>
    <row r="24" spans="1:39" x14ac:dyDescent="0.25">
      <c r="A24" s="1">
        <v>62</v>
      </c>
      <c r="B24" s="1" t="s">
        <v>190</v>
      </c>
      <c r="C24" s="1" t="s">
        <v>191</v>
      </c>
      <c r="D24" s="1" t="s">
        <v>101</v>
      </c>
      <c r="E24" s="1" t="s">
        <v>52</v>
      </c>
      <c r="F24" s="3">
        <v>46178</v>
      </c>
      <c r="G24" s="3">
        <v>46178</v>
      </c>
      <c r="H24" s="1">
        <v>1</v>
      </c>
      <c r="I24" s="3">
        <v>46178</v>
      </c>
      <c r="J24" s="1" t="s">
        <v>53</v>
      </c>
      <c r="K24" s="1" t="s">
        <v>192</v>
      </c>
      <c r="L24" s="1" t="s">
        <v>193</v>
      </c>
      <c r="M24" s="1" t="s">
        <v>66</v>
      </c>
      <c r="N24" s="2">
        <v>46178</v>
      </c>
      <c r="P24" s="1" t="s">
        <v>119</v>
      </c>
      <c r="Q24" s="1" t="s">
        <v>55</v>
      </c>
      <c r="R24" s="1" t="s">
        <v>186</v>
      </c>
      <c r="S24" s="2">
        <v>46156</v>
      </c>
      <c r="T24" s="2">
        <v>46156</v>
      </c>
      <c r="AB24" s="1">
        <v>1</v>
      </c>
      <c r="AC24" s="1">
        <v>1</v>
      </c>
      <c r="AD24" s="1">
        <v>1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1</v>
      </c>
    </row>
    <row r="25" spans="1:39" hidden="1" x14ac:dyDescent="0.25">
      <c r="A25" s="1">
        <v>63</v>
      </c>
      <c r="B25" s="1" t="s">
        <v>194</v>
      </c>
      <c r="C25" s="1" t="s">
        <v>191</v>
      </c>
      <c r="D25" s="1" t="s">
        <v>105</v>
      </c>
      <c r="E25" s="1" t="s">
        <v>52</v>
      </c>
      <c r="F25" s="3">
        <v>46181</v>
      </c>
      <c r="G25" s="3">
        <v>46181</v>
      </c>
      <c r="H25" s="1">
        <v>1</v>
      </c>
      <c r="I25" s="3">
        <v>46181</v>
      </c>
      <c r="J25" s="1" t="s">
        <v>53</v>
      </c>
      <c r="K25" s="1">
        <v>62</v>
      </c>
      <c r="L25" s="1">
        <v>64</v>
      </c>
      <c r="M25" s="1" t="s">
        <v>195</v>
      </c>
      <c r="N25" s="2">
        <v>46181</v>
      </c>
      <c r="P25" s="1" t="s">
        <v>76</v>
      </c>
      <c r="Q25" s="1" t="s">
        <v>55</v>
      </c>
      <c r="R25" s="1" t="s">
        <v>186</v>
      </c>
      <c r="S25" s="2">
        <v>46157</v>
      </c>
      <c r="T25" s="2">
        <v>46157</v>
      </c>
      <c r="AB25" s="1">
        <v>1</v>
      </c>
      <c r="AC25" s="1">
        <v>0</v>
      </c>
      <c r="AD25" s="1">
        <v>0</v>
      </c>
      <c r="AE25" s="1">
        <v>0</v>
      </c>
      <c r="AF25" s="1">
        <v>0</v>
      </c>
      <c r="AG25" s="1">
        <v>1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</row>
    <row r="26" spans="1:39" hidden="1" x14ac:dyDescent="0.25">
      <c r="A26" s="1">
        <v>64</v>
      </c>
      <c r="B26" s="1" t="s">
        <v>196</v>
      </c>
      <c r="C26" s="1" t="s">
        <v>191</v>
      </c>
      <c r="D26" s="1" t="s">
        <v>109</v>
      </c>
      <c r="E26" s="1" t="s">
        <v>116</v>
      </c>
      <c r="F26" s="3">
        <v>46182</v>
      </c>
      <c r="G26" s="3">
        <v>46183</v>
      </c>
      <c r="H26" s="1">
        <v>1</v>
      </c>
      <c r="I26" s="3">
        <v>46183</v>
      </c>
      <c r="J26" s="1" t="s">
        <v>53</v>
      </c>
      <c r="K26" s="1">
        <v>63</v>
      </c>
      <c r="L26" s="1">
        <v>65</v>
      </c>
      <c r="M26" s="1" t="s">
        <v>156</v>
      </c>
      <c r="N26" s="2">
        <v>46183</v>
      </c>
      <c r="P26" s="1" t="s">
        <v>76</v>
      </c>
      <c r="Q26" s="1" t="s">
        <v>55</v>
      </c>
      <c r="R26" s="1" t="s">
        <v>186</v>
      </c>
      <c r="S26" s="2">
        <v>46160</v>
      </c>
      <c r="T26" s="2">
        <v>46161</v>
      </c>
      <c r="AB26" s="1">
        <v>1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1</v>
      </c>
      <c r="AJ26" s="1">
        <v>0</v>
      </c>
      <c r="AK26" s="1">
        <v>0</v>
      </c>
      <c r="AL26" s="1">
        <v>0</v>
      </c>
      <c r="AM26" s="1">
        <v>0</v>
      </c>
    </row>
    <row r="27" spans="1:39" hidden="1" x14ac:dyDescent="0.25">
      <c r="A27" s="1">
        <v>65</v>
      </c>
      <c r="B27" s="1" t="s">
        <v>197</v>
      </c>
      <c r="C27" s="1" t="s">
        <v>191</v>
      </c>
      <c r="D27" s="1" t="s">
        <v>115</v>
      </c>
      <c r="E27" s="1" t="s">
        <v>52</v>
      </c>
      <c r="F27" s="3">
        <v>46184</v>
      </c>
      <c r="G27" s="3">
        <v>46184</v>
      </c>
      <c r="H27" s="1">
        <v>1</v>
      </c>
      <c r="I27" s="3">
        <v>46184</v>
      </c>
      <c r="J27" s="1" t="s">
        <v>53</v>
      </c>
      <c r="K27" s="1">
        <v>64</v>
      </c>
      <c r="M27" s="1" t="s">
        <v>179</v>
      </c>
      <c r="N27" s="2">
        <v>46184</v>
      </c>
      <c r="P27" s="1" t="s">
        <v>76</v>
      </c>
      <c r="Q27" s="1" t="s">
        <v>55</v>
      </c>
      <c r="R27" s="1" t="s">
        <v>186</v>
      </c>
      <c r="S27" s="2">
        <v>46162</v>
      </c>
      <c r="T27" s="2">
        <v>46162</v>
      </c>
      <c r="AB27" s="1">
        <v>1</v>
      </c>
      <c r="AC27" s="1">
        <v>0</v>
      </c>
      <c r="AD27" s="1">
        <v>0</v>
      </c>
      <c r="AE27" s="1">
        <v>0</v>
      </c>
      <c r="AF27" s="1">
        <v>1</v>
      </c>
      <c r="AG27" s="1">
        <v>0</v>
      </c>
      <c r="AH27" s="1">
        <v>0</v>
      </c>
      <c r="AI27" s="1">
        <v>0</v>
      </c>
      <c r="AJ27" s="1">
        <v>0</v>
      </c>
      <c r="AK27" s="1">
        <v>1</v>
      </c>
      <c r="AL27" s="1">
        <v>0</v>
      </c>
      <c r="AM27" s="1">
        <v>0</v>
      </c>
    </row>
    <row r="28" spans="1:39" hidden="1" x14ac:dyDescent="0.25">
      <c r="A28" s="1">
        <v>77</v>
      </c>
      <c r="B28" s="1" t="s">
        <v>203</v>
      </c>
      <c r="C28" s="1" t="s">
        <v>204</v>
      </c>
      <c r="D28" s="1" t="s">
        <v>205</v>
      </c>
      <c r="E28" s="1" t="s">
        <v>144</v>
      </c>
      <c r="F28" s="3">
        <v>46184</v>
      </c>
      <c r="G28" s="3">
        <v>46191</v>
      </c>
      <c r="H28" s="1">
        <v>1</v>
      </c>
      <c r="I28" s="3">
        <v>46191</v>
      </c>
      <c r="J28" s="1" t="s">
        <v>53</v>
      </c>
      <c r="M28" s="1" t="s">
        <v>201</v>
      </c>
      <c r="N28" s="2">
        <v>46175</v>
      </c>
      <c r="P28" s="1" t="s">
        <v>76</v>
      </c>
      <c r="Q28" s="1" t="s">
        <v>55</v>
      </c>
      <c r="R28" s="1" t="s">
        <v>202</v>
      </c>
      <c r="S28" s="2">
        <v>46156</v>
      </c>
      <c r="T28" s="2">
        <v>46163</v>
      </c>
      <c r="AB28" s="1">
        <v>1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</row>
    <row r="29" spans="1:39" x14ac:dyDescent="0.25">
      <c r="A29" s="1">
        <v>78</v>
      </c>
      <c r="B29" s="1" t="s">
        <v>206</v>
      </c>
      <c r="C29" s="1" t="s">
        <v>207</v>
      </c>
      <c r="D29" s="1" t="s">
        <v>101</v>
      </c>
      <c r="E29" s="1" t="s">
        <v>116</v>
      </c>
      <c r="F29" s="3">
        <v>46184</v>
      </c>
      <c r="G29" s="3">
        <v>46185</v>
      </c>
      <c r="H29" s="1">
        <v>1</v>
      </c>
      <c r="I29" s="3">
        <v>46185</v>
      </c>
      <c r="J29" s="1" t="s">
        <v>53</v>
      </c>
      <c r="K29" s="1" t="s">
        <v>208</v>
      </c>
      <c r="L29" s="1" t="s">
        <v>209</v>
      </c>
      <c r="M29" s="1" t="s">
        <v>201</v>
      </c>
      <c r="N29" s="2">
        <v>46169</v>
      </c>
      <c r="P29" s="1" t="s">
        <v>76</v>
      </c>
      <c r="Q29" s="1" t="s">
        <v>55</v>
      </c>
      <c r="R29" s="1" t="s">
        <v>202</v>
      </c>
      <c r="S29" s="2">
        <v>46156</v>
      </c>
      <c r="T29" s="2">
        <v>46157</v>
      </c>
      <c r="AB29" s="1">
        <v>1</v>
      </c>
      <c r="AC29" s="1">
        <v>1</v>
      </c>
      <c r="AD29" s="1">
        <v>1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1</v>
      </c>
    </row>
    <row r="30" spans="1:39" hidden="1" x14ac:dyDescent="0.25">
      <c r="A30" s="1">
        <v>79</v>
      </c>
      <c r="B30" s="1" t="s">
        <v>210</v>
      </c>
      <c r="C30" s="1" t="s">
        <v>207</v>
      </c>
      <c r="D30" s="1" t="s">
        <v>105</v>
      </c>
      <c r="E30" s="1" t="s">
        <v>52</v>
      </c>
      <c r="F30" s="3">
        <v>46188</v>
      </c>
      <c r="G30" s="3">
        <v>46188</v>
      </c>
      <c r="H30" s="1">
        <v>1</v>
      </c>
      <c r="I30" s="3">
        <v>46188</v>
      </c>
      <c r="J30" s="1" t="s">
        <v>53</v>
      </c>
      <c r="K30" s="1">
        <v>78</v>
      </c>
      <c r="L30" s="1">
        <v>80</v>
      </c>
      <c r="M30" s="1" t="s">
        <v>135</v>
      </c>
      <c r="N30" s="2">
        <v>46170</v>
      </c>
      <c r="P30" s="1" t="s">
        <v>73</v>
      </c>
      <c r="Q30" s="1" t="s">
        <v>55</v>
      </c>
      <c r="R30" s="1" t="s">
        <v>202</v>
      </c>
      <c r="S30" s="2">
        <v>46160</v>
      </c>
      <c r="T30" s="2">
        <v>46160</v>
      </c>
      <c r="AB30" s="1">
        <v>1</v>
      </c>
      <c r="AC30" s="1">
        <v>0</v>
      </c>
      <c r="AD30" s="1">
        <v>0</v>
      </c>
      <c r="AE30" s="1">
        <v>0</v>
      </c>
      <c r="AF30" s="1">
        <v>0</v>
      </c>
      <c r="AG30" s="1">
        <v>1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</row>
    <row r="31" spans="1:39" hidden="1" x14ac:dyDescent="0.25">
      <c r="A31" s="1">
        <v>80</v>
      </c>
      <c r="B31" s="1" t="s">
        <v>211</v>
      </c>
      <c r="C31" s="1" t="s">
        <v>207</v>
      </c>
      <c r="D31" s="1" t="s">
        <v>109</v>
      </c>
      <c r="E31" s="1" t="s">
        <v>116</v>
      </c>
      <c r="F31" s="3">
        <v>46189</v>
      </c>
      <c r="G31" s="3">
        <v>46190</v>
      </c>
      <c r="H31" s="1">
        <v>1</v>
      </c>
      <c r="I31" s="3">
        <v>46190</v>
      </c>
      <c r="J31" s="1" t="s">
        <v>53</v>
      </c>
      <c r="K31" s="1">
        <v>79</v>
      </c>
      <c r="L31" s="1" t="s">
        <v>212</v>
      </c>
      <c r="M31" s="1" t="s">
        <v>118</v>
      </c>
      <c r="N31" s="2">
        <v>46174</v>
      </c>
      <c r="P31" s="1" t="s">
        <v>73</v>
      </c>
      <c r="Q31" s="1" t="s">
        <v>55</v>
      </c>
      <c r="R31" s="1" t="s">
        <v>202</v>
      </c>
      <c r="S31" s="2">
        <v>46161</v>
      </c>
      <c r="T31" s="2">
        <v>46162</v>
      </c>
      <c r="AB31" s="1">
        <v>1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1</v>
      </c>
      <c r="AJ31" s="1">
        <v>0</v>
      </c>
      <c r="AK31" s="1">
        <v>0</v>
      </c>
      <c r="AL31" s="1">
        <v>0</v>
      </c>
      <c r="AM31" s="1">
        <v>0</v>
      </c>
    </row>
    <row r="32" spans="1:39" hidden="1" x14ac:dyDescent="0.25">
      <c r="A32" s="1">
        <v>81</v>
      </c>
      <c r="B32" s="1" t="s">
        <v>213</v>
      </c>
      <c r="C32" s="1" t="s">
        <v>207</v>
      </c>
      <c r="D32" s="1" t="s">
        <v>115</v>
      </c>
      <c r="E32" s="1" t="s">
        <v>52</v>
      </c>
      <c r="F32" s="3">
        <v>46191</v>
      </c>
      <c r="G32" s="3">
        <v>46191</v>
      </c>
      <c r="H32" s="1">
        <v>1</v>
      </c>
      <c r="I32" s="3">
        <v>46191</v>
      </c>
      <c r="J32" s="1" t="s">
        <v>53</v>
      </c>
      <c r="K32" s="1">
        <v>80</v>
      </c>
      <c r="M32" s="1" t="s">
        <v>214</v>
      </c>
      <c r="N32" s="2">
        <v>46175</v>
      </c>
      <c r="P32" s="1" t="s">
        <v>73</v>
      </c>
      <c r="Q32" s="1" t="s">
        <v>55</v>
      </c>
      <c r="R32" s="1" t="s">
        <v>202</v>
      </c>
      <c r="S32" s="2">
        <v>46163</v>
      </c>
      <c r="T32" s="2">
        <v>46163</v>
      </c>
      <c r="AB32" s="1">
        <v>1</v>
      </c>
      <c r="AC32" s="1">
        <v>0</v>
      </c>
      <c r="AD32" s="1">
        <v>0</v>
      </c>
      <c r="AE32" s="1">
        <v>0</v>
      </c>
      <c r="AF32" s="1">
        <v>1</v>
      </c>
      <c r="AG32" s="1">
        <v>0</v>
      </c>
      <c r="AH32" s="1">
        <v>0</v>
      </c>
      <c r="AI32" s="1">
        <v>0</v>
      </c>
      <c r="AJ32" s="1">
        <v>0</v>
      </c>
      <c r="AK32" s="1">
        <v>1</v>
      </c>
      <c r="AL32" s="1">
        <v>0</v>
      </c>
      <c r="AM32" s="1">
        <v>0</v>
      </c>
    </row>
    <row r="33" spans="1:39" x14ac:dyDescent="0.25">
      <c r="A33" s="1">
        <v>83</v>
      </c>
      <c r="B33" s="1" t="s">
        <v>218</v>
      </c>
      <c r="C33" s="1" t="s">
        <v>219</v>
      </c>
      <c r="D33" s="1" t="s">
        <v>101</v>
      </c>
      <c r="E33" s="1" t="s">
        <v>102</v>
      </c>
      <c r="F33" s="3">
        <v>46184</v>
      </c>
      <c r="G33" s="3">
        <v>46188</v>
      </c>
      <c r="H33" s="1">
        <v>1</v>
      </c>
      <c r="I33" s="3">
        <v>46188</v>
      </c>
      <c r="J33" s="1" t="s">
        <v>53</v>
      </c>
      <c r="K33" s="1" t="s">
        <v>220</v>
      </c>
      <c r="L33" s="1">
        <v>84</v>
      </c>
      <c r="M33" s="1" t="s">
        <v>214</v>
      </c>
      <c r="N33" s="2">
        <v>46177</v>
      </c>
      <c r="P33" s="1" t="s">
        <v>76</v>
      </c>
      <c r="Q33" s="1" t="s">
        <v>55</v>
      </c>
      <c r="R33" s="1" t="s">
        <v>202</v>
      </c>
      <c r="S33" s="2">
        <v>46168</v>
      </c>
      <c r="T33" s="2">
        <v>46170</v>
      </c>
      <c r="AB33" s="1">
        <v>1</v>
      </c>
      <c r="AC33" s="1">
        <v>1</v>
      </c>
      <c r="AD33" s="1">
        <v>1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1</v>
      </c>
    </row>
    <row r="34" spans="1:39" hidden="1" x14ac:dyDescent="0.25">
      <c r="A34" s="1">
        <v>84</v>
      </c>
      <c r="B34" s="1" t="s">
        <v>221</v>
      </c>
      <c r="C34" s="1" t="s">
        <v>219</v>
      </c>
      <c r="D34" s="1" t="s">
        <v>105</v>
      </c>
      <c r="E34" s="1" t="s">
        <v>52</v>
      </c>
      <c r="F34" s="3">
        <v>46197</v>
      </c>
      <c r="G34" s="3">
        <v>46197</v>
      </c>
      <c r="H34" s="1">
        <v>1</v>
      </c>
      <c r="I34" s="3">
        <v>46197</v>
      </c>
      <c r="J34" s="1" t="s">
        <v>53</v>
      </c>
      <c r="K34" s="1">
        <v>83</v>
      </c>
      <c r="L34" s="1">
        <v>85</v>
      </c>
      <c r="M34" s="1" t="s">
        <v>66</v>
      </c>
      <c r="N34" s="2">
        <v>46178</v>
      </c>
      <c r="P34" s="1" t="s">
        <v>146</v>
      </c>
      <c r="Q34" s="1" t="s">
        <v>55</v>
      </c>
      <c r="R34" s="1" t="s">
        <v>202</v>
      </c>
      <c r="S34" s="2">
        <v>46171</v>
      </c>
      <c r="T34" s="2">
        <v>46171</v>
      </c>
      <c r="AB34" s="1">
        <v>1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</row>
    <row r="35" spans="1:39" hidden="1" x14ac:dyDescent="0.25">
      <c r="A35" s="1">
        <v>107</v>
      </c>
      <c r="B35" s="1" t="s">
        <v>258</v>
      </c>
      <c r="C35" s="1" t="s">
        <v>204</v>
      </c>
      <c r="D35" s="1" t="s">
        <v>259</v>
      </c>
      <c r="E35" s="1" t="s">
        <v>260</v>
      </c>
      <c r="F35" s="3">
        <v>46176</v>
      </c>
      <c r="G35" s="3">
        <v>46191</v>
      </c>
      <c r="H35" s="1">
        <v>1</v>
      </c>
      <c r="I35" s="3">
        <v>46191</v>
      </c>
      <c r="J35" s="1" t="s">
        <v>53</v>
      </c>
      <c r="M35" s="1" t="s">
        <v>261</v>
      </c>
      <c r="N35" s="2">
        <v>46191</v>
      </c>
      <c r="P35" s="1" t="s">
        <v>119</v>
      </c>
      <c r="Q35" s="1" t="s">
        <v>55</v>
      </c>
      <c r="R35" s="1" t="s">
        <v>202</v>
      </c>
      <c r="S35" s="2">
        <v>46163</v>
      </c>
      <c r="T35" s="2">
        <v>46178</v>
      </c>
      <c r="AB35" s="1">
        <v>1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</row>
    <row r="36" spans="1:39" x14ac:dyDescent="0.25">
      <c r="A36" s="1">
        <v>108</v>
      </c>
      <c r="B36" s="1" t="s">
        <v>262</v>
      </c>
      <c r="C36" s="1" t="s">
        <v>263</v>
      </c>
      <c r="D36" s="1" t="s">
        <v>101</v>
      </c>
      <c r="E36" s="1" t="s">
        <v>264</v>
      </c>
      <c r="F36" s="3">
        <v>46176</v>
      </c>
      <c r="G36" s="3">
        <v>46185</v>
      </c>
      <c r="H36" s="1">
        <v>1</v>
      </c>
      <c r="I36" s="3">
        <v>46185</v>
      </c>
      <c r="J36" s="1" t="s">
        <v>53</v>
      </c>
      <c r="K36" s="1">
        <v>129</v>
      </c>
      <c r="L36" s="1">
        <v>109</v>
      </c>
      <c r="M36" s="1" t="s">
        <v>261</v>
      </c>
      <c r="N36" s="2">
        <v>46185</v>
      </c>
      <c r="P36" s="1" t="s">
        <v>119</v>
      </c>
      <c r="Q36" s="1" t="s">
        <v>55</v>
      </c>
      <c r="R36" s="1" t="s">
        <v>202</v>
      </c>
      <c r="S36" s="2">
        <v>46163</v>
      </c>
      <c r="T36" s="2">
        <v>46174</v>
      </c>
      <c r="AB36" s="1">
        <v>1</v>
      </c>
      <c r="AC36" s="1">
        <v>1</v>
      </c>
      <c r="AD36" s="1">
        <v>1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1</v>
      </c>
    </row>
    <row r="37" spans="1:39" hidden="1" x14ac:dyDescent="0.25">
      <c r="A37" s="1">
        <v>109</v>
      </c>
      <c r="B37" s="1" t="s">
        <v>265</v>
      </c>
      <c r="C37" s="1" t="s">
        <v>263</v>
      </c>
      <c r="D37" s="1" t="s">
        <v>105</v>
      </c>
      <c r="E37" s="1" t="s">
        <v>52</v>
      </c>
      <c r="F37" s="3">
        <v>46188</v>
      </c>
      <c r="G37" s="3">
        <v>46188</v>
      </c>
      <c r="H37" s="1">
        <v>1</v>
      </c>
      <c r="I37" s="3">
        <v>46188</v>
      </c>
      <c r="J37" s="1" t="s">
        <v>53</v>
      </c>
      <c r="K37" s="1">
        <v>108</v>
      </c>
      <c r="L37" s="1">
        <v>110</v>
      </c>
      <c r="M37" s="1" t="s">
        <v>266</v>
      </c>
      <c r="N37" s="2">
        <v>46188</v>
      </c>
      <c r="P37" s="1" t="s">
        <v>73</v>
      </c>
      <c r="Q37" s="1" t="s">
        <v>55</v>
      </c>
      <c r="R37" s="1" t="s">
        <v>202</v>
      </c>
      <c r="S37" s="2">
        <v>46175</v>
      </c>
      <c r="T37" s="2">
        <v>46175</v>
      </c>
      <c r="AB37" s="1">
        <v>1</v>
      </c>
      <c r="AC37" s="1">
        <v>0</v>
      </c>
      <c r="AD37" s="1">
        <v>0</v>
      </c>
      <c r="AE37" s="1">
        <v>0</v>
      </c>
      <c r="AF37" s="1">
        <v>0</v>
      </c>
      <c r="AG37" s="1">
        <v>1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</row>
    <row r="38" spans="1:39" hidden="1" x14ac:dyDescent="0.25">
      <c r="A38" s="1">
        <v>110</v>
      </c>
      <c r="B38" s="1" t="s">
        <v>267</v>
      </c>
      <c r="C38" s="1" t="s">
        <v>263</v>
      </c>
      <c r="D38" s="1" t="s">
        <v>109</v>
      </c>
      <c r="E38" s="1" t="s">
        <v>116</v>
      </c>
      <c r="F38" s="3">
        <v>46189</v>
      </c>
      <c r="G38" s="3">
        <v>46190</v>
      </c>
      <c r="H38" s="1">
        <v>1</v>
      </c>
      <c r="I38" s="3">
        <v>46190</v>
      </c>
      <c r="J38" s="1" t="s">
        <v>53</v>
      </c>
      <c r="K38" s="1">
        <v>109</v>
      </c>
      <c r="L38" s="1">
        <v>111</v>
      </c>
      <c r="M38" s="1" t="s">
        <v>268</v>
      </c>
      <c r="N38" s="2">
        <v>46190</v>
      </c>
      <c r="P38" s="1" t="s">
        <v>73</v>
      </c>
      <c r="Q38" s="1" t="s">
        <v>55</v>
      </c>
      <c r="R38" s="1" t="s">
        <v>202</v>
      </c>
      <c r="S38" s="2">
        <v>46176</v>
      </c>
      <c r="T38" s="2">
        <v>46177</v>
      </c>
      <c r="AB38" s="1">
        <v>1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1</v>
      </c>
      <c r="AJ38" s="1">
        <v>0</v>
      </c>
      <c r="AK38" s="1">
        <v>0</v>
      </c>
      <c r="AL38" s="1">
        <v>0</v>
      </c>
      <c r="AM38" s="1">
        <v>0</v>
      </c>
    </row>
    <row r="39" spans="1:39" hidden="1" x14ac:dyDescent="0.25">
      <c r="A39" s="1">
        <v>111</v>
      </c>
      <c r="B39" s="1" t="s">
        <v>269</v>
      </c>
      <c r="C39" s="1" t="s">
        <v>263</v>
      </c>
      <c r="D39" s="1" t="s">
        <v>115</v>
      </c>
      <c r="E39" s="1" t="s">
        <v>52</v>
      </c>
      <c r="F39" s="3">
        <v>46191</v>
      </c>
      <c r="G39" s="3">
        <v>46191</v>
      </c>
      <c r="H39" s="1">
        <v>1</v>
      </c>
      <c r="I39" s="3">
        <v>46191</v>
      </c>
      <c r="J39" s="1" t="s">
        <v>53</v>
      </c>
      <c r="K39" s="1">
        <v>110</v>
      </c>
      <c r="M39" s="1" t="s">
        <v>228</v>
      </c>
      <c r="N39" s="2">
        <v>46191</v>
      </c>
      <c r="P39" s="1" t="s">
        <v>73</v>
      </c>
      <c r="Q39" s="1" t="s">
        <v>55</v>
      </c>
      <c r="R39" s="1" t="s">
        <v>202</v>
      </c>
      <c r="S39" s="2">
        <v>46178</v>
      </c>
      <c r="T39" s="2">
        <v>46178</v>
      </c>
      <c r="AB39" s="1">
        <v>1</v>
      </c>
      <c r="AC39" s="1">
        <v>0</v>
      </c>
      <c r="AD39" s="1">
        <v>0</v>
      </c>
      <c r="AE39" s="1">
        <v>0</v>
      </c>
      <c r="AF39" s="1">
        <v>1</v>
      </c>
      <c r="AG39" s="1">
        <v>0</v>
      </c>
      <c r="AH39" s="1">
        <v>0</v>
      </c>
      <c r="AI39" s="1">
        <v>0</v>
      </c>
      <c r="AJ39" s="1">
        <v>0</v>
      </c>
      <c r="AK39" s="1">
        <v>1</v>
      </c>
      <c r="AL39" s="1">
        <v>0</v>
      </c>
      <c r="AM39" s="1">
        <v>0</v>
      </c>
    </row>
    <row r="40" spans="1:39" x14ac:dyDescent="0.25">
      <c r="A40" s="1">
        <v>118</v>
      </c>
      <c r="B40" s="1" t="s">
        <v>273</v>
      </c>
      <c r="C40" s="1" t="s">
        <v>274</v>
      </c>
      <c r="D40" s="1" t="s">
        <v>101</v>
      </c>
      <c r="E40" s="1" t="s">
        <v>116</v>
      </c>
      <c r="F40" s="3">
        <v>46185</v>
      </c>
      <c r="G40" s="3">
        <v>46188</v>
      </c>
      <c r="H40" s="1">
        <v>1</v>
      </c>
      <c r="I40" s="3">
        <v>46188</v>
      </c>
      <c r="J40" s="1" t="s">
        <v>53</v>
      </c>
      <c r="K40" s="1">
        <v>129</v>
      </c>
      <c r="L40" s="1" t="s">
        <v>275</v>
      </c>
      <c r="M40" s="1" t="s">
        <v>261</v>
      </c>
      <c r="N40" s="2">
        <v>46182</v>
      </c>
      <c r="P40" s="1" t="s">
        <v>76</v>
      </c>
      <c r="Q40" s="1" t="s">
        <v>55</v>
      </c>
      <c r="R40" s="1" t="s">
        <v>202</v>
      </c>
      <c r="S40" s="2">
        <v>46163</v>
      </c>
      <c r="T40" s="2">
        <v>46169</v>
      </c>
      <c r="AB40" s="1">
        <v>1</v>
      </c>
      <c r="AC40" s="1">
        <v>1</v>
      </c>
      <c r="AD40" s="1">
        <v>1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1</v>
      </c>
    </row>
    <row r="41" spans="1:39" hidden="1" x14ac:dyDescent="0.25">
      <c r="A41" s="1">
        <v>119</v>
      </c>
      <c r="B41" s="1" t="s">
        <v>276</v>
      </c>
      <c r="C41" s="1" t="s">
        <v>274</v>
      </c>
      <c r="D41" s="1" t="s">
        <v>105</v>
      </c>
      <c r="E41" s="1" t="s">
        <v>52</v>
      </c>
      <c r="F41" s="3">
        <v>46189</v>
      </c>
      <c r="G41" s="3">
        <v>46190</v>
      </c>
      <c r="H41" s="1">
        <v>1</v>
      </c>
      <c r="I41" s="3">
        <v>46190</v>
      </c>
      <c r="J41" s="1" t="s">
        <v>53</v>
      </c>
      <c r="K41" s="1">
        <v>118</v>
      </c>
      <c r="L41" s="1" t="s">
        <v>277</v>
      </c>
      <c r="M41" s="1" t="s">
        <v>224</v>
      </c>
      <c r="N41" s="2">
        <v>46183</v>
      </c>
      <c r="P41" s="1" t="s">
        <v>73</v>
      </c>
      <c r="Q41" s="1" t="s">
        <v>55</v>
      </c>
      <c r="R41" s="1" t="s">
        <v>202</v>
      </c>
      <c r="S41" s="2">
        <v>46170</v>
      </c>
      <c r="T41" s="2">
        <v>46170</v>
      </c>
      <c r="AB41" s="1">
        <v>1</v>
      </c>
      <c r="AC41" s="1">
        <v>0</v>
      </c>
      <c r="AD41" s="1">
        <v>0</v>
      </c>
      <c r="AE41" s="1">
        <v>0</v>
      </c>
      <c r="AF41" s="1">
        <v>0</v>
      </c>
      <c r="AG41" s="1">
        <v>1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</row>
    <row r="42" spans="1:39" hidden="1" x14ac:dyDescent="0.25">
      <c r="A42" s="1">
        <v>120</v>
      </c>
      <c r="B42" s="1" t="s">
        <v>278</v>
      </c>
      <c r="C42" s="1" t="s">
        <v>274</v>
      </c>
      <c r="D42" s="1" t="s">
        <v>109</v>
      </c>
      <c r="E42" s="1" t="s">
        <v>116</v>
      </c>
      <c r="F42" s="3">
        <v>46191</v>
      </c>
      <c r="G42" s="3">
        <v>46192</v>
      </c>
      <c r="H42" s="1">
        <v>1</v>
      </c>
      <c r="I42" s="3">
        <v>46192</v>
      </c>
      <c r="J42" s="1" t="s">
        <v>53</v>
      </c>
      <c r="K42" s="1">
        <v>119</v>
      </c>
      <c r="L42" s="1">
        <v>121</v>
      </c>
      <c r="M42" s="1" t="s">
        <v>179</v>
      </c>
      <c r="N42" s="2">
        <v>46185</v>
      </c>
      <c r="P42" s="1" t="s">
        <v>73</v>
      </c>
      <c r="Q42" s="1" t="s">
        <v>55</v>
      </c>
      <c r="R42" s="1" t="s">
        <v>202</v>
      </c>
      <c r="S42" s="2">
        <v>46171</v>
      </c>
      <c r="T42" s="2">
        <v>46174</v>
      </c>
      <c r="AB42" s="1">
        <v>1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1</v>
      </c>
      <c r="AJ42" s="1">
        <v>0</v>
      </c>
      <c r="AK42" s="1">
        <v>0</v>
      </c>
      <c r="AL42" s="1">
        <v>0</v>
      </c>
      <c r="AM42" s="1">
        <v>0</v>
      </c>
    </row>
    <row r="43" spans="1:39" x14ac:dyDescent="0.25">
      <c r="A43" s="1">
        <v>123</v>
      </c>
      <c r="B43" s="1" t="s">
        <v>282</v>
      </c>
      <c r="C43" s="1" t="s">
        <v>283</v>
      </c>
      <c r="D43" s="1" t="s">
        <v>101</v>
      </c>
      <c r="E43" s="1" t="s">
        <v>116</v>
      </c>
      <c r="F43" s="3">
        <v>46185</v>
      </c>
      <c r="G43" s="3">
        <v>46188</v>
      </c>
      <c r="H43" s="1">
        <v>1</v>
      </c>
      <c r="I43" s="3">
        <v>46188</v>
      </c>
      <c r="J43" s="1" t="s">
        <v>53</v>
      </c>
      <c r="K43" s="1">
        <v>129</v>
      </c>
      <c r="L43" s="1" t="s">
        <v>284</v>
      </c>
      <c r="M43" s="1" t="s">
        <v>261</v>
      </c>
      <c r="N43" s="2">
        <v>46182</v>
      </c>
      <c r="P43" s="1" t="s">
        <v>76</v>
      </c>
      <c r="Q43" s="1" t="s">
        <v>55</v>
      </c>
      <c r="R43" s="1" t="s">
        <v>202</v>
      </c>
      <c r="S43" s="2">
        <v>46163</v>
      </c>
      <c r="T43" s="2">
        <v>46169</v>
      </c>
      <c r="AB43" s="1">
        <v>1</v>
      </c>
      <c r="AC43" s="1">
        <v>1</v>
      </c>
      <c r="AD43" s="1">
        <v>1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1</v>
      </c>
    </row>
    <row r="44" spans="1:39" hidden="1" x14ac:dyDescent="0.25">
      <c r="A44" s="1">
        <v>124</v>
      </c>
      <c r="B44" s="1" t="s">
        <v>285</v>
      </c>
      <c r="C44" s="1" t="s">
        <v>283</v>
      </c>
      <c r="D44" s="1" t="s">
        <v>105</v>
      </c>
      <c r="E44" s="1" t="s">
        <v>52</v>
      </c>
      <c r="F44" s="3">
        <v>46190</v>
      </c>
      <c r="G44" s="3">
        <v>46190</v>
      </c>
      <c r="H44" s="1">
        <v>1</v>
      </c>
      <c r="I44" s="3">
        <v>46190</v>
      </c>
      <c r="J44" s="1" t="s">
        <v>53</v>
      </c>
      <c r="K44" s="1">
        <v>123</v>
      </c>
      <c r="L44" s="1" t="s">
        <v>286</v>
      </c>
      <c r="M44" s="1" t="s">
        <v>224</v>
      </c>
      <c r="N44" s="2">
        <v>46183</v>
      </c>
      <c r="P44" s="1" t="s">
        <v>73</v>
      </c>
      <c r="Q44" s="1" t="s">
        <v>55</v>
      </c>
      <c r="R44" s="1" t="s">
        <v>202</v>
      </c>
      <c r="S44" s="2">
        <v>46170</v>
      </c>
      <c r="T44" s="2">
        <v>46170</v>
      </c>
      <c r="AB44" s="1">
        <v>1</v>
      </c>
      <c r="AC44" s="1">
        <v>0</v>
      </c>
      <c r="AD44" s="1">
        <v>0</v>
      </c>
      <c r="AE44" s="1">
        <v>0</v>
      </c>
      <c r="AF44" s="1">
        <v>0</v>
      </c>
      <c r="AG44" s="1">
        <v>1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</row>
    <row r="45" spans="1:39" hidden="1" x14ac:dyDescent="0.25">
      <c r="A45" s="1">
        <v>125</v>
      </c>
      <c r="B45" s="1" t="s">
        <v>287</v>
      </c>
      <c r="C45" s="1" t="s">
        <v>283</v>
      </c>
      <c r="D45" s="1" t="s">
        <v>109</v>
      </c>
      <c r="E45" s="1" t="s">
        <v>116</v>
      </c>
      <c r="F45" s="3">
        <v>46191</v>
      </c>
      <c r="G45" s="3">
        <v>46192</v>
      </c>
      <c r="H45" s="1">
        <v>1</v>
      </c>
      <c r="I45" s="3">
        <v>46192</v>
      </c>
      <c r="J45" s="1" t="s">
        <v>53</v>
      </c>
      <c r="K45" s="1">
        <v>124</v>
      </c>
      <c r="L45" s="1">
        <v>126</v>
      </c>
      <c r="M45" s="1" t="s">
        <v>179</v>
      </c>
      <c r="N45" s="2">
        <v>46185</v>
      </c>
      <c r="P45" s="1" t="s">
        <v>73</v>
      </c>
      <c r="Q45" s="1" t="s">
        <v>55</v>
      </c>
      <c r="R45" s="1" t="s">
        <v>202</v>
      </c>
      <c r="S45" s="2">
        <v>46171</v>
      </c>
      <c r="T45" s="2">
        <v>46174</v>
      </c>
      <c r="AB45" s="1">
        <v>1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1</v>
      </c>
      <c r="AJ45" s="1">
        <v>0</v>
      </c>
      <c r="AK45" s="1">
        <v>0</v>
      </c>
      <c r="AL45" s="1">
        <v>0</v>
      </c>
      <c r="AM45" s="1">
        <v>0</v>
      </c>
    </row>
    <row r="46" spans="1:39" hidden="1" x14ac:dyDescent="0.25">
      <c r="A46" s="1">
        <v>127</v>
      </c>
      <c r="B46" s="1" t="s">
        <v>289</v>
      </c>
      <c r="C46" s="1" t="s">
        <v>204</v>
      </c>
      <c r="D46" s="1" t="s">
        <v>290</v>
      </c>
      <c r="E46" s="1" t="s">
        <v>291</v>
      </c>
      <c r="F46" s="3">
        <v>46168</v>
      </c>
      <c r="G46" s="3">
        <v>46182</v>
      </c>
      <c r="H46" s="1">
        <v>1</v>
      </c>
      <c r="I46" s="3">
        <v>46182</v>
      </c>
      <c r="J46" s="1" t="s">
        <v>53</v>
      </c>
      <c r="M46" s="1" t="s">
        <v>201</v>
      </c>
      <c r="N46" s="2">
        <v>46178</v>
      </c>
      <c r="P46" s="1" t="s">
        <v>136</v>
      </c>
      <c r="Q46" s="1" t="s">
        <v>55</v>
      </c>
      <c r="R46" s="1" t="s">
        <v>202</v>
      </c>
      <c r="S46" s="2">
        <v>46156</v>
      </c>
      <c r="T46" s="2">
        <v>46167</v>
      </c>
      <c r="AB46" s="1">
        <v>1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</row>
    <row r="47" spans="1:39" x14ac:dyDescent="0.25">
      <c r="A47" s="1">
        <v>128</v>
      </c>
      <c r="B47" s="1" t="s">
        <v>292</v>
      </c>
      <c r="C47" s="1" t="s">
        <v>293</v>
      </c>
      <c r="D47" s="1" t="s">
        <v>101</v>
      </c>
      <c r="E47" s="1" t="s">
        <v>294</v>
      </c>
      <c r="F47" s="3">
        <v>46168</v>
      </c>
      <c r="G47" s="3">
        <v>46174</v>
      </c>
      <c r="H47" s="1">
        <v>1</v>
      </c>
      <c r="I47" s="3">
        <v>46174</v>
      </c>
      <c r="J47" s="1" t="s">
        <v>53</v>
      </c>
      <c r="K47" s="1" t="s">
        <v>208</v>
      </c>
      <c r="L47" s="1" t="s">
        <v>295</v>
      </c>
      <c r="M47" s="1" t="s">
        <v>201</v>
      </c>
      <c r="N47" s="2">
        <v>46174</v>
      </c>
      <c r="P47" s="1" t="s">
        <v>136</v>
      </c>
      <c r="Q47" s="1" t="s">
        <v>55</v>
      </c>
      <c r="R47" s="1" t="s">
        <v>202</v>
      </c>
      <c r="S47" s="2">
        <v>46156</v>
      </c>
      <c r="T47" s="2">
        <v>46161</v>
      </c>
      <c r="AB47" s="1">
        <v>1</v>
      </c>
      <c r="AC47" s="1">
        <v>1</v>
      </c>
      <c r="AD47" s="1">
        <v>1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1</v>
      </c>
    </row>
    <row r="48" spans="1:39" hidden="1" x14ac:dyDescent="0.25">
      <c r="A48" s="1">
        <v>129</v>
      </c>
      <c r="B48" s="1" t="s">
        <v>296</v>
      </c>
      <c r="C48" s="1" t="s">
        <v>293</v>
      </c>
      <c r="D48" s="1" t="s">
        <v>105</v>
      </c>
      <c r="E48" s="1" t="s">
        <v>52</v>
      </c>
      <c r="F48" s="3">
        <v>46175</v>
      </c>
      <c r="G48" s="3">
        <v>46175</v>
      </c>
      <c r="H48" s="1">
        <v>1</v>
      </c>
      <c r="I48" s="3">
        <v>46175</v>
      </c>
      <c r="J48" s="1" t="s">
        <v>53</v>
      </c>
      <c r="K48" s="1">
        <v>128</v>
      </c>
      <c r="L48" s="1" t="s">
        <v>297</v>
      </c>
      <c r="M48" s="1" t="s">
        <v>214</v>
      </c>
      <c r="N48" s="2">
        <v>46175</v>
      </c>
      <c r="P48" s="1" t="s">
        <v>119</v>
      </c>
      <c r="Q48" s="1" t="s">
        <v>55</v>
      </c>
      <c r="R48" s="1" t="s">
        <v>202</v>
      </c>
      <c r="S48" s="2">
        <v>46162</v>
      </c>
      <c r="T48" s="2">
        <v>46162</v>
      </c>
      <c r="AB48" s="1">
        <v>1</v>
      </c>
      <c r="AC48" s="1">
        <v>0</v>
      </c>
      <c r="AD48" s="1">
        <v>0</v>
      </c>
      <c r="AE48" s="1">
        <v>0</v>
      </c>
      <c r="AF48" s="1">
        <v>0</v>
      </c>
      <c r="AG48" s="1">
        <v>1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</row>
    <row r="49" spans="1:39" hidden="1" x14ac:dyDescent="0.25">
      <c r="A49" s="1">
        <v>130</v>
      </c>
      <c r="B49" s="1" t="s">
        <v>298</v>
      </c>
      <c r="C49" s="1" t="s">
        <v>293</v>
      </c>
      <c r="D49" s="1" t="s">
        <v>109</v>
      </c>
      <c r="E49" s="1" t="s">
        <v>116</v>
      </c>
      <c r="F49" s="3">
        <v>46176</v>
      </c>
      <c r="G49" s="3">
        <v>46181</v>
      </c>
      <c r="H49" s="1">
        <v>1</v>
      </c>
      <c r="I49" s="3">
        <v>46181</v>
      </c>
      <c r="J49" s="1" t="s">
        <v>53</v>
      </c>
      <c r="K49" s="1">
        <v>129</v>
      </c>
      <c r="L49" s="1" t="s">
        <v>299</v>
      </c>
      <c r="M49" s="1" t="s">
        <v>261</v>
      </c>
      <c r="N49" s="2">
        <v>46177</v>
      </c>
      <c r="P49" s="1" t="s">
        <v>119</v>
      </c>
      <c r="Q49" s="1" t="s">
        <v>55</v>
      </c>
      <c r="R49" s="1" t="s">
        <v>202</v>
      </c>
      <c r="S49" s="2">
        <v>46163</v>
      </c>
      <c r="T49" s="2">
        <v>46164</v>
      </c>
      <c r="AB49" s="1">
        <v>1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1</v>
      </c>
      <c r="AJ49" s="1">
        <v>0</v>
      </c>
      <c r="AK49" s="1">
        <v>0</v>
      </c>
      <c r="AL49" s="1">
        <v>0</v>
      </c>
      <c r="AM49" s="1">
        <v>0</v>
      </c>
    </row>
    <row r="50" spans="1:39" hidden="1" x14ac:dyDescent="0.25">
      <c r="A50" s="1">
        <v>131</v>
      </c>
      <c r="B50" s="1" t="s">
        <v>300</v>
      </c>
      <c r="C50" s="1" t="s">
        <v>293</v>
      </c>
      <c r="D50" s="1" t="s">
        <v>115</v>
      </c>
      <c r="E50" s="1" t="s">
        <v>52</v>
      </c>
      <c r="F50" s="3">
        <v>46182</v>
      </c>
      <c r="G50" s="3">
        <v>46182</v>
      </c>
      <c r="H50" s="1">
        <v>1</v>
      </c>
      <c r="I50" s="3">
        <v>46182</v>
      </c>
      <c r="J50" s="1" t="s">
        <v>53</v>
      </c>
      <c r="K50" s="1">
        <v>130</v>
      </c>
      <c r="M50" s="1" t="s">
        <v>66</v>
      </c>
      <c r="N50" s="2">
        <v>46178</v>
      </c>
      <c r="P50" s="1" t="s">
        <v>76</v>
      </c>
      <c r="Q50" s="1" t="s">
        <v>55</v>
      </c>
      <c r="R50" s="1" t="s">
        <v>202</v>
      </c>
      <c r="S50" s="2">
        <v>46167</v>
      </c>
      <c r="T50" s="2">
        <v>46167</v>
      </c>
      <c r="AB50" s="1">
        <v>1</v>
      </c>
      <c r="AC50" s="1">
        <v>0</v>
      </c>
      <c r="AD50" s="1">
        <v>0</v>
      </c>
      <c r="AE50" s="1">
        <v>0</v>
      </c>
      <c r="AF50" s="1">
        <v>1</v>
      </c>
      <c r="AG50" s="1">
        <v>0</v>
      </c>
      <c r="AH50" s="1">
        <v>0</v>
      </c>
      <c r="AI50" s="1">
        <v>0</v>
      </c>
      <c r="AJ50" s="1">
        <v>0</v>
      </c>
      <c r="AK50" s="1">
        <v>1</v>
      </c>
      <c r="AL50" s="1">
        <v>0</v>
      </c>
      <c r="AM50" s="1">
        <v>0</v>
      </c>
    </row>
    <row r="51" spans="1:39" x14ac:dyDescent="0.25">
      <c r="A51" s="1">
        <v>133</v>
      </c>
      <c r="B51" s="1" t="s">
        <v>303</v>
      </c>
      <c r="C51" s="1" t="s">
        <v>304</v>
      </c>
      <c r="D51" s="1" t="s">
        <v>101</v>
      </c>
      <c r="E51" s="1" t="s">
        <v>102</v>
      </c>
      <c r="F51" s="3">
        <v>46190</v>
      </c>
      <c r="G51" s="3">
        <v>46192</v>
      </c>
      <c r="H51" s="1">
        <v>1</v>
      </c>
      <c r="I51" s="3">
        <v>46192</v>
      </c>
      <c r="J51" s="1" t="s">
        <v>53</v>
      </c>
      <c r="K51" s="1" t="s">
        <v>305</v>
      </c>
      <c r="L51" s="1">
        <v>134</v>
      </c>
      <c r="M51" s="1" t="s">
        <v>224</v>
      </c>
      <c r="N51" s="2">
        <v>46185</v>
      </c>
      <c r="P51" s="1" t="s">
        <v>73</v>
      </c>
      <c r="Q51" s="1" t="s">
        <v>55</v>
      </c>
      <c r="R51" s="1" t="s">
        <v>202</v>
      </c>
      <c r="S51" s="2">
        <v>46170</v>
      </c>
      <c r="T51" s="2">
        <v>46174</v>
      </c>
      <c r="AB51" s="1">
        <v>1</v>
      </c>
      <c r="AC51" s="1">
        <v>1</v>
      </c>
      <c r="AD51" s="1">
        <v>1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1</v>
      </c>
    </row>
    <row r="52" spans="1:39" x14ac:dyDescent="0.25">
      <c r="A52" s="1">
        <v>138</v>
      </c>
      <c r="B52" s="1" t="s">
        <v>311</v>
      </c>
      <c r="C52" s="1" t="s">
        <v>312</v>
      </c>
      <c r="D52" s="1" t="s">
        <v>101</v>
      </c>
      <c r="E52" s="1" t="s">
        <v>102</v>
      </c>
      <c r="F52" s="3">
        <v>46190</v>
      </c>
      <c r="G52" s="3">
        <v>46192</v>
      </c>
      <c r="H52" s="1">
        <v>1</v>
      </c>
      <c r="I52" s="3">
        <v>46192</v>
      </c>
      <c r="J52" s="1" t="s">
        <v>53</v>
      </c>
      <c r="K52" s="1" t="s">
        <v>305</v>
      </c>
      <c r="L52" s="1">
        <v>139</v>
      </c>
      <c r="M52" s="1" t="s">
        <v>224</v>
      </c>
      <c r="N52" s="2">
        <v>46185</v>
      </c>
      <c r="P52" s="1" t="s">
        <v>73</v>
      </c>
      <c r="Q52" s="1" t="s">
        <v>55</v>
      </c>
      <c r="R52" s="1" t="s">
        <v>202</v>
      </c>
      <c r="S52" s="2">
        <v>46170</v>
      </c>
      <c r="T52" s="2">
        <v>46174</v>
      </c>
      <c r="AB52" s="1">
        <v>1</v>
      </c>
      <c r="AC52" s="1">
        <v>1</v>
      </c>
      <c r="AD52" s="1">
        <v>1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1</v>
      </c>
    </row>
    <row r="53" spans="1:39" x14ac:dyDescent="0.25">
      <c r="A53" s="1">
        <v>143</v>
      </c>
      <c r="B53" s="1" t="s">
        <v>318</v>
      </c>
      <c r="C53" s="1" t="s">
        <v>319</v>
      </c>
      <c r="D53" s="1" t="s">
        <v>101</v>
      </c>
      <c r="E53" s="1" t="s">
        <v>102</v>
      </c>
      <c r="F53" s="3">
        <v>46190</v>
      </c>
      <c r="G53" s="3">
        <v>46192</v>
      </c>
      <c r="H53" s="1">
        <v>1</v>
      </c>
      <c r="I53" s="3">
        <v>46192</v>
      </c>
      <c r="J53" s="1" t="s">
        <v>53</v>
      </c>
      <c r="K53" s="1" t="s">
        <v>305</v>
      </c>
      <c r="L53" s="1">
        <v>144</v>
      </c>
      <c r="M53" s="1" t="s">
        <v>224</v>
      </c>
      <c r="N53" s="2">
        <v>46185</v>
      </c>
      <c r="P53" s="1" t="s">
        <v>73</v>
      </c>
      <c r="Q53" s="1" t="s">
        <v>55</v>
      </c>
      <c r="R53" s="1" t="s">
        <v>202</v>
      </c>
      <c r="S53" s="2">
        <v>46170</v>
      </c>
      <c r="T53" s="2">
        <v>46174</v>
      </c>
      <c r="AB53" s="1">
        <v>1</v>
      </c>
      <c r="AC53" s="1">
        <v>1</v>
      </c>
      <c r="AD53" s="1">
        <v>1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1</v>
      </c>
    </row>
    <row r="54" spans="1:39" x14ac:dyDescent="0.25">
      <c r="A54" s="1">
        <v>159</v>
      </c>
      <c r="B54" s="1" t="s">
        <v>330</v>
      </c>
      <c r="C54" s="1" t="s">
        <v>331</v>
      </c>
      <c r="D54" s="1" t="s">
        <v>101</v>
      </c>
      <c r="E54" s="1" t="s">
        <v>294</v>
      </c>
      <c r="F54" s="3">
        <v>46188</v>
      </c>
      <c r="G54" s="3">
        <v>46192</v>
      </c>
      <c r="H54" s="1">
        <v>1</v>
      </c>
      <c r="I54" s="3">
        <v>46192</v>
      </c>
      <c r="J54" s="1" t="s">
        <v>53</v>
      </c>
      <c r="L54" s="1">
        <v>160</v>
      </c>
      <c r="M54" s="1" t="s">
        <v>214</v>
      </c>
      <c r="N54" s="2">
        <v>46177</v>
      </c>
      <c r="P54" s="1" t="s">
        <v>73</v>
      </c>
      <c r="Q54" s="1" t="s">
        <v>55</v>
      </c>
      <c r="R54" s="1" t="s">
        <v>326</v>
      </c>
      <c r="S54" s="2">
        <v>46162</v>
      </c>
      <c r="T54" s="2">
        <v>46164</v>
      </c>
      <c r="AB54" s="1">
        <v>1</v>
      </c>
      <c r="AC54" s="1">
        <v>1</v>
      </c>
      <c r="AD54" s="1">
        <v>1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1</v>
      </c>
    </row>
    <row r="55" spans="1:39" x14ac:dyDescent="0.25">
      <c r="A55" s="1">
        <v>179</v>
      </c>
      <c r="B55" s="1" t="s">
        <v>339</v>
      </c>
      <c r="C55" s="1" t="s">
        <v>340</v>
      </c>
      <c r="D55" s="1" t="s">
        <v>101</v>
      </c>
      <c r="E55" s="1" t="s">
        <v>116</v>
      </c>
      <c r="F55" s="3">
        <v>46195</v>
      </c>
      <c r="G55" s="3">
        <v>46196</v>
      </c>
      <c r="H55" s="1">
        <v>1</v>
      </c>
      <c r="I55" s="3">
        <v>46196</v>
      </c>
      <c r="J55" s="1" t="s">
        <v>53</v>
      </c>
      <c r="K55" s="1">
        <v>185</v>
      </c>
      <c r="L55" s="1">
        <v>180</v>
      </c>
      <c r="M55" s="1" t="s">
        <v>338</v>
      </c>
      <c r="N55" s="2">
        <v>46196</v>
      </c>
      <c r="P55" s="1" t="s">
        <v>146</v>
      </c>
      <c r="Q55" s="1" t="s">
        <v>55</v>
      </c>
      <c r="R55" s="1" t="s">
        <v>326</v>
      </c>
      <c r="S55" s="2">
        <v>46181</v>
      </c>
      <c r="T55" s="2">
        <v>46183</v>
      </c>
      <c r="AB55" s="1">
        <v>1</v>
      </c>
      <c r="AC55" s="1">
        <v>1</v>
      </c>
      <c r="AD55" s="1">
        <v>1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1</v>
      </c>
    </row>
    <row r="56" spans="1:39" x14ac:dyDescent="0.25">
      <c r="A56" s="1">
        <v>184</v>
      </c>
      <c r="B56" s="1" t="s">
        <v>349</v>
      </c>
      <c r="C56" s="1" t="s">
        <v>350</v>
      </c>
      <c r="D56" s="1" t="s">
        <v>101</v>
      </c>
      <c r="E56" s="1" t="s">
        <v>102</v>
      </c>
      <c r="F56" s="3">
        <v>46202</v>
      </c>
      <c r="G56" s="3">
        <v>46204</v>
      </c>
      <c r="H56" s="1">
        <v>1</v>
      </c>
      <c r="I56" s="3">
        <v>46204</v>
      </c>
      <c r="J56" s="1" t="s">
        <v>53</v>
      </c>
      <c r="K56" s="1" t="s">
        <v>351</v>
      </c>
      <c r="L56" s="1" t="s">
        <v>352</v>
      </c>
      <c r="M56" s="1" t="s">
        <v>214</v>
      </c>
      <c r="N56" s="2">
        <v>46177</v>
      </c>
      <c r="P56" s="1" t="s">
        <v>348</v>
      </c>
      <c r="Q56" s="1" t="s">
        <v>55</v>
      </c>
      <c r="R56" s="1" t="s">
        <v>326</v>
      </c>
      <c r="S56" s="2">
        <v>46162</v>
      </c>
      <c r="T56" s="2">
        <v>46164</v>
      </c>
      <c r="AB56" s="1">
        <v>1</v>
      </c>
      <c r="AC56" s="1">
        <v>1</v>
      </c>
      <c r="AD56" s="1">
        <v>1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1</v>
      </c>
    </row>
    <row r="57" spans="1:39" x14ac:dyDescent="0.25">
      <c r="A57" s="1">
        <v>189</v>
      </c>
      <c r="B57" s="1" t="s">
        <v>360</v>
      </c>
      <c r="C57" s="1" t="s">
        <v>361</v>
      </c>
      <c r="D57" s="1" t="s">
        <v>101</v>
      </c>
      <c r="E57" s="1" t="s">
        <v>52</v>
      </c>
      <c r="F57" s="3">
        <v>46181</v>
      </c>
      <c r="G57" s="3">
        <v>46181</v>
      </c>
      <c r="H57" s="1">
        <v>1</v>
      </c>
      <c r="I57" s="3">
        <v>46181</v>
      </c>
      <c r="J57" s="1" t="s">
        <v>53</v>
      </c>
      <c r="K57" s="1" t="s">
        <v>362</v>
      </c>
      <c r="L57" s="1">
        <v>190</v>
      </c>
      <c r="M57" s="1" t="s">
        <v>195</v>
      </c>
      <c r="N57" s="2">
        <v>46192</v>
      </c>
      <c r="P57" s="1" t="s">
        <v>76</v>
      </c>
      <c r="Q57" s="1" t="s">
        <v>55</v>
      </c>
      <c r="R57" s="1" t="s">
        <v>326</v>
      </c>
      <c r="S57" s="2">
        <v>46157</v>
      </c>
      <c r="T57" s="2">
        <v>46170</v>
      </c>
      <c r="AB57" s="1">
        <v>1</v>
      </c>
      <c r="AC57" s="1">
        <v>1</v>
      </c>
      <c r="AD57" s="1">
        <v>1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1</v>
      </c>
    </row>
    <row r="58" spans="1:39" hidden="1" x14ac:dyDescent="0.25">
      <c r="A58" s="1">
        <v>190</v>
      </c>
      <c r="B58" s="1" t="s">
        <v>363</v>
      </c>
      <c r="C58" s="1" t="s">
        <v>361</v>
      </c>
      <c r="D58" s="1" t="s">
        <v>105</v>
      </c>
      <c r="E58" s="1" t="s">
        <v>52</v>
      </c>
      <c r="F58" s="3">
        <v>46182</v>
      </c>
      <c r="G58" s="3">
        <v>46182</v>
      </c>
      <c r="H58" s="1">
        <v>1</v>
      </c>
      <c r="I58" s="3">
        <v>46182</v>
      </c>
      <c r="J58" s="1" t="s">
        <v>53</v>
      </c>
      <c r="K58" s="1">
        <v>189</v>
      </c>
      <c r="L58" s="1" t="s">
        <v>364</v>
      </c>
      <c r="M58" s="1" t="s">
        <v>365</v>
      </c>
      <c r="N58" s="2">
        <v>46195</v>
      </c>
      <c r="P58" s="1" t="s">
        <v>76</v>
      </c>
      <c r="Q58" s="1" t="s">
        <v>55</v>
      </c>
      <c r="R58" s="1" t="s">
        <v>326</v>
      </c>
      <c r="S58" s="2">
        <v>46171</v>
      </c>
      <c r="T58" s="2">
        <v>46171</v>
      </c>
      <c r="AB58" s="1">
        <v>1</v>
      </c>
      <c r="AC58" s="1">
        <v>0</v>
      </c>
      <c r="AD58" s="1">
        <v>0</v>
      </c>
      <c r="AE58" s="1">
        <v>0</v>
      </c>
      <c r="AF58" s="1">
        <v>0</v>
      </c>
      <c r="AG58" s="1">
        <v>1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</row>
    <row r="59" spans="1:39" x14ac:dyDescent="0.25">
      <c r="A59" s="1">
        <v>199</v>
      </c>
      <c r="B59" s="1" t="s">
        <v>371</v>
      </c>
      <c r="C59" s="1" t="s">
        <v>372</v>
      </c>
      <c r="D59" s="1" t="s">
        <v>101</v>
      </c>
      <c r="E59" s="1" t="s">
        <v>102</v>
      </c>
      <c r="F59" s="3">
        <v>46196</v>
      </c>
      <c r="G59" s="3">
        <v>46198</v>
      </c>
      <c r="H59" s="1">
        <v>1</v>
      </c>
      <c r="I59" s="3">
        <v>46198</v>
      </c>
      <c r="J59" s="1" t="s">
        <v>53</v>
      </c>
      <c r="K59" s="1">
        <v>160</v>
      </c>
      <c r="L59" s="1">
        <v>200</v>
      </c>
      <c r="M59" s="1" t="s">
        <v>66</v>
      </c>
      <c r="N59" s="2">
        <v>46182</v>
      </c>
      <c r="P59" s="1" t="s">
        <v>146</v>
      </c>
      <c r="Q59" s="1" t="s">
        <v>55</v>
      </c>
      <c r="R59" s="1" t="s">
        <v>326</v>
      </c>
      <c r="S59" s="2">
        <v>46167</v>
      </c>
      <c r="T59" s="2">
        <v>46169</v>
      </c>
      <c r="AB59" s="1">
        <v>1</v>
      </c>
      <c r="AC59" s="1">
        <v>1</v>
      </c>
      <c r="AD59" s="1">
        <v>1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1</v>
      </c>
    </row>
    <row r="60" spans="1:39" x14ac:dyDescent="0.25">
      <c r="A60" s="1">
        <v>204</v>
      </c>
      <c r="B60" s="1" t="s">
        <v>378</v>
      </c>
      <c r="C60" s="1" t="s">
        <v>379</v>
      </c>
      <c r="D60" s="1" t="s">
        <v>101</v>
      </c>
      <c r="E60" s="1" t="s">
        <v>102</v>
      </c>
      <c r="F60" s="3">
        <v>46196</v>
      </c>
      <c r="G60" s="3">
        <v>46198</v>
      </c>
      <c r="H60" s="1">
        <v>1</v>
      </c>
      <c r="I60" s="3">
        <v>46198</v>
      </c>
      <c r="J60" s="1" t="s">
        <v>53</v>
      </c>
      <c r="K60" s="1">
        <v>160</v>
      </c>
      <c r="L60" s="1">
        <v>205</v>
      </c>
      <c r="M60" s="1" t="s">
        <v>66</v>
      </c>
      <c r="N60" s="2">
        <v>46182</v>
      </c>
      <c r="P60" s="1" t="s">
        <v>146</v>
      </c>
      <c r="Q60" s="1" t="s">
        <v>55</v>
      </c>
      <c r="R60" s="1" t="s">
        <v>326</v>
      </c>
      <c r="S60" s="2">
        <v>46167</v>
      </c>
      <c r="T60" s="2">
        <v>46169</v>
      </c>
      <c r="AB60" s="1">
        <v>1</v>
      </c>
      <c r="AC60" s="1">
        <v>1</v>
      </c>
      <c r="AD60" s="1">
        <v>1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1</v>
      </c>
    </row>
    <row r="61" spans="1:39" x14ac:dyDescent="0.25">
      <c r="A61" s="1">
        <v>209</v>
      </c>
      <c r="B61" s="1" t="s">
        <v>385</v>
      </c>
      <c r="C61" s="1" t="s">
        <v>386</v>
      </c>
      <c r="D61" s="1" t="s">
        <v>101</v>
      </c>
      <c r="E61" s="1" t="s">
        <v>102</v>
      </c>
      <c r="F61" s="3">
        <v>46196</v>
      </c>
      <c r="G61" s="3">
        <v>46198</v>
      </c>
      <c r="H61" s="1">
        <v>1</v>
      </c>
      <c r="I61" s="3">
        <v>46198</v>
      </c>
      <c r="J61" s="1" t="s">
        <v>53</v>
      </c>
      <c r="K61" s="1">
        <v>160</v>
      </c>
      <c r="L61" s="1">
        <v>210</v>
      </c>
      <c r="M61" s="1" t="s">
        <v>66</v>
      </c>
      <c r="N61" s="2">
        <v>46182</v>
      </c>
      <c r="P61" s="1" t="s">
        <v>146</v>
      </c>
      <c r="Q61" s="1" t="s">
        <v>55</v>
      </c>
      <c r="R61" s="1" t="s">
        <v>326</v>
      </c>
      <c r="S61" s="2">
        <v>46167</v>
      </c>
      <c r="T61" s="2">
        <v>46169</v>
      </c>
      <c r="AB61" s="1">
        <v>1</v>
      </c>
      <c r="AC61" s="1">
        <v>1</v>
      </c>
      <c r="AD61" s="1">
        <v>1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1</v>
      </c>
    </row>
    <row r="62" spans="1:39" x14ac:dyDescent="0.25">
      <c r="A62" s="1">
        <v>229</v>
      </c>
      <c r="B62" s="1" t="s">
        <v>392</v>
      </c>
      <c r="C62" s="1" t="s">
        <v>393</v>
      </c>
      <c r="D62" s="1" t="s">
        <v>101</v>
      </c>
      <c r="E62" s="1" t="s">
        <v>102</v>
      </c>
      <c r="F62" s="3">
        <v>46202</v>
      </c>
      <c r="G62" s="3">
        <v>46204</v>
      </c>
      <c r="H62" s="1">
        <v>1</v>
      </c>
      <c r="I62" s="3">
        <v>46204</v>
      </c>
      <c r="J62" s="1" t="s">
        <v>53</v>
      </c>
      <c r="K62" s="1" t="s">
        <v>394</v>
      </c>
      <c r="L62" s="1">
        <v>230</v>
      </c>
      <c r="M62" s="1" t="s">
        <v>66</v>
      </c>
      <c r="N62" s="2">
        <v>46182</v>
      </c>
      <c r="P62" s="1" t="s">
        <v>146</v>
      </c>
      <c r="Q62" s="1" t="s">
        <v>55</v>
      </c>
      <c r="R62" s="1" t="s">
        <v>326</v>
      </c>
      <c r="S62" s="2">
        <v>46167</v>
      </c>
      <c r="T62" s="2">
        <v>46169</v>
      </c>
      <c r="AB62" s="1">
        <v>1</v>
      </c>
      <c r="AC62" s="1">
        <v>1</v>
      </c>
      <c r="AD62" s="1">
        <v>1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1</v>
      </c>
    </row>
    <row r="63" spans="1:39" x14ac:dyDescent="0.25">
      <c r="A63" s="1">
        <v>245</v>
      </c>
      <c r="B63" s="1" t="s">
        <v>405</v>
      </c>
      <c r="C63" s="1" t="s">
        <v>406</v>
      </c>
      <c r="D63" s="1" t="s">
        <v>101</v>
      </c>
      <c r="E63" s="1" t="s">
        <v>102</v>
      </c>
      <c r="F63" s="3">
        <v>46198</v>
      </c>
      <c r="G63" s="3">
        <v>46202</v>
      </c>
      <c r="H63" s="1">
        <v>1</v>
      </c>
      <c r="I63" s="3">
        <v>46202</v>
      </c>
      <c r="J63" s="1" t="s">
        <v>53</v>
      </c>
      <c r="K63" s="1" t="s">
        <v>407</v>
      </c>
      <c r="L63" s="1" t="s">
        <v>408</v>
      </c>
      <c r="M63" s="1" t="s">
        <v>179</v>
      </c>
      <c r="N63" s="2">
        <v>46190</v>
      </c>
      <c r="P63" s="1" t="s">
        <v>146</v>
      </c>
      <c r="Q63" s="1" t="s">
        <v>55</v>
      </c>
      <c r="R63" s="1" t="s">
        <v>401</v>
      </c>
      <c r="S63" s="2">
        <v>46176</v>
      </c>
      <c r="T63" s="2">
        <v>46182</v>
      </c>
      <c r="AB63" s="1">
        <v>1</v>
      </c>
      <c r="AC63" s="1">
        <v>1</v>
      </c>
      <c r="AD63" s="1">
        <v>1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1</v>
      </c>
    </row>
    <row r="64" spans="1:39" x14ac:dyDescent="0.25">
      <c r="A64" s="1">
        <v>250</v>
      </c>
      <c r="B64" s="1" t="s">
        <v>415</v>
      </c>
      <c r="C64" s="1" t="s">
        <v>416</v>
      </c>
      <c r="D64" s="1" t="s">
        <v>101</v>
      </c>
      <c r="E64" s="1" t="s">
        <v>102</v>
      </c>
      <c r="F64" s="3">
        <v>46204</v>
      </c>
      <c r="G64" s="3">
        <v>46206</v>
      </c>
      <c r="H64" s="1">
        <v>1</v>
      </c>
      <c r="I64" s="3">
        <v>46206</v>
      </c>
      <c r="J64" s="1" t="s">
        <v>53</v>
      </c>
      <c r="K64" s="1">
        <v>255</v>
      </c>
      <c r="L64" s="1">
        <v>251</v>
      </c>
      <c r="M64" s="1" t="s">
        <v>345</v>
      </c>
      <c r="N64" s="2">
        <v>46204</v>
      </c>
      <c r="P64" s="1" t="s">
        <v>67</v>
      </c>
      <c r="Q64" s="1" t="s">
        <v>55</v>
      </c>
      <c r="R64" s="1" t="s">
        <v>401</v>
      </c>
      <c r="S64" s="2">
        <v>46192</v>
      </c>
      <c r="T64" s="2">
        <v>46196</v>
      </c>
      <c r="AB64" s="1">
        <v>1</v>
      </c>
      <c r="AC64" s="1">
        <v>1</v>
      </c>
      <c r="AD64" s="1">
        <v>1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1</v>
      </c>
    </row>
    <row r="65" spans="1:39" x14ac:dyDescent="0.25">
      <c r="A65" s="1">
        <v>260</v>
      </c>
      <c r="B65" s="1" t="s">
        <v>422</v>
      </c>
      <c r="C65" s="1" t="s">
        <v>423</v>
      </c>
      <c r="D65" s="1" t="s">
        <v>101</v>
      </c>
      <c r="E65" s="1" t="s">
        <v>116</v>
      </c>
      <c r="F65" s="3">
        <v>46191</v>
      </c>
      <c r="G65" s="3">
        <v>46192</v>
      </c>
      <c r="H65" s="1">
        <v>1</v>
      </c>
      <c r="I65" s="3">
        <v>46192</v>
      </c>
      <c r="J65" s="1" t="s">
        <v>53</v>
      </c>
      <c r="K65" s="1" t="s">
        <v>424</v>
      </c>
      <c r="L65" s="1" t="s">
        <v>425</v>
      </c>
      <c r="M65" s="1" t="s">
        <v>179</v>
      </c>
      <c r="N65" s="2">
        <v>46188</v>
      </c>
      <c r="P65" s="1" t="s">
        <v>73</v>
      </c>
      <c r="Q65" s="1" t="s">
        <v>55</v>
      </c>
      <c r="R65" s="1" t="s">
        <v>401</v>
      </c>
      <c r="S65" s="2">
        <v>46171</v>
      </c>
      <c r="T65" s="2">
        <v>46175</v>
      </c>
      <c r="AB65" s="1">
        <v>1</v>
      </c>
      <c r="AC65" s="1">
        <v>1</v>
      </c>
      <c r="AD65" s="1">
        <v>1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1</v>
      </c>
    </row>
    <row r="66" spans="1:39" x14ac:dyDescent="0.25">
      <c r="A66" s="1">
        <v>265</v>
      </c>
      <c r="B66" s="1" t="s">
        <v>432</v>
      </c>
      <c r="C66" s="1" t="s">
        <v>433</v>
      </c>
      <c r="D66" s="1" t="s">
        <v>101</v>
      </c>
      <c r="E66" s="1" t="s">
        <v>102</v>
      </c>
      <c r="F66" s="3">
        <v>46203</v>
      </c>
      <c r="G66" s="3">
        <v>46205</v>
      </c>
      <c r="H66" s="1">
        <v>1</v>
      </c>
      <c r="I66" s="3">
        <v>46205</v>
      </c>
      <c r="J66" s="1" t="s">
        <v>53</v>
      </c>
      <c r="K66" s="1">
        <v>245</v>
      </c>
      <c r="L66" s="1">
        <v>266</v>
      </c>
      <c r="M66" s="1" t="s">
        <v>367</v>
      </c>
      <c r="N66" s="2">
        <v>46202</v>
      </c>
      <c r="P66" s="1" t="s">
        <v>67</v>
      </c>
      <c r="Q66" s="1" t="s">
        <v>55</v>
      </c>
      <c r="R66" s="1" t="s">
        <v>401</v>
      </c>
      <c r="S66" s="2">
        <v>46188</v>
      </c>
      <c r="T66" s="2">
        <v>46192</v>
      </c>
      <c r="AB66" s="1">
        <v>1</v>
      </c>
      <c r="AC66" s="1">
        <v>1</v>
      </c>
      <c r="AD66" s="1">
        <v>1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1</v>
      </c>
    </row>
    <row r="67" spans="1:39" x14ac:dyDescent="0.25">
      <c r="A67" s="1">
        <v>270</v>
      </c>
      <c r="B67" s="1" t="s">
        <v>440</v>
      </c>
      <c r="C67" s="1" t="s">
        <v>441</v>
      </c>
      <c r="D67" s="1" t="s">
        <v>101</v>
      </c>
      <c r="E67" s="1" t="s">
        <v>102</v>
      </c>
      <c r="F67" s="3">
        <v>46203</v>
      </c>
      <c r="G67" s="3">
        <v>46205</v>
      </c>
      <c r="H67" s="1">
        <v>1</v>
      </c>
      <c r="I67" s="3">
        <v>46205</v>
      </c>
      <c r="J67" s="1" t="s">
        <v>53</v>
      </c>
      <c r="K67" s="1">
        <v>245</v>
      </c>
      <c r="L67" s="1">
        <v>271</v>
      </c>
      <c r="M67" s="1" t="s">
        <v>367</v>
      </c>
      <c r="N67" s="2">
        <v>46202</v>
      </c>
      <c r="P67" s="1" t="s">
        <v>67</v>
      </c>
      <c r="Q67" s="1" t="s">
        <v>55</v>
      </c>
      <c r="R67" s="1" t="s">
        <v>401</v>
      </c>
      <c r="S67" s="2">
        <v>46188</v>
      </c>
      <c r="T67" s="2">
        <v>46192</v>
      </c>
      <c r="AB67" s="1">
        <v>1</v>
      </c>
      <c r="AC67" s="1">
        <v>1</v>
      </c>
      <c r="AD67" s="1">
        <v>1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1</v>
      </c>
    </row>
    <row r="68" spans="1:39" x14ac:dyDescent="0.25">
      <c r="A68" s="1">
        <v>275</v>
      </c>
      <c r="B68" s="1" t="s">
        <v>447</v>
      </c>
      <c r="C68" s="1" t="s">
        <v>448</v>
      </c>
      <c r="D68" s="1" t="s">
        <v>101</v>
      </c>
      <c r="E68" s="1" t="s">
        <v>102</v>
      </c>
      <c r="F68" s="3">
        <v>46203</v>
      </c>
      <c r="G68" s="3">
        <v>46205</v>
      </c>
      <c r="H68" s="1">
        <v>1</v>
      </c>
      <c r="I68" s="3">
        <v>46205</v>
      </c>
      <c r="J68" s="1" t="s">
        <v>53</v>
      </c>
      <c r="K68" s="1">
        <v>245</v>
      </c>
      <c r="L68" s="1">
        <v>276</v>
      </c>
      <c r="M68" s="1" t="s">
        <v>367</v>
      </c>
      <c r="N68" s="2">
        <v>46202</v>
      </c>
      <c r="P68" s="1" t="s">
        <v>67</v>
      </c>
      <c r="Q68" s="1" t="s">
        <v>55</v>
      </c>
      <c r="R68" s="1" t="s">
        <v>401</v>
      </c>
      <c r="S68" s="2">
        <v>46188</v>
      </c>
      <c r="T68" s="2">
        <v>46192</v>
      </c>
      <c r="AB68" s="1">
        <v>1</v>
      </c>
      <c r="AC68" s="1">
        <v>1</v>
      </c>
      <c r="AD68" s="1">
        <v>1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1</v>
      </c>
    </row>
    <row r="69" spans="1:39" x14ac:dyDescent="0.25">
      <c r="A69" s="1">
        <v>280</v>
      </c>
      <c r="B69" s="1" t="s">
        <v>454</v>
      </c>
      <c r="C69" s="1" t="s">
        <v>455</v>
      </c>
      <c r="D69" s="1" t="s">
        <v>101</v>
      </c>
      <c r="E69" s="1" t="s">
        <v>102</v>
      </c>
      <c r="F69" s="3">
        <v>46203</v>
      </c>
      <c r="G69" s="3">
        <v>46205</v>
      </c>
      <c r="H69" s="1">
        <v>1</v>
      </c>
      <c r="I69" s="3">
        <v>46205</v>
      </c>
      <c r="J69" s="1" t="s">
        <v>53</v>
      </c>
      <c r="K69" s="1">
        <v>245</v>
      </c>
      <c r="L69" s="1">
        <v>281</v>
      </c>
      <c r="M69" s="1" t="s">
        <v>367</v>
      </c>
      <c r="N69" s="2">
        <v>46202</v>
      </c>
      <c r="P69" s="1" t="s">
        <v>67</v>
      </c>
      <c r="Q69" s="1" t="s">
        <v>55</v>
      </c>
      <c r="R69" s="1" t="s">
        <v>401</v>
      </c>
      <c r="S69" s="2">
        <v>46188</v>
      </c>
      <c r="T69" s="2">
        <v>46192</v>
      </c>
      <c r="AB69" s="1">
        <v>1</v>
      </c>
      <c r="AC69" s="1">
        <v>1</v>
      </c>
      <c r="AD69" s="1">
        <v>1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1</v>
      </c>
    </row>
    <row r="70" spans="1:39" x14ac:dyDescent="0.25">
      <c r="A70" s="1">
        <v>290</v>
      </c>
      <c r="B70" s="1" t="s">
        <v>461</v>
      </c>
      <c r="C70" s="1" t="s">
        <v>462</v>
      </c>
      <c r="D70" s="1" t="s">
        <v>101</v>
      </c>
      <c r="E70" s="1" t="s">
        <v>231</v>
      </c>
      <c r="F70" s="3">
        <v>46189</v>
      </c>
      <c r="G70" s="3">
        <v>46192</v>
      </c>
      <c r="H70" s="1">
        <v>1</v>
      </c>
      <c r="I70" s="3">
        <v>46192</v>
      </c>
      <c r="J70" s="1" t="s">
        <v>53</v>
      </c>
      <c r="K70" s="1" t="s">
        <v>463</v>
      </c>
      <c r="L70" s="1">
        <v>291</v>
      </c>
      <c r="M70" s="1" t="s">
        <v>367</v>
      </c>
      <c r="N70" s="2">
        <v>46202</v>
      </c>
      <c r="P70" s="1" t="s">
        <v>67</v>
      </c>
      <c r="Q70" s="1" t="s">
        <v>55</v>
      </c>
      <c r="R70" s="1" t="s">
        <v>401</v>
      </c>
      <c r="S70" s="2">
        <v>46188</v>
      </c>
      <c r="T70" s="2">
        <v>46192</v>
      </c>
      <c r="AB70" s="1">
        <v>1</v>
      </c>
      <c r="AC70" s="1">
        <v>1</v>
      </c>
      <c r="AD70" s="1">
        <v>1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1</v>
      </c>
    </row>
    <row r="71" spans="1:39" x14ac:dyDescent="0.25">
      <c r="A71" s="1">
        <v>306</v>
      </c>
      <c r="B71" s="1" t="s">
        <v>484</v>
      </c>
      <c r="C71" s="1" t="s">
        <v>485</v>
      </c>
      <c r="D71" s="1" t="s">
        <v>101</v>
      </c>
      <c r="E71" s="1" t="s">
        <v>102</v>
      </c>
      <c r="F71" s="3">
        <v>46175</v>
      </c>
      <c r="G71" s="3">
        <v>46181</v>
      </c>
      <c r="H71" s="1">
        <v>1</v>
      </c>
      <c r="I71" s="3">
        <v>46181</v>
      </c>
      <c r="J71" s="1" t="s">
        <v>53</v>
      </c>
      <c r="K71" s="1" t="s">
        <v>486</v>
      </c>
      <c r="L71" s="1" t="s">
        <v>487</v>
      </c>
      <c r="M71" s="1" t="s">
        <v>214</v>
      </c>
      <c r="N71" s="2">
        <v>46177</v>
      </c>
      <c r="P71" s="1" t="s">
        <v>119</v>
      </c>
      <c r="Q71" s="1" t="s">
        <v>55</v>
      </c>
      <c r="R71" s="1" t="s">
        <v>470</v>
      </c>
      <c r="S71" s="2">
        <v>46163</v>
      </c>
      <c r="T71" s="2">
        <v>46167</v>
      </c>
      <c r="AB71" s="1">
        <v>1</v>
      </c>
      <c r="AC71" s="1">
        <v>1</v>
      </c>
      <c r="AD71" s="1">
        <v>1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1</v>
      </c>
    </row>
    <row r="72" spans="1:39" hidden="1" x14ac:dyDescent="0.25">
      <c r="A72" s="1">
        <v>307</v>
      </c>
      <c r="B72" s="1" t="s">
        <v>488</v>
      </c>
      <c r="C72" s="1" t="s">
        <v>485</v>
      </c>
      <c r="D72" s="1" t="s">
        <v>105</v>
      </c>
      <c r="E72" s="1" t="s">
        <v>116</v>
      </c>
      <c r="F72" s="3">
        <v>46182</v>
      </c>
      <c r="G72" s="3">
        <v>46183</v>
      </c>
      <c r="H72" s="1">
        <v>1</v>
      </c>
      <c r="I72" s="3">
        <v>46183</v>
      </c>
      <c r="J72" s="1" t="s">
        <v>53</v>
      </c>
      <c r="K72" s="1">
        <v>306</v>
      </c>
      <c r="L72" s="1">
        <v>308</v>
      </c>
      <c r="M72" s="1" t="s">
        <v>66</v>
      </c>
      <c r="N72" s="2">
        <v>46178</v>
      </c>
      <c r="P72" s="1" t="s">
        <v>76</v>
      </c>
      <c r="Q72" s="1" t="s">
        <v>55</v>
      </c>
      <c r="R72" s="1" t="s">
        <v>470</v>
      </c>
      <c r="S72" s="2">
        <v>46168</v>
      </c>
      <c r="T72" s="2">
        <v>46168</v>
      </c>
      <c r="AB72" s="1">
        <v>1</v>
      </c>
      <c r="AC72" s="1">
        <v>0</v>
      </c>
      <c r="AD72" s="1">
        <v>0</v>
      </c>
      <c r="AE72" s="1">
        <v>0</v>
      </c>
      <c r="AF72" s="1">
        <v>0</v>
      </c>
      <c r="AG72" s="1">
        <v>1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</row>
    <row r="73" spans="1:39" hidden="1" x14ac:dyDescent="0.25">
      <c r="A73" s="1">
        <v>308</v>
      </c>
      <c r="B73" s="1" t="s">
        <v>489</v>
      </c>
      <c r="C73" s="1" t="s">
        <v>485</v>
      </c>
      <c r="D73" s="1" t="s">
        <v>109</v>
      </c>
      <c r="E73" s="1" t="s">
        <v>52</v>
      </c>
      <c r="F73" s="3">
        <v>46183</v>
      </c>
      <c r="G73" s="3">
        <v>46184</v>
      </c>
      <c r="H73" s="1">
        <v>1</v>
      </c>
      <c r="I73" s="3">
        <v>46184</v>
      </c>
      <c r="J73" s="1" t="s">
        <v>53</v>
      </c>
      <c r="K73" s="1">
        <v>307</v>
      </c>
      <c r="L73" s="1" t="s">
        <v>490</v>
      </c>
      <c r="M73" s="1" t="s">
        <v>195</v>
      </c>
      <c r="N73" s="2">
        <v>46182</v>
      </c>
      <c r="P73" s="1" t="s">
        <v>76</v>
      </c>
      <c r="Q73" s="1" t="s">
        <v>55</v>
      </c>
      <c r="R73" s="1" t="s">
        <v>470</v>
      </c>
      <c r="S73" s="2">
        <v>46169</v>
      </c>
      <c r="T73" s="2">
        <v>46170</v>
      </c>
      <c r="AB73" s="1">
        <v>1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1</v>
      </c>
      <c r="AJ73" s="1">
        <v>0</v>
      </c>
      <c r="AK73" s="1">
        <v>0</v>
      </c>
      <c r="AL73" s="1">
        <v>0</v>
      </c>
      <c r="AM73" s="1">
        <v>0</v>
      </c>
    </row>
    <row r="74" spans="1:39" x14ac:dyDescent="0.25">
      <c r="A74" s="1">
        <v>316</v>
      </c>
      <c r="B74" s="1" t="s">
        <v>495</v>
      </c>
      <c r="C74" s="1" t="s">
        <v>496</v>
      </c>
      <c r="D74" s="1" t="s">
        <v>101</v>
      </c>
      <c r="E74" s="1" t="s">
        <v>102</v>
      </c>
      <c r="F74" s="3">
        <v>46170</v>
      </c>
      <c r="G74" s="3">
        <v>46174</v>
      </c>
      <c r="H74" s="1">
        <v>1</v>
      </c>
      <c r="I74" s="3">
        <v>46174</v>
      </c>
      <c r="J74" s="1" t="s">
        <v>53</v>
      </c>
      <c r="K74" s="1">
        <v>78</v>
      </c>
      <c r="L74" s="1" t="s">
        <v>497</v>
      </c>
      <c r="M74" s="1" t="s">
        <v>135</v>
      </c>
      <c r="N74" s="2">
        <v>46174</v>
      </c>
      <c r="P74" s="1" t="s">
        <v>136</v>
      </c>
      <c r="Q74" s="1" t="s">
        <v>55</v>
      </c>
      <c r="R74" s="1" t="s">
        <v>470</v>
      </c>
      <c r="S74" s="2">
        <v>46160</v>
      </c>
      <c r="T74" s="2">
        <v>46162</v>
      </c>
      <c r="AB74" s="1">
        <v>1</v>
      </c>
      <c r="AC74" s="1">
        <v>1</v>
      </c>
      <c r="AD74" s="1">
        <v>1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1</v>
      </c>
    </row>
    <row r="75" spans="1:39" hidden="1" x14ac:dyDescent="0.25">
      <c r="A75" s="1">
        <v>317</v>
      </c>
      <c r="B75" s="1" t="s">
        <v>498</v>
      </c>
      <c r="C75" s="1" t="s">
        <v>496</v>
      </c>
      <c r="D75" s="1" t="s">
        <v>105</v>
      </c>
      <c r="E75" s="1" t="s">
        <v>52</v>
      </c>
      <c r="F75" s="3">
        <v>46175</v>
      </c>
      <c r="G75" s="3">
        <v>46175</v>
      </c>
      <c r="H75" s="1">
        <v>1</v>
      </c>
      <c r="I75" s="3">
        <v>46175</v>
      </c>
      <c r="J75" s="1" t="s">
        <v>53</v>
      </c>
      <c r="K75" s="1">
        <v>316</v>
      </c>
      <c r="L75" s="1">
        <v>318</v>
      </c>
      <c r="M75" s="1" t="s">
        <v>214</v>
      </c>
      <c r="N75" s="2">
        <v>46175</v>
      </c>
      <c r="P75" s="1" t="s">
        <v>119</v>
      </c>
      <c r="Q75" s="1" t="s">
        <v>55</v>
      </c>
      <c r="R75" s="1" t="s">
        <v>470</v>
      </c>
      <c r="S75" s="2">
        <v>46163</v>
      </c>
      <c r="T75" s="2">
        <v>46163</v>
      </c>
      <c r="AB75" s="1">
        <v>1</v>
      </c>
      <c r="AC75" s="1">
        <v>0</v>
      </c>
      <c r="AD75" s="1">
        <v>0</v>
      </c>
      <c r="AE75" s="1">
        <v>0</v>
      </c>
      <c r="AF75" s="1">
        <v>0</v>
      </c>
      <c r="AG75" s="1">
        <v>1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</row>
    <row r="76" spans="1:39" x14ac:dyDescent="0.25">
      <c r="A76" s="1">
        <v>361</v>
      </c>
      <c r="B76" s="1" t="s">
        <v>575</v>
      </c>
      <c r="C76" s="1" t="s">
        <v>576</v>
      </c>
      <c r="D76" s="1" t="s">
        <v>101</v>
      </c>
      <c r="E76" s="1" t="s">
        <v>102</v>
      </c>
      <c r="F76" s="3">
        <v>46196</v>
      </c>
      <c r="G76" s="3">
        <v>46198</v>
      </c>
      <c r="H76" s="1">
        <v>1</v>
      </c>
      <c r="I76" s="3">
        <v>46198</v>
      </c>
      <c r="J76" s="1" t="s">
        <v>53</v>
      </c>
      <c r="K76" s="1">
        <v>306</v>
      </c>
      <c r="L76" s="1" t="s">
        <v>577</v>
      </c>
      <c r="M76" s="1" t="s">
        <v>66</v>
      </c>
      <c r="N76" s="2">
        <v>46182</v>
      </c>
      <c r="P76" s="1" t="s">
        <v>73</v>
      </c>
      <c r="Q76" s="1" t="s">
        <v>55</v>
      </c>
      <c r="R76" s="1" t="s">
        <v>470</v>
      </c>
      <c r="S76" s="2">
        <v>46168</v>
      </c>
      <c r="T76" s="2">
        <v>46170</v>
      </c>
      <c r="AB76" s="1">
        <v>1</v>
      </c>
      <c r="AC76" s="1">
        <v>1</v>
      </c>
      <c r="AD76" s="1">
        <v>1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1</v>
      </c>
    </row>
    <row r="77" spans="1:39" x14ac:dyDescent="0.25">
      <c r="A77" s="1">
        <v>381</v>
      </c>
      <c r="B77" s="1" t="s">
        <v>583</v>
      </c>
      <c r="C77" s="1" t="s">
        <v>584</v>
      </c>
      <c r="D77" s="1" t="s">
        <v>101</v>
      </c>
      <c r="E77" s="1" t="s">
        <v>231</v>
      </c>
      <c r="F77" s="3">
        <v>46195</v>
      </c>
      <c r="G77" s="3">
        <v>46198</v>
      </c>
      <c r="H77" s="1">
        <v>1</v>
      </c>
      <c r="I77" s="3">
        <v>46198</v>
      </c>
      <c r="J77" s="1" t="s">
        <v>53</v>
      </c>
      <c r="K77" s="1" t="s">
        <v>558</v>
      </c>
      <c r="L77" s="1">
        <v>382</v>
      </c>
      <c r="M77" s="1" t="s">
        <v>224</v>
      </c>
      <c r="N77" s="2">
        <v>46189</v>
      </c>
      <c r="P77" s="1" t="s">
        <v>146</v>
      </c>
      <c r="Q77" s="1" t="s">
        <v>55</v>
      </c>
      <c r="R77" s="1" t="s">
        <v>470</v>
      </c>
      <c r="S77" s="2">
        <v>46171</v>
      </c>
      <c r="T77" s="2">
        <v>46177</v>
      </c>
      <c r="AB77" s="1">
        <v>1</v>
      </c>
      <c r="AC77" s="1">
        <v>1</v>
      </c>
      <c r="AD77" s="1">
        <v>1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1</v>
      </c>
    </row>
    <row r="78" spans="1:39" x14ac:dyDescent="0.25">
      <c r="A78" s="1">
        <v>412</v>
      </c>
      <c r="B78" s="1" t="s">
        <v>597</v>
      </c>
      <c r="C78" s="1" t="s">
        <v>598</v>
      </c>
      <c r="D78" s="1" t="s">
        <v>101</v>
      </c>
      <c r="E78" s="1" t="s">
        <v>231</v>
      </c>
      <c r="F78" s="3">
        <v>46189</v>
      </c>
      <c r="G78" s="3">
        <v>46192</v>
      </c>
      <c r="H78" s="1">
        <v>1</v>
      </c>
      <c r="I78" s="3">
        <v>46192</v>
      </c>
      <c r="J78" s="1" t="s">
        <v>53</v>
      </c>
      <c r="K78" s="1">
        <v>447</v>
      </c>
      <c r="L78" s="1" t="s">
        <v>599</v>
      </c>
      <c r="M78" s="1" t="s">
        <v>66</v>
      </c>
      <c r="N78" s="2">
        <v>46182</v>
      </c>
      <c r="P78" s="1" t="s">
        <v>73</v>
      </c>
      <c r="Q78" s="1" t="s">
        <v>55</v>
      </c>
      <c r="R78" s="1" t="s">
        <v>593</v>
      </c>
      <c r="S78" s="2">
        <v>46162</v>
      </c>
      <c r="T78" s="2">
        <v>46164</v>
      </c>
      <c r="AB78" s="1">
        <v>1</v>
      </c>
      <c r="AC78" s="1">
        <v>1</v>
      </c>
      <c r="AD78" s="1">
        <v>1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1</v>
      </c>
    </row>
    <row r="79" spans="1:39" hidden="1" x14ac:dyDescent="0.25">
      <c r="A79" s="1">
        <v>413</v>
      </c>
      <c r="B79" s="1" t="s">
        <v>600</v>
      </c>
      <c r="C79" s="1" t="s">
        <v>598</v>
      </c>
      <c r="D79" s="1" t="s">
        <v>105</v>
      </c>
      <c r="E79" s="1" t="s">
        <v>52</v>
      </c>
      <c r="F79" s="3">
        <v>46195</v>
      </c>
      <c r="G79" s="3">
        <v>46195</v>
      </c>
      <c r="H79" s="1">
        <v>1</v>
      </c>
      <c r="I79" s="3">
        <v>46195</v>
      </c>
      <c r="J79" s="1" t="s">
        <v>53</v>
      </c>
      <c r="K79" s="1">
        <v>412</v>
      </c>
      <c r="L79" s="1">
        <v>414</v>
      </c>
      <c r="M79" s="1" t="s">
        <v>224</v>
      </c>
      <c r="N79" s="2">
        <v>46183</v>
      </c>
      <c r="P79" s="1" t="s">
        <v>146</v>
      </c>
      <c r="Q79" s="1" t="s">
        <v>55</v>
      </c>
      <c r="R79" s="1" t="s">
        <v>593</v>
      </c>
      <c r="S79" s="2">
        <v>46167</v>
      </c>
      <c r="T79" s="2">
        <v>46167</v>
      </c>
      <c r="AB79" s="1">
        <v>1</v>
      </c>
      <c r="AC79" s="1">
        <v>0</v>
      </c>
      <c r="AD79" s="1">
        <v>0</v>
      </c>
      <c r="AE79" s="1">
        <v>0</v>
      </c>
      <c r="AF79" s="1">
        <v>0</v>
      </c>
      <c r="AG79" s="1">
        <v>1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</row>
    <row r="80" spans="1:39" x14ac:dyDescent="0.25">
      <c r="A80" s="1">
        <v>417</v>
      </c>
      <c r="B80" s="1" t="s">
        <v>605</v>
      </c>
      <c r="C80" s="1" t="s">
        <v>606</v>
      </c>
      <c r="D80" s="1" t="s">
        <v>101</v>
      </c>
      <c r="E80" s="1" t="s">
        <v>231</v>
      </c>
      <c r="F80" s="3">
        <v>46188</v>
      </c>
      <c r="G80" s="3">
        <v>46191</v>
      </c>
      <c r="H80" s="1">
        <v>1</v>
      </c>
      <c r="I80" s="3">
        <v>46191</v>
      </c>
      <c r="J80" s="1" t="s">
        <v>53</v>
      </c>
      <c r="L80" s="1">
        <v>418</v>
      </c>
      <c r="M80" s="1" t="s">
        <v>182</v>
      </c>
      <c r="N80" s="2">
        <v>46202</v>
      </c>
      <c r="P80" s="1" t="s">
        <v>73</v>
      </c>
      <c r="Q80" s="1" t="s">
        <v>55</v>
      </c>
      <c r="R80" s="1" t="s">
        <v>593</v>
      </c>
      <c r="S80" s="2">
        <v>46192</v>
      </c>
      <c r="T80" s="2">
        <v>46196</v>
      </c>
      <c r="AB80" s="1">
        <v>1</v>
      </c>
      <c r="AC80" s="1">
        <v>1</v>
      </c>
      <c r="AD80" s="1">
        <v>1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1</v>
      </c>
    </row>
    <row r="81" spans="1:39" x14ac:dyDescent="0.25">
      <c r="A81" s="1">
        <v>422</v>
      </c>
      <c r="B81" s="1" t="s">
        <v>612</v>
      </c>
      <c r="C81" s="1" t="s">
        <v>613</v>
      </c>
      <c r="D81" s="1" t="s">
        <v>101</v>
      </c>
      <c r="E81" s="1" t="s">
        <v>231</v>
      </c>
      <c r="F81" s="3">
        <v>46199</v>
      </c>
      <c r="G81" s="3">
        <v>46204</v>
      </c>
      <c r="H81" s="1">
        <v>1</v>
      </c>
      <c r="I81" s="3">
        <v>46204</v>
      </c>
      <c r="J81" s="1" t="s">
        <v>53</v>
      </c>
      <c r="K81" s="1" t="s">
        <v>614</v>
      </c>
      <c r="L81" s="1" t="s">
        <v>615</v>
      </c>
      <c r="M81" s="1" t="s">
        <v>365</v>
      </c>
      <c r="N81" s="2">
        <v>46196</v>
      </c>
      <c r="P81" s="1" t="s">
        <v>76</v>
      </c>
      <c r="Q81" s="1" t="s">
        <v>55</v>
      </c>
      <c r="R81" s="1" t="s">
        <v>593</v>
      </c>
      <c r="S81" s="2">
        <v>46184</v>
      </c>
      <c r="T81" s="2">
        <v>46188</v>
      </c>
      <c r="AB81" s="1">
        <v>1</v>
      </c>
      <c r="AC81" s="1">
        <v>1</v>
      </c>
      <c r="AD81" s="1">
        <v>1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1</v>
      </c>
    </row>
    <row r="82" spans="1:39" x14ac:dyDescent="0.25">
      <c r="A82" s="1">
        <v>442</v>
      </c>
      <c r="B82" s="1" t="s">
        <v>629</v>
      </c>
      <c r="C82" s="1" t="s">
        <v>630</v>
      </c>
      <c r="D82" s="1" t="s">
        <v>101</v>
      </c>
      <c r="E82" s="1" t="s">
        <v>264</v>
      </c>
      <c r="F82" s="3">
        <v>46189</v>
      </c>
      <c r="G82" s="3">
        <v>46196</v>
      </c>
      <c r="H82" s="1">
        <v>1</v>
      </c>
      <c r="I82" s="3">
        <v>46196</v>
      </c>
      <c r="J82" s="1" t="s">
        <v>53</v>
      </c>
      <c r="K82" s="1" t="s">
        <v>631</v>
      </c>
      <c r="L82" s="1">
        <v>443</v>
      </c>
      <c r="M82" s="1" t="s">
        <v>214</v>
      </c>
      <c r="N82" s="2">
        <v>46181</v>
      </c>
      <c r="P82" s="1" t="s">
        <v>73</v>
      </c>
      <c r="Q82" s="1" t="s">
        <v>55</v>
      </c>
      <c r="R82" s="1" t="s">
        <v>593</v>
      </c>
      <c r="S82" s="2">
        <v>46157</v>
      </c>
      <c r="T82" s="2">
        <v>46163</v>
      </c>
      <c r="AB82" s="1">
        <v>1</v>
      </c>
      <c r="AC82" s="1">
        <v>1</v>
      </c>
      <c r="AD82" s="1">
        <v>1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1</v>
      </c>
    </row>
    <row r="83" spans="1:39" hidden="1" x14ac:dyDescent="0.25">
      <c r="A83" s="1">
        <v>443</v>
      </c>
      <c r="B83" s="1" t="s">
        <v>632</v>
      </c>
      <c r="C83" s="1" t="s">
        <v>630</v>
      </c>
      <c r="D83" s="1" t="s">
        <v>105</v>
      </c>
      <c r="E83" s="1" t="s">
        <v>52</v>
      </c>
      <c r="F83" s="3">
        <v>46197</v>
      </c>
      <c r="G83" s="3">
        <v>46197</v>
      </c>
      <c r="H83" s="1">
        <v>1</v>
      </c>
      <c r="I83" s="3">
        <v>46197</v>
      </c>
      <c r="J83" s="1" t="s">
        <v>53</v>
      </c>
      <c r="K83" s="1">
        <v>442</v>
      </c>
      <c r="L83" s="1">
        <v>444</v>
      </c>
      <c r="M83" s="1" t="s">
        <v>156</v>
      </c>
      <c r="N83" s="2">
        <v>46182</v>
      </c>
      <c r="P83" s="1" t="s">
        <v>146</v>
      </c>
      <c r="Q83" s="1" t="s">
        <v>55</v>
      </c>
      <c r="R83" s="1" t="s">
        <v>593</v>
      </c>
      <c r="S83" s="2">
        <v>46164</v>
      </c>
      <c r="T83" s="2">
        <v>46164</v>
      </c>
      <c r="AB83" s="1">
        <v>1</v>
      </c>
      <c r="AC83" s="1">
        <v>0</v>
      </c>
      <c r="AD83" s="1">
        <v>0</v>
      </c>
      <c r="AE83" s="1">
        <v>0</v>
      </c>
      <c r="AF83" s="1">
        <v>0</v>
      </c>
      <c r="AG83" s="1">
        <v>1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</row>
    <row r="84" spans="1:39" x14ac:dyDescent="0.25">
      <c r="A84" s="1">
        <v>447</v>
      </c>
      <c r="B84" s="1" t="s">
        <v>639</v>
      </c>
      <c r="C84" s="1" t="s">
        <v>640</v>
      </c>
      <c r="D84" s="1" t="s">
        <v>101</v>
      </c>
      <c r="E84" s="1" t="s">
        <v>264</v>
      </c>
      <c r="F84" s="3">
        <v>46192</v>
      </c>
      <c r="G84" s="3">
        <v>46199</v>
      </c>
      <c r="H84" s="1">
        <v>1</v>
      </c>
      <c r="I84" s="3">
        <v>46199</v>
      </c>
      <c r="J84" s="1" t="s">
        <v>53</v>
      </c>
      <c r="K84" s="1" t="s">
        <v>631</v>
      </c>
      <c r="L84" s="1" t="s">
        <v>641</v>
      </c>
      <c r="M84" s="1" t="s">
        <v>214</v>
      </c>
      <c r="N84" s="2">
        <v>46177</v>
      </c>
      <c r="P84" s="1" t="s">
        <v>136</v>
      </c>
      <c r="Q84" s="1" t="s">
        <v>55</v>
      </c>
      <c r="R84" s="1" t="s">
        <v>593</v>
      </c>
      <c r="S84" s="2">
        <v>46157</v>
      </c>
      <c r="T84" s="2">
        <v>46161</v>
      </c>
      <c r="AB84" s="1">
        <v>1</v>
      </c>
      <c r="AC84" s="1">
        <v>1</v>
      </c>
      <c r="AD84" s="1">
        <v>1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1</v>
      </c>
    </row>
    <row r="85" spans="1:39" x14ac:dyDescent="0.25">
      <c r="A85" s="1">
        <v>452</v>
      </c>
      <c r="B85" s="1" t="s">
        <v>647</v>
      </c>
      <c r="C85" s="1" t="s">
        <v>648</v>
      </c>
      <c r="D85" s="1" t="s">
        <v>101</v>
      </c>
      <c r="E85" s="1" t="s">
        <v>264</v>
      </c>
      <c r="F85" s="3">
        <v>46192</v>
      </c>
      <c r="G85" s="3">
        <v>46199</v>
      </c>
      <c r="H85" s="1">
        <v>1</v>
      </c>
      <c r="I85" s="3">
        <v>46199</v>
      </c>
      <c r="J85" s="1" t="s">
        <v>53</v>
      </c>
      <c r="K85" s="1" t="s">
        <v>631</v>
      </c>
      <c r="L85" s="1">
        <v>453</v>
      </c>
      <c r="M85" s="1" t="s">
        <v>214</v>
      </c>
      <c r="N85" s="2">
        <v>46181</v>
      </c>
      <c r="P85" s="1" t="s">
        <v>119</v>
      </c>
      <c r="Q85" s="1" t="s">
        <v>55</v>
      </c>
      <c r="R85" s="1" t="s">
        <v>593</v>
      </c>
      <c r="S85" s="2">
        <v>46157</v>
      </c>
      <c r="T85" s="2">
        <v>46163</v>
      </c>
      <c r="AB85" s="1">
        <v>1</v>
      </c>
      <c r="AC85" s="1">
        <v>1</v>
      </c>
      <c r="AD85" s="1">
        <v>1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1</v>
      </c>
    </row>
    <row r="86" spans="1:39" x14ac:dyDescent="0.25">
      <c r="A86" s="1">
        <v>457</v>
      </c>
      <c r="B86" s="1" t="s">
        <v>654</v>
      </c>
      <c r="C86" s="1" t="s">
        <v>655</v>
      </c>
      <c r="D86" s="1" t="s">
        <v>101</v>
      </c>
      <c r="E86" s="1" t="s">
        <v>231</v>
      </c>
      <c r="F86" s="3">
        <v>46196</v>
      </c>
      <c r="G86" s="3">
        <v>46199</v>
      </c>
      <c r="H86" s="1">
        <v>1</v>
      </c>
      <c r="I86" s="3">
        <v>46199</v>
      </c>
      <c r="J86" s="1" t="s">
        <v>53</v>
      </c>
      <c r="K86" s="1">
        <v>412</v>
      </c>
      <c r="L86" s="1">
        <v>458</v>
      </c>
      <c r="M86" s="1" t="s">
        <v>224</v>
      </c>
      <c r="N86" s="2">
        <v>46196</v>
      </c>
      <c r="P86" s="1" t="s">
        <v>146</v>
      </c>
      <c r="Q86" s="1" t="s">
        <v>55</v>
      </c>
      <c r="R86" s="1" t="s">
        <v>593</v>
      </c>
      <c r="S86" s="2">
        <v>46167</v>
      </c>
      <c r="T86" s="2">
        <v>46178</v>
      </c>
      <c r="AB86" s="1">
        <v>1</v>
      </c>
      <c r="AC86" s="1">
        <v>1</v>
      </c>
      <c r="AD86" s="1">
        <v>1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1</v>
      </c>
    </row>
    <row r="87" spans="1:39" x14ac:dyDescent="0.25">
      <c r="A87" s="1">
        <v>462</v>
      </c>
      <c r="B87" s="1" t="s">
        <v>661</v>
      </c>
      <c r="C87" s="1" t="s">
        <v>662</v>
      </c>
      <c r="D87" s="1" t="s">
        <v>101</v>
      </c>
      <c r="E87" s="1" t="s">
        <v>231</v>
      </c>
      <c r="F87" s="3">
        <v>46199</v>
      </c>
      <c r="G87" s="3">
        <v>46204</v>
      </c>
      <c r="H87" s="1">
        <v>1</v>
      </c>
      <c r="I87" s="3">
        <v>46204</v>
      </c>
      <c r="J87" s="1" t="s">
        <v>53</v>
      </c>
      <c r="K87" s="1">
        <v>412</v>
      </c>
      <c r="L87" s="1">
        <v>463</v>
      </c>
      <c r="M87" s="1" t="s">
        <v>224</v>
      </c>
      <c r="N87" s="2">
        <v>46196</v>
      </c>
      <c r="P87" s="1" t="s">
        <v>146</v>
      </c>
      <c r="Q87" s="1" t="s">
        <v>55</v>
      </c>
      <c r="R87" s="1" t="s">
        <v>593</v>
      </c>
      <c r="S87" s="2">
        <v>46167</v>
      </c>
      <c r="T87" s="2">
        <v>46178</v>
      </c>
      <c r="AB87" s="1">
        <v>1</v>
      </c>
      <c r="AC87" s="1">
        <v>1</v>
      </c>
      <c r="AD87" s="1">
        <v>1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1</v>
      </c>
    </row>
    <row r="88" spans="1:39" x14ac:dyDescent="0.25">
      <c r="A88" s="1">
        <v>467</v>
      </c>
      <c r="B88" s="1" t="s">
        <v>668</v>
      </c>
      <c r="C88" s="1" t="s">
        <v>669</v>
      </c>
      <c r="D88" s="1" t="s">
        <v>101</v>
      </c>
      <c r="E88" s="1" t="s">
        <v>231</v>
      </c>
      <c r="F88" s="3">
        <v>46199</v>
      </c>
      <c r="G88" s="3">
        <v>46204</v>
      </c>
      <c r="H88" s="1">
        <v>1</v>
      </c>
      <c r="I88" s="3">
        <v>46204</v>
      </c>
      <c r="J88" s="1" t="s">
        <v>53</v>
      </c>
      <c r="K88" s="1">
        <v>412</v>
      </c>
      <c r="L88" s="1">
        <v>468</v>
      </c>
      <c r="M88" s="1" t="s">
        <v>224</v>
      </c>
      <c r="N88" s="2">
        <v>46196</v>
      </c>
      <c r="P88" s="1" t="s">
        <v>146</v>
      </c>
      <c r="Q88" s="1" t="s">
        <v>55</v>
      </c>
      <c r="R88" s="1" t="s">
        <v>593</v>
      </c>
      <c r="S88" s="2">
        <v>46167</v>
      </c>
      <c r="T88" s="2">
        <v>46178</v>
      </c>
      <c r="AB88" s="1">
        <v>1</v>
      </c>
      <c r="AC88" s="1">
        <v>1</v>
      </c>
      <c r="AD88" s="1">
        <v>1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1</v>
      </c>
    </row>
    <row r="89" spans="1:39" x14ac:dyDescent="0.25">
      <c r="A89" s="1">
        <v>477</v>
      </c>
      <c r="B89" s="1" t="s">
        <v>675</v>
      </c>
      <c r="C89" s="1" t="s">
        <v>676</v>
      </c>
      <c r="D89" s="1" t="s">
        <v>101</v>
      </c>
      <c r="E89" s="1" t="s">
        <v>231</v>
      </c>
      <c r="F89" s="3">
        <v>46203</v>
      </c>
      <c r="G89" s="3">
        <v>46206</v>
      </c>
      <c r="H89" s="1">
        <v>1</v>
      </c>
      <c r="I89" s="3">
        <v>46206</v>
      </c>
      <c r="J89" s="1" t="s">
        <v>53</v>
      </c>
      <c r="L89" s="1" t="s">
        <v>677</v>
      </c>
      <c r="M89" s="1" t="s">
        <v>342</v>
      </c>
      <c r="N89" s="2">
        <v>46199</v>
      </c>
      <c r="P89" s="1" t="s">
        <v>73</v>
      </c>
      <c r="Q89" s="1" t="s">
        <v>55</v>
      </c>
      <c r="R89" s="1" t="s">
        <v>593</v>
      </c>
      <c r="S89" s="2">
        <v>46181</v>
      </c>
      <c r="T89" s="2">
        <v>46183</v>
      </c>
      <c r="AB89" s="1">
        <v>1</v>
      </c>
      <c r="AC89" s="1">
        <v>1</v>
      </c>
      <c r="AD89" s="1">
        <v>1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1</v>
      </c>
    </row>
    <row r="90" spans="1:39" x14ac:dyDescent="0.25">
      <c r="A90" s="1">
        <v>497</v>
      </c>
      <c r="B90" s="1" t="s">
        <v>692</v>
      </c>
      <c r="C90" s="1" t="s">
        <v>693</v>
      </c>
      <c r="D90" s="1" t="s">
        <v>101</v>
      </c>
      <c r="E90" s="1" t="s">
        <v>231</v>
      </c>
      <c r="F90" s="3">
        <v>46189</v>
      </c>
      <c r="G90" s="3">
        <v>46192</v>
      </c>
      <c r="H90" s="1">
        <v>1</v>
      </c>
      <c r="I90" s="3">
        <v>46192</v>
      </c>
      <c r="J90" s="1" t="s">
        <v>53</v>
      </c>
      <c r="K90" s="1" t="s">
        <v>685</v>
      </c>
      <c r="L90" s="1">
        <v>498</v>
      </c>
      <c r="M90" s="1" t="s">
        <v>342</v>
      </c>
      <c r="N90" s="2">
        <v>46198</v>
      </c>
      <c r="P90" s="1" t="s">
        <v>73</v>
      </c>
      <c r="Q90" s="1" t="s">
        <v>55</v>
      </c>
      <c r="R90" s="1" t="s">
        <v>593</v>
      </c>
      <c r="S90" s="2">
        <v>46189</v>
      </c>
      <c r="T90" s="2">
        <v>46191</v>
      </c>
      <c r="AB90" s="1">
        <v>1</v>
      </c>
      <c r="AC90" s="1">
        <v>1</v>
      </c>
      <c r="AD90" s="1">
        <v>1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1</v>
      </c>
    </row>
    <row r="91" spans="1:39" x14ac:dyDescent="0.25">
      <c r="A91" s="1">
        <v>502</v>
      </c>
      <c r="B91" s="1" t="s">
        <v>699</v>
      </c>
      <c r="C91" s="1" t="s">
        <v>700</v>
      </c>
      <c r="D91" s="1" t="s">
        <v>101</v>
      </c>
      <c r="E91" s="1" t="s">
        <v>701</v>
      </c>
      <c r="F91" s="3">
        <v>46191</v>
      </c>
      <c r="G91" s="3">
        <v>46199</v>
      </c>
      <c r="H91" s="1">
        <v>1</v>
      </c>
      <c r="I91" s="3">
        <v>46199</v>
      </c>
      <c r="J91" s="1" t="s">
        <v>53</v>
      </c>
      <c r="L91" s="1" t="s">
        <v>702</v>
      </c>
      <c r="M91" s="1" t="s">
        <v>342</v>
      </c>
      <c r="N91" s="2">
        <v>46205</v>
      </c>
      <c r="P91" s="1" t="s">
        <v>73</v>
      </c>
      <c r="Q91" s="1" t="s">
        <v>55</v>
      </c>
      <c r="R91" s="1" t="s">
        <v>593</v>
      </c>
      <c r="S91" s="2">
        <v>46189</v>
      </c>
      <c r="T91" s="2">
        <v>46202</v>
      </c>
      <c r="AB91" s="1">
        <v>1</v>
      </c>
      <c r="AC91" s="1">
        <v>1</v>
      </c>
      <c r="AD91" s="1">
        <v>1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1</v>
      </c>
    </row>
    <row r="92" spans="1:39" x14ac:dyDescent="0.25">
      <c r="A92" s="1">
        <v>507</v>
      </c>
      <c r="B92" s="1" t="s">
        <v>710</v>
      </c>
      <c r="C92" s="1" t="s">
        <v>711</v>
      </c>
      <c r="D92" s="1" t="s">
        <v>101</v>
      </c>
      <c r="E92" s="1" t="s">
        <v>701</v>
      </c>
      <c r="F92" s="3">
        <v>46191</v>
      </c>
      <c r="G92" s="3">
        <v>46199</v>
      </c>
      <c r="H92" s="1">
        <v>1</v>
      </c>
      <c r="I92" s="3">
        <v>46199</v>
      </c>
      <c r="J92" s="1" t="s">
        <v>53</v>
      </c>
      <c r="K92" s="1" t="s">
        <v>712</v>
      </c>
      <c r="L92" s="1">
        <v>508</v>
      </c>
      <c r="M92" s="1" t="s">
        <v>342</v>
      </c>
      <c r="N92" s="2">
        <v>46205</v>
      </c>
      <c r="P92" s="1" t="s">
        <v>73</v>
      </c>
      <c r="Q92" s="1" t="s">
        <v>55</v>
      </c>
      <c r="R92" s="1" t="s">
        <v>593</v>
      </c>
      <c r="S92" s="2">
        <v>46189</v>
      </c>
      <c r="T92" s="2">
        <v>46202</v>
      </c>
      <c r="AB92" s="1">
        <v>1</v>
      </c>
      <c r="AC92" s="1">
        <v>1</v>
      </c>
      <c r="AD92" s="1">
        <v>1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1</v>
      </c>
    </row>
    <row r="93" spans="1:39" x14ac:dyDescent="0.25">
      <c r="A93" s="1">
        <v>512</v>
      </c>
      <c r="B93" s="1" t="s">
        <v>718</v>
      </c>
      <c r="C93" s="1" t="s">
        <v>719</v>
      </c>
      <c r="D93" s="1" t="s">
        <v>101</v>
      </c>
      <c r="E93" s="1" t="s">
        <v>701</v>
      </c>
      <c r="F93" s="3">
        <v>46191</v>
      </c>
      <c r="G93" s="3">
        <v>46199</v>
      </c>
      <c r="H93" s="1">
        <v>1</v>
      </c>
      <c r="I93" s="3">
        <v>46199</v>
      </c>
      <c r="J93" s="1" t="s">
        <v>53</v>
      </c>
      <c r="K93" s="1" t="s">
        <v>712</v>
      </c>
      <c r="L93" s="1">
        <v>513</v>
      </c>
      <c r="M93" s="1" t="s">
        <v>342</v>
      </c>
      <c r="N93" s="2">
        <v>46205</v>
      </c>
      <c r="P93" s="1" t="s">
        <v>73</v>
      </c>
      <c r="Q93" s="1" t="s">
        <v>55</v>
      </c>
      <c r="R93" s="1" t="s">
        <v>593</v>
      </c>
      <c r="S93" s="2">
        <v>46189</v>
      </c>
      <c r="T93" s="2">
        <v>46202</v>
      </c>
      <c r="AB93" s="1">
        <v>1</v>
      </c>
      <c r="AC93" s="1">
        <v>1</v>
      </c>
      <c r="AD93" s="1">
        <v>1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1</v>
      </c>
    </row>
    <row r="94" spans="1:39" x14ac:dyDescent="0.25">
      <c r="A94" s="1">
        <v>517</v>
      </c>
      <c r="B94" s="1" t="s">
        <v>725</v>
      </c>
      <c r="C94" s="1" t="s">
        <v>726</v>
      </c>
      <c r="D94" s="1" t="s">
        <v>101</v>
      </c>
      <c r="E94" s="1" t="s">
        <v>701</v>
      </c>
      <c r="F94" s="3">
        <v>46191</v>
      </c>
      <c r="G94" s="3">
        <v>46199</v>
      </c>
      <c r="H94" s="1">
        <v>1</v>
      </c>
      <c r="I94" s="3">
        <v>46199</v>
      </c>
      <c r="J94" s="1" t="s">
        <v>53</v>
      </c>
      <c r="K94" s="1" t="s">
        <v>712</v>
      </c>
      <c r="L94" s="1">
        <v>518</v>
      </c>
      <c r="M94" s="1" t="s">
        <v>342</v>
      </c>
      <c r="N94" s="2">
        <v>46205</v>
      </c>
      <c r="P94" s="1" t="s">
        <v>73</v>
      </c>
      <c r="Q94" s="1" t="s">
        <v>55</v>
      </c>
      <c r="R94" s="1" t="s">
        <v>593</v>
      </c>
      <c r="S94" s="2">
        <v>46189</v>
      </c>
      <c r="T94" s="2">
        <v>46202</v>
      </c>
      <c r="AB94" s="1">
        <v>1</v>
      </c>
      <c r="AC94" s="1">
        <v>1</v>
      </c>
      <c r="AD94" s="1">
        <v>1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1</v>
      </c>
    </row>
    <row r="95" spans="1:39" x14ac:dyDescent="0.25">
      <c r="A95" s="1">
        <v>522</v>
      </c>
      <c r="B95" s="1" t="s">
        <v>732</v>
      </c>
      <c r="C95" s="1" t="s">
        <v>733</v>
      </c>
      <c r="D95" s="1" t="s">
        <v>101</v>
      </c>
      <c r="E95" s="1" t="s">
        <v>701</v>
      </c>
      <c r="F95" s="3">
        <v>46191</v>
      </c>
      <c r="G95" s="3">
        <v>46199</v>
      </c>
      <c r="H95" s="1">
        <v>1</v>
      </c>
      <c r="I95" s="3">
        <v>46199</v>
      </c>
      <c r="J95" s="1" t="s">
        <v>53</v>
      </c>
      <c r="K95" s="1" t="s">
        <v>712</v>
      </c>
      <c r="L95" s="1">
        <v>523</v>
      </c>
      <c r="M95" s="1" t="s">
        <v>342</v>
      </c>
      <c r="N95" s="2">
        <v>46205</v>
      </c>
      <c r="P95" s="1" t="s">
        <v>73</v>
      </c>
      <c r="Q95" s="1" t="s">
        <v>55</v>
      </c>
      <c r="R95" s="1" t="s">
        <v>593</v>
      </c>
      <c r="S95" s="2">
        <v>46189</v>
      </c>
      <c r="T95" s="2">
        <v>46202</v>
      </c>
      <c r="AB95" s="1">
        <v>1</v>
      </c>
      <c r="AC95" s="1">
        <v>1</v>
      </c>
      <c r="AD95" s="1">
        <v>1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1</v>
      </c>
    </row>
    <row r="96" spans="1:39" x14ac:dyDescent="0.25">
      <c r="A96" s="1">
        <v>527</v>
      </c>
      <c r="B96" s="1" t="s">
        <v>739</v>
      </c>
      <c r="C96" s="1" t="s">
        <v>740</v>
      </c>
      <c r="D96" s="1" t="s">
        <v>101</v>
      </c>
      <c r="E96" s="1" t="s">
        <v>701</v>
      </c>
      <c r="F96" s="3">
        <v>46191</v>
      </c>
      <c r="G96" s="3">
        <v>46199</v>
      </c>
      <c r="H96" s="1">
        <v>1</v>
      </c>
      <c r="I96" s="3">
        <v>46199</v>
      </c>
      <c r="J96" s="1" t="s">
        <v>53</v>
      </c>
      <c r="K96" s="1" t="s">
        <v>712</v>
      </c>
      <c r="L96" s="1">
        <v>528</v>
      </c>
      <c r="M96" s="1" t="s">
        <v>342</v>
      </c>
      <c r="N96" s="2">
        <v>46205</v>
      </c>
      <c r="P96" s="1" t="s">
        <v>73</v>
      </c>
      <c r="Q96" s="1" t="s">
        <v>55</v>
      </c>
      <c r="R96" s="1" t="s">
        <v>593</v>
      </c>
      <c r="S96" s="2">
        <v>46189</v>
      </c>
      <c r="T96" s="2">
        <v>46202</v>
      </c>
      <c r="AB96" s="1">
        <v>1</v>
      </c>
      <c r="AC96" s="1">
        <v>1</v>
      </c>
      <c r="AD96" s="1">
        <v>1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1</v>
      </c>
    </row>
    <row r="97" spans="1:39" x14ac:dyDescent="0.25">
      <c r="A97" s="1">
        <v>532</v>
      </c>
      <c r="B97" s="1" t="s">
        <v>746</v>
      </c>
      <c r="C97" s="1" t="s">
        <v>747</v>
      </c>
      <c r="D97" s="1" t="s">
        <v>101</v>
      </c>
      <c r="E97" s="1" t="s">
        <v>701</v>
      </c>
      <c r="F97" s="3">
        <v>46191</v>
      </c>
      <c r="G97" s="3">
        <v>46199</v>
      </c>
      <c r="H97" s="1">
        <v>1</v>
      </c>
      <c r="I97" s="3">
        <v>46199</v>
      </c>
      <c r="J97" s="1" t="s">
        <v>53</v>
      </c>
      <c r="K97" s="1" t="s">
        <v>712</v>
      </c>
      <c r="L97" s="1">
        <v>533</v>
      </c>
      <c r="M97" s="1" t="s">
        <v>342</v>
      </c>
      <c r="N97" s="2">
        <v>46205</v>
      </c>
      <c r="P97" s="1" t="s">
        <v>73</v>
      </c>
      <c r="Q97" s="1" t="s">
        <v>55</v>
      </c>
      <c r="R97" s="1" t="s">
        <v>593</v>
      </c>
      <c r="S97" s="2">
        <v>46189</v>
      </c>
      <c r="T97" s="2">
        <v>46202</v>
      </c>
      <c r="AB97" s="1">
        <v>1</v>
      </c>
      <c r="AC97" s="1">
        <v>1</v>
      </c>
      <c r="AD97" s="1">
        <v>1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1</v>
      </c>
    </row>
    <row r="98" spans="1:39" x14ac:dyDescent="0.25">
      <c r="A98" s="1">
        <v>537</v>
      </c>
      <c r="B98" s="1" t="s">
        <v>753</v>
      </c>
      <c r="C98" s="1" t="s">
        <v>754</v>
      </c>
      <c r="D98" s="1" t="s">
        <v>101</v>
      </c>
      <c r="E98" s="1" t="s">
        <v>701</v>
      </c>
      <c r="F98" s="3">
        <v>46191</v>
      </c>
      <c r="G98" s="3">
        <v>46199</v>
      </c>
      <c r="H98" s="1">
        <v>1</v>
      </c>
      <c r="I98" s="3">
        <v>46199</v>
      </c>
      <c r="J98" s="1" t="s">
        <v>53</v>
      </c>
      <c r="K98" s="1" t="s">
        <v>712</v>
      </c>
      <c r="L98" s="1">
        <v>538</v>
      </c>
      <c r="M98" s="1" t="s">
        <v>342</v>
      </c>
      <c r="N98" s="2">
        <v>46205</v>
      </c>
      <c r="P98" s="1" t="s">
        <v>73</v>
      </c>
      <c r="Q98" s="1" t="s">
        <v>55</v>
      </c>
      <c r="R98" s="1" t="s">
        <v>593</v>
      </c>
      <c r="S98" s="2">
        <v>46189</v>
      </c>
      <c r="T98" s="2">
        <v>46202</v>
      </c>
      <c r="AB98" s="1">
        <v>1</v>
      </c>
      <c r="AC98" s="1">
        <v>1</v>
      </c>
      <c r="AD98" s="1">
        <v>1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1</v>
      </c>
    </row>
    <row r="99" spans="1:39" x14ac:dyDescent="0.25">
      <c r="A99" s="1">
        <v>542</v>
      </c>
      <c r="B99" s="1" t="s">
        <v>760</v>
      </c>
      <c r="C99" s="1" t="s">
        <v>761</v>
      </c>
      <c r="D99" s="1" t="s">
        <v>101</v>
      </c>
      <c r="E99" s="1" t="s">
        <v>701</v>
      </c>
      <c r="F99" s="3">
        <v>46191</v>
      </c>
      <c r="G99" s="3">
        <v>46199</v>
      </c>
      <c r="H99" s="1">
        <v>1</v>
      </c>
      <c r="I99" s="3">
        <v>46199</v>
      </c>
      <c r="J99" s="1" t="s">
        <v>53</v>
      </c>
      <c r="K99" s="1" t="s">
        <v>712</v>
      </c>
      <c r="L99" s="1">
        <v>543</v>
      </c>
      <c r="M99" s="1" t="s">
        <v>342</v>
      </c>
      <c r="N99" s="2">
        <v>46205</v>
      </c>
      <c r="P99" s="1" t="s">
        <v>73</v>
      </c>
      <c r="Q99" s="1" t="s">
        <v>55</v>
      </c>
      <c r="R99" s="1" t="s">
        <v>593</v>
      </c>
      <c r="S99" s="2">
        <v>46189</v>
      </c>
      <c r="T99" s="2">
        <v>46202</v>
      </c>
      <c r="AB99" s="1">
        <v>1</v>
      </c>
      <c r="AC99" s="1">
        <v>1</v>
      </c>
      <c r="AD99" s="1">
        <v>1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1</v>
      </c>
    </row>
    <row r="100" spans="1:39" x14ac:dyDescent="0.25">
      <c r="A100" s="1">
        <v>547</v>
      </c>
      <c r="B100" s="1" t="s">
        <v>767</v>
      </c>
      <c r="C100" s="1" t="s">
        <v>768</v>
      </c>
      <c r="D100" s="1" t="s">
        <v>101</v>
      </c>
      <c r="E100" s="1" t="s">
        <v>701</v>
      </c>
      <c r="F100" s="3">
        <v>46195</v>
      </c>
      <c r="G100" s="3">
        <v>46203</v>
      </c>
      <c r="H100" s="1">
        <v>1</v>
      </c>
      <c r="I100" s="3">
        <v>46203</v>
      </c>
      <c r="J100" s="1" t="s">
        <v>53</v>
      </c>
      <c r="K100" s="1" t="s">
        <v>712</v>
      </c>
      <c r="L100" s="1">
        <v>548</v>
      </c>
      <c r="M100" s="1" t="s">
        <v>342</v>
      </c>
      <c r="N100" s="2">
        <v>46205</v>
      </c>
      <c r="P100" s="1" t="s">
        <v>73</v>
      </c>
      <c r="Q100" s="1" t="s">
        <v>55</v>
      </c>
      <c r="R100" s="1" t="s">
        <v>593</v>
      </c>
      <c r="S100" s="2">
        <v>46189</v>
      </c>
      <c r="T100" s="2">
        <v>46202</v>
      </c>
      <c r="AB100" s="1">
        <v>1</v>
      </c>
      <c r="AC100" s="1">
        <v>1</v>
      </c>
      <c r="AD100" s="1">
        <v>1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1</v>
      </c>
    </row>
    <row r="101" spans="1:39" x14ac:dyDescent="0.25">
      <c r="A101" s="1">
        <v>552</v>
      </c>
      <c r="B101" s="1" t="s">
        <v>774</v>
      </c>
      <c r="C101" s="1" t="s">
        <v>775</v>
      </c>
      <c r="D101" s="1" t="s">
        <v>101</v>
      </c>
      <c r="E101" s="1" t="s">
        <v>701</v>
      </c>
      <c r="F101" s="3">
        <v>46191</v>
      </c>
      <c r="G101" s="3">
        <v>46199</v>
      </c>
      <c r="H101" s="1">
        <v>1</v>
      </c>
      <c r="I101" s="3">
        <v>46199</v>
      </c>
      <c r="J101" s="1" t="s">
        <v>53</v>
      </c>
      <c r="K101" s="1" t="s">
        <v>712</v>
      </c>
      <c r="L101" s="1">
        <v>553</v>
      </c>
      <c r="M101" s="1" t="s">
        <v>342</v>
      </c>
      <c r="N101" s="2">
        <v>46205</v>
      </c>
      <c r="P101" s="1" t="s">
        <v>73</v>
      </c>
      <c r="Q101" s="1" t="s">
        <v>55</v>
      </c>
      <c r="R101" s="1" t="s">
        <v>593</v>
      </c>
      <c r="S101" s="2">
        <v>46189</v>
      </c>
      <c r="T101" s="2">
        <v>46202</v>
      </c>
      <c r="AB101" s="1">
        <v>1</v>
      </c>
      <c r="AC101" s="1">
        <v>1</v>
      </c>
      <c r="AD101" s="1">
        <v>1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1</v>
      </c>
    </row>
    <row r="102" spans="1:39" x14ac:dyDescent="0.25">
      <c r="A102" s="1">
        <v>557</v>
      </c>
      <c r="B102" s="1" t="s">
        <v>781</v>
      </c>
      <c r="C102" s="1" t="s">
        <v>782</v>
      </c>
      <c r="D102" s="1" t="s">
        <v>101</v>
      </c>
      <c r="E102" s="1" t="s">
        <v>701</v>
      </c>
      <c r="F102" s="3">
        <v>46195</v>
      </c>
      <c r="G102" s="3">
        <v>46203</v>
      </c>
      <c r="H102" s="1">
        <v>1</v>
      </c>
      <c r="I102" s="3">
        <v>46203</v>
      </c>
      <c r="J102" s="1" t="s">
        <v>53</v>
      </c>
      <c r="K102" s="1" t="s">
        <v>712</v>
      </c>
      <c r="L102" s="1">
        <v>558</v>
      </c>
      <c r="M102" s="1" t="s">
        <v>342</v>
      </c>
      <c r="N102" s="2">
        <v>46205</v>
      </c>
      <c r="P102" s="1" t="s">
        <v>73</v>
      </c>
      <c r="Q102" s="1" t="s">
        <v>55</v>
      </c>
      <c r="R102" s="1" t="s">
        <v>593</v>
      </c>
      <c r="S102" s="2">
        <v>46189</v>
      </c>
      <c r="T102" s="2">
        <v>46202</v>
      </c>
      <c r="AB102" s="1">
        <v>1</v>
      </c>
      <c r="AC102" s="1">
        <v>1</v>
      </c>
      <c r="AD102" s="1">
        <v>1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1</v>
      </c>
    </row>
    <row r="103" spans="1:39" x14ac:dyDescent="0.25">
      <c r="A103" s="1">
        <v>562</v>
      </c>
      <c r="B103" s="1" t="s">
        <v>789</v>
      </c>
      <c r="C103" s="1" t="s">
        <v>790</v>
      </c>
      <c r="D103" s="1" t="s">
        <v>101</v>
      </c>
      <c r="E103" s="1" t="s">
        <v>701</v>
      </c>
      <c r="F103" s="3">
        <v>46195</v>
      </c>
      <c r="G103" s="3">
        <v>46203</v>
      </c>
      <c r="H103" s="1">
        <v>1</v>
      </c>
      <c r="I103" s="3">
        <v>46203</v>
      </c>
      <c r="J103" s="1" t="s">
        <v>53</v>
      </c>
      <c r="K103" s="1" t="s">
        <v>712</v>
      </c>
      <c r="L103" s="1">
        <v>563</v>
      </c>
      <c r="M103" s="1" t="s">
        <v>342</v>
      </c>
      <c r="N103" s="2">
        <v>46205</v>
      </c>
      <c r="P103" s="1" t="s">
        <v>73</v>
      </c>
      <c r="Q103" s="1" t="s">
        <v>55</v>
      </c>
      <c r="R103" s="1" t="s">
        <v>593</v>
      </c>
      <c r="S103" s="2">
        <v>46189</v>
      </c>
      <c r="T103" s="2">
        <v>46202</v>
      </c>
      <c r="AB103" s="1">
        <v>1</v>
      </c>
      <c r="AC103" s="1">
        <v>1</v>
      </c>
      <c r="AD103" s="1">
        <v>1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1</v>
      </c>
    </row>
    <row r="104" spans="1:39" x14ac:dyDescent="0.25">
      <c r="A104" s="1">
        <v>567</v>
      </c>
      <c r="B104" s="1" t="s">
        <v>796</v>
      </c>
      <c r="C104" s="1" t="s">
        <v>797</v>
      </c>
      <c r="D104" s="1" t="s">
        <v>101</v>
      </c>
      <c r="E104" s="1" t="s">
        <v>701</v>
      </c>
      <c r="F104" s="3">
        <v>46191</v>
      </c>
      <c r="G104" s="3">
        <v>46199</v>
      </c>
      <c r="H104" s="1">
        <v>1</v>
      </c>
      <c r="I104" s="3">
        <v>46199</v>
      </c>
      <c r="J104" s="1" t="s">
        <v>53</v>
      </c>
      <c r="K104" s="1" t="s">
        <v>712</v>
      </c>
      <c r="L104" s="1">
        <v>568</v>
      </c>
      <c r="M104" s="1" t="s">
        <v>342</v>
      </c>
      <c r="N104" s="2">
        <v>46205</v>
      </c>
      <c r="P104" s="1" t="s">
        <v>73</v>
      </c>
      <c r="Q104" s="1" t="s">
        <v>55</v>
      </c>
      <c r="R104" s="1" t="s">
        <v>593</v>
      </c>
      <c r="S104" s="2">
        <v>46189</v>
      </c>
      <c r="T104" s="2">
        <v>46202</v>
      </c>
      <c r="AB104" s="1">
        <v>1</v>
      </c>
      <c r="AC104" s="1">
        <v>1</v>
      </c>
      <c r="AD104" s="1">
        <v>1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1</v>
      </c>
    </row>
    <row r="105" spans="1:39" x14ac:dyDescent="0.25">
      <c r="A105" s="1">
        <v>572</v>
      </c>
      <c r="B105" s="1" t="s">
        <v>803</v>
      </c>
      <c r="C105" s="1" t="s">
        <v>804</v>
      </c>
      <c r="D105" s="1" t="s">
        <v>101</v>
      </c>
      <c r="E105" s="1" t="s">
        <v>701</v>
      </c>
      <c r="F105" s="3">
        <v>46191</v>
      </c>
      <c r="G105" s="3">
        <v>46199</v>
      </c>
      <c r="H105" s="1">
        <v>1</v>
      </c>
      <c r="I105" s="3">
        <v>46199</v>
      </c>
      <c r="J105" s="1" t="s">
        <v>53</v>
      </c>
      <c r="K105" s="1" t="s">
        <v>712</v>
      </c>
      <c r="L105" s="1">
        <v>573</v>
      </c>
      <c r="M105" s="1" t="s">
        <v>342</v>
      </c>
      <c r="N105" s="2">
        <v>46205</v>
      </c>
      <c r="P105" s="1" t="s">
        <v>73</v>
      </c>
      <c r="Q105" s="1" t="s">
        <v>55</v>
      </c>
      <c r="R105" s="1" t="s">
        <v>593</v>
      </c>
      <c r="S105" s="2">
        <v>46189</v>
      </c>
      <c r="T105" s="2">
        <v>46202</v>
      </c>
      <c r="AB105" s="1">
        <v>1</v>
      </c>
      <c r="AC105" s="1">
        <v>1</v>
      </c>
      <c r="AD105" s="1">
        <v>1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1</v>
      </c>
    </row>
    <row r="106" spans="1:39" x14ac:dyDescent="0.25">
      <c r="A106" s="1">
        <v>577</v>
      </c>
      <c r="B106" s="1" t="s">
        <v>810</v>
      </c>
      <c r="C106" s="1" t="s">
        <v>811</v>
      </c>
      <c r="D106" s="1" t="s">
        <v>101</v>
      </c>
      <c r="E106" s="1" t="s">
        <v>701</v>
      </c>
      <c r="F106" s="3">
        <v>46191</v>
      </c>
      <c r="G106" s="3">
        <v>46199</v>
      </c>
      <c r="H106" s="1">
        <v>1</v>
      </c>
      <c r="I106" s="3">
        <v>46199</v>
      </c>
      <c r="J106" s="1" t="s">
        <v>53</v>
      </c>
      <c r="K106" s="1" t="s">
        <v>712</v>
      </c>
      <c r="L106" s="1">
        <v>578</v>
      </c>
      <c r="M106" s="1" t="s">
        <v>342</v>
      </c>
      <c r="N106" s="2">
        <v>46205</v>
      </c>
      <c r="P106" s="1" t="s">
        <v>73</v>
      </c>
      <c r="Q106" s="1" t="s">
        <v>55</v>
      </c>
      <c r="R106" s="1" t="s">
        <v>593</v>
      </c>
      <c r="S106" s="2">
        <v>46189</v>
      </c>
      <c r="T106" s="2">
        <v>46202</v>
      </c>
      <c r="AB106" s="1">
        <v>1</v>
      </c>
      <c r="AC106" s="1">
        <v>1</v>
      </c>
      <c r="AD106" s="1">
        <v>1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1</v>
      </c>
    </row>
    <row r="107" spans="1:39" x14ac:dyDescent="0.25">
      <c r="A107" s="1">
        <v>582</v>
      </c>
      <c r="B107" s="1" t="s">
        <v>817</v>
      </c>
      <c r="C107" s="1" t="s">
        <v>818</v>
      </c>
      <c r="D107" s="1" t="s">
        <v>101</v>
      </c>
      <c r="E107" s="1" t="s">
        <v>701</v>
      </c>
      <c r="F107" s="3">
        <v>46192</v>
      </c>
      <c r="G107" s="3">
        <v>46202</v>
      </c>
      <c r="H107" s="1">
        <v>1</v>
      </c>
      <c r="I107" s="3">
        <v>46202</v>
      </c>
      <c r="J107" s="1" t="s">
        <v>53</v>
      </c>
      <c r="K107" s="1" t="s">
        <v>712</v>
      </c>
      <c r="L107" s="1">
        <v>583</v>
      </c>
      <c r="M107" s="1" t="s">
        <v>342</v>
      </c>
      <c r="N107" s="2">
        <v>46205</v>
      </c>
      <c r="P107" s="1" t="s">
        <v>73</v>
      </c>
      <c r="Q107" s="1" t="s">
        <v>55</v>
      </c>
      <c r="R107" s="1" t="s">
        <v>593</v>
      </c>
      <c r="S107" s="2">
        <v>46189</v>
      </c>
      <c r="T107" s="2">
        <v>46202</v>
      </c>
      <c r="AB107" s="1">
        <v>1</v>
      </c>
      <c r="AC107" s="1">
        <v>1</v>
      </c>
      <c r="AD107" s="1">
        <v>1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1</v>
      </c>
    </row>
    <row r="108" spans="1:39" x14ac:dyDescent="0.25">
      <c r="A108" s="1">
        <v>587</v>
      </c>
      <c r="B108" s="1" t="s">
        <v>824</v>
      </c>
      <c r="C108" s="1" t="s">
        <v>825</v>
      </c>
      <c r="D108" s="1" t="s">
        <v>101</v>
      </c>
      <c r="E108" s="1" t="s">
        <v>701</v>
      </c>
      <c r="F108" s="3">
        <v>46195</v>
      </c>
      <c r="G108" s="3">
        <v>46203</v>
      </c>
      <c r="H108" s="1">
        <v>1</v>
      </c>
      <c r="I108" s="3">
        <v>46203</v>
      </c>
      <c r="J108" s="1" t="s">
        <v>53</v>
      </c>
      <c r="K108" s="1" t="s">
        <v>712</v>
      </c>
      <c r="L108" s="1">
        <v>588</v>
      </c>
      <c r="M108" s="1" t="s">
        <v>342</v>
      </c>
      <c r="N108" s="2">
        <v>46205</v>
      </c>
      <c r="P108" s="1" t="s">
        <v>73</v>
      </c>
      <c r="Q108" s="1" t="s">
        <v>55</v>
      </c>
      <c r="R108" s="1" t="s">
        <v>593</v>
      </c>
      <c r="S108" s="2">
        <v>46189</v>
      </c>
      <c r="T108" s="2">
        <v>46202</v>
      </c>
      <c r="AB108" s="1">
        <v>1</v>
      </c>
      <c r="AC108" s="1">
        <v>1</v>
      </c>
      <c r="AD108" s="1">
        <v>1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1</v>
      </c>
    </row>
    <row r="109" spans="1:39" x14ac:dyDescent="0.25">
      <c r="A109" s="1">
        <v>592</v>
      </c>
      <c r="B109" s="1" t="s">
        <v>831</v>
      </c>
      <c r="C109" s="1" t="s">
        <v>832</v>
      </c>
      <c r="D109" s="1" t="s">
        <v>101</v>
      </c>
      <c r="E109" s="1" t="s">
        <v>701</v>
      </c>
      <c r="F109" s="3">
        <v>46195</v>
      </c>
      <c r="G109" s="3">
        <v>46203</v>
      </c>
      <c r="H109" s="1">
        <v>1</v>
      </c>
      <c r="I109" s="3">
        <v>46203</v>
      </c>
      <c r="J109" s="1" t="s">
        <v>53</v>
      </c>
      <c r="K109" s="1" t="s">
        <v>712</v>
      </c>
      <c r="L109" s="1">
        <v>593</v>
      </c>
      <c r="M109" s="1" t="s">
        <v>342</v>
      </c>
      <c r="N109" s="2">
        <v>46205</v>
      </c>
      <c r="P109" s="1" t="s">
        <v>73</v>
      </c>
      <c r="Q109" s="1" t="s">
        <v>55</v>
      </c>
      <c r="R109" s="1" t="s">
        <v>593</v>
      </c>
      <c r="S109" s="2">
        <v>46189</v>
      </c>
      <c r="T109" s="2">
        <v>46202</v>
      </c>
      <c r="AB109" s="1">
        <v>1</v>
      </c>
      <c r="AC109" s="1">
        <v>1</v>
      </c>
      <c r="AD109" s="1">
        <v>1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1</v>
      </c>
    </row>
    <row r="110" spans="1:39" x14ac:dyDescent="0.25">
      <c r="A110" s="1">
        <v>597</v>
      </c>
      <c r="B110" s="1" t="s">
        <v>838</v>
      </c>
      <c r="C110" s="1" t="s">
        <v>839</v>
      </c>
      <c r="D110" s="1" t="s">
        <v>101</v>
      </c>
      <c r="E110" s="1" t="s">
        <v>701</v>
      </c>
      <c r="F110" s="3">
        <v>46192</v>
      </c>
      <c r="G110" s="3">
        <v>46202</v>
      </c>
      <c r="H110" s="1">
        <v>1</v>
      </c>
      <c r="I110" s="3">
        <v>46202</v>
      </c>
      <c r="J110" s="1" t="s">
        <v>53</v>
      </c>
      <c r="K110" s="1" t="s">
        <v>712</v>
      </c>
      <c r="L110" s="1">
        <v>598</v>
      </c>
      <c r="M110" s="1" t="s">
        <v>342</v>
      </c>
      <c r="N110" s="2">
        <v>46205</v>
      </c>
      <c r="P110" s="1" t="s">
        <v>73</v>
      </c>
      <c r="Q110" s="1" t="s">
        <v>55</v>
      </c>
      <c r="R110" s="1" t="s">
        <v>593</v>
      </c>
      <c r="S110" s="2">
        <v>46189</v>
      </c>
      <c r="T110" s="2">
        <v>46202</v>
      </c>
      <c r="AB110" s="1">
        <v>1</v>
      </c>
      <c r="AC110" s="1">
        <v>1</v>
      </c>
      <c r="AD110" s="1">
        <v>1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1</v>
      </c>
    </row>
    <row r="111" spans="1:39" x14ac:dyDescent="0.25">
      <c r="A111" s="1">
        <v>602</v>
      </c>
      <c r="B111" s="1" t="s">
        <v>845</v>
      </c>
      <c r="C111" s="1" t="s">
        <v>846</v>
      </c>
      <c r="D111" s="1" t="s">
        <v>101</v>
      </c>
      <c r="E111" s="1" t="s">
        <v>701</v>
      </c>
      <c r="F111" s="3">
        <v>46192</v>
      </c>
      <c r="G111" s="3">
        <v>46202</v>
      </c>
      <c r="H111" s="1">
        <v>1</v>
      </c>
      <c r="I111" s="3">
        <v>46202</v>
      </c>
      <c r="J111" s="1" t="s">
        <v>53</v>
      </c>
      <c r="K111" s="1" t="s">
        <v>712</v>
      </c>
      <c r="L111" s="1">
        <v>603</v>
      </c>
      <c r="M111" s="1" t="s">
        <v>342</v>
      </c>
      <c r="N111" s="2">
        <v>46205</v>
      </c>
      <c r="P111" s="1" t="s">
        <v>73</v>
      </c>
      <c r="Q111" s="1" t="s">
        <v>55</v>
      </c>
      <c r="R111" s="1" t="s">
        <v>593</v>
      </c>
      <c r="S111" s="2">
        <v>46189</v>
      </c>
      <c r="T111" s="2">
        <v>46202</v>
      </c>
      <c r="AB111" s="1">
        <v>1</v>
      </c>
      <c r="AC111" s="1">
        <v>1</v>
      </c>
      <c r="AD111" s="1">
        <v>1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1</v>
      </c>
    </row>
    <row r="112" spans="1:39" x14ac:dyDescent="0.25">
      <c r="A112" s="1">
        <v>607</v>
      </c>
      <c r="B112" s="1" t="s">
        <v>852</v>
      </c>
      <c r="C112" s="1" t="s">
        <v>853</v>
      </c>
      <c r="D112" s="1" t="s">
        <v>101</v>
      </c>
      <c r="E112" s="1" t="s">
        <v>701</v>
      </c>
      <c r="F112" s="3">
        <v>46192</v>
      </c>
      <c r="G112" s="3">
        <v>46202</v>
      </c>
      <c r="H112" s="1">
        <v>1</v>
      </c>
      <c r="I112" s="3">
        <v>46202</v>
      </c>
      <c r="J112" s="1" t="s">
        <v>53</v>
      </c>
      <c r="K112" s="1" t="s">
        <v>712</v>
      </c>
      <c r="L112" s="1">
        <v>608</v>
      </c>
      <c r="M112" s="1" t="s">
        <v>342</v>
      </c>
      <c r="N112" s="2">
        <v>46205</v>
      </c>
      <c r="P112" s="1" t="s">
        <v>73</v>
      </c>
      <c r="Q112" s="1" t="s">
        <v>55</v>
      </c>
      <c r="R112" s="1" t="s">
        <v>593</v>
      </c>
      <c r="S112" s="2">
        <v>46189</v>
      </c>
      <c r="T112" s="2">
        <v>46202</v>
      </c>
      <c r="AB112" s="1">
        <v>1</v>
      </c>
      <c r="AC112" s="1">
        <v>1</v>
      </c>
      <c r="AD112" s="1">
        <v>1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1</v>
      </c>
    </row>
    <row r="113" spans="1:39" x14ac:dyDescent="0.25">
      <c r="A113" s="1">
        <v>612</v>
      </c>
      <c r="B113" s="1" t="s">
        <v>859</v>
      </c>
      <c r="C113" s="1" t="s">
        <v>860</v>
      </c>
      <c r="D113" s="1" t="s">
        <v>101</v>
      </c>
      <c r="E113" s="1" t="s">
        <v>701</v>
      </c>
      <c r="F113" s="3">
        <v>46192</v>
      </c>
      <c r="G113" s="3">
        <v>46202</v>
      </c>
      <c r="H113" s="1">
        <v>1</v>
      </c>
      <c r="I113" s="3">
        <v>46202</v>
      </c>
      <c r="J113" s="1" t="s">
        <v>53</v>
      </c>
      <c r="K113" s="1" t="s">
        <v>712</v>
      </c>
      <c r="L113" s="1">
        <v>613</v>
      </c>
      <c r="M113" s="1" t="s">
        <v>342</v>
      </c>
      <c r="N113" s="2">
        <v>46205</v>
      </c>
      <c r="P113" s="1" t="s">
        <v>73</v>
      </c>
      <c r="Q113" s="1" t="s">
        <v>55</v>
      </c>
      <c r="R113" s="1" t="s">
        <v>593</v>
      </c>
      <c r="S113" s="2">
        <v>46189</v>
      </c>
      <c r="T113" s="2">
        <v>46202</v>
      </c>
      <c r="AB113" s="1">
        <v>1</v>
      </c>
      <c r="AC113" s="1">
        <v>1</v>
      </c>
      <c r="AD113" s="1">
        <v>1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1</v>
      </c>
    </row>
    <row r="114" spans="1:39" x14ac:dyDescent="0.25">
      <c r="A114" s="1">
        <v>622</v>
      </c>
      <c r="B114" s="1" t="s">
        <v>874</v>
      </c>
      <c r="C114" s="1" t="s">
        <v>875</v>
      </c>
      <c r="D114" s="1" t="s">
        <v>101</v>
      </c>
      <c r="E114" s="1" t="s">
        <v>231</v>
      </c>
      <c r="F114" s="3">
        <v>46189</v>
      </c>
      <c r="G114" s="3">
        <v>46192</v>
      </c>
      <c r="H114" s="1">
        <v>1</v>
      </c>
      <c r="I114" s="3">
        <v>46192</v>
      </c>
      <c r="J114" s="1" t="s">
        <v>53</v>
      </c>
      <c r="L114" s="1">
        <v>623</v>
      </c>
      <c r="M114" s="1" t="s">
        <v>160</v>
      </c>
      <c r="N114" s="2">
        <v>46205</v>
      </c>
      <c r="P114" s="1" t="s">
        <v>73</v>
      </c>
      <c r="Q114" s="1" t="s">
        <v>55</v>
      </c>
      <c r="R114" s="1" t="s">
        <v>593</v>
      </c>
      <c r="S114" s="2">
        <v>46197</v>
      </c>
      <c r="T114" s="2">
        <v>46199</v>
      </c>
      <c r="AB114" s="1">
        <v>1</v>
      </c>
      <c r="AC114" s="1">
        <v>1</v>
      </c>
      <c r="AD114" s="1">
        <v>1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1</v>
      </c>
    </row>
    <row r="115" spans="1:39" hidden="1" x14ac:dyDescent="0.25">
      <c r="A115" s="1">
        <v>623</v>
      </c>
      <c r="B115" s="1" t="s">
        <v>876</v>
      </c>
      <c r="C115" s="1" t="s">
        <v>875</v>
      </c>
      <c r="D115" s="1" t="s">
        <v>105</v>
      </c>
      <c r="E115" s="1" t="s">
        <v>52</v>
      </c>
      <c r="F115" s="3">
        <v>46195</v>
      </c>
      <c r="G115" s="3">
        <v>46195</v>
      </c>
      <c r="H115" s="1">
        <v>1</v>
      </c>
      <c r="I115" s="3">
        <v>46195</v>
      </c>
      <c r="J115" s="1" t="s">
        <v>53</v>
      </c>
      <c r="K115" s="1">
        <v>622</v>
      </c>
      <c r="L115" s="1">
        <v>624</v>
      </c>
      <c r="M115" s="1" t="s">
        <v>166</v>
      </c>
      <c r="N115" s="2">
        <v>46206</v>
      </c>
      <c r="P115" s="1" t="s">
        <v>146</v>
      </c>
      <c r="Q115" s="1" t="s">
        <v>55</v>
      </c>
      <c r="R115" s="1" t="s">
        <v>593</v>
      </c>
      <c r="S115" s="2">
        <v>46202</v>
      </c>
      <c r="T115" s="2">
        <v>46202</v>
      </c>
      <c r="AB115" s="1">
        <v>1</v>
      </c>
      <c r="AC115" s="1">
        <v>0</v>
      </c>
      <c r="AD115" s="1">
        <v>0</v>
      </c>
      <c r="AE115" s="1">
        <v>0</v>
      </c>
      <c r="AF115" s="1">
        <v>0</v>
      </c>
      <c r="AG115" s="1">
        <v>1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</row>
    <row r="116" spans="1:39" x14ac:dyDescent="0.25">
      <c r="A116" s="1">
        <v>627</v>
      </c>
      <c r="B116" s="1" t="s">
        <v>881</v>
      </c>
      <c r="C116" s="1" t="s">
        <v>882</v>
      </c>
      <c r="D116" s="1" t="s">
        <v>101</v>
      </c>
      <c r="E116" s="1" t="s">
        <v>231</v>
      </c>
      <c r="F116" s="3">
        <v>46202</v>
      </c>
      <c r="G116" s="3">
        <v>46205</v>
      </c>
      <c r="H116" s="1">
        <v>1</v>
      </c>
      <c r="I116" s="3">
        <v>46205</v>
      </c>
      <c r="J116" s="1" t="s">
        <v>53</v>
      </c>
      <c r="L116" s="1">
        <v>628</v>
      </c>
      <c r="M116" s="1" t="s">
        <v>160</v>
      </c>
      <c r="N116" s="2">
        <v>46205</v>
      </c>
      <c r="P116" s="1" t="s">
        <v>73</v>
      </c>
      <c r="Q116" s="1" t="s">
        <v>55</v>
      </c>
      <c r="R116" s="1" t="s">
        <v>593</v>
      </c>
      <c r="S116" s="2">
        <v>46197</v>
      </c>
      <c r="T116" s="2">
        <v>46199</v>
      </c>
      <c r="AB116" s="1">
        <v>1</v>
      </c>
      <c r="AC116" s="1">
        <v>1</v>
      </c>
      <c r="AD116" s="1">
        <v>1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1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253"/>
  <sheetViews>
    <sheetView workbookViewId="0">
      <selection activeCell="F88" sqref="F88"/>
    </sheetView>
  </sheetViews>
  <sheetFormatPr defaultRowHeight="15" x14ac:dyDescent="0.25"/>
  <cols>
    <col min="1" max="1" width="7.28515625" style="1" bestFit="1" customWidth="1"/>
    <col min="2" max="2" width="10.28515625" style="1" bestFit="1" customWidth="1"/>
    <col min="3" max="3" width="30.42578125" style="1" bestFit="1" customWidth="1"/>
    <col min="4" max="4" width="30.7109375" style="1" bestFit="1" customWidth="1"/>
    <col min="5" max="5" width="12.7109375" style="1" bestFit="1" customWidth="1"/>
    <col min="6" max="6" width="10.7109375" style="3" bestFit="1" customWidth="1"/>
    <col min="7" max="7" width="13" style="3" bestFit="1" customWidth="1"/>
    <col min="8" max="8" width="16" style="4" bestFit="1" customWidth="1"/>
    <col min="9" max="9" width="16.85546875" style="1" bestFit="1" customWidth="1"/>
    <col min="10" max="10" width="12.42578125" style="1" bestFit="1" customWidth="1"/>
    <col min="11" max="11" width="18.42578125" style="1" bestFit="1" customWidth="1"/>
    <col min="12" max="12" width="23.7109375" style="1" bestFit="1" customWidth="1"/>
    <col min="13" max="13" width="25.7109375" style="1" bestFit="1" customWidth="1"/>
    <col min="14" max="14" width="28.140625" style="1" bestFit="1" customWidth="1"/>
    <col min="15" max="15" width="23.5703125" style="1" bestFit="1" customWidth="1"/>
    <col min="16" max="16" width="14.5703125" style="1" bestFit="1" customWidth="1"/>
    <col min="17" max="17" width="11.140625" style="1" bestFit="1" customWidth="1"/>
    <col min="18" max="18" width="32.140625" style="1" bestFit="1" customWidth="1"/>
    <col min="19" max="19" width="18.28515625" style="1" bestFit="1" customWidth="1"/>
    <col min="20" max="20" width="19.28515625" style="1" bestFit="1" customWidth="1"/>
    <col min="21" max="21" width="16.42578125" style="1" bestFit="1" customWidth="1"/>
    <col min="22" max="22" width="17.28515625" style="1" bestFit="1" customWidth="1"/>
    <col min="23" max="23" width="57.5703125" style="1" bestFit="1" customWidth="1"/>
    <col min="24" max="24" width="32" style="1" bestFit="1" customWidth="1"/>
    <col min="25" max="25" width="35.28515625" style="1" bestFit="1" customWidth="1"/>
    <col min="26" max="26" width="57.5703125" style="1" bestFit="1" customWidth="1"/>
    <col min="27" max="27" width="17.28515625" style="1" bestFit="1" customWidth="1"/>
    <col min="28" max="28" width="11.85546875" style="1" bestFit="1" customWidth="1"/>
    <col min="29" max="29" width="23.28515625" style="1" bestFit="1" customWidth="1"/>
    <col min="30" max="30" width="27.7109375" style="1" bestFit="1" customWidth="1"/>
    <col min="31" max="31" width="27" style="1" bestFit="1" customWidth="1"/>
    <col min="32" max="32" width="19.5703125" style="1" bestFit="1" customWidth="1"/>
    <col min="33" max="33" width="32.7109375" style="1" bestFit="1" customWidth="1"/>
    <col min="34" max="34" width="29.42578125" style="1" bestFit="1" customWidth="1"/>
    <col min="35" max="35" width="40.5703125" style="1" bestFit="1" customWidth="1"/>
    <col min="36" max="36" width="26.140625" style="1" bestFit="1" customWidth="1"/>
    <col min="37" max="37" width="24" style="1" bestFit="1" customWidth="1"/>
    <col min="38" max="38" width="23.28515625" style="1" bestFit="1" customWidth="1"/>
    <col min="39" max="39" width="14.5703125" style="1" bestFit="1" customWidth="1"/>
    <col min="40" max="16384" width="9.140625" style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idden="1" x14ac:dyDescent="0.25">
      <c r="A2" s="1">
        <v>5</v>
      </c>
      <c r="B2" s="1" t="s">
        <v>62</v>
      </c>
      <c r="C2" s="1" t="s">
        <v>63</v>
      </c>
      <c r="D2" s="1" t="s">
        <v>64</v>
      </c>
      <c r="E2" s="1" t="s">
        <v>52</v>
      </c>
      <c r="F2" s="3">
        <v>46203</v>
      </c>
      <c r="G2" s="3">
        <v>46203</v>
      </c>
      <c r="H2" s="4">
        <v>0.7</v>
      </c>
      <c r="J2" s="1" t="s">
        <v>41</v>
      </c>
      <c r="L2" s="1" t="s">
        <v>65</v>
      </c>
      <c r="M2" s="1" t="s">
        <v>66</v>
      </c>
      <c r="N2" s="2">
        <v>46178</v>
      </c>
      <c r="P2" s="1" t="s">
        <v>67</v>
      </c>
      <c r="Q2" s="1" t="s">
        <v>55</v>
      </c>
      <c r="R2" s="1" t="s">
        <v>61</v>
      </c>
      <c r="S2" s="2">
        <v>46178</v>
      </c>
      <c r="T2" s="2">
        <v>46178</v>
      </c>
      <c r="AB2" s="1">
        <v>0.7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</row>
    <row r="3" spans="1:39" hidden="1" x14ac:dyDescent="0.25">
      <c r="A3" s="1">
        <v>24</v>
      </c>
      <c r="B3" s="1" t="s">
        <v>137</v>
      </c>
      <c r="C3" s="1" t="s">
        <v>50</v>
      </c>
      <c r="D3" s="1" t="s">
        <v>138</v>
      </c>
      <c r="E3" s="1" t="s">
        <v>139</v>
      </c>
      <c r="F3" s="3">
        <v>46139</v>
      </c>
      <c r="G3" s="3">
        <v>46206</v>
      </c>
      <c r="H3" s="4">
        <v>0.41</v>
      </c>
      <c r="J3" s="1" t="s">
        <v>41</v>
      </c>
      <c r="M3" s="1" t="s">
        <v>42</v>
      </c>
      <c r="N3" s="2">
        <v>46210</v>
      </c>
      <c r="P3" s="1" t="s">
        <v>43</v>
      </c>
      <c r="Q3" s="1" t="s">
        <v>55</v>
      </c>
      <c r="R3" s="1" t="s">
        <v>140</v>
      </c>
      <c r="S3" s="2">
        <v>46139</v>
      </c>
      <c r="T3" s="2">
        <v>46204</v>
      </c>
      <c r="AB3" s="1">
        <v>0.41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</row>
    <row r="4" spans="1:39" hidden="1" x14ac:dyDescent="0.25">
      <c r="A4" s="1">
        <v>25</v>
      </c>
      <c r="B4" s="1" t="s">
        <v>141</v>
      </c>
      <c r="C4" s="1" t="s">
        <v>142</v>
      </c>
      <c r="D4" s="1" t="s">
        <v>143</v>
      </c>
      <c r="E4" s="1" t="s">
        <v>144</v>
      </c>
      <c r="F4" s="3">
        <v>46197</v>
      </c>
      <c r="G4" s="3">
        <v>46204</v>
      </c>
      <c r="H4" s="4">
        <v>0.38</v>
      </c>
      <c r="J4" s="1" t="s">
        <v>41</v>
      </c>
      <c r="M4" s="1" t="s">
        <v>145</v>
      </c>
      <c r="N4" s="2">
        <v>46182</v>
      </c>
      <c r="P4" s="1" t="s">
        <v>146</v>
      </c>
      <c r="Q4" s="1" t="s">
        <v>55</v>
      </c>
      <c r="R4" s="1" t="s">
        <v>140</v>
      </c>
      <c r="S4" s="2">
        <v>46167</v>
      </c>
      <c r="T4" s="2">
        <v>46175</v>
      </c>
      <c r="AB4" s="1">
        <v>0.38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</row>
    <row r="5" spans="1:39" x14ac:dyDescent="0.25">
      <c r="A5" s="1">
        <v>26</v>
      </c>
      <c r="B5" s="1" t="s">
        <v>147</v>
      </c>
      <c r="C5" s="1" t="s">
        <v>148</v>
      </c>
      <c r="D5" s="1" t="s">
        <v>101</v>
      </c>
      <c r="E5" s="1" t="s">
        <v>102</v>
      </c>
      <c r="F5" s="3">
        <v>46197</v>
      </c>
      <c r="G5" s="3">
        <v>46199</v>
      </c>
      <c r="H5" s="4">
        <v>0.75</v>
      </c>
      <c r="J5" s="1" t="s">
        <v>41</v>
      </c>
      <c r="K5" s="1" t="s">
        <v>149</v>
      </c>
      <c r="L5" s="1" t="s">
        <v>150</v>
      </c>
      <c r="M5" s="1" t="s">
        <v>145</v>
      </c>
      <c r="N5" s="2">
        <v>46176</v>
      </c>
      <c r="P5" s="1" t="s">
        <v>146</v>
      </c>
      <c r="Q5" s="1" t="s">
        <v>55</v>
      </c>
      <c r="R5" s="1" t="s">
        <v>140</v>
      </c>
      <c r="S5" s="2">
        <v>46167</v>
      </c>
      <c r="T5" s="2">
        <v>46169</v>
      </c>
      <c r="AB5" s="1">
        <v>0.75</v>
      </c>
      <c r="AC5" s="1">
        <v>1</v>
      </c>
      <c r="AD5" s="1">
        <v>0</v>
      </c>
      <c r="AE5" s="1">
        <v>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</row>
    <row r="6" spans="1:39" hidden="1" x14ac:dyDescent="0.25">
      <c r="A6" s="1">
        <v>27</v>
      </c>
      <c r="B6" s="1" t="s">
        <v>151</v>
      </c>
      <c r="C6" s="1" t="s">
        <v>148</v>
      </c>
      <c r="D6" s="1" t="s">
        <v>105</v>
      </c>
      <c r="E6" s="1" t="s">
        <v>52</v>
      </c>
      <c r="F6" s="3">
        <v>46202</v>
      </c>
      <c r="G6" s="3">
        <v>46202</v>
      </c>
      <c r="H6" s="4">
        <v>0</v>
      </c>
      <c r="J6" s="1" t="s">
        <v>41</v>
      </c>
      <c r="K6" s="1">
        <v>26</v>
      </c>
      <c r="L6" s="1" t="s">
        <v>152</v>
      </c>
      <c r="M6" s="1" t="s">
        <v>153</v>
      </c>
      <c r="N6" s="2">
        <v>46177</v>
      </c>
      <c r="P6" s="1" t="s">
        <v>67</v>
      </c>
      <c r="Q6" s="1" t="s">
        <v>55</v>
      </c>
      <c r="R6" s="1" t="s">
        <v>140</v>
      </c>
      <c r="S6" s="2">
        <v>46170</v>
      </c>
      <c r="T6" s="2">
        <v>46170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1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</row>
    <row r="7" spans="1:39" hidden="1" x14ac:dyDescent="0.25">
      <c r="A7" s="1">
        <v>28</v>
      </c>
      <c r="B7" s="1" t="s">
        <v>154</v>
      </c>
      <c r="C7" s="1" t="s">
        <v>148</v>
      </c>
      <c r="D7" s="1" t="s">
        <v>109</v>
      </c>
      <c r="E7" s="1" t="s">
        <v>52</v>
      </c>
      <c r="F7" s="3">
        <v>46203</v>
      </c>
      <c r="G7" s="3">
        <v>46203</v>
      </c>
      <c r="H7" s="4">
        <v>0</v>
      </c>
      <c r="J7" s="1" t="s">
        <v>41</v>
      </c>
      <c r="K7" s="1">
        <v>27</v>
      </c>
      <c r="L7" s="1">
        <v>29</v>
      </c>
      <c r="M7" s="1" t="s">
        <v>66</v>
      </c>
      <c r="N7" s="2">
        <v>46181</v>
      </c>
      <c r="P7" s="1" t="s">
        <v>67</v>
      </c>
      <c r="Q7" s="1" t="s">
        <v>55</v>
      </c>
      <c r="R7" s="1" t="s">
        <v>140</v>
      </c>
      <c r="S7" s="2">
        <v>46171</v>
      </c>
      <c r="T7" s="2">
        <v>46174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1</v>
      </c>
      <c r="AK7" s="1">
        <v>0</v>
      </c>
      <c r="AL7" s="1">
        <v>0</v>
      </c>
      <c r="AM7" s="1">
        <v>0</v>
      </c>
    </row>
    <row r="8" spans="1:39" hidden="1" x14ac:dyDescent="0.25">
      <c r="A8" s="1">
        <v>29</v>
      </c>
      <c r="B8" s="1" t="s">
        <v>155</v>
      </c>
      <c r="C8" s="1" t="s">
        <v>148</v>
      </c>
      <c r="D8" s="1" t="s">
        <v>115</v>
      </c>
      <c r="E8" s="1" t="s">
        <v>52</v>
      </c>
      <c r="F8" s="3">
        <v>46204</v>
      </c>
      <c r="G8" s="3">
        <v>46204</v>
      </c>
      <c r="H8" s="4">
        <v>0</v>
      </c>
      <c r="J8" s="1" t="s">
        <v>41</v>
      </c>
      <c r="K8" s="1">
        <v>28</v>
      </c>
      <c r="M8" s="1" t="s">
        <v>156</v>
      </c>
      <c r="N8" s="2">
        <v>46182</v>
      </c>
      <c r="P8" s="1" t="s">
        <v>67</v>
      </c>
      <c r="Q8" s="1" t="s">
        <v>55</v>
      </c>
      <c r="R8" s="1" t="s">
        <v>140</v>
      </c>
      <c r="S8" s="2">
        <v>46175</v>
      </c>
      <c r="T8" s="2">
        <v>46175</v>
      </c>
      <c r="AB8" s="1">
        <v>0</v>
      </c>
      <c r="AC8" s="1">
        <v>0</v>
      </c>
      <c r="AD8" s="1">
        <v>0</v>
      </c>
      <c r="AE8" s="1">
        <v>0</v>
      </c>
      <c r="AF8" s="1">
        <v>1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</v>
      </c>
      <c r="AM8" s="1">
        <v>0</v>
      </c>
    </row>
    <row r="9" spans="1:39" hidden="1" x14ac:dyDescent="0.25">
      <c r="A9" s="1">
        <v>40</v>
      </c>
      <c r="B9" s="1" t="s">
        <v>157</v>
      </c>
      <c r="C9" s="1" t="s">
        <v>142</v>
      </c>
      <c r="D9" s="1" t="s">
        <v>158</v>
      </c>
      <c r="E9" s="1" t="s">
        <v>159</v>
      </c>
      <c r="F9" s="3">
        <v>46203</v>
      </c>
      <c r="G9" s="3">
        <v>46206</v>
      </c>
      <c r="H9" s="4">
        <v>0.19</v>
      </c>
      <c r="J9" s="1" t="s">
        <v>41</v>
      </c>
      <c r="M9" s="1" t="s">
        <v>160</v>
      </c>
      <c r="N9" s="2">
        <v>46210</v>
      </c>
      <c r="P9" s="1" t="s">
        <v>67</v>
      </c>
      <c r="Q9" s="1" t="s">
        <v>55</v>
      </c>
      <c r="R9" s="1" t="s">
        <v>140</v>
      </c>
      <c r="S9" s="2">
        <v>46196</v>
      </c>
      <c r="T9" s="2">
        <v>46204</v>
      </c>
      <c r="AB9" s="1">
        <v>0.19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</row>
    <row r="10" spans="1:39" x14ac:dyDescent="0.25">
      <c r="A10" s="1">
        <v>41</v>
      </c>
      <c r="B10" s="1" t="s">
        <v>161</v>
      </c>
      <c r="C10" s="1" t="s">
        <v>162</v>
      </c>
      <c r="D10" s="1" t="s">
        <v>101</v>
      </c>
      <c r="E10" s="1" t="s">
        <v>52</v>
      </c>
      <c r="F10" s="3">
        <v>46203</v>
      </c>
      <c r="G10" s="3">
        <v>46203</v>
      </c>
      <c r="H10" s="4">
        <v>0.75</v>
      </c>
      <c r="J10" s="1" t="s">
        <v>41</v>
      </c>
      <c r="K10" s="1">
        <v>27</v>
      </c>
      <c r="L10" s="1">
        <v>42</v>
      </c>
      <c r="M10" s="1" t="s">
        <v>160</v>
      </c>
      <c r="N10" s="2">
        <v>46204</v>
      </c>
      <c r="P10" s="1" t="s">
        <v>67</v>
      </c>
      <c r="Q10" s="1" t="s">
        <v>55</v>
      </c>
      <c r="R10" s="1" t="s">
        <v>140</v>
      </c>
      <c r="S10" s="2">
        <v>46196</v>
      </c>
      <c r="T10" s="2">
        <v>46198</v>
      </c>
      <c r="AB10" s="1">
        <v>0.75</v>
      </c>
      <c r="AC10" s="1">
        <v>1</v>
      </c>
      <c r="AD10" s="1">
        <v>0</v>
      </c>
      <c r="AE10" s="1">
        <v>1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</row>
    <row r="11" spans="1:39" hidden="1" x14ac:dyDescent="0.25">
      <c r="A11" s="1">
        <v>42</v>
      </c>
      <c r="B11" s="1" t="s">
        <v>163</v>
      </c>
      <c r="C11" s="1" t="s">
        <v>162</v>
      </c>
      <c r="D11" s="1" t="s">
        <v>105</v>
      </c>
      <c r="E11" s="1" t="s">
        <v>52</v>
      </c>
      <c r="F11" s="3">
        <v>46204</v>
      </c>
      <c r="G11" s="3">
        <v>46204</v>
      </c>
      <c r="H11" s="4">
        <v>0</v>
      </c>
      <c r="J11" s="1" t="s">
        <v>41</v>
      </c>
      <c r="K11" s="1">
        <v>41</v>
      </c>
      <c r="L11" s="1">
        <v>43</v>
      </c>
      <c r="M11" s="1" t="s">
        <v>164</v>
      </c>
      <c r="N11" s="2">
        <v>46205</v>
      </c>
      <c r="P11" s="1" t="s">
        <v>67</v>
      </c>
      <c r="Q11" s="1" t="s">
        <v>55</v>
      </c>
      <c r="R11" s="1" t="s">
        <v>140</v>
      </c>
      <c r="S11" s="2">
        <v>46199</v>
      </c>
      <c r="T11" s="2">
        <v>46199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1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</row>
    <row r="12" spans="1:39" hidden="1" x14ac:dyDescent="0.25">
      <c r="A12" s="1">
        <v>43</v>
      </c>
      <c r="B12" s="1" t="s">
        <v>165</v>
      </c>
      <c r="C12" s="1" t="s">
        <v>162</v>
      </c>
      <c r="D12" s="1" t="s">
        <v>109</v>
      </c>
      <c r="E12" s="1" t="s">
        <v>52</v>
      </c>
      <c r="F12" s="3">
        <v>46205</v>
      </c>
      <c r="G12" s="3">
        <v>46205</v>
      </c>
      <c r="H12" s="4">
        <v>0</v>
      </c>
      <c r="J12" s="1" t="s">
        <v>41</v>
      </c>
      <c r="K12" s="1">
        <v>42</v>
      </c>
      <c r="L12" s="1">
        <v>44</v>
      </c>
      <c r="M12" s="1" t="s">
        <v>166</v>
      </c>
      <c r="N12" s="2">
        <v>46209</v>
      </c>
      <c r="P12" s="1" t="s">
        <v>67</v>
      </c>
      <c r="Q12" s="1" t="s">
        <v>55</v>
      </c>
      <c r="R12" s="1" t="s">
        <v>140</v>
      </c>
      <c r="S12" s="2">
        <v>46202</v>
      </c>
      <c r="T12" s="2">
        <v>46203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1</v>
      </c>
      <c r="AK12" s="1">
        <v>0</v>
      </c>
      <c r="AL12" s="1">
        <v>0</v>
      </c>
      <c r="AM12" s="1">
        <v>0</v>
      </c>
    </row>
    <row r="13" spans="1:39" hidden="1" x14ac:dyDescent="0.25">
      <c r="A13" s="1">
        <v>44</v>
      </c>
      <c r="B13" s="1" t="s">
        <v>167</v>
      </c>
      <c r="C13" s="1" t="s">
        <v>162</v>
      </c>
      <c r="D13" s="1" t="s">
        <v>115</v>
      </c>
      <c r="E13" s="1" t="s">
        <v>52</v>
      </c>
      <c r="F13" s="3">
        <v>46206</v>
      </c>
      <c r="G13" s="3">
        <v>46206</v>
      </c>
      <c r="H13" s="4">
        <v>0</v>
      </c>
      <c r="J13" s="1" t="s">
        <v>168</v>
      </c>
      <c r="K13" s="1">
        <v>43</v>
      </c>
      <c r="M13" s="1" t="s">
        <v>169</v>
      </c>
      <c r="N13" s="2">
        <v>46210</v>
      </c>
      <c r="P13" s="1" t="s">
        <v>67</v>
      </c>
      <c r="Q13" s="1" t="s">
        <v>55</v>
      </c>
      <c r="R13" s="1" t="s">
        <v>140</v>
      </c>
      <c r="S13" s="2">
        <v>46204</v>
      </c>
      <c r="T13" s="2">
        <v>46204</v>
      </c>
      <c r="AB13" s="1">
        <v>0</v>
      </c>
      <c r="AC13" s="1">
        <v>0</v>
      </c>
      <c r="AD13" s="1">
        <v>0</v>
      </c>
      <c r="AE13" s="1">
        <v>0</v>
      </c>
      <c r="AF13" s="1">
        <v>1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</row>
    <row r="14" spans="1:39" hidden="1" x14ac:dyDescent="0.25">
      <c r="A14" s="1">
        <v>45</v>
      </c>
      <c r="B14" s="1" t="s">
        <v>170</v>
      </c>
      <c r="C14" s="1" t="s">
        <v>142</v>
      </c>
      <c r="D14" s="1" t="s">
        <v>171</v>
      </c>
      <c r="E14" s="1" t="s">
        <v>172</v>
      </c>
      <c r="F14" s="3">
        <v>46139</v>
      </c>
      <c r="G14" s="3">
        <v>46203</v>
      </c>
      <c r="H14" s="4">
        <v>0.56999999999999995</v>
      </c>
      <c r="J14" s="1" t="s">
        <v>41</v>
      </c>
      <c r="M14" s="1" t="s">
        <v>42</v>
      </c>
      <c r="N14" s="2">
        <v>46203</v>
      </c>
      <c r="P14" s="1" t="s">
        <v>43</v>
      </c>
      <c r="Q14" s="1" t="s">
        <v>55</v>
      </c>
      <c r="R14" s="1" t="s">
        <v>140</v>
      </c>
      <c r="S14" s="2">
        <v>46139</v>
      </c>
      <c r="T14" s="2">
        <v>46203</v>
      </c>
      <c r="AB14" s="1">
        <v>0.56999999999999995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</row>
    <row r="15" spans="1:39" hidden="1" x14ac:dyDescent="0.25">
      <c r="A15" s="1">
        <v>48</v>
      </c>
      <c r="B15" s="1" t="s">
        <v>180</v>
      </c>
      <c r="C15" s="1" t="s">
        <v>174</v>
      </c>
      <c r="D15" s="1" t="s">
        <v>109</v>
      </c>
      <c r="E15" s="1" t="s">
        <v>116</v>
      </c>
      <c r="F15" s="3">
        <v>46199</v>
      </c>
      <c r="G15" s="3">
        <v>46202</v>
      </c>
      <c r="H15" s="4">
        <v>0</v>
      </c>
      <c r="J15" s="1" t="s">
        <v>41</v>
      </c>
      <c r="K15" s="1" t="s">
        <v>181</v>
      </c>
      <c r="L15" s="1">
        <v>49</v>
      </c>
      <c r="M15" s="1" t="s">
        <v>182</v>
      </c>
      <c r="N15" s="2">
        <v>46202</v>
      </c>
      <c r="P15" s="1" t="s">
        <v>146</v>
      </c>
      <c r="Q15" s="1" t="s">
        <v>55</v>
      </c>
      <c r="R15" s="1" t="s">
        <v>140</v>
      </c>
      <c r="S15" s="2">
        <v>46199</v>
      </c>
      <c r="T15" s="2">
        <v>46202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1</v>
      </c>
      <c r="AK15" s="1">
        <v>0</v>
      </c>
      <c r="AL15" s="1">
        <v>0</v>
      </c>
      <c r="AM15" s="1">
        <v>0</v>
      </c>
    </row>
    <row r="16" spans="1:39" hidden="1" x14ac:dyDescent="0.25">
      <c r="A16" s="1">
        <v>49</v>
      </c>
      <c r="B16" s="1" t="s">
        <v>183</v>
      </c>
      <c r="C16" s="1" t="s">
        <v>174</v>
      </c>
      <c r="D16" s="1" t="s">
        <v>115</v>
      </c>
      <c r="E16" s="1" t="s">
        <v>52</v>
      </c>
      <c r="F16" s="3">
        <v>46203</v>
      </c>
      <c r="G16" s="3">
        <v>46203</v>
      </c>
      <c r="H16" s="4">
        <v>0</v>
      </c>
      <c r="J16" s="1" t="s">
        <v>41</v>
      </c>
      <c r="K16" s="1">
        <v>48</v>
      </c>
      <c r="M16" s="1" t="s">
        <v>160</v>
      </c>
      <c r="N16" s="2">
        <v>46203</v>
      </c>
      <c r="P16" s="1" t="s">
        <v>67</v>
      </c>
      <c r="Q16" s="1" t="s">
        <v>55</v>
      </c>
      <c r="R16" s="1" t="s">
        <v>140</v>
      </c>
      <c r="S16" s="2">
        <v>46203</v>
      </c>
      <c r="T16" s="2">
        <v>46203</v>
      </c>
      <c r="AB16" s="1">
        <v>0</v>
      </c>
      <c r="AC16" s="1">
        <v>0</v>
      </c>
      <c r="AD16" s="1">
        <v>0</v>
      </c>
      <c r="AE16" s="1">
        <v>0</v>
      </c>
      <c r="AF16" s="1">
        <v>1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1</v>
      </c>
      <c r="AM16" s="1">
        <v>0</v>
      </c>
    </row>
    <row r="17" spans="1:39" hidden="1" x14ac:dyDescent="0.25">
      <c r="A17" s="1">
        <v>82</v>
      </c>
      <c r="B17" s="1" t="s">
        <v>215</v>
      </c>
      <c r="C17" s="1" t="s">
        <v>204</v>
      </c>
      <c r="D17" s="1" t="s">
        <v>216</v>
      </c>
      <c r="E17" s="1" t="s">
        <v>217</v>
      </c>
      <c r="F17" s="3">
        <v>46184</v>
      </c>
      <c r="G17" s="3">
        <v>46202</v>
      </c>
      <c r="H17" s="4">
        <v>0.71</v>
      </c>
      <c r="J17" s="1" t="s">
        <v>41</v>
      </c>
      <c r="M17" s="1" t="s">
        <v>214</v>
      </c>
      <c r="N17" s="2">
        <v>46183</v>
      </c>
      <c r="P17" s="1" t="s">
        <v>76</v>
      </c>
      <c r="Q17" s="1" t="s">
        <v>55</v>
      </c>
      <c r="R17" s="1" t="s">
        <v>202</v>
      </c>
      <c r="S17" s="2">
        <v>46168</v>
      </c>
      <c r="T17" s="2">
        <v>46176</v>
      </c>
      <c r="AB17" s="1">
        <v>0.71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</row>
    <row r="18" spans="1:39" hidden="1" x14ac:dyDescent="0.25">
      <c r="A18" s="1">
        <v>85</v>
      </c>
      <c r="B18" s="1" t="s">
        <v>222</v>
      </c>
      <c r="C18" s="1" t="s">
        <v>219</v>
      </c>
      <c r="D18" s="1" t="s">
        <v>109</v>
      </c>
      <c r="E18" s="1" t="s">
        <v>116</v>
      </c>
      <c r="F18" s="3">
        <v>46198</v>
      </c>
      <c r="G18" s="3">
        <v>46199</v>
      </c>
      <c r="H18" s="4">
        <v>0.5</v>
      </c>
      <c r="J18" s="1" t="s">
        <v>41</v>
      </c>
      <c r="K18" s="1">
        <v>84</v>
      </c>
      <c r="L18" s="1">
        <v>86</v>
      </c>
      <c r="M18" s="1" t="s">
        <v>195</v>
      </c>
      <c r="N18" s="2">
        <v>46182</v>
      </c>
      <c r="P18" s="1" t="s">
        <v>146</v>
      </c>
      <c r="Q18" s="1" t="s">
        <v>55</v>
      </c>
      <c r="R18" s="1" t="s">
        <v>202</v>
      </c>
      <c r="S18" s="2">
        <v>46174</v>
      </c>
      <c r="T18" s="2">
        <v>46175</v>
      </c>
      <c r="AB18" s="1">
        <v>0.5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1</v>
      </c>
      <c r="AK18" s="1">
        <v>0</v>
      </c>
      <c r="AL18" s="1">
        <v>0</v>
      </c>
      <c r="AM18" s="1">
        <v>0</v>
      </c>
    </row>
    <row r="19" spans="1:39" hidden="1" x14ac:dyDescent="0.25">
      <c r="A19" s="1">
        <v>86</v>
      </c>
      <c r="B19" s="1" t="s">
        <v>223</v>
      </c>
      <c r="C19" s="1" t="s">
        <v>219</v>
      </c>
      <c r="D19" s="1" t="s">
        <v>115</v>
      </c>
      <c r="E19" s="1" t="s">
        <v>52</v>
      </c>
      <c r="F19" s="3">
        <v>46202</v>
      </c>
      <c r="G19" s="3">
        <v>46202</v>
      </c>
      <c r="H19" s="4">
        <v>0</v>
      </c>
      <c r="J19" s="1" t="s">
        <v>41</v>
      </c>
      <c r="K19" s="1">
        <v>85</v>
      </c>
      <c r="M19" s="1" t="s">
        <v>224</v>
      </c>
      <c r="N19" s="2">
        <v>46183</v>
      </c>
      <c r="P19" s="1" t="s">
        <v>67</v>
      </c>
      <c r="Q19" s="1" t="s">
        <v>55</v>
      </c>
      <c r="R19" s="1" t="s">
        <v>202</v>
      </c>
      <c r="S19" s="2">
        <v>46176</v>
      </c>
      <c r="T19" s="2">
        <v>46176</v>
      </c>
      <c r="AB19" s="1">
        <v>0</v>
      </c>
      <c r="AC19" s="1">
        <v>0</v>
      </c>
      <c r="AD19" s="1">
        <v>0</v>
      </c>
      <c r="AE19" s="1">
        <v>0</v>
      </c>
      <c r="AF19" s="1">
        <v>1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1</v>
      </c>
      <c r="AM19" s="1">
        <v>0</v>
      </c>
    </row>
    <row r="20" spans="1:39" x14ac:dyDescent="0.25">
      <c r="A20" s="1">
        <v>88</v>
      </c>
      <c r="B20" s="1" t="s">
        <v>229</v>
      </c>
      <c r="C20" s="1" t="s">
        <v>230</v>
      </c>
      <c r="D20" s="1" t="s">
        <v>101</v>
      </c>
      <c r="E20" s="1" t="s">
        <v>231</v>
      </c>
      <c r="F20" s="3">
        <v>46203</v>
      </c>
      <c r="G20" s="3">
        <v>46206</v>
      </c>
      <c r="H20" s="4">
        <v>0</v>
      </c>
      <c r="J20" s="1" t="s">
        <v>41</v>
      </c>
      <c r="K20" s="1">
        <v>245</v>
      </c>
      <c r="L20" s="1">
        <v>89</v>
      </c>
      <c r="M20" s="1" t="s">
        <v>228</v>
      </c>
      <c r="N20" s="2">
        <v>46197</v>
      </c>
      <c r="P20" s="1" t="s">
        <v>67</v>
      </c>
      <c r="Q20" s="1" t="s">
        <v>55</v>
      </c>
      <c r="R20" s="1" t="s">
        <v>202</v>
      </c>
      <c r="S20" s="2">
        <v>46183</v>
      </c>
      <c r="T20" s="2">
        <v>46189</v>
      </c>
      <c r="AB20" s="1">
        <v>0</v>
      </c>
      <c r="AC20" s="1">
        <v>1</v>
      </c>
      <c r="AD20" s="1">
        <v>0</v>
      </c>
      <c r="AE20" s="1">
        <v>1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</row>
    <row r="21" spans="1:39" x14ac:dyDescent="0.25">
      <c r="A21" s="1">
        <v>93</v>
      </c>
      <c r="B21" s="1" t="s">
        <v>239</v>
      </c>
      <c r="C21" s="1" t="s">
        <v>240</v>
      </c>
      <c r="D21" s="1" t="s">
        <v>101</v>
      </c>
      <c r="E21" s="1" t="s">
        <v>231</v>
      </c>
      <c r="F21" s="3">
        <v>46203</v>
      </c>
      <c r="G21" s="3">
        <v>46206</v>
      </c>
      <c r="H21" s="4">
        <v>0</v>
      </c>
      <c r="J21" s="1" t="s">
        <v>41</v>
      </c>
      <c r="K21" s="1">
        <v>245</v>
      </c>
      <c r="L21" s="1">
        <v>94</v>
      </c>
      <c r="M21" s="1" t="s">
        <v>228</v>
      </c>
      <c r="N21" s="2">
        <v>46197</v>
      </c>
      <c r="P21" s="1" t="s">
        <v>67</v>
      </c>
      <c r="Q21" s="1" t="s">
        <v>55</v>
      </c>
      <c r="R21" s="1" t="s">
        <v>202</v>
      </c>
      <c r="S21" s="2">
        <v>46183</v>
      </c>
      <c r="T21" s="2">
        <v>46189</v>
      </c>
      <c r="AB21" s="1">
        <v>0</v>
      </c>
      <c r="AC21" s="1">
        <v>1</v>
      </c>
      <c r="AD21" s="1">
        <v>0</v>
      </c>
      <c r="AE21" s="1">
        <v>1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</row>
    <row r="22" spans="1:39" x14ac:dyDescent="0.25">
      <c r="A22" s="1">
        <v>98</v>
      </c>
      <c r="B22" s="1" t="s">
        <v>246</v>
      </c>
      <c r="C22" s="1" t="s">
        <v>247</v>
      </c>
      <c r="D22" s="1" t="s">
        <v>101</v>
      </c>
      <c r="E22" s="1" t="s">
        <v>231</v>
      </c>
      <c r="F22" s="3">
        <v>46203</v>
      </c>
      <c r="G22" s="3">
        <v>46206</v>
      </c>
      <c r="H22" s="4">
        <v>0</v>
      </c>
      <c r="J22" s="1" t="s">
        <v>41</v>
      </c>
      <c r="K22" s="1">
        <v>245</v>
      </c>
      <c r="L22" s="1">
        <v>99</v>
      </c>
      <c r="M22" s="1" t="s">
        <v>228</v>
      </c>
      <c r="N22" s="2">
        <v>46197</v>
      </c>
      <c r="P22" s="1" t="s">
        <v>67</v>
      </c>
      <c r="Q22" s="1" t="s">
        <v>55</v>
      </c>
      <c r="R22" s="1" t="s">
        <v>202</v>
      </c>
      <c r="S22" s="2">
        <v>46183</v>
      </c>
      <c r="T22" s="2">
        <v>46189</v>
      </c>
      <c r="AB22" s="1">
        <v>0</v>
      </c>
      <c r="AC22" s="1">
        <v>1</v>
      </c>
      <c r="AD22" s="1">
        <v>0</v>
      </c>
      <c r="AE22" s="1">
        <v>1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</row>
    <row r="23" spans="1:39" x14ac:dyDescent="0.25">
      <c r="A23" s="1">
        <v>103</v>
      </c>
      <c r="B23" s="1" t="s">
        <v>253</v>
      </c>
      <c r="C23" s="1" t="s">
        <v>254</v>
      </c>
      <c r="D23" s="1" t="s">
        <v>101</v>
      </c>
      <c r="E23" s="1" t="s">
        <v>231</v>
      </c>
      <c r="F23" s="3">
        <v>46203</v>
      </c>
      <c r="G23" s="3">
        <v>46206</v>
      </c>
      <c r="H23" s="4">
        <v>0</v>
      </c>
      <c r="J23" s="1" t="s">
        <v>41</v>
      </c>
      <c r="K23" s="1">
        <v>245</v>
      </c>
      <c r="L23" s="1">
        <v>104</v>
      </c>
      <c r="M23" s="1" t="s">
        <v>228</v>
      </c>
      <c r="N23" s="2">
        <v>46197</v>
      </c>
      <c r="P23" s="1" t="s">
        <v>67</v>
      </c>
      <c r="Q23" s="1" t="s">
        <v>55</v>
      </c>
      <c r="R23" s="1" t="s">
        <v>202</v>
      </c>
      <c r="S23" s="2">
        <v>46183</v>
      </c>
      <c r="T23" s="2">
        <v>46189</v>
      </c>
      <c r="AB23" s="1">
        <v>0</v>
      </c>
      <c r="AC23" s="1">
        <v>1</v>
      </c>
      <c r="AD23" s="1">
        <v>0</v>
      </c>
      <c r="AE23" s="1">
        <v>1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</row>
    <row r="24" spans="1:39" hidden="1" x14ac:dyDescent="0.25">
      <c r="A24" s="1">
        <v>117</v>
      </c>
      <c r="B24" s="1" t="s">
        <v>270</v>
      </c>
      <c r="C24" s="1" t="s">
        <v>204</v>
      </c>
      <c r="D24" s="1" t="s">
        <v>271</v>
      </c>
      <c r="E24" s="1" t="s">
        <v>272</v>
      </c>
      <c r="F24" s="3">
        <v>46185</v>
      </c>
      <c r="G24" s="3">
        <v>46196</v>
      </c>
      <c r="H24" s="4">
        <v>0.83</v>
      </c>
      <c r="J24" s="1" t="s">
        <v>41</v>
      </c>
      <c r="M24" s="1" t="s">
        <v>261</v>
      </c>
      <c r="N24" s="2">
        <v>46188</v>
      </c>
      <c r="P24" s="1" t="s">
        <v>76</v>
      </c>
      <c r="Q24" s="1" t="s">
        <v>55</v>
      </c>
      <c r="R24" s="1" t="s">
        <v>202</v>
      </c>
      <c r="S24" s="2">
        <v>46163</v>
      </c>
      <c r="T24" s="2">
        <v>46175</v>
      </c>
      <c r="AB24" s="1">
        <v>0.83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</row>
    <row r="25" spans="1:39" hidden="1" x14ac:dyDescent="0.25">
      <c r="A25" s="1">
        <v>121</v>
      </c>
      <c r="B25" s="1" t="s">
        <v>279</v>
      </c>
      <c r="C25" s="1" t="s">
        <v>274</v>
      </c>
      <c r="D25" s="1" t="s">
        <v>115</v>
      </c>
      <c r="E25" s="1" t="s">
        <v>52</v>
      </c>
      <c r="F25" s="3">
        <v>46196</v>
      </c>
      <c r="G25" s="3">
        <v>46196</v>
      </c>
      <c r="H25" s="4">
        <v>0</v>
      </c>
      <c r="J25" s="1" t="s">
        <v>41</v>
      </c>
      <c r="K25" s="1">
        <v>120</v>
      </c>
      <c r="M25" s="1" t="s">
        <v>266</v>
      </c>
      <c r="N25" s="2">
        <v>46188</v>
      </c>
      <c r="P25" s="1" t="s">
        <v>146</v>
      </c>
      <c r="Q25" s="1" t="s">
        <v>55</v>
      </c>
      <c r="R25" s="1" t="s">
        <v>202</v>
      </c>
      <c r="S25" s="2">
        <v>46175</v>
      </c>
      <c r="T25" s="2">
        <v>46175</v>
      </c>
      <c r="AB25" s="1">
        <v>0</v>
      </c>
      <c r="AC25" s="1">
        <v>0</v>
      </c>
      <c r="AD25" s="1">
        <v>0</v>
      </c>
      <c r="AE25" s="1">
        <v>0</v>
      </c>
      <c r="AF25" s="1">
        <v>1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1</v>
      </c>
      <c r="AM25" s="1">
        <v>0</v>
      </c>
    </row>
    <row r="26" spans="1:39" hidden="1" x14ac:dyDescent="0.25">
      <c r="A26" s="1">
        <v>122</v>
      </c>
      <c r="B26" s="1" t="s">
        <v>280</v>
      </c>
      <c r="C26" s="1" t="s">
        <v>204</v>
      </c>
      <c r="D26" s="1" t="s">
        <v>281</v>
      </c>
      <c r="E26" s="1" t="s">
        <v>272</v>
      </c>
      <c r="F26" s="3">
        <v>46185</v>
      </c>
      <c r="G26" s="3">
        <v>46196</v>
      </c>
      <c r="H26" s="4">
        <v>0.83</v>
      </c>
      <c r="J26" s="1" t="s">
        <v>41</v>
      </c>
      <c r="M26" s="1" t="s">
        <v>261</v>
      </c>
      <c r="N26" s="2">
        <v>46188</v>
      </c>
      <c r="P26" s="1" t="s">
        <v>76</v>
      </c>
      <c r="Q26" s="1" t="s">
        <v>55</v>
      </c>
      <c r="R26" s="1" t="s">
        <v>202</v>
      </c>
      <c r="S26" s="2">
        <v>46163</v>
      </c>
      <c r="T26" s="2">
        <v>46175</v>
      </c>
      <c r="U26" s="1" t="s">
        <v>77</v>
      </c>
      <c r="AB26" s="1">
        <v>0.83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</row>
    <row r="27" spans="1:39" hidden="1" x14ac:dyDescent="0.25">
      <c r="A27" s="1">
        <v>126</v>
      </c>
      <c r="B27" s="1" t="s">
        <v>288</v>
      </c>
      <c r="C27" s="1" t="s">
        <v>283</v>
      </c>
      <c r="D27" s="1" t="s">
        <v>115</v>
      </c>
      <c r="E27" s="1" t="s">
        <v>52</v>
      </c>
      <c r="F27" s="3">
        <v>46196</v>
      </c>
      <c r="G27" s="3">
        <v>46196</v>
      </c>
      <c r="H27" s="4">
        <v>0</v>
      </c>
      <c r="J27" s="1" t="s">
        <v>41</v>
      </c>
      <c r="K27" s="1">
        <v>125</v>
      </c>
      <c r="M27" s="1" t="s">
        <v>266</v>
      </c>
      <c r="N27" s="2">
        <v>46188</v>
      </c>
      <c r="P27" s="1" t="s">
        <v>146</v>
      </c>
      <c r="Q27" s="1" t="s">
        <v>55</v>
      </c>
      <c r="R27" s="1" t="s">
        <v>202</v>
      </c>
      <c r="S27" s="2">
        <v>46175</v>
      </c>
      <c r="T27" s="2">
        <v>46175</v>
      </c>
      <c r="AB27" s="1">
        <v>0</v>
      </c>
      <c r="AC27" s="1">
        <v>0</v>
      </c>
      <c r="AD27" s="1">
        <v>0</v>
      </c>
      <c r="AE27" s="1">
        <v>0</v>
      </c>
      <c r="AF27" s="1">
        <v>1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1</v>
      </c>
      <c r="AM27" s="1">
        <v>0</v>
      </c>
    </row>
    <row r="28" spans="1:39" hidden="1" x14ac:dyDescent="0.25">
      <c r="A28" s="1">
        <v>132</v>
      </c>
      <c r="B28" s="1" t="s">
        <v>301</v>
      </c>
      <c r="C28" s="1" t="s">
        <v>204</v>
      </c>
      <c r="D28" s="1" t="s">
        <v>302</v>
      </c>
      <c r="E28" s="1" t="s">
        <v>227</v>
      </c>
      <c r="F28" s="3">
        <v>46190</v>
      </c>
      <c r="G28" s="3">
        <v>46198</v>
      </c>
      <c r="H28" s="4">
        <v>0.5</v>
      </c>
      <c r="J28" s="1" t="s">
        <v>41</v>
      </c>
      <c r="M28" s="1" t="s">
        <v>224</v>
      </c>
      <c r="N28" s="2">
        <v>46191</v>
      </c>
      <c r="P28" s="1" t="s">
        <v>73</v>
      </c>
      <c r="Q28" s="1" t="s">
        <v>55</v>
      </c>
      <c r="R28" s="1" t="s">
        <v>202</v>
      </c>
      <c r="S28" s="2">
        <v>46170</v>
      </c>
      <c r="T28" s="2">
        <v>46178</v>
      </c>
      <c r="AB28" s="1">
        <v>0.5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</row>
    <row r="29" spans="1:39" hidden="1" x14ac:dyDescent="0.25">
      <c r="A29" s="1">
        <v>134</v>
      </c>
      <c r="B29" s="1" t="s">
        <v>306</v>
      </c>
      <c r="C29" s="1" t="s">
        <v>304</v>
      </c>
      <c r="D29" s="1" t="s">
        <v>105</v>
      </c>
      <c r="E29" s="1" t="s">
        <v>52</v>
      </c>
      <c r="F29" s="3">
        <v>46195</v>
      </c>
      <c r="G29" s="3">
        <v>46195</v>
      </c>
      <c r="H29" s="4">
        <v>0.5</v>
      </c>
      <c r="J29" s="1" t="s">
        <v>41</v>
      </c>
      <c r="K29" s="1">
        <v>133</v>
      </c>
      <c r="L29" s="1">
        <v>135</v>
      </c>
      <c r="M29" s="1" t="s">
        <v>266</v>
      </c>
      <c r="N29" s="2">
        <v>46188</v>
      </c>
      <c r="P29" s="1" t="s">
        <v>146</v>
      </c>
      <c r="Q29" s="1" t="s">
        <v>55</v>
      </c>
      <c r="R29" s="1" t="s">
        <v>202</v>
      </c>
      <c r="S29" s="2">
        <v>46175</v>
      </c>
      <c r="T29" s="2">
        <v>46175</v>
      </c>
      <c r="AB29" s="1">
        <v>0.5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1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</row>
    <row r="30" spans="1:39" hidden="1" x14ac:dyDescent="0.25">
      <c r="A30" s="1">
        <v>135</v>
      </c>
      <c r="B30" s="1" t="s">
        <v>307</v>
      </c>
      <c r="C30" s="1" t="s">
        <v>304</v>
      </c>
      <c r="D30" s="1" t="s">
        <v>109</v>
      </c>
      <c r="E30" s="1" t="s">
        <v>116</v>
      </c>
      <c r="F30" s="3">
        <v>46196</v>
      </c>
      <c r="G30" s="3">
        <v>46197</v>
      </c>
      <c r="H30" s="4">
        <v>0</v>
      </c>
      <c r="J30" s="1" t="s">
        <v>41</v>
      </c>
      <c r="K30" s="1">
        <v>134</v>
      </c>
      <c r="L30" s="1">
        <v>136</v>
      </c>
      <c r="M30" s="1" t="s">
        <v>268</v>
      </c>
      <c r="N30" s="2">
        <v>46190</v>
      </c>
      <c r="P30" s="1" t="s">
        <v>146</v>
      </c>
      <c r="Q30" s="1" t="s">
        <v>55</v>
      </c>
      <c r="R30" s="1" t="s">
        <v>202</v>
      </c>
      <c r="S30" s="2">
        <v>46176</v>
      </c>
      <c r="T30" s="2">
        <v>46177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1</v>
      </c>
      <c r="AK30" s="1">
        <v>0</v>
      </c>
      <c r="AL30" s="1">
        <v>0</v>
      </c>
      <c r="AM30" s="1">
        <v>0</v>
      </c>
    </row>
    <row r="31" spans="1:39" hidden="1" x14ac:dyDescent="0.25">
      <c r="A31" s="1">
        <v>136</v>
      </c>
      <c r="B31" s="1" t="s">
        <v>308</v>
      </c>
      <c r="C31" s="1" t="s">
        <v>304</v>
      </c>
      <c r="D31" s="1" t="s">
        <v>115</v>
      </c>
      <c r="E31" s="1" t="s">
        <v>52</v>
      </c>
      <c r="F31" s="3">
        <v>46198</v>
      </c>
      <c r="G31" s="3">
        <v>46198</v>
      </c>
      <c r="H31" s="4">
        <v>0</v>
      </c>
      <c r="J31" s="1" t="s">
        <v>41</v>
      </c>
      <c r="K31" s="1">
        <v>135</v>
      </c>
      <c r="M31" s="1" t="s">
        <v>228</v>
      </c>
      <c r="N31" s="2">
        <v>46191</v>
      </c>
      <c r="P31" s="1" t="s">
        <v>146</v>
      </c>
      <c r="Q31" s="1" t="s">
        <v>55</v>
      </c>
      <c r="R31" s="1" t="s">
        <v>202</v>
      </c>
      <c r="S31" s="2">
        <v>46178</v>
      </c>
      <c r="T31" s="2">
        <v>46178</v>
      </c>
      <c r="AB31" s="1">
        <v>0</v>
      </c>
      <c r="AC31" s="1">
        <v>0</v>
      </c>
      <c r="AD31" s="1">
        <v>0</v>
      </c>
      <c r="AE31" s="1">
        <v>0</v>
      </c>
      <c r="AF31" s="1">
        <v>1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1</v>
      </c>
      <c r="AM31" s="1">
        <v>0</v>
      </c>
    </row>
    <row r="32" spans="1:39" hidden="1" x14ac:dyDescent="0.25">
      <c r="A32" s="1">
        <v>137</v>
      </c>
      <c r="B32" s="1" t="s">
        <v>309</v>
      </c>
      <c r="C32" s="1" t="s">
        <v>204</v>
      </c>
      <c r="D32" s="1" t="s">
        <v>310</v>
      </c>
      <c r="E32" s="1" t="s">
        <v>227</v>
      </c>
      <c r="F32" s="3">
        <v>46190</v>
      </c>
      <c r="G32" s="3">
        <v>46198</v>
      </c>
      <c r="H32" s="4">
        <v>0.5</v>
      </c>
      <c r="J32" s="1" t="s">
        <v>41</v>
      </c>
      <c r="M32" s="1" t="s">
        <v>224</v>
      </c>
      <c r="N32" s="2">
        <v>46191</v>
      </c>
      <c r="P32" s="1" t="s">
        <v>73</v>
      </c>
      <c r="Q32" s="1" t="s">
        <v>55</v>
      </c>
      <c r="R32" s="1" t="s">
        <v>202</v>
      </c>
      <c r="S32" s="2">
        <v>46170</v>
      </c>
      <c r="T32" s="2">
        <v>46178</v>
      </c>
      <c r="AB32" s="1">
        <v>0.5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</row>
    <row r="33" spans="1:39" hidden="1" x14ac:dyDescent="0.25">
      <c r="A33" s="1">
        <v>139</v>
      </c>
      <c r="B33" s="1" t="s">
        <v>313</v>
      </c>
      <c r="C33" s="1" t="s">
        <v>312</v>
      </c>
      <c r="D33" s="1" t="s">
        <v>105</v>
      </c>
      <c r="E33" s="1" t="s">
        <v>52</v>
      </c>
      <c r="F33" s="3">
        <v>46195</v>
      </c>
      <c r="G33" s="3">
        <v>46195</v>
      </c>
      <c r="H33" s="4">
        <v>0.5</v>
      </c>
      <c r="J33" s="1" t="s">
        <v>41</v>
      </c>
      <c r="K33" s="1">
        <v>138</v>
      </c>
      <c r="L33" s="1">
        <v>140</v>
      </c>
      <c r="M33" s="1" t="s">
        <v>266</v>
      </c>
      <c r="N33" s="2">
        <v>46188</v>
      </c>
      <c r="P33" s="1" t="s">
        <v>146</v>
      </c>
      <c r="Q33" s="1" t="s">
        <v>55</v>
      </c>
      <c r="R33" s="1" t="s">
        <v>202</v>
      </c>
      <c r="S33" s="2">
        <v>46175</v>
      </c>
      <c r="T33" s="2">
        <v>46175</v>
      </c>
      <c r="AB33" s="1">
        <v>0.5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1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</row>
    <row r="34" spans="1:39" hidden="1" x14ac:dyDescent="0.25">
      <c r="A34" s="1">
        <v>140</v>
      </c>
      <c r="B34" s="1" t="s">
        <v>314</v>
      </c>
      <c r="C34" s="1" t="s">
        <v>312</v>
      </c>
      <c r="D34" s="1" t="s">
        <v>109</v>
      </c>
      <c r="E34" s="1" t="s">
        <v>116</v>
      </c>
      <c r="F34" s="3">
        <v>46196</v>
      </c>
      <c r="G34" s="3">
        <v>46197</v>
      </c>
      <c r="H34" s="4">
        <v>0</v>
      </c>
      <c r="J34" s="1" t="s">
        <v>41</v>
      </c>
      <c r="K34" s="1">
        <v>139</v>
      </c>
      <c r="L34" s="1">
        <v>141</v>
      </c>
      <c r="M34" s="1" t="s">
        <v>268</v>
      </c>
      <c r="N34" s="2">
        <v>46190</v>
      </c>
      <c r="P34" s="1" t="s">
        <v>146</v>
      </c>
      <c r="Q34" s="1" t="s">
        <v>55</v>
      </c>
      <c r="R34" s="1" t="s">
        <v>202</v>
      </c>
      <c r="S34" s="2">
        <v>46176</v>
      </c>
      <c r="T34" s="2">
        <v>46177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1</v>
      </c>
      <c r="AK34" s="1">
        <v>0</v>
      </c>
      <c r="AL34" s="1">
        <v>0</v>
      </c>
      <c r="AM34" s="1">
        <v>0</v>
      </c>
    </row>
    <row r="35" spans="1:39" hidden="1" x14ac:dyDescent="0.25">
      <c r="A35" s="1">
        <v>141</v>
      </c>
      <c r="B35" s="1" t="s">
        <v>315</v>
      </c>
      <c r="C35" s="1" t="s">
        <v>312</v>
      </c>
      <c r="D35" s="1" t="s">
        <v>115</v>
      </c>
      <c r="E35" s="1" t="s">
        <v>52</v>
      </c>
      <c r="F35" s="3">
        <v>46198</v>
      </c>
      <c r="G35" s="3">
        <v>46198</v>
      </c>
      <c r="H35" s="4">
        <v>0</v>
      </c>
      <c r="J35" s="1" t="s">
        <v>41</v>
      </c>
      <c r="K35" s="1">
        <v>140</v>
      </c>
      <c r="M35" s="1" t="s">
        <v>228</v>
      </c>
      <c r="N35" s="2">
        <v>46191</v>
      </c>
      <c r="P35" s="1" t="s">
        <v>146</v>
      </c>
      <c r="Q35" s="1" t="s">
        <v>55</v>
      </c>
      <c r="R35" s="1" t="s">
        <v>202</v>
      </c>
      <c r="S35" s="2">
        <v>46178</v>
      </c>
      <c r="T35" s="2">
        <v>46178</v>
      </c>
      <c r="AB35" s="1">
        <v>0</v>
      </c>
      <c r="AC35" s="1">
        <v>0</v>
      </c>
      <c r="AD35" s="1">
        <v>0</v>
      </c>
      <c r="AE35" s="1">
        <v>0</v>
      </c>
      <c r="AF35" s="1">
        <v>1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1</v>
      </c>
      <c r="AM35" s="1">
        <v>0</v>
      </c>
    </row>
    <row r="36" spans="1:39" hidden="1" x14ac:dyDescent="0.25">
      <c r="A36" s="1">
        <v>142</v>
      </c>
      <c r="B36" s="1" t="s">
        <v>316</v>
      </c>
      <c r="C36" s="1" t="s">
        <v>204</v>
      </c>
      <c r="D36" s="1" t="s">
        <v>317</v>
      </c>
      <c r="E36" s="1" t="s">
        <v>227</v>
      </c>
      <c r="F36" s="3">
        <v>46190</v>
      </c>
      <c r="G36" s="3">
        <v>46198</v>
      </c>
      <c r="H36" s="4">
        <v>0.5</v>
      </c>
      <c r="J36" s="1" t="s">
        <v>41</v>
      </c>
      <c r="M36" s="1" t="s">
        <v>224</v>
      </c>
      <c r="N36" s="2">
        <v>46191</v>
      </c>
      <c r="P36" s="1" t="s">
        <v>73</v>
      </c>
      <c r="Q36" s="1" t="s">
        <v>55</v>
      </c>
      <c r="R36" s="1" t="s">
        <v>202</v>
      </c>
      <c r="S36" s="2">
        <v>46170</v>
      </c>
      <c r="T36" s="2">
        <v>46178</v>
      </c>
      <c r="U36" s="1" t="s">
        <v>77</v>
      </c>
      <c r="AB36" s="1">
        <v>0.5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</row>
    <row r="37" spans="1:39" hidden="1" x14ac:dyDescent="0.25">
      <c r="A37" s="1">
        <v>144</v>
      </c>
      <c r="B37" s="1" t="s">
        <v>320</v>
      </c>
      <c r="C37" s="1" t="s">
        <v>319</v>
      </c>
      <c r="D37" s="1" t="s">
        <v>105</v>
      </c>
      <c r="E37" s="1" t="s">
        <v>52</v>
      </c>
      <c r="F37" s="3">
        <v>46195</v>
      </c>
      <c r="G37" s="3">
        <v>46195</v>
      </c>
      <c r="H37" s="4">
        <v>0.5</v>
      </c>
      <c r="J37" s="1" t="s">
        <v>41</v>
      </c>
      <c r="K37" s="1">
        <v>143</v>
      </c>
      <c r="L37" s="1">
        <v>145</v>
      </c>
      <c r="M37" s="1" t="s">
        <v>266</v>
      </c>
      <c r="N37" s="2">
        <v>46188</v>
      </c>
      <c r="P37" s="1" t="s">
        <v>146</v>
      </c>
      <c r="Q37" s="1" t="s">
        <v>55</v>
      </c>
      <c r="R37" s="1" t="s">
        <v>202</v>
      </c>
      <c r="S37" s="2">
        <v>46175</v>
      </c>
      <c r="T37" s="2">
        <v>46175</v>
      </c>
      <c r="AB37" s="1">
        <v>0.5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1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</row>
    <row r="38" spans="1:39" hidden="1" x14ac:dyDescent="0.25">
      <c r="A38" s="1">
        <v>145</v>
      </c>
      <c r="B38" s="1" t="s">
        <v>321</v>
      </c>
      <c r="C38" s="1" t="s">
        <v>319</v>
      </c>
      <c r="D38" s="1" t="s">
        <v>109</v>
      </c>
      <c r="E38" s="1" t="s">
        <v>116</v>
      </c>
      <c r="F38" s="3">
        <v>46196</v>
      </c>
      <c r="G38" s="3">
        <v>46197</v>
      </c>
      <c r="H38" s="4">
        <v>0</v>
      </c>
      <c r="J38" s="1" t="s">
        <v>41</v>
      </c>
      <c r="K38" s="1">
        <v>144</v>
      </c>
      <c r="L38" s="1">
        <v>146</v>
      </c>
      <c r="M38" s="1" t="s">
        <v>268</v>
      </c>
      <c r="N38" s="2">
        <v>46190</v>
      </c>
      <c r="P38" s="1" t="s">
        <v>146</v>
      </c>
      <c r="Q38" s="1" t="s">
        <v>55</v>
      </c>
      <c r="R38" s="1" t="s">
        <v>202</v>
      </c>
      <c r="S38" s="2">
        <v>46176</v>
      </c>
      <c r="T38" s="2">
        <v>46177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1</v>
      </c>
      <c r="AK38" s="1">
        <v>0</v>
      </c>
      <c r="AL38" s="1">
        <v>0</v>
      </c>
      <c r="AM38" s="1">
        <v>0</v>
      </c>
    </row>
    <row r="39" spans="1:39" hidden="1" x14ac:dyDescent="0.25">
      <c r="A39" s="1">
        <v>146</v>
      </c>
      <c r="B39" s="1" t="s">
        <v>322</v>
      </c>
      <c r="C39" s="1" t="s">
        <v>319</v>
      </c>
      <c r="D39" s="1" t="s">
        <v>115</v>
      </c>
      <c r="E39" s="1" t="s">
        <v>52</v>
      </c>
      <c r="F39" s="3">
        <v>46198</v>
      </c>
      <c r="G39" s="3">
        <v>46198</v>
      </c>
      <c r="H39" s="4">
        <v>0</v>
      </c>
      <c r="J39" s="1" t="s">
        <v>41</v>
      </c>
      <c r="K39" s="1">
        <v>145</v>
      </c>
      <c r="M39" s="1" t="s">
        <v>228</v>
      </c>
      <c r="N39" s="2">
        <v>46191</v>
      </c>
      <c r="P39" s="1" t="s">
        <v>146</v>
      </c>
      <c r="Q39" s="1" t="s">
        <v>55</v>
      </c>
      <c r="R39" s="1" t="s">
        <v>202</v>
      </c>
      <c r="S39" s="2">
        <v>46178</v>
      </c>
      <c r="T39" s="2">
        <v>46178</v>
      </c>
      <c r="AB39" s="1">
        <v>0</v>
      </c>
      <c r="AC39" s="1">
        <v>0</v>
      </c>
      <c r="AD39" s="1">
        <v>0</v>
      </c>
      <c r="AE39" s="1">
        <v>0</v>
      </c>
      <c r="AF39" s="1">
        <v>1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1</v>
      </c>
      <c r="AM39" s="1">
        <v>0</v>
      </c>
    </row>
    <row r="40" spans="1:39" hidden="1" x14ac:dyDescent="0.25">
      <c r="A40" s="1">
        <v>158</v>
      </c>
      <c r="B40" s="1" t="s">
        <v>327</v>
      </c>
      <c r="C40" s="1" t="s">
        <v>328</v>
      </c>
      <c r="D40" s="1" t="s">
        <v>329</v>
      </c>
      <c r="E40" s="1" t="s">
        <v>291</v>
      </c>
      <c r="F40" s="3">
        <v>46188</v>
      </c>
      <c r="G40" s="3">
        <v>46198</v>
      </c>
      <c r="H40" s="4">
        <v>0.56000000000000005</v>
      </c>
      <c r="J40" s="1" t="s">
        <v>41</v>
      </c>
      <c r="M40" s="1" t="s">
        <v>214</v>
      </c>
      <c r="N40" s="2">
        <v>46183</v>
      </c>
      <c r="P40" s="1" t="s">
        <v>73</v>
      </c>
      <c r="Q40" s="1" t="s">
        <v>55</v>
      </c>
      <c r="R40" s="1" t="s">
        <v>326</v>
      </c>
      <c r="S40" s="2">
        <v>46162</v>
      </c>
      <c r="T40" s="2">
        <v>46170</v>
      </c>
      <c r="AB40" s="1">
        <v>0.56000000000000005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</row>
    <row r="41" spans="1:39" hidden="1" x14ac:dyDescent="0.25">
      <c r="A41" s="1">
        <v>160</v>
      </c>
      <c r="B41" s="1" t="s">
        <v>332</v>
      </c>
      <c r="C41" s="1" t="s">
        <v>331</v>
      </c>
      <c r="D41" s="1" t="s">
        <v>105</v>
      </c>
      <c r="E41" s="1" t="s">
        <v>52</v>
      </c>
      <c r="F41" s="3">
        <v>46195</v>
      </c>
      <c r="G41" s="3">
        <v>46195</v>
      </c>
      <c r="H41" s="4">
        <v>0</v>
      </c>
      <c r="J41" s="1" t="s">
        <v>41</v>
      </c>
      <c r="K41" s="1">
        <v>159</v>
      </c>
      <c r="L41" s="1" t="s">
        <v>333</v>
      </c>
      <c r="M41" s="1" t="s">
        <v>66</v>
      </c>
      <c r="N41" s="2">
        <v>46178</v>
      </c>
      <c r="P41" s="1" t="s">
        <v>146</v>
      </c>
      <c r="Q41" s="1" t="s">
        <v>55</v>
      </c>
      <c r="R41" s="1" t="s">
        <v>326</v>
      </c>
      <c r="S41" s="2">
        <v>46167</v>
      </c>
      <c r="T41" s="2">
        <v>46167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1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</row>
    <row r="42" spans="1:39" hidden="1" x14ac:dyDescent="0.25">
      <c r="A42" s="1">
        <v>161</v>
      </c>
      <c r="B42" s="1" t="s">
        <v>334</v>
      </c>
      <c r="C42" s="1" t="s">
        <v>331</v>
      </c>
      <c r="D42" s="1" t="s">
        <v>109</v>
      </c>
      <c r="E42" s="1" t="s">
        <v>116</v>
      </c>
      <c r="F42" s="3">
        <v>46196</v>
      </c>
      <c r="G42" s="3">
        <v>46197</v>
      </c>
      <c r="H42" s="4">
        <v>0</v>
      </c>
      <c r="J42" s="1" t="s">
        <v>41</v>
      </c>
      <c r="K42" s="1">
        <v>160</v>
      </c>
      <c r="L42" s="1">
        <v>162</v>
      </c>
      <c r="M42" s="1" t="s">
        <v>195</v>
      </c>
      <c r="N42" s="2">
        <v>46182</v>
      </c>
      <c r="P42" s="1" t="s">
        <v>146</v>
      </c>
      <c r="Q42" s="1" t="s">
        <v>55</v>
      </c>
      <c r="R42" s="1" t="s">
        <v>326</v>
      </c>
      <c r="S42" s="2">
        <v>46168</v>
      </c>
      <c r="T42" s="2">
        <v>46169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1</v>
      </c>
      <c r="AK42" s="1">
        <v>0</v>
      </c>
      <c r="AL42" s="1">
        <v>0</v>
      </c>
      <c r="AM42" s="1">
        <v>0</v>
      </c>
    </row>
    <row r="43" spans="1:39" hidden="1" x14ac:dyDescent="0.25">
      <c r="A43" s="1">
        <v>162</v>
      </c>
      <c r="B43" s="1" t="s">
        <v>335</v>
      </c>
      <c r="C43" s="1" t="s">
        <v>331</v>
      </c>
      <c r="D43" s="1" t="s">
        <v>115</v>
      </c>
      <c r="E43" s="1" t="s">
        <v>52</v>
      </c>
      <c r="F43" s="3">
        <v>46198</v>
      </c>
      <c r="G43" s="3">
        <v>46198</v>
      </c>
      <c r="H43" s="4">
        <v>0</v>
      </c>
      <c r="J43" s="1" t="s">
        <v>41</v>
      </c>
      <c r="K43" s="1">
        <v>161</v>
      </c>
      <c r="M43" s="1" t="s">
        <v>224</v>
      </c>
      <c r="N43" s="2">
        <v>46183</v>
      </c>
      <c r="P43" s="1" t="s">
        <v>146</v>
      </c>
      <c r="Q43" s="1" t="s">
        <v>55</v>
      </c>
      <c r="R43" s="1" t="s">
        <v>326</v>
      </c>
      <c r="S43" s="2">
        <v>46170</v>
      </c>
      <c r="T43" s="2">
        <v>46170</v>
      </c>
      <c r="AB43" s="1">
        <v>0</v>
      </c>
      <c r="AC43" s="1">
        <v>0</v>
      </c>
      <c r="AD43" s="1">
        <v>0</v>
      </c>
      <c r="AE43" s="1">
        <v>0</v>
      </c>
      <c r="AF43" s="1">
        <v>1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1</v>
      </c>
      <c r="AM43" s="1">
        <v>0</v>
      </c>
    </row>
    <row r="44" spans="1:39" hidden="1" x14ac:dyDescent="0.25">
      <c r="A44" s="1">
        <v>178</v>
      </c>
      <c r="B44" s="1" t="s">
        <v>336</v>
      </c>
      <c r="C44" s="1" t="s">
        <v>328</v>
      </c>
      <c r="D44" s="1" t="s">
        <v>337</v>
      </c>
      <c r="E44" s="1" t="s">
        <v>144</v>
      </c>
      <c r="F44" s="3">
        <v>46195</v>
      </c>
      <c r="G44" s="3">
        <v>46202</v>
      </c>
      <c r="H44" s="4">
        <v>0.33</v>
      </c>
      <c r="J44" s="1" t="s">
        <v>41</v>
      </c>
      <c r="M44" s="1" t="s">
        <v>338</v>
      </c>
      <c r="N44" s="2">
        <v>46202</v>
      </c>
      <c r="P44" s="1" t="s">
        <v>146</v>
      </c>
      <c r="Q44" s="1" t="s">
        <v>55</v>
      </c>
      <c r="R44" s="1" t="s">
        <v>326</v>
      </c>
      <c r="S44" s="2">
        <v>46181</v>
      </c>
      <c r="T44" s="2">
        <v>46189</v>
      </c>
      <c r="AB44" s="1">
        <v>0.33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</row>
    <row r="45" spans="1:39" hidden="1" x14ac:dyDescent="0.25">
      <c r="A45" s="1">
        <v>180</v>
      </c>
      <c r="B45" s="1" t="s">
        <v>341</v>
      </c>
      <c r="C45" s="1" t="s">
        <v>340</v>
      </c>
      <c r="D45" s="1" t="s">
        <v>105</v>
      </c>
      <c r="E45" s="1" t="s">
        <v>52</v>
      </c>
      <c r="F45" s="3">
        <v>46197</v>
      </c>
      <c r="G45" s="3">
        <v>46197</v>
      </c>
      <c r="H45" s="4">
        <v>0</v>
      </c>
      <c r="J45" s="1" t="s">
        <v>41</v>
      </c>
      <c r="K45" s="1">
        <v>179</v>
      </c>
      <c r="L45" s="1">
        <v>181</v>
      </c>
      <c r="M45" s="1" t="s">
        <v>342</v>
      </c>
      <c r="N45" s="2">
        <v>46197</v>
      </c>
      <c r="P45" s="1" t="s">
        <v>146</v>
      </c>
      <c r="Q45" s="1" t="s">
        <v>55</v>
      </c>
      <c r="R45" s="1" t="s">
        <v>326</v>
      </c>
      <c r="S45" s="2">
        <v>46184</v>
      </c>
      <c r="T45" s="2">
        <v>46184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1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</row>
    <row r="46" spans="1:39" hidden="1" x14ac:dyDescent="0.25">
      <c r="A46" s="1">
        <v>181</v>
      </c>
      <c r="B46" s="1" t="s">
        <v>343</v>
      </c>
      <c r="C46" s="1" t="s">
        <v>340</v>
      </c>
      <c r="D46" s="1" t="s">
        <v>109</v>
      </c>
      <c r="E46" s="1" t="s">
        <v>116</v>
      </c>
      <c r="F46" s="3">
        <v>46198</v>
      </c>
      <c r="G46" s="3">
        <v>46199</v>
      </c>
      <c r="H46" s="4">
        <v>0</v>
      </c>
      <c r="J46" s="1" t="s">
        <v>41</v>
      </c>
      <c r="K46" s="1">
        <v>180</v>
      </c>
      <c r="L46" s="1">
        <v>182</v>
      </c>
      <c r="M46" s="1" t="s">
        <v>233</v>
      </c>
      <c r="N46" s="2">
        <v>46199</v>
      </c>
      <c r="P46" s="1" t="s">
        <v>67</v>
      </c>
      <c r="Q46" s="1" t="s">
        <v>55</v>
      </c>
      <c r="R46" s="1" t="s">
        <v>326</v>
      </c>
      <c r="S46" s="2">
        <v>46185</v>
      </c>
      <c r="T46" s="2">
        <v>46188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1</v>
      </c>
      <c r="AK46" s="1">
        <v>0</v>
      </c>
      <c r="AL46" s="1">
        <v>0</v>
      </c>
      <c r="AM46" s="1">
        <v>0</v>
      </c>
    </row>
    <row r="47" spans="1:39" hidden="1" x14ac:dyDescent="0.25">
      <c r="A47" s="1">
        <v>182</v>
      </c>
      <c r="B47" s="1" t="s">
        <v>344</v>
      </c>
      <c r="C47" s="1" t="s">
        <v>340</v>
      </c>
      <c r="D47" s="1" t="s">
        <v>115</v>
      </c>
      <c r="E47" s="1" t="s">
        <v>52</v>
      </c>
      <c r="F47" s="3">
        <v>46202</v>
      </c>
      <c r="G47" s="3">
        <v>46202</v>
      </c>
      <c r="H47" s="4">
        <v>0</v>
      </c>
      <c r="J47" s="1" t="s">
        <v>41</v>
      </c>
      <c r="K47" s="1">
        <v>181</v>
      </c>
      <c r="M47" s="1" t="s">
        <v>345</v>
      </c>
      <c r="N47" s="2">
        <v>46202</v>
      </c>
      <c r="P47" s="1" t="s">
        <v>67</v>
      </c>
      <c r="Q47" s="1" t="s">
        <v>55</v>
      </c>
      <c r="R47" s="1" t="s">
        <v>326</v>
      </c>
      <c r="S47" s="2">
        <v>46189</v>
      </c>
      <c r="T47" s="2">
        <v>46189</v>
      </c>
      <c r="AB47" s="1">
        <v>0</v>
      </c>
      <c r="AC47" s="1">
        <v>0</v>
      </c>
      <c r="AD47" s="1">
        <v>0</v>
      </c>
      <c r="AE47" s="1">
        <v>0</v>
      </c>
      <c r="AF47" s="1">
        <v>1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1</v>
      </c>
      <c r="AM47" s="1">
        <v>0</v>
      </c>
    </row>
    <row r="48" spans="1:39" hidden="1" x14ac:dyDescent="0.25">
      <c r="A48" s="1">
        <v>185</v>
      </c>
      <c r="B48" s="1" t="s">
        <v>353</v>
      </c>
      <c r="C48" s="1" t="s">
        <v>350</v>
      </c>
      <c r="D48" s="1" t="s">
        <v>105</v>
      </c>
      <c r="E48" s="1" t="s">
        <v>52</v>
      </c>
      <c r="F48" s="3">
        <v>46205</v>
      </c>
      <c r="G48" s="3">
        <v>46205</v>
      </c>
      <c r="H48" s="4">
        <v>0</v>
      </c>
      <c r="J48" s="1" t="s">
        <v>41</v>
      </c>
      <c r="K48" s="1">
        <v>184</v>
      </c>
      <c r="L48" s="1" t="s">
        <v>354</v>
      </c>
      <c r="M48" s="1" t="s">
        <v>66</v>
      </c>
      <c r="N48" s="2">
        <v>46178</v>
      </c>
      <c r="P48" s="1" t="s">
        <v>348</v>
      </c>
      <c r="Q48" s="1" t="s">
        <v>55</v>
      </c>
      <c r="R48" s="1" t="s">
        <v>326</v>
      </c>
      <c r="S48" s="2">
        <v>46167</v>
      </c>
      <c r="T48" s="2">
        <v>46167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1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</row>
    <row r="49" spans="1:39" hidden="1" x14ac:dyDescent="0.25">
      <c r="A49" s="1">
        <v>188</v>
      </c>
      <c r="B49" s="1" t="s">
        <v>357</v>
      </c>
      <c r="C49" s="1" t="s">
        <v>328</v>
      </c>
      <c r="D49" s="1" t="s">
        <v>358</v>
      </c>
      <c r="E49" s="1" t="s">
        <v>359</v>
      </c>
      <c r="F49" s="3">
        <v>46181</v>
      </c>
      <c r="G49" s="3">
        <v>46185</v>
      </c>
      <c r="H49" s="4">
        <v>0.6</v>
      </c>
      <c r="J49" s="1" t="s">
        <v>41</v>
      </c>
      <c r="M49" s="1" t="s">
        <v>195</v>
      </c>
      <c r="N49" s="2">
        <v>46198</v>
      </c>
      <c r="P49" s="1" t="s">
        <v>76</v>
      </c>
      <c r="Q49" s="1" t="s">
        <v>55</v>
      </c>
      <c r="R49" s="1" t="s">
        <v>326</v>
      </c>
      <c r="S49" s="2">
        <v>46157</v>
      </c>
      <c r="T49" s="2">
        <v>46176</v>
      </c>
      <c r="AB49" s="1">
        <v>0.6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</row>
    <row r="50" spans="1:39" hidden="1" x14ac:dyDescent="0.25">
      <c r="A50" s="1">
        <v>191</v>
      </c>
      <c r="B50" s="1" t="s">
        <v>366</v>
      </c>
      <c r="C50" s="1" t="s">
        <v>361</v>
      </c>
      <c r="D50" s="1" t="s">
        <v>109</v>
      </c>
      <c r="E50" s="1" t="s">
        <v>116</v>
      </c>
      <c r="F50" s="3">
        <v>46183</v>
      </c>
      <c r="G50" s="3">
        <v>46184</v>
      </c>
      <c r="H50" s="4">
        <v>0.5</v>
      </c>
      <c r="J50" s="1" t="s">
        <v>41</v>
      </c>
      <c r="K50" s="1">
        <v>190</v>
      </c>
      <c r="L50" s="1">
        <v>192</v>
      </c>
      <c r="M50" s="1" t="s">
        <v>367</v>
      </c>
      <c r="N50" s="2">
        <v>46197</v>
      </c>
      <c r="P50" s="1" t="s">
        <v>76</v>
      </c>
      <c r="Q50" s="1" t="s">
        <v>55</v>
      </c>
      <c r="R50" s="1" t="s">
        <v>326</v>
      </c>
      <c r="S50" s="2">
        <v>46174</v>
      </c>
      <c r="T50" s="2">
        <v>46175</v>
      </c>
      <c r="AB50" s="1">
        <v>0.5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1</v>
      </c>
      <c r="AK50" s="1">
        <v>0</v>
      </c>
      <c r="AL50" s="1">
        <v>0</v>
      </c>
      <c r="AM50" s="1">
        <v>0</v>
      </c>
    </row>
    <row r="51" spans="1:39" hidden="1" x14ac:dyDescent="0.25">
      <c r="A51" s="1">
        <v>192</v>
      </c>
      <c r="B51" s="1" t="s">
        <v>368</v>
      </c>
      <c r="C51" s="1" t="s">
        <v>361</v>
      </c>
      <c r="D51" s="1" t="s">
        <v>115</v>
      </c>
      <c r="E51" s="1" t="s">
        <v>52</v>
      </c>
      <c r="F51" s="3">
        <v>46185</v>
      </c>
      <c r="G51" s="3">
        <v>46185</v>
      </c>
      <c r="H51" s="4">
        <v>0</v>
      </c>
      <c r="J51" s="1" t="s">
        <v>41</v>
      </c>
      <c r="K51" s="1">
        <v>191</v>
      </c>
      <c r="M51" s="1" t="s">
        <v>233</v>
      </c>
      <c r="N51" s="2">
        <v>46198</v>
      </c>
      <c r="P51" s="1" t="s">
        <v>76</v>
      </c>
      <c r="Q51" s="1" t="s">
        <v>55</v>
      </c>
      <c r="R51" s="1" t="s">
        <v>326</v>
      </c>
      <c r="S51" s="2">
        <v>46176</v>
      </c>
      <c r="T51" s="2">
        <v>46176</v>
      </c>
      <c r="AB51" s="1">
        <v>0</v>
      </c>
      <c r="AC51" s="1">
        <v>0</v>
      </c>
      <c r="AD51" s="1">
        <v>0</v>
      </c>
      <c r="AE51" s="1">
        <v>0</v>
      </c>
      <c r="AF51" s="1">
        <v>1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1</v>
      </c>
      <c r="AM51" s="1">
        <v>0</v>
      </c>
    </row>
    <row r="52" spans="1:39" hidden="1" x14ac:dyDescent="0.25">
      <c r="A52" s="1">
        <v>198</v>
      </c>
      <c r="B52" s="1" t="s">
        <v>369</v>
      </c>
      <c r="C52" s="1" t="s">
        <v>328</v>
      </c>
      <c r="D52" s="1" t="s">
        <v>370</v>
      </c>
      <c r="E52" s="1" t="s">
        <v>227</v>
      </c>
      <c r="F52" s="3">
        <v>46196</v>
      </c>
      <c r="G52" s="3">
        <v>46204</v>
      </c>
      <c r="H52" s="4">
        <v>0.5</v>
      </c>
      <c r="J52" s="1" t="s">
        <v>41</v>
      </c>
      <c r="L52" s="1">
        <v>154</v>
      </c>
      <c r="M52" s="1" t="s">
        <v>66</v>
      </c>
      <c r="N52" s="2">
        <v>46188</v>
      </c>
      <c r="P52" s="1" t="s">
        <v>146</v>
      </c>
      <c r="Q52" s="1" t="s">
        <v>55</v>
      </c>
      <c r="R52" s="1" t="s">
        <v>326</v>
      </c>
      <c r="S52" s="2">
        <v>46167</v>
      </c>
      <c r="T52" s="2">
        <v>46175</v>
      </c>
      <c r="AB52" s="1">
        <v>0.5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</row>
    <row r="53" spans="1:39" hidden="1" x14ac:dyDescent="0.25">
      <c r="A53" s="1">
        <v>200</v>
      </c>
      <c r="B53" s="1" t="s">
        <v>373</v>
      </c>
      <c r="C53" s="1" t="s">
        <v>372</v>
      </c>
      <c r="D53" s="1" t="s">
        <v>105</v>
      </c>
      <c r="E53" s="1" t="s">
        <v>52</v>
      </c>
      <c r="F53" s="3">
        <v>46199</v>
      </c>
      <c r="G53" s="3">
        <v>46199</v>
      </c>
      <c r="H53" s="4">
        <v>0.5</v>
      </c>
      <c r="J53" s="1" t="s">
        <v>41</v>
      </c>
      <c r="K53" s="1">
        <v>199</v>
      </c>
      <c r="L53" s="1">
        <v>201</v>
      </c>
      <c r="M53" s="1" t="s">
        <v>224</v>
      </c>
      <c r="N53" s="2">
        <v>46183</v>
      </c>
      <c r="P53" s="1" t="s">
        <v>146</v>
      </c>
      <c r="Q53" s="1" t="s">
        <v>55</v>
      </c>
      <c r="R53" s="1" t="s">
        <v>326</v>
      </c>
      <c r="S53" s="2">
        <v>46170</v>
      </c>
      <c r="T53" s="2">
        <v>46170</v>
      </c>
      <c r="AB53" s="1">
        <v>0.5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1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</row>
    <row r="54" spans="1:39" hidden="1" x14ac:dyDescent="0.25">
      <c r="A54" s="1">
        <v>201</v>
      </c>
      <c r="B54" s="1" t="s">
        <v>374</v>
      </c>
      <c r="C54" s="1" t="s">
        <v>372</v>
      </c>
      <c r="D54" s="1" t="s">
        <v>109</v>
      </c>
      <c r="E54" s="1" t="s">
        <v>116</v>
      </c>
      <c r="F54" s="3">
        <v>46202</v>
      </c>
      <c r="G54" s="3">
        <v>46203</v>
      </c>
      <c r="H54" s="4">
        <v>0</v>
      </c>
      <c r="J54" s="1" t="s">
        <v>41</v>
      </c>
      <c r="K54" s="1">
        <v>200</v>
      </c>
      <c r="L54" s="1">
        <v>202</v>
      </c>
      <c r="M54" s="1" t="s">
        <v>179</v>
      </c>
      <c r="N54" s="2">
        <v>46185</v>
      </c>
      <c r="P54" s="1" t="s">
        <v>67</v>
      </c>
      <c r="Q54" s="1" t="s">
        <v>55</v>
      </c>
      <c r="R54" s="1" t="s">
        <v>326</v>
      </c>
      <c r="S54" s="2">
        <v>46171</v>
      </c>
      <c r="T54" s="2">
        <v>46174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1</v>
      </c>
      <c r="AK54" s="1">
        <v>0</v>
      </c>
      <c r="AL54" s="1">
        <v>0</v>
      </c>
      <c r="AM54" s="1">
        <v>0</v>
      </c>
    </row>
    <row r="55" spans="1:39" hidden="1" x14ac:dyDescent="0.25">
      <c r="A55" s="1">
        <v>202</v>
      </c>
      <c r="B55" s="1" t="s">
        <v>375</v>
      </c>
      <c r="C55" s="1" t="s">
        <v>372</v>
      </c>
      <c r="D55" s="1" t="s">
        <v>115</v>
      </c>
      <c r="E55" s="1" t="s">
        <v>52</v>
      </c>
      <c r="F55" s="3">
        <v>46204</v>
      </c>
      <c r="G55" s="3">
        <v>46204</v>
      </c>
      <c r="H55" s="4">
        <v>0</v>
      </c>
      <c r="J55" s="1" t="s">
        <v>41</v>
      </c>
      <c r="K55" s="1">
        <v>201</v>
      </c>
      <c r="M55" s="1" t="s">
        <v>266</v>
      </c>
      <c r="N55" s="2">
        <v>46188</v>
      </c>
      <c r="P55" s="1" t="s">
        <v>67</v>
      </c>
      <c r="Q55" s="1" t="s">
        <v>55</v>
      </c>
      <c r="R55" s="1" t="s">
        <v>326</v>
      </c>
      <c r="S55" s="2">
        <v>46175</v>
      </c>
      <c r="T55" s="2">
        <v>46175</v>
      </c>
      <c r="AB55" s="1">
        <v>0</v>
      </c>
      <c r="AC55" s="1">
        <v>0</v>
      </c>
      <c r="AD55" s="1">
        <v>0</v>
      </c>
      <c r="AE55" s="1">
        <v>0</v>
      </c>
      <c r="AF55" s="1">
        <v>1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1</v>
      </c>
      <c r="AM55" s="1">
        <v>0</v>
      </c>
    </row>
    <row r="56" spans="1:39" hidden="1" x14ac:dyDescent="0.25">
      <c r="A56" s="1">
        <v>203</v>
      </c>
      <c r="B56" s="1" t="s">
        <v>376</v>
      </c>
      <c r="C56" s="1" t="s">
        <v>328</v>
      </c>
      <c r="D56" s="1" t="s">
        <v>377</v>
      </c>
      <c r="E56" s="1" t="s">
        <v>227</v>
      </c>
      <c r="F56" s="3">
        <v>46196</v>
      </c>
      <c r="G56" s="3">
        <v>46204</v>
      </c>
      <c r="H56" s="4">
        <v>0.5</v>
      </c>
      <c r="J56" s="1" t="s">
        <v>41</v>
      </c>
      <c r="M56" s="1" t="s">
        <v>66</v>
      </c>
      <c r="N56" s="2">
        <v>46188</v>
      </c>
      <c r="P56" s="1" t="s">
        <v>146</v>
      </c>
      <c r="Q56" s="1" t="s">
        <v>55</v>
      </c>
      <c r="R56" s="1" t="s">
        <v>326</v>
      </c>
      <c r="S56" s="2">
        <v>46167</v>
      </c>
      <c r="T56" s="2">
        <v>46175</v>
      </c>
      <c r="AB56" s="1">
        <v>0.5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</row>
    <row r="57" spans="1:39" hidden="1" x14ac:dyDescent="0.25">
      <c r="A57" s="1">
        <v>205</v>
      </c>
      <c r="B57" s="1" t="s">
        <v>380</v>
      </c>
      <c r="C57" s="1" t="s">
        <v>379</v>
      </c>
      <c r="D57" s="1" t="s">
        <v>105</v>
      </c>
      <c r="E57" s="1" t="s">
        <v>52</v>
      </c>
      <c r="F57" s="3">
        <v>46199</v>
      </c>
      <c r="G57" s="3">
        <v>46199</v>
      </c>
      <c r="H57" s="4">
        <v>0.5</v>
      </c>
      <c r="J57" s="1" t="s">
        <v>41</v>
      </c>
      <c r="K57" s="1">
        <v>204</v>
      </c>
      <c r="L57" s="1">
        <v>206</v>
      </c>
      <c r="M57" s="1" t="s">
        <v>224</v>
      </c>
      <c r="N57" s="2">
        <v>46183</v>
      </c>
      <c r="P57" s="1" t="s">
        <v>146</v>
      </c>
      <c r="Q57" s="1" t="s">
        <v>55</v>
      </c>
      <c r="R57" s="1" t="s">
        <v>326</v>
      </c>
      <c r="S57" s="2">
        <v>46170</v>
      </c>
      <c r="T57" s="2">
        <v>46170</v>
      </c>
      <c r="AB57" s="1">
        <v>0.5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1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</row>
    <row r="58" spans="1:39" hidden="1" x14ac:dyDescent="0.25">
      <c r="A58" s="1">
        <v>206</v>
      </c>
      <c r="B58" s="1" t="s">
        <v>381</v>
      </c>
      <c r="C58" s="1" t="s">
        <v>379</v>
      </c>
      <c r="D58" s="1" t="s">
        <v>109</v>
      </c>
      <c r="E58" s="1" t="s">
        <v>116</v>
      </c>
      <c r="F58" s="3">
        <v>46202</v>
      </c>
      <c r="G58" s="3">
        <v>46203</v>
      </c>
      <c r="H58" s="4">
        <v>0</v>
      </c>
      <c r="J58" s="1" t="s">
        <v>41</v>
      </c>
      <c r="K58" s="1">
        <v>205</v>
      </c>
      <c r="L58" s="1">
        <v>207</v>
      </c>
      <c r="M58" s="1" t="s">
        <v>179</v>
      </c>
      <c r="N58" s="2">
        <v>46185</v>
      </c>
      <c r="P58" s="1" t="s">
        <v>67</v>
      </c>
      <c r="Q58" s="1" t="s">
        <v>55</v>
      </c>
      <c r="R58" s="1" t="s">
        <v>326</v>
      </c>
      <c r="S58" s="2">
        <v>46171</v>
      </c>
      <c r="T58" s="2">
        <v>46174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1</v>
      </c>
      <c r="AK58" s="1">
        <v>0</v>
      </c>
      <c r="AL58" s="1">
        <v>0</v>
      </c>
      <c r="AM58" s="1">
        <v>0</v>
      </c>
    </row>
    <row r="59" spans="1:39" hidden="1" x14ac:dyDescent="0.25">
      <c r="A59" s="1">
        <v>207</v>
      </c>
      <c r="B59" s="1" t="s">
        <v>382</v>
      </c>
      <c r="C59" s="1" t="s">
        <v>379</v>
      </c>
      <c r="D59" s="1" t="s">
        <v>115</v>
      </c>
      <c r="E59" s="1" t="s">
        <v>52</v>
      </c>
      <c r="F59" s="3">
        <v>46204</v>
      </c>
      <c r="G59" s="3">
        <v>46204</v>
      </c>
      <c r="H59" s="4">
        <v>0</v>
      </c>
      <c r="J59" s="1" t="s">
        <v>41</v>
      </c>
      <c r="K59" s="1">
        <v>206</v>
      </c>
      <c r="M59" s="1" t="s">
        <v>266</v>
      </c>
      <c r="N59" s="2">
        <v>46188</v>
      </c>
      <c r="P59" s="1" t="s">
        <v>67</v>
      </c>
      <c r="Q59" s="1" t="s">
        <v>55</v>
      </c>
      <c r="R59" s="1" t="s">
        <v>326</v>
      </c>
      <c r="S59" s="2">
        <v>46175</v>
      </c>
      <c r="T59" s="2">
        <v>46175</v>
      </c>
      <c r="AB59" s="1">
        <v>0</v>
      </c>
      <c r="AC59" s="1">
        <v>0</v>
      </c>
      <c r="AD59" s="1">
        <v>0</v>
      </c>
      <c r="AE59" s="1">
        <v>0</v>
      </c>
      <c r="AF59" s="1">
        <v>1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1</v>
      </c>
      <c r="AM59" s="1">
        <v>0</v>
      </c>
    </row>
    <row r="60" spans="1:39" hidden="1" x14ac:dyDescent="0.25">
      <c r="A60" s="1">
        <v>208</v>
      </c>
      <c r="B60" s="1" t="s">
        <v>383</v>
      </c>
      <c r="C60" s="1" t="s">
        <v>328</v>
      </c>
      <c r="D60" s="1" t="s">
        <v>384</v>
      </c>
      <c r="E60" s="1" t="s">
        <v>227</v>
      </c>
      <c r="F60" s="3">
        <v>46196</v>
      </c>
      <c r="G60" s="3">
        <v>46204</v>
      </c>
      <c r="H60" s="4">
        <v>0.5</v>
      </c>
      <c r="J60" s="1" t="s">
        <v>41</v>
      </c>
      <c r="M60" s="1" t="s">
        <v>66</v>
      </c>
      <c r="N60" s="2">
        <v>46188</v>
      </c>
      <c r="P60" s="1" t="s">
        <v>146</v>
      </c>
      <c r="Q60" s="1" t="s">
        <v>55</v>
      </c>
      <c r="R60" s="1" t="s">
        <v>326</v>
      </c>
      <c r="S60" s="2">
        <v>46167</v>
      </c>
      <c r="T60" s="2">
        <v>46175</v>
      </c>
      <c r="AB60" s="1">
        <v>0.5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</row>
    <row r="61" spans="1:39" hidden="1" x14ac:dyDescent="0.25">
      <c r="A61" s="1">
        <v>210</v>
      </c>
      <c r="B61" s="1" t="s">
        <v>387</v>
      </c>
      <c r="C61" s="1" t="s">
        <v>386</v>
      </c>
      <c r="D61" s="1" t="s">
        <v>105</v>
      </c>
      <c r="E61" s="1" t="s">
        <v>52</v>
      </c>
      <c r="F61" s="3">
        <v>46199</v>
      </c>
      <c r="G61" s="3">
        <v>46199</v>
      </c>
      <c r="H61" s="4">
        <v>0.5</v>
      </c>
      <c r="J61" s="1" t="s">
        <v>41</v>
      </c>
      <c r="K61" s="1">
        <v>209</v>
      </c>
      <c r="L61" s="1">
        <v>211</v>
      </c>
      <c r="M61" s="1" t="s">
        <v>224</v>
      </c>
      <c r="N61" s="2">
        <v>46183</v>
      </c>
      <c r="P61" s="1" t="s">
        <v>146</v>
      </c>
      <c r="Q61" s="1" t="s">
        <v>55</v>
      </c>
      <c r="R61" s="1" t="s">
        <v>326</v>
      </c>
      <c r="S61" s="2">
        <v>46170</v>
      </c>
      <c r="T61" s="2">
        <v>46170</v>
      </c>
      <c r="AB61" s="1">
        <v>0.5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1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</row>
    <row r="62" spans="1:39" hidden="1" x14ac:dyDescent="0.25">
      <c r="A62" s="1">
        <v>211</v>
      </c>
      <c r="B62" s="1" t="s">
        <v>388</v>
      </c>
      <c r="C62" s="1" t="s">
        <v>386</v>
      </c>
      <c r="D62" s="1" t="s">
        <v>109</v>
      </c>
      <c r="E62" s="1" t="s">
        <v>116</v>
      </c>
      <c r="F62" s="3">
        <v>46202</v>
      </c>
      <c r="G62" s="3">
        <v>46203</v>
      </c>
      <c r="H62" s="4">
        <v>0</v>
      </c>
      <c r="J62" s="1" t="s">
        <v>41</v>
      </c>
      <c r="K62" s="1">
        <v>210</v>
      </c>
      <c r="L62" s="1">
        <v>212</v>
      </c>
      <c r="M62" s="1" t="s">
        <v>179</v>
      </c>
      <c r="N62" s="2">
        <v>46185</v>
      </c>
      <c r="P62" s="1" t="s">
        <v>67</v>
      </c>
      <c r="Q62" s="1" t="s">
        <v>55</v>
      </c>
      <c r="R62" s="1" t="s">
        <v>326</v>
      </c>
      <c r="S62" s="2">
        <v>46171</v>
      </c>
      <c r="T62" s="2">
        <v>46174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1</v>
      </c>
      <c r="AK62" s="1">
        <v>0</v>
      </c>
      <c r="AL62" s="1">
        <v>0</v>
      </c>
      <c r="AM62" s="1">
        <v>0</v>
      </c>
    </row>
    <row r="63" spans="1:39" hidden="1" x14ac:dyDescent="0.25">
      <c r="A63" s="1">
        <v>212</v>
      </c>
      <c r="B63" s="1" t="s">
        <v>389</v>
      </c>
      <c r="C63" s="1" t="s">
        <v>386</v>
      </c>
      <c r="D63" s="1" t="s">
        <v>115</v>
      </c>
      <c r="E63" s="1" t="s">
        <v>52</v>
      </c>
      <c r="F63" s="3">
        <v>46204</v>
      </c>
      <c r="G63" s="3">
        <v>46204</v>
      </c>
      <c r="H63" s="4">
        <v>0</v>
      </c>
      <c r="J63" s="1" t="s">
        <v>41</v>
      </c>
      <c r="K63" s="1">
        <v>211</v>
      </c>
      <c r="M63" s="1" t="s">
        <v>266</v>
      </c>
      <c r="N63" s="2">
        <v>46188</v>
      </c>
      <c r="P63" s="1" t="s">
        <v>67</v>
      </c>
      <c r="Q63" s="1" t="s">
        <v>55</v>
      </c>
      <c r="R63" s="1" t="s">
        <v>326</v>
      </c>
      <c r="S63" s="2">
        <v>46175</v>
      </c>
      <c r="T63" s="2">
        <v>46175</v>
      </c>
      <c r="AB63" s="1">
        <v>0</v>
      </c>
      <c r="AC63" s="1">
        <v>0</v>
      </c>
      <c r="AD63" s="1">
        <v>0</v>
      </c>
      <c r="AE63" s="1">
        <v>0</v>
      </c>
      <c r="AF63" s="1">
        <v>1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1</v>
      </c>
      <c r="AM63" s="1">
        <v>0</v>
      </c>
    </row>
    <row r="64" spans="1:39" hidden="1" x14ac:dyDescent="0.25">
      <c r="A64" s="1">
        <v>230</v>
      </c>
      <c r="B64" s="1" t="s">
        <v>395</v>
      </c>
      <c r="C64" s="1" t="s">
        <v>393</v>
      </c>
      <c r="D64" s="1" t="s">
        <v>105</v>
      </c>
      <c r="E64" s="1" t="s">
        <v>52</v>
      </c>
      <c r="F64" s="3">
        <v>46205</v>
      </c>
      <c r="G64" s="3">
        <v>46205</v>
      </c>
      <c r="H64" s="4">
        <v>0</v>
      </c>
      <c r="J64" s="1" t="s">
        <v>41</v>
      </c>
      <c r="K64" s="1">
        <v>229</v>
      </c>
      <c r="L64" s="1">
        <v>231</v>
      </c>
      <c r="M64" s="1" t="s">
        <v>224</v>
      </c>
      <c r="N64" s="2">
        <v>46183</v>
      </c>
      <c r="P64" s="1" t="s">
        <v>67</v>
      </c>
      <c r="Q64" s="1" t="s">
        <v>55</v>
      </c>
      <c r="R64" s="1" t="s">
        <v>326</v>
      </c>
      <c r="S64" s="2">
        <v>46170</v>
      </c>
      <c r="T64" s="2">
        <v>46170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1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</row>
    <row r="65" spans="1:39" hidden="1" x14ac:dyDescent="0.25">
      <c r="A65" s="1">
        <v>244</v>
      </c>
      <c r="B65" s="1" t="s">
        <v>402</v>
      </c>
      <c r="C65" s="1" t="s">
        <v>403</v>
      </c>
      <c r="D65" s="1" t="s">
        <v>404</v>
      </c>
      <c r="E65" s="1" t="s">
        <v>144</v>
      </c>
      <c r="F65" s="3">
        <v>46198</v>
      </c>
      <c r="G65" s="3">
        <v>46205</v>
      </c>
      <c r="H65" s="4">
        <v>0.5</v>
      </c>
      <c r="J65" s="1" t="s">
        <v>41</v>
      </c>
      <c r="M65" s="1" t="s">
        <v>179</v>
      </c>
      <c r="N65" s="2">
        <v>46196</v>
      </c>
      <c r="P65" s="1" t="s">
        <v>146</v>
      </c>
      <c r="Q65" s="1" t="s">
        <v>55</v>
      </c>
      <c r="R65" s="1" t="s">
        <v>401</v>
      </c>
      <c r="S65" s="2">
        <v>46176</v>
      </c>
      <c r="T65" s="2">
        <v>46188</v>
      </c>
      <c r="AB65" s="1">
        <v>0.5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</row>
    <row r="66" spans="1:39" hidden="1" x14ac:dyDescent="0.25">
      <c r="A66" s="1">
        <v>246</v>
      </c>
      <c r="B66" s="1" t="s">
        <v>409</v>
      </c>
      <c r="C66" s="1" t="s">
        <v>406</v>
      </c>
      <c r="D66" s="1" t="s">
        <v>105</v>
      </c>
      <c r="E66" s="1" t="s">
        <v>52</v>
      </c>
      <c r="F66" s="3">
        <v>46203</v>
      </c>
      <c r="G66" s="3">
        <v>46203</v>
      </c>
      <c r="H66" s="4">
        <v>0</v>
      </c>
      <c r="J66" s="1" t="s">
        <v>41</v>
      </c>
      <c r="K66" s="1">
        <v>245</v>
      </c>
      <c r="L66" s="1" t="s">
        <v>410</v>
      </c>
      <c r="M66" s="1" t="s">
        <v>228</v>
      </c>
      <c r="N66" s="2">
        <v>46191</v>
      </c>
      <c r="P66" s="1" t="s">
        <v>67</v>
      </c>
      <c r="Q66" s="1" t="s">
        <v>55</v>
      </c>
      <c r="R66" s="1" t="s">
        <v>401</v>
      </c>
      <c r="S66" s="2">
        <v>46183</v>
      </c>
      <c r="T66" s="2">
        <v>46183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1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</row>
    <row r="67" spans="1:39" hidden="1" x14ac:dyDescent="0.25">
      <c r="A67" s="1">
        <v>247</v>
      </c>
      <c r="B67" s="1" t="s">
        <v>411</v>
      </c>
      <c r="C67" s="1" t="s">
        <v>406</v>
      </c>
      <c r="D67" s="1" t="s">
        <v>109</v>
      </c>
      <c r="E67" s="1" t="s">
        <v>52</v>
      </c>
      <c r="F67" s="3">
        <v>46204</v>
      </c>
      <c r="G67" s="3">
        <v>46204</v>
      </c>
      <c r="H67" s="4">
        <v>0</v>
      </c>
      <c r="J67" s="1" t="s">
        <v>41</v>
      </c>
      <c r="K67" s="1">
        <v>246</v>
      </c>
      <c r="L67" s="1">
        <v>248</v>
      </c>
      <c r="M67" s="1" t="s">
        <v>338</v>
      </c>
      <c r="N67" s="2">
        <v>46195</v>
      </c>
      <c r="P67" s="1" t="s">
        <v>67</v>
      </c>
      <c r="Q67" s="1" t="s">
        <v>55</v>
      </c>
      <c r="R67" s="1" t="s">
        <v>401</v>
      </c>
      <c r="S67" s="2">
        <v>46184</v>
      </c>
      <c r="T67" s="2">
        <v>46185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1</v>
      </c>
      <c r="AK67" s="1">
        <v>0</v>
      </c>
      <c r="AL67" s="1">
        <v>0</v>
      </c>
      <c r="AM67" s="1">
        <v>0</v>
      </c>
    </row>
    <row r="68" spans="1:39" hidden="1" x14ac:dyDescent="0.25">
      <c r="A68" s="1">
        <v>248</v>
      </c>
      <c r="B68" s="1" t="s">
        <v>412</v>
      </c>
      <c r="C68" s="1" t="s">
        <v>406</v>
      </c>
      <c r="D68" s="1" t="s">
        <v>115</v>
      </c>
      <c r="E68" s="1" t="s">
        <v>52</v>
      </c>
      <c r="F68" s="3">
        <v>46205</v>
      </c>
      <c r="G68" s="3">
        <v>46205</v>
      </c>
      <c r="H68" s="4">
        <v>0</v>
      </c>
      <c r="J68" s="1" t="s">
        <v>41</v>
      </c>
      <c r="K68" s="1">
        <v>247</v>
      </c>
      <c r="M68" s="1" t="s">
        <v>367</v>
      </c>
      <c r="N68" s="2">
        <v>46196</v>
      </c>
      <c r="P68" s="1" t="s">
        <v>67</v>
      </c>
      <c r="Q68" s="1" t="s">
        <v>55</v>
      </c>
      <c r="R68" s="1" t="s">
        <v>401</v>
      </c>
      <c r="S68" s="2">
        <v>46188</v>
      </c>
      <c r="T68" s="2">
        <v>46188</v>
      </c>
      <c r="AB68" s="1">
        <v>0</v>
      </c>
      <c r="AC68" s="1">
        <v>0</v>
      </c>
      <c r="AD68" s="1">
        <v>0</v>
      </c>
      <c r="AE68" s="1">
        <v>0</v>
      </c>
      <c r="AF68" s="1">
        <v>1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1</v>
      </c>
      <c r="AM68" s="1">
        <v>0</v>
      </c>
    </row>
    <row r="69" spans="1:39" hidden="1" x14ac:dyDescent="0.25">
      <c r="A69" s="1">
        <v>259</v>
      </c>
      <c r="B69" s="1" t="s">
        <v>420</v>
      </c>
      <c r="C69" s="1" t="s">
        <v>403</v>
      </c>
      <c r="D69" s="1" t="s">
        <v>421</v>
      </c>
      <c r="E69" s="1" t="s">
        <v>359</v>
      </c>
      <c r="F69" s="3">
        <v>46191</v>
      </c>
      <c r="G69" s="3">
        <v>46197</v>
      </c>
      <c r="H69" s="4">
        <v>0.4</v>
      </c>
      <c r="J69" s="1" t="s">
        <v>41</v>
      </c>
      <c r="M69" s="1" t="s">
        <v>179</v>
      </c>
      <c r="N69" s="2">
        <v>46192</v>
      </c>
      <c r="P69" s="1" t="s">
        <v>73</v>
      </c>
      <c r="Q69" s="1" t="s">
        <v>55</v>
      </c>
      <c r="R69" s="1" t="s">
        <v>401</v>
      </c>
      <c r="S69" s="2">
        <v>46171</v>
      </c>
      <c r="T69" s="2">
        <v>46181</v>
      </c>
      <c r="AB69" s="1">
        <v>0.4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</row>
    <row r="70" spans="1:39" hidden="1" x14ac:dyDescent="0.25">
      <c r="A70" s="1">
        <v>261</v>
      </c>
      <c r="B70" s="1" t="s">
        <v>426</v>
      </c>
      <c r="C70" s="1" t="s">
        <v>423</v>
      </c>
      <c r="D70" s="1" t="s">
        <v>105</v>
      </c>
      <c r="E70" s="1" t="s">
        <v>52</v>
      </c>
      <c r="F70" s="3">
        <v>46195</v>
      </c>
      <c r="G70" s="3">
        <v>46195</v>
      </c>
      <c r="H70" s="4">
        <v>0</v>
      </c>
      <c r="J70" s="1" t="s">
        <v>41</v>
      </c>
      <c r="K70" s="1">
        <v>260</v>
      </c>
      <c r="L70" s="1">
        <v>262</v>
      </c>
      <c r="M70" s="1" t="s">
        <v>268</v>
      </c>
      <c r="N70" s="2">
        <v>46189</v>
      </c>
      <c r="P70" s="1" t="s">
        <v>146</v>
      </c>
      <c r="Q70" s="1" t="s">
        <v>55</v>
      </c>
      <c r="R70" s="1" t="s">
        <v>401</v>
      </c>
      <c r="S70" s="2">
        <v>46176</v>
      </c>
      <c r="T70" s="2">
        <v>46176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1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</row>
    <row r="71" spans="1:39" hidden="1" x14ac:dyDescent="0.25">
      <c r="A71" s="1">
        <v>262</v>
      </c>
      <c r="B71" s="1" t="s">
        <v>427</v>
      </c>
      <c r="C71" s="1" t="s">
        <v>423</v>
      </c>
      <c r="D71" s="1" t="s">
        <v>109</v>
      </c>
      <c r="E71" s="1" t="s">
        <v>52</v>
      </c>
      <c r="F71" s="3">
        <v>46196</v>
      </c>
      <c r="G71" s="3">
        <v>46196</v>
      </c>
      <c r="H71" s="4">
        <v>0</v>
      </c>
      <c r="J71" s="1" t="s">
        <v>41</v>
      </c>
      <c r="K71" s="1">
        <v>261</v>
      </c>
      <c r="L71" s="1">
        <v>263</v>
      </c>
      <c r="M71" s="1" t="s">
        <v>428</v>
      </c>
      <c r="N71" s="2">
        <v>46191</v>
      </c>
      <c r="P71" s="1" t="s">
        <v>146</v>
      </c>
      <c r="Q71" s="1" t="s">
        <v>55</v>
      </c>
      <c r="R71" s="1" t="s">
        <v>401</v>
      </c>
      <c r="S71" s="2">
        <v>46177</v>
      </c>
      <c r="T71" s="2">
        <v>46178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1</v>
      </c>
      <c r="AK71" s="1">
        <v>0</v>
      </c>
      <c r="AL71" s="1">
        <v>0</v>
      </c>
      <c r="AM71" s="1">
        <v>0</v>
      </c>
    </row>
    <row r="72" spans="1:39" hidden="1" x14ac:dyDescent="0.25">
      <c r="A72" s="1">
        <v>263</v>
      </c>
      <c r="B72" s="1" t="s">
        <v>429</v>
      </c>
      <c r="C72" s="1" t="s">
        <v>423</v>
      </c>
      <c r="D72" s="1" t="s">
        <v>115</v>
      </c>
      <c r="E72" s="1" t="s">
        <v>52</v>
      </c>
      <c r="F72" s="3">
        <v>46197</v>
      </c>
      <c r="G72" s="3">
        <v>46197</v>
      </c>
      <c r="H72" s="4">
        <v>0</v>
      </c>
      <c r="J72" s="1" t="s">
        <v>41</v>
      </c>
      <c r="K72" s="1">
        <v>262</v>
      </c>
      <c r="M72" s="1" t="s">
        <v>338</v>
      </c>
      <c r="N72" s="2">
        <v>46192</v>
      </c>
      <c r="P72" s="1" t="s">
        <v>146</v>
      </c>
      <c r="Q72" s="1" t="s">
        <v>55</v>
      </c>
      <c r="R72" s="1" t="s">
        <v>401</v>
      </c>
      <c r="S72" s="2">
        <v>46181</v>
      </c>
      <c r="T72" s="2">
        <v>46181</v>
      </c>
      <c r="AB72" s="1">
        <v>0</v>
      </c>
      <c r="AC72" s="1">
        <v>0</v>
      </c>
      <c r="AD72" s="1">
        <v>0</v>
      </c>
      <c r="AE72" s="1">
        <v>0</v>
      </c>
      <c r="AF72" s="1">
        <v>1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1</v>
      </c>
      <c r="AM72" s="1">
        <v>0</v>
      </c>
    </row>
    <row r="73" spans="1:39" hidden="1" x14ac:dyDescent="0.25">
      <c r="A73" s="1">
        <v>266</v>
      </c>
      <c r="B73" s="1" t="s">
        <v>434</v>
      </c>
      <c r="C73" s="1" t="s">
        <v>433</v>
      </c>
      <c r="D73" s="1" t="s">
        <v>105</v>
      </c>
      <c r="E73" s="1" t="s">
        <v>52</v>
      </c>
      <c r="F73" s="3">
        <v>46206</v>
      </c>
      <c r="G73" s="3">
        <v>46206</v>
      </c>
      <c r="H73" s="4">
        <v>0</v>
      </c>
      <c r="J73" s="1" t="s">
        <v>168</v>
      </c>
      <c r="K73" s="1">
        <v>265</v>
      </c>
      <c r="L73" s="1">
        <v>267</v>
      </c>
      <c r="M73" s="1" t="s">
        <v>160</v>
      </c>
      <c r="N73" s="2">
        <v>46203</v>
      </c>
      <c r="P73" s="1" t="s">
        <v>67</v>
      </c>
      <c r="Q73" s="1" t="s">
        <v>55</v>
      </c>
      <c r="R73" s="1" t="s">
        <v>401</v>
      </c>
      <c r="S73" s="2">
        <v>46195</v>
      </c>
      <c r="T73" s="2">
        <v>46195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</row>
    <row r="74" spans="1:39" hidden="1" x14ac:dyDescent="0.25">
      <c r="A74" s="1">
        <v>271</v>
      </c>
      <c r="B74" s="1" t="s">
        <v>442</v>
      </c>
      <c r="C74" s="1" t="s">
        <v>441</v>
      </c>
      <c r="D74" s="1" t="s">
        <v>105</v>
      </c>
      <c r="E74" s="1" t="s">
        <v>52</v>
      </c>
      <c r="F74" s="3">
        <v>46206</v>
      </c>
      <c r="G74" s="3">
        <v>46206</v>
      </c>
      <c r="H74" s="4">
        <v>0</v>
      </c>
      <c r="J74" s="1" t="s">
        <v>168</v>
      </c>
      <c r="K74" s="1">
        <v>270</v>
      </c>
      <c r="L74" s="1">
        <v>272</v>
      </c>
      <c r="M74" s="1" t="s">
        <v>160</v>
      </c>
      <c r="N74" s="2">
        <v>46203</v>
      </c>
      <c r="P74" s="1" t="s">
        <v>67</v>
      </c>
      <c r="Q74" s="1" t="s">
        <v>55</v>
      </c>
      <c r="R74" s="1" t="s">
        <v>401</v>
      </c>
      <c r="S74" s="2">
        <v>46195</v>
      </c>
      <c r="T74" s="2">
        <v>46195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</row>
    <row r="75" spans="1:39" hidden="1" x14ac:dyDescent="0.25">
      <c r="A75" s="1">
        <v>276</v>
      </c>
      <c r="B75" s="1" t="s">
        <v>449</v>
      </c>
      <c r="C75" s="1" t="s">
        <v>448</v>
      </c>
      <c r="D75" s="1" t="s">
        <v>105</v>
      </c>
      <c r="E75" s="1" t="s">
        <v>52</v>
      </c>
      <c r="F75" s="3">
        <v>46206</v>
      </c>
      <c r="G75" s="3">
        <v>46206</v>
      </c>
      <c r="H75" s="4">
        <v>0</v>
      </c>
      <c r="J75" s="1" t="s">
        <v>168</v>
      </c>
      <c r="K75" s="1">
        <v>275</v>
      </c>
      <c r="L75" s="1">
        <v>277</v>
      </c>
      <c r="M75" s="1" t="s">
        <v>160</v>
      </c>
      <c r="N75" s="2">
        <v>46203</v>
      </c>
      <c r="P75" s="1" t="s">
        <v>67</v>
      </c>
      <c r="Q75" s="1" t="s">
        <v>55</v>
      </c>
      <c r="R75" s="1" t="s">
        <v>401</v>
      </c>
      <c r="S75" s="2">
        <v>46195</v>
      </c>
      <c r="T75" s="2">
        <v>46195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</row>
    <row r="76" spans="1:39" hidden="1" x14ac:dyDescent="0.25">
      <c r="A76" s="1">
        <v>281</v>
      </c>
      <c r="B76" s="1" t="s">
        <v>456</v>
      </c>
      <c r="C76" s="1" t="s">
        <v>455</v>
      </c>
      <c r="D76" s="1" t="s">
        <v>105</v>
      </c>
      <c r="E76" s="1" t="s">
        <v>52</v>
      </c>
      <c r="F76" s="3">
        <v>46206</v>
      </c>
      <c r="G76" s="3">
        <v>46206</v>
      </c>
      <c r="H76" s="4">
        <v>0</v>
      </c>
      <c r="J76" s="1" t="s">
        <v>168</v>
      </c>
      <c r="K76" s="1">
        <v>280</v>
      </c>
      <c r="L76" s="1">
        <v>282</v>
      </c>
      <c r="M76" s="1" t="s">
        <v>160</v>
      </c>
      <c r="N76" s="2">
        <v>46203</v>
      </c>
      <c r="P76" s="1" t="s">
        <v>67</v>
      </c>
      <c r="Q76" s="1" t="s">
        <v>55</v>
      </c>
      <c r="R76" s="1" t="s">
        <v>401</v>
      </c>
      <c r="S76" s="2">
        <v>46195</v>
      </c>
      <c r="T76" s="2">
        <v>46195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</row>
    <row r="77" spans="1:39" hidden="1" x14ac:dyDescent="0.25">
      <c r="A77" s="1">
        <v>289</v>
      </c>
      <c r="B77" s="1" t="s">
        <v>459</v>
      </c>
      <c r="C77" s="1" t="s">
        <v>403</v>
      </c>
      <c r="D77" s="1" t="s">
        <v>460</v>
      </c>
      <c r="E77" s="1" t="s">
        <v>227</v>
      </c>
      <c r="F77" s="3">
        <v>46189</v>
      </c>
      <c r="G77" s="3">
        <v>46197</v>
      </c>
      <c r="H77" s="4">
        <v>0.56999999999999995</v>
      </c>
      <c r="J77" s="1" t="s">
        <v>41</v>
      </c>
      <c r="M77" s="1" t="s">
        <v>367</v>
      </c>
      <c r="N77" s="2">
        <v>46206</v>
      </c>
      <c r="P77" s="1" t="s">
        <v>67</v>
      </c>
      <c r="Q77" s="1" t="s">
        <v>55</v>
      </c>
      <c r="R77" s="1" t="s">
        <v>401</v>
      </c>
      <c r="S77" s="2">
        <v>46188</v>
      </c>
      <c r="T77" s="2">
        <v>46198</v>
      </c>
      <c r="AB77" s="1">
        <v>0.56999999999999995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</row>
    <row r="78" spans="1:39" hidden="1" x14ac:dyDescent="0.25">
      <c r="A78" s="1">
        <v>291</v>
      </c>
      <c r="B78" s="1" t="s">
        <v>464</v>
      </c>
      <c r="C78" s="1" t="s">
        <v>462</v>
      </c>
      <c r="D78" s="1" t="s">
        <v>105</v>
      </c>
      <c r="E78" s="1" t="s">
        <v>52</v>
      </c>
      <c r="F78" s="3">
        <v>46195</v>
      </c>
      <c r="G78" s="3">
        <v>46195</v>
      </c>
      <c r="H78" s="4">
        <v>0</v>
      </c>
      <c r="J78" s="1" t="s">
        <v>41</v>
      </c>
      <c r="K78" s="1">
        <v>290</v>
      </c>
      <c r="L78" s="1">
        <v>292</v>
      </c>
      <c r="M78" s="1" t="s">
        <v>160</v>
      </c>
      <c r="N78" s="2">
        <v>46203</v>
      </c>
      <c r="P78" s="1" t="s">
        <v>67</v>
      </c>
      <c r="Q78" s="1" t="s">
        <v>55</v>
      </c>
      <c r="R78" s="1" t="s">
        <v>401</v>
      </c>
      <c r="S78" s="2">
        <v>46195</v>
      </c>
      <c r="T78" s="2">
        <v>46195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1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</row>
    <row r="79" spans="1:39" hidden="1" x14ac:dyDescent="0.25">
      <c r="A79" s="1">
        <v>292</v>
      </c>
      <c r="B79" s="1" t="s">
        <v>465</v>
      </c>
      <c r="C79" s="1" t="s">
        <v>462</v>
      </c>
      <c r="D79" s="1" t="s">
        <v>109</v>
      </c>
      <c r="E79" s="1" t="s">
        <v>52</v>
      </c>
      <c r="F79" s="3">
        <v>46196</v>
      </c>
      <c r="G79" s="3">
        <v>46196</v>
      </c>
      <c r="H79" s="4">
        <v>0</v>
      </c>
      <c r="J79" s="1" t="s">
        <v>41</v>
      </c>
      <c r="K79" s="1">
        <v>291</v>
      </c>
      <c r="L79" s="1">
        <v>293</v>
      </c>
      <c r="M79" s="1" t="s">
        <v>436</v>
      </c>
      <c r="N79" s="2">
        <v>46205</v>
      </c>
      <c r="P79" s="1" t="s">
        <v>235</v>
      </c>
      <c r="Q79" s="1" t="s">
        <v>55</v>
      </c>
      <c r="R79" s="1" t="s">
        <v>401</v>
      </c>
      <c r="S79" s="2">
        <v>46196</v>
      </c>
      <c r="T79" s="2">
        <v>46197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1</v>
      </c>
      <c r="AK79" s="1">
        <v>0</v>
      </c>
      <c r="AL79" s="1">
        <v>0</v>
      </c>
      <c r="AM79" s="1">
        <v>0</v>
      </c>
    </row>
    <row r="80" spans="1:39" hidden="1" x14ac:dyDescent="0.25">
      <c r="A80" s="1">
        <v>293</v>
      </c>
      <c r="B80" s="1" t="s">
        <v>466</v>
      </c>
      <c r="C80" s="1" t="s">
        <v>462</v>
      </c>
      <c r="D80" s="1" t="s">
        <v>115</v>
      </c>
      <c r="E80" s="1" t="s">
        <v>52</v>
      </c>
      <c r="F80" s="3">
        <v>46197</v>
      </c>
      <c r="G80" s="3">
        <v>46197</v>
      </c>
      <c r="H80" s="4">
        <v>0</v>
      </c>
      <c r="J80" s="1" t="s">
        <v>41</v>
      </c>
      <c r="K80" s="1">
        <v>292</v>
      </c>
      <c r="M80" s="1" t="s">
        <v>166</v>
      </c>
      <c r="N80" s="2">
        <v>46206</v>
      </c>
      <c r="P80" s="1" t="s">
        <v>235</v>
      </c>
      <c r="Q80" s="1" t="s">
        <v>55</v>
      </c>
      <c r="R80" s="1" t="s">
        <v>401</v>
      </c>
      <c r="S80" s="2">
        <v>46198</v>
      </c>
      <c r="T80" s="2">
        <v>46198</v>
      </c>
      <c r="AB80" s="1">
        <v>0</v>
      </c>
      <c r="AC80" s="1">
        <v>0</v>
      </c>
      <c r="AD80" s="1">
        <v>0</v>
      </c>
      <c r="AE80" s="1">
        <v>0</v>
      </c>
      <c r="AF80" s="1">
        <v>1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1</v>
      </c>
      <c r="AM80" s="1">
        <v>0</v>
      </c>
    </row>
    <row r="81" spans="1:39" hidden="1" x14ac:dyDescent="0.25">
      <c r="A81" s="1">
        <v>305</v>
      </c>
      <c r="B81" s="1" t="s">
        <v>481</v>
      </c>
      <c r="C81" s="1" t="s">
        <v>472</v>
      </c>
      <c r="D81" s="1" t="s">
        <v>482</v>
      </c>
      <c r="E81" s="1" t="s">
        <v>483</v>
      </c>
      <c r="F81" s="3">
        <v>46175</v>
      </c>
      <c r="G81" s="3">
        <v>46184</v>
      </c>
      <c r="H81" s="4">
        <v>0.86</v>
      </c>
      <c r="J81" s="1" t="s">
        <v>41</v>
      </c>
      <c r="M81" s="1" t="s">
        <v>214</v>
      </c>
      <c r="N81" s="2">
        <v>46183</v>
      </c>
      <c r="P81" s="1" t="s">
        <v>119</v>
      </c>
      <c r="Q81" s="1" t="s">
        <v>55</v>
      </c>
      <c r="R81" s="1" t="s">
        <v>470</v>
      </c>
      <c r="S81" s="2">
        <v>46163</v>
      </c>
      <c r="T81" s="2">
        <v>46171</v>
      </c>
      <c r="AB81" s="1">
        <v>0.86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</row>
    <row r="82" spans="1:39" hidden="1" x14ac:dyDescent="0.25">
      <c r="A82" s="1">
        <v>309</v>
      </c>
      <c r="B82" s="1" t="s">
        <v>491</v>
      </c>
      <c r="C82" s="1" t="s">
        <v>485</v>
      </c>
      <c r="D82" s="1" t="s">
        <v>115</v>
      </c>
      <c r="E82" s="1" t="s">
        <v>52</v>
      </c>
      <c r="F82" s="3">
        <v>46183</v>
      </c>
      <c r="G82" s="3">
        <v>46184</v>
      </c>
      <c r="H82" s="4">
        <v>0</v>
      </c>
      <c r="J82" s="1" t="s">
        <v>41</v>
      </c>
      <c r="K82" s="1" t="s">
        <v>492</v>
      </c>
      <c r="M82" s="1" t="s">
        <v>224</v>
      </c>
      <c r="N82" s="2">
        <v>46183</v>
      </c>
      <c r="P82" s="1" t="s">
        <v>76</v>
      </c>
      <c r="Q82" s="1" t="s">
        <v>55</v>
      </c>
      <c r="R82" s="1" t="s">
        <v>470</v>
      </c>
      <c r="S82" s="2">
        <v>46171</v>
      </c>
      <c r="T82" s="2">
        <v>46171</v>
      </c>
      <c r="AB82" s="1">
        <v>0</v>
      </c>
      <c r="AC82" s="1">
        <v>0</v>
      </c>
      <c r="AD82" s="1">
        <v>0</v>
      </c>
      <c r="AE82" s="1">
        <v>0</v>
      </c>
      <c r="AF82" s="1">
        <v>1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1</v>
      </c>
      <c r="AM82" s="1">
        <v>0</v>
      </c>
    </row>
    <row r="83" spans="1:39" hidden="1" x14ac:dyDescent="0.25">
      <c r="A83" s="1">
        <v>315</v>
      </c>
      <c r="B83" s="1" t="s">
        <v>493</v>
      </c>
      <c r="C83" s="1" t="s">
        <v>472</v>
      </c>
      <c r="D83" s="1" t="s">
        <v>494</v>
      </c>
      <c r="E83" s="1" t="s">
        <v>359</v>
      </c>
      <c r="F83" s="3">
        <v>46170</v>
      </c>
      <c r="G83" s="3">
        <v>46176</v>
      </c>
      <c r="H83" s="4">
        <v>0.75</v>
      </c>
      <c r="J83" s="1" t="s">
        <v>41</v>
      </c>
      <c r="M83" s="1" t="s">
        <v>135</v>
      </c>
      <c r="N83" s="2">
        <v>46178</v>
      </c>
      <c r="P83" s="1" t="s">
        <v>136</v>
      </c>
      <c r="Q83" s="1" t="s">
        <v>55</v>
      </c>
      <c r="R83" s="1" t="s">
        <v>470</v>
      </c>
      <c r="S83" s="2">
        <v>46160</v>
      </c>
      <c r="T83" s="2">
        <v>46168</v>
      </c>
      <c r="AB83" s="1">
        <v>0.75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</row>
    <row r="84" spans="1:39" hidden="1" x14ac:dyDescent="0.25">
      <c r="A84" s="1">
        <v>318</v>
      </c>
      <c r="B84" s="1" t="s">
        <v>499</v>
      </c>
      <c r="C84" s="1" t="s">
        <v>496</v>
      </c>
      <c r="D84" s="1" t="s">
        <v>109</v>
      </c>
      <c r="E84" s="1" t="s">
        <v>52</v>
      </c>
      <c r="F84" s="3">
        <v>46176</v>
      </c>
      <c r="G84" s="3">
        <v>46176</v>
      </c>
      <c r="H84" s="4">
        <v>0.5</v>
      </c>
      <c r="J84" s="1" t="s">
        <v>41</v>
      </c>
      <c r="K84" s="1">
        <v>317</v>
      </c>
      <c r="L84" s="1" t="s">
        <v>500</v>
      </c>
      <c r="M84" s="1" t="s">
        <v>261</v>
      </c>
      <c r="N84" s="2">
        <v>46177</v>
      </c>
      <c r="P84" s="1" t="s">
        <v>119</v>
      </c>
      <c r="Q84" s="1" t="s">
        <v>55</v>
      </c>
      <c r="R84" s="1" t="s">
        <v>470</v>
      </c>
      <c r="S84" s="2">
        <v>46164</v>
      </c>
      <c r="T84" s="2">
        <v>46167</v>
      </c>
      <c r="AB84" s="1">
        <v>0.5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1</v>
      </c>
      <c r="AK84" s="1">
        <v>0</v>
      </c>
      <c r="AL84" s="1">
        <v>0</v>
      </c>
      <c r="AM84" s="1">
        <v>0</v>
      </c>
    </row>
    <row r="85" spans="1:39" hidden="1" x14ac:dyDescent="0.25">
      <c r="A85" s="1">
        <v>319</v>
      </c>
      <c r="B85" s="1" t="s">
        <v>501</v>
      </c>
      <c r="C85" s="1" t="s">
        <v>496</v>
      </c>
      <c r="D85" s="1" t="s">
        <v>115</v>
      </c>
      <c r="E85" s="1" t="s">
        <v>52</v>
      </c>
      <c r="F85" s="3">
        <v>46176</v>
      </c>
      <c r="G85" s="3">
        <v>46176</v>
      </c>
      <c r="H85" s="4">
        <v>0</v>
      </c>
      <c r="J85" s="1" t="s">
        <v>41</v>
      </c>
      <c r="K85" s="1" t="s">
        <v>502</v>
      </c>
      <c r="M85" s="1" t="s">
        <v>66</v>
      </c>
      <c r="N85" s="2">
        <v>46178</v>
      </c>
      <c r="P85" s="1" t="s">
        <v>119</v>
      </c>
      <c r="Q85" s="1" t="s">
        <v>55</v>
      </c>
      <c r="R85" s="1" t="s">
        <v>470</v>
      </c>
      <c r="S85" s="2">
        <v>46168</v>
      </c>
      <c r="T85" s="2">
        <v>46168</v>
      </c>
      <c r="AB85" s="1">
        <v>0</v>
      </c>
      <c r="AC85" s="1">
        <v>0</v>
      </c>
      <c r="AD85" s="1">
        <v>0</v>
      </c>
      <c r="AE85" s="1">
        <v>0</v>
      </c>
      <c r="AF85" s="1">
        <v>1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1</v>
      </c>
      <c r="AM85" s="1">
        <v>0</v>
      </c>
    </row>
    <row r="86" spans="1:39" x14ac:dyDescent="0.25">
      <c r="A86" s="1">
        <v>336</v>
      </c>
      <c r="B86" s="1" t="s">
        <v>526</v>
      </c>
      <c r="C86" s="1" t="s">
        <v>527</v>
      </c>
      <c r="D86" s="1" t="s">
        <v>101</v>
      </c>
      <c r="E86" s="1" t="s">
        <v>102</v>
      </c>
      <c r="F86" s="3">
        <v>46204</v>
      </c>
      <c r="G86" s="3">
        <v>46206</v>
      </c>
      <c r="H86" s="4">
        <v>0.7</v>
      </c>
      <c r="J86" s="1" t="s">
        <v>168</v>
      </c>
      <c r="L86" s="1" t="s">
        <v>528</v>
      </c>
      <c r="M86" s="1" t="s">
        <v>428</v>
      </c>
      <c r="N86" s="2">
        <v>46195</v>
      </c>
      <c r="P86" s="1" t="s">
        <v>146</v>
      </c>
      <c r="Q86" s="1" t="s">
        <v>55</v>
      </c>
      <c r="R86" s="1" t="s">
        <v>470</v>
      </c>
      <c r="S86" s="2">
        <v>46178</v>
      </c>
      <c r="T86" s="2">
        <v>46184</v>
      </c>
      <c r="AB86" s="1">
        <v>0.7</v>
      </c>
      <c r="AC86" s="1">
        <v>1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</row>
    <row r="87" spans="1:39" x14ac:dyDescent="0.25">
      <c r="A87" s="1">
        <v>341</v>
      </c>
      <c r="B87" s="1" t="s">
        <v>536</v>
      </c>
      <c r="C87" s="1" t="s">
        <v>537</v>
      </c>
      <c r="D87" s="1" t="s">
        <v>101</v>
      </c>
      <c r="E87" s="1" t="s">
        <v>102</v>
      </c>
      <c r="F87" s="3">
        <v>46204</v>
      </c>
      <c r="G87" s="3">
        <v>46206</v>
      </c>
      <c r="H87" s="4">
        <v>0.7</v>
      </c>
      <c r="J87" s="1" t="s">
        <v>168</v>
      </c>
      <c r="L87" s="1" t="s">
        <v>538</v>
      </c>
      <c r="M87" s="1" t="s">
        <v>428</v>
      </c>
      <c r="N87" s="2">
        <v>46196</v>
      </c>
      <c r="P87" s="1" t="s">
        <v>146</v>
      </c>
      <c r="Q87" s="1" t="s">
        <v>55</v>
      </c>
      <c r="R87" s="1" t="s">
        <v>470</v>
      </c>
      <c r="S87" s="2">
        <v>46178</v>
      </c>
      <c r="T87" s="2">
        <v>46184</v>
      </c>
      <c r="AB87" s="1">
        <v>0.7</v>
      </c>
      <c r="AC87" s="1">
        <v>1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</row>
    <row r="88" spans="1:39" x14ac:dyDescent="0.25">
      <c r="A88" s="1">
        <v>346</v>
      </c>
      <c r="B88" s="1" t="s">
        <v>546</v>
      </c>
      <c r="C88" s="1" t="s">
        <v>547</v>
      </c>
      <c r="D88" s="1" t="s">
        <v>101</v>
      </c>
      <c r="E88" s="1" t="s">
        <v>231</v>
      </c>
      <c r="F88" s="3">
        <v>46202</v>
      </c>
      <c r="G88" s="3">
        <v>46205</v>
      </c>
      <c r="H88" s="4">
        <v>0.7</v>
      </c>
      <c r="J88" s="1" t="s">
        <v>41</v>
      </c>
      <c r="L88" s="1">
        <v>347</v>
      </c>
      <c r="M88" s="1" t="s">
        <v>338</v>
      </c>
      <c r="N88" s="2">
        <v>46197</v>
      </c>
      <c r="P88" s="1" t="s">
        <v>67</v>
      </c>
      <c r="Q88" s="1" t="s">
        <v>44</v>
      </c>
      <c r="R88" s="1" t="s">
        <v>470</v>
      </c>
      <c r="S88" s="2">
        <v>46192</v>
      </c>
      <c r="T88" s="2">
        <v>46197</v>
      </c>
      <c r="AB88" s="1">
        <v>0.7</v>
      </c>
      <c r="AC88" s="1">
        <v>1</v>
      </c>
      <c r="AD88" s="1">
        <v>0</v>
      </c>
      <c r="AE88" s="1">
        <v>1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</row>
    <row r="89" spans="1:39" hidden="1" x14ac:dyDescent="0.25">
      <c r="A89" s="1">
        <v>347</v>
      </c>
      <c r="B89" s="1" t="s">
        <v>548</v>
      </c>
      <c r="C89" s="1" t="s">
        <v>547</v>
      </c>
      <c r="D89" s="1" t="s">
        <v>105</v>
      </c>
      <c r="E89" s="1" t="s">
        <v>52</v>
      </c>
      <c r="F89" s="3">
        <v>46206</v>
      </c>
      <c r="G89" s="3">
        <v>46206</v>
      </c>
      <c r="H89" s="4">
        <v>0</v>
      </c>
      <c r="J89" s="1" t="s">
        <v>168</v>
      </c>
      <c r="K89" s="1">
        <v>346</v>
      </c>
      <c r="L89" s="1" t="s">
        <v>549</v>
      </c>
      <c r="M89" s="1" t="s">
        <v>233</v>
      </c>
      <c r="N89" s="2">
        <v>46198</v>
      </c>
      <c r="P89" s="1" t="s">
        <v>235</v>
      </c>
      <c r="Q89" s="1" t="s">
        <v>44</v>
      </c>
      <c r="R89" s="1" t="s">
        <v>470</v>
      </c>
      <c r="S89" s="2">
        <v>46198</v>
      </c>
      <c r="T89" s="2">
        <v>46198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</row>
    <row r="90" spans="1:39" x14ac:dyDescent="0.25">
      <c r="A90" s="1">
        <v>351</v>
      </c>
      <c r="B90" s="1" t="s">
        <v>556</v>
      </c>
      <c r="C90" s="1" t="s">
        <v>557</v>
      </c>
      <c r="D90" s="1" t="s">
        <v>101</v>
      </c>
      <c r="E90" s="1" t="s">
        <v>231</v>
      </c>
      <c r="F90" s="3">
        <v>46202</v>
      </c>
      <c r="G90" s="3">
        <v>46205</v>
      </c>
      <c r="H90" s="4">
        <v>0.7</v>
      </c>
      <c r="J90" s="1" t="s">
        <v>41</v>
      </c>
      <c r="K90" s="1" t="s">
        <v>558</v>
      </c>
      <c r="L90" s="1">
        <v>352</v>
      </c>
      <c r="M90" s="1" t="s">
        <v>338</v>
      </c>
      <c r="N90" s="2">
        <v>46197</v>
      </c>
      <c r="P90" s="1" t="s">
        <v>73</v>
      </c>
      <c r="Q90" s="1" t="s">
        <v>55</v>
      </c>
      <c r="R90" s="1" t="s">
        <v>470</v>
      </c>
      <c r="S90" s="2">
        <v>46192</v>
      </c>
      <c r="T90" s="2">
        <v>46197</v>
      </c>
      <c r="AB90" s="1">
        <v>0.7</v>
      </c>
      <c r="AC90" s="1">
        <v>1</v>
      </c>
      <c r="AD90" s="1">
        <v>0</v>
      </c>
      <c r="AE90" s="1">
        <v>1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</row>
    <row r="91" spans="1:39" hidden="1" x14ac:dyDescent="0.25">
      <c r="A91" s="1">
        <v>352</v>
      </c>
      <c r="B91" s="1" t="s">
        <v>559</v>
      </c>
      <c r="C91" s="1" t="s">
        <v>557</v>
      </c>
      <c r="D91" s="1" t="s">
        <v>105</v>
      </c>
      <c r="E91" s="1" t="s">
        <v>52</v>
      </c>
      <c r="F91" s="3">
        <v>46206</v>
      </c>
      <c r="G91" s="3">
        <v>46206</v>
      </c>
      <c r="H91" s="4">
        <v>0</v>
      </c>
      <c r="J91" s="1" t="s">
        <v>168</v>
      </c>
      <c r="K91" s="1">
        <v>351</v>
      </c>
      <c r="L91" s="1">
        <v>353</v>
      </c>
      <c r="M91" s="1" t="s">
        <v>233</v>
      </c>
      <c r="N91" s="2">
        <v>46198</v>
      </c>
      <c r="P91" s="1" t="s">
        <v>146</v>
      </c>
      <c r="Q91" s="1" t="s">
        <v>55</v>
      </c>
      <c r="R91" s="1" t="s">
        <v>470</v>
      </c>
      <c r="S91" s="2">
        <v>46198</v>
      </c>
      <c r="T91" s="2">
        <v>46198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</row>
    <row r="92" spans="1:39" x14ac:dyDescent="0.25">
      <c r="A92" s="1">
        <v>356</v>
      </c>
      <c r="B92" s="1" t="s">
        <v>566</v>
      </c>
      <c r="C92" s="1" t="s">
        <v>567</v>
      </c>
      <c r="D92" s="1" t="s">
        <v>101</v>
      </c>
      <c r="E92" s="1" t="s">
        <v>231</v>
      </c>
      <c r="F92" s="3">
        <v>46202</v>
      </c>
      <c r="G92" s="3">
        <v>46205</v>
      </c>
      <c r="H92" s="4">
        <v>0.7</v>
      </c>
      <c r="J92" s="1" t="s">
        <v>41</v>
      </c>
      <c r="K92" s="1" t="s">
        <v>558</v>
      </c>
      <c r="L92" s="1">
        <v>357</v>
      </c>
      <c r="M92" s="1" t="s">
        <v>338</v>
      </c>
      <c r="N92" s="2">
        <v>46197</v>
      </c>
      <c r="P92" s="1" t="s">
        <v>73</v>
      </c>
      <c r="Q92" s="1" t="s">
        <v>55</v>
      </c>
      <c r="R92" s="1" t="s">
        <v>470</v>
      </c>
      <c r="S92" s="2">
        <v>46192</v>
      </c>
      <c r="T92" s="2">
        <v>46197</v>
      </c>
      <c r="AB92" s="1">
        <v>0.7</v>
      </c>
      <c r="AC92" s="1">
        <v>1</v>
      </c>
      <c r="AD92" s="1">
        <v>0</v>
      </c>
      <c r="AE92" s="1">
        <v>1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</row>
    <row r="93" spans="1:39" hidden="1" x14ac:dyDescent="0.25">
      <c r="A93" s="1">
        <v>357</v>
      </c>
      <c r="B93" s="1" t="s">
        <v>568</v>
      </c>
      <c r="C93" s="1" t="s">
        <v>567</v>
      </c>
      <c r="D93" s="1" t="s">
        <v>105</v>
      </c>
      <c r="E93" s="1" t="s">
        <v>52</v>
      </c>
      <c r="F93" s="3">
        <v>46206</v>
      </c>
      <c r="G93" s="3">
        <v>46206</v>
      </c>
      <c r="H93" s="4">
        <v>0</v>
      </c>
      <c r="J93" s="1" t="s">
        <v>168</v>
      </c>
      <c r="K93" s="1">
        <v>356</v>
      </c>
      <c r="L93" s="1">
        <v>358</v>
      </c>
      <c r="M93" s="1" t="s">
        <v>233</v>
      </c>
      <c r="N93" s="2">
        <v>46198</v>
      </c>
      <c r="P93" s="1" t="s">
        <v>146</v>
      </c>
      <c r="Q93" s="1" t="s">
        <v>55</v>
      </c>
      <c r="R93" s="1" t="s">
        <v>470</v>
      </c>
      <c r="S93" s="2">
        <v>46198</v>
      </c>
      <c r="T93" s="2">
        <v>46198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</row>
    <row r="94" spans="1:39" hidden="1" x14ac:dyDescent="0.25">
      <c r="A94" s="1">
        <v>360</v>
      </c>
      <c r="B94" s="1" t="s">
        <v>573</v>
      </c>
      <c r="C94" s="1" t="s">
        <v>472</v>
      </c>
      <c r="D94" s="1" t="s">
        <v>574</v>
      </c>
      <c r="E94" s="1" t="s">
        <v>144</v>
      </c>
      <c r="F94" s="3">
        <v>46196</v>
      </c>
      <c r="G94" s="3">
        <v>46203</v>
      </c>
      <c r="H94" s="4">
        <v>0.57999999999999996</v>
      </c>
      <c r="J94" s="1" t="s">
        <v>41</v>
      </c>
      <c r="M94" s="1" t="s">
        <v>66</v>
      </c>
      <c r="N94" s="2">
        <v>46188</v>
      </c>
      <c r="P94" s="1" t="s">
        <v>73</v>
      </c>
      <c r="Q94" s="1" t="s">
        <v>55</v>
      </c>
      <c r="R94" s="1" t="s">
        <v>470</v>
      </c>
      <c r="S94" s="2">
        <v>46168</v>
      </c>
      <c r="T94" s="2">
        <v>46176</v>
      </c>
      <c r="AB94" s="1">
        <v>0.57999999999999996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</row>
    <row r="95" spans="1:39" hidden="1" x14ac:dyDescent="0.25">
      <c r="A95" s="1">
        <v>362</v>
      </c>
      <c r="B95" s="1" t="s">
        <v>578</v>
      </c>
      <c r="C95" s="1" t="s">
        <v>576</v>
      </c>
      <c r="D95" s="1" t="s">
        <v>105</v>
      </c>
      <c r="E95" s="1" t="s">
        <v>52</v>
      </c>
      <c r="F95" s="3">
        <v>46199</v>
      </c>
      <c r="G95" s="3">
        <v>46199</v>
      </c>
      <c r="H95" s="4">
        <v>0.5</v>
      </c>
      <c r="J95" s="1" t="s">
        <v>41</v>
      </c>
      <c r="K95" s="1">
        <v>361</v>
      </c>
      <c r="L95" s="1">
        <v>363</v>
      </c>
      <c r="M95" s="1" t="s">
        <v>224</v>
      </c>
      <c r="N95" s="2">
        <v>46183</v>
      </c>
      <c r="P95" s="1" t="s">
        <v>146</v>
      </c>
      <c r="Q95" s="1" t="s">
        <v>55</v>
      </c>
      <c r="R95" s="1" t="s">
        <v>470</v>
      </c>
      <c r="S95" s="2">
        <v>46171</v>
      </c>
      <c r="T95" s="2">
        <v>46171</v>
      </c>
      <c r="AB95" s="1">
        <v>0.5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1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</row>
    <row r="96" spans="1:39" hidden="1" x14ac:dyDescent="0.25">
      <c r="A96" s="1">
        <v>363</v>
      </c>
      <c r="B96" s="1" t="s">
        <v>579</v>
      </c>
      <c r="C96" s="1" t="s">
        <v>576</v>
      </c>
      <c r="D96" s="1" t="s">
        <v>109</v>
      </c>
      <c r="E96" s="1" t="s">
        <v>52</v>
      </c>
      <c r="F96" s="3">
        <v>46202</v>
      </c>
      <c r="G96" s="3">
        <v>46202</v>
      </c>
      <c r="H96" s="4">
        <v>0</v>
      </c>
      <c r="J96" s="1" t="s">
        <v>41</v>
      </c>
      <c r="K96" s="1">
        <v>362</v>
      </c>
      <c r="L96" s="1">
        <v>364</v>
      </c>
      <c r="M96" s="1" t="s">
        <v>179</v>
      </c>
      <c r="N96" s="2">
        <v>46185</v>
      </c>
      <c r="P96" s="1" t="s">
        <v>146</v>
      </c>
      <c r="Q96" s="1" t="s">
        <v>55</v>
      </c>
      <c r="R96" s="1" t="s">
        <v>470</v>
      </c>
      <c r="S96" s="2">
        <v>46174</v>
      </c>
      <c r="T96" s="2">
        <v>46175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1</v>
      </c>
      <c r="AK96" s="1">
        <v>0</v>
      </c>
      <c r="AL96" s="1">
        <v>0</v>
      </c>
      <c r="AM96" s="1">
        <v>0</v>
      </c>
    </row>
    <row r="97" spans="1:39" hidden="1" x14ac:dyDescent="0.25">
      <c r="A97" s="1">
        <v>364</v>
      </c>
      <c r="B97" s="1" t="s">
        <v>580</v>
      </c>
      <c r="C97" s="1" t="s">
        <v>576</v>
      </c>
      <c r="D97" s="1" t="s">
        <v>115</v>
      </c>
      <c r="E97" s="1" t="s">
        <v>52</v>
      </c>
      <c r="F97" s="3">
        <v>46203</v>
      </c>
      <c r="G97" s="3">
        <v>46203</v>
      </c>
      <c r="H97" s="4">
        <v>0</v>
      </c>
      <c r="J97" s="1" t="s">
        <v>41</v>
      </c>
      <c r="K97" s="1">
        <v>363</v>
      </c>
      <c r="M97" s="1" t="s">
        <v>266</v>
      </c>
      <c r="N97" s="2">
        <v>46188</v>
      </c>
      <c r="P97" s="1" t="s">
        <v>146</v>
      </c>
      <c r="Q97" s="1" t="s">
        <v>55</v>
      </c>
      <c r="R97" s="1" t="s">
        <v>470</v>
      </c>
      <c r="S97" s="2">
        <v>46176</v>
      </c>
      <c r="T97" s="2">
        <v>46176</v>
      </c>
      <c r="AB97" s="1">
        <v>0</v>
      </c>
      <c r="AC97" s="1">
        <v>0</v>
      </c>
      <c r="AD97" s="1">
        <v>0</v>
      </c>
      <c r="AE97" s="1">
        <v>0</v>
      </c>
      <c r="AF97" s="1">
        <v>1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1</v>
      </c>
      <c r="AM97" s="1">
        <v>0</v>
      </c>
    </row>
    <row r="98" spans="1:39" hidden="1" x14ac:dyDescent="0.25">
      <c r="A98" s="1">
        <v>380</v>
      </c>
      <c r="B98" s="1" t="s">
        <v>581</v>
      </c>
      <c r="C98" s="1" t="s">
        <v>472</v>
      </c>
      <c r="D98" s="1" t="s">
        <v>582</v>
      </c>
      <c r="E98" s="1" t="s">
        <v>144</v>
      </c>
      <c r="F98" s="3">
        <v>46195</v>
      </c>
      <c r="G98" s="3">
        <v>46202</v>
      </c>
      <c r="H98" s="4">
        <v>0.64</v>
      </c>
      <c r="J98" s="1" t="s">
        <v>41</v>
      </c>
      <c r="M98" s="1" t="s">
        <v>224</v>
      </c>
      <c r="N98" s="2">
        <v>46195</v>
      </c>
      <c r="P98" s="1" t="s">
        <v>146</v>
      </c>
      <c r="Q98" s="1" t="s">
        <v>55</v>
      </c>
      <c r="R98" s="1" t="s">
        <v>470</v>
      </c>
      <c r="S98" s="2">
        <v>46171</v>
      </c>
      <c r="T98" s="2">
        <v>46183</v>
      </c>
      <c r="AB98" s="1">
        <v>0.64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</row>
    <row r="99" spans="1:39" hidden="1" x14ac:dyDescent="0.25">
      <c r="A99" s="1">
        <v>382</v>
      </c>
      <c r="B99" s="1" t="s">
        <v>585</v>
      </c>
      <c r="C99" s="1" t="s">
        <v>584</v>
      </c>
      <c r="D99" s="1" t="s">
        <v>105</v>
      </c>
      <c r="E99" s="1" t="s">
        <v>52</v>
      </c>
      <c r="F99" s="3">
        <v>46199</v>
      </c>
      <c r="G99" s="3">
        <v>46199</v>
      </c>
      <c r="H99" s="4">
        <v>0.5</v>
      </c>
      <c r="J99" s="1" t="s">
        <v>41</v>
      </c>
      <c r="K99" s="1">
        <v>381</v>
      </c>
      <c r="L99" s="1">
        <v>383</v>
      </c>
      <c r="M99" s="1" t="s">
        <v>428</v>
      </c>
      <c r="N99" s="2">
        <v>46190</v>
      </c>
      <c r="P99" s="1" t="s">
        <v>146</v>
      </c>
      <c r="Q99" s="1" t="s">
        <v>55</v>
      </c>
      <c r="R99" s="1" t="s">
        <v>470</v>
      </c>
      <c r="S99" s="2">
        <v>46178</v>
      </c>
      <c r="T99" s="2">
        <v>46178</v>
      </c>
      <c r="AB99" s="1">
        <v>0.5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1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</row>
    <row r="100" spans="1:39" hidden="1" x14ac:dyDescent="0.25">
      <c r="A100" s="1">
        <v>383</v>
      </c>
      <c r="B100" s="1" t="s">
        <v>586</v>
      </c>
      <c r="C100" s="1" t="s">
        <v>584</v>
      </c>
      <c r="D100" s="1" t="s">
        <v>109</v>
      </c>
      <c r="E100" s="1" t="s">
        <v>52</v>
      </c>
      <c r="F100" s="3">
        <v>46202</v>
      </c>
      <c r="G100" s="3">
        <v>46202</v>
      </c>
      <c r="H100" s="4">
        <v>0</v>
      </c>
      <c r="J100" s="1" t="s">
        <v>41</v>
      </c>
      <c r="K100" s="1">
        <v>382</v>
      </c>
      <c r="L100" s="1" t="s">
        <v>587</v>
      </c>
      <c r="M100" s="1" t="s">
        <v>228</v>
      </c>
      <c r="N100" s="2">
        <v>46192</v>
      </c>
      <c r="P100" s="1" t="s">
        <v>67</v>
      </c>
      <c r="Q100" s="1" t="s">
        <v>55</v>
      </c>
      <c r="R100" s="1" t="s">
        <v>470</v>
      </c>
      <c r="S100" s="2">
        <v>46181</v>
      </c>
      <c r="T100" s="2">
        <v>46182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1</v>
      </c>
      <c r="AK100" s="1">
        <v>0</v>
      </c>
      <c r="AL100" s="1">
        <v>0</v>
      </c>
      <c r="AM100" s="1">
        <v>0</v>
      </c>
    </row>
    <row r="101" spans="1:39" hidden="1" x14ac:dyDescent="0.25">
      <c r="A101" s="1">
        <v>384</v>
      </c>
      <c r="B101" s="1" t="s">
        <v>588</v>
      </c>
      <c r="C101" s="1" t="s">
        <v>584</v>
      </c>
      <c r="D101" s="1" t="s">
        <v>115</v>
      </c>
      <c r="E101" s="1" t="s">
        <v>52</v>
      </c>
      <c r="F101" s="3">
        <v>46202</v>
      </c>
      <c r="G101" s="3">
        <v>46202</v>
      </c>
      <c r="H101" s="4">
        <v>0</v>
      </c>
      <c r="J101" s="1" t="s">
        <v>41</v>
      </c>
      <c r="K101" s="1" t="s">
        <v>589</v>
      </c>
      <c r="M101" s="1" t="s">
        <v>365</v>
      </c>
      <c r="N101" s="2">
        <v>46195</v>
      </c>
      <c r="P101" s="1" t="s">
        <v>67</v>
      </c>
      <c r="Q101" s="1" t="s">
        <v>55</v>
      </c>
      <c r="R101" s="1" t="s">
        <v>470</v>
      </c>
      <c r="S101" s="2">
        <v>46183</v>
      </c>
      <c r="T101" s="2">
        <v>46183</v>
      </c>
      <c r="AB101" s="1">
        <v>0</v>
      </c>
      <c r="AC101" s="1">
        <v>0</v>
      </c>
      <c r="AD101" s="1">
        <v>0</v>
      </c>
      <c r="AE101" s="1">
        <v>0</v>
      </c>
      <c r="AF101" s="1">
        <v>1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1</v>
      </c>
      <c r="AM101" s="1">
        <v>0</v>
      </c>
    </row>
    <row r="102" spans="1:39" hidden="1" x14ac:dyDescent="0.25">
      <c r="A102" s="1">
        <v>411</v>
      </c>
      <c r="B102" s="1" t="s">
        <v>594</v>
      </c>
      <c r="C102" s="1" t="s">
        <v>595</v>
      </c>
      <c r="D102" s="1" t="s">
        <v>596</v>
      </c>
      <c r="E102" s="1" t="s">
        <v>272</v>
      </c>
      <c r="F102" s="3">
        <v>46189</v>
      </c>
      <c r="G102" s="3">
        <v>46198</v>
      </c>
      <c r="H102" s="4">
        <v>0.75</v>
      </c>
      <c r="J102" s="1" t="s">
        <v>41</v>
      </c>
      <c r="M102" s="1" t="s">
        <v>66</v>
      </c>
      <c r="N102" s="2">
        <v>46188</v>
      </c>
      <c r="P102" s="1" t="s">
        <v>73</v>
      </c>
      <c r="Q102" s="1" t="s">
        <v>55</v>
      </c>
      <c r="R102" s="1" t="s">
        <v>593</v>
      </c>
      <c r="S102" s="2">
        <v>46162</v>
      </c>
      <c r="T102" s="2">
        <v>46170</v>
      </c>
      <c r="AB102" s="1">
        <v>0.75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</row>
    <row r="103" spans="1:39" hidden="1" x14ac:dyDescent="0.25">
      <c r="A103" s="1">
        <v>414</v>
      </c>
      <c r="B103" s="1" t="s">
        <v>601</v>
      </c>
      <c r="C103" s="1" t="s">
        <v>598</v>
      </c>
      <c r="D103" s="1" t="s">
        <v>109</v>
      </c>
      <c r="E103" s="1" t="s">
        <v>116</v>
      </c>
      <c r="F103" s="3">
        <v>46196</v>
      </c>
      <c r="G103" s="3">
        <v>46197</v>
      </c>
      <c r="H103" s="4">
        <v>0.5</v>
      </c>
      <c r="J103" s="1" t="s">
        <v>41</v>
      </c>
      <c r="K103" s="1">
        <v>413</v>
      </c>
      <c r="L103" s="1">
        <v>415</v>
      </c>
      <c r="M103" s="1" t="s">
        <v>179</v>
      </c>
      <c r="N103" s="2">
        <v>46185</v>
      </c>
      <c r="P103" s="1" t="s">
        <v>146</v>
      </c>
      <c r="Q103" s="1" t="s">
        <v>55</v>
      </c>
      <c r="R103" s="1" t="s">
        <v>593</v>
      </c>
      <c r="S103" s="2">
        <v>46168</v>
      </c>
      <c r="T103" s="2">
        <v>46169</v>
      </c>
      <c r="AB103" s="1">
        <v>0.5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1</v>
      </c>
      <c r="AK103" s="1">
        <v>0</v>
      </c>
      <c r="AL103" s="1">
        <v>0</v>
      </c>
      <c r="AM103" s="1">
        <v>0</v>
      </c>
    </row>
    <row r="104" spans="1:39" hidden="1" x14ac:dyDescent="0.25">
      <c r="A104" s="1">
        <v>415</v>
      </c>
      <c r="B104" s="1" t="s">
        <v>602</v>
      </c>
      <c r="C104" s="1" t="s">
        <v>598</v>
      </c>
      <c r="D104" s="1" t="s">
        <v>115</v>
      </c>
      <c r="E104" s="1" t="s">
        <v>52</v>
      </c>
      <c r="F104" s="3">
        <v>46198</v>
      </c>
      <c r="G104" s="3">
        <v>46198</v>
      </c>
      <c r="H104" s="4">
        <v>0</v>
      </c>
      <c r="J104" s="1" t="s">
        <v>41</v>
      </c>
      <c r="K104" s="1">
        <v>414</v>
      </c>
      <c r="M104" s="1" t="s">
        <v>266</v>
      </c>
      <c r="N104" s="2">
        <v>46188</v>
      </c>
      <c r="P104" s="1" t="s">
        <v>146</v>
      </c>
      <c r="Q104" s="1" t="s">
        <v>55</v>
      </c>
      <c r="R104" s="1" t="s">
        <v>593</v>
      </c>
      <c r="S104" s="2">
        <v>46170</v>
      </c>
      <c r="T104" s="2">
        <v>46170</v>
      </c>
      <c r="AB104" s="1">
        <v>0</v>
      </c>
      <c r="AC104" s="1">
        <v>0</v>
      </c>
      <c r="AD104" s="1">
        <v>0</v>
      </c>
      <c r="AE104" s="1">
        <v>0</v>
      </c>
      <c r="AF104" s="1">
        <v>1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1</v>
      </c>
      <c r="AM104" s="1">
        <v>0</v>
      </c>
    </row>
    <row r="105" spans="1:39" hidden="1" x14ac:dyDescent="0.25">
      <c r="A105" s="1">
        <v>416</v>
      </c>
      <c r="B105" s="1" t="s">
        <v>603</v>
      </c>
      <c r="C105" s="1" t="s">
        <v>595</v>
      </c>
      <c r="D105" s="1" t="s">
        <v>604</v>
      </c>
      <c r="E105" s="1" t="s">
        <v>272</v>
      </c>
      <c r="F105" s="3">
        <v>46188</v>
      </c>
      <c r="G105" s="3">
        <v>46197</v>
      </c>
      <c r="H105" s="4">
        <v>0.56000000000000005</v>
      </c>
      <c r="J105" s="1" t="s">
        <v>41</v>
      </c>
      <c r="M105" s="1" t="s">
        <v>182</v>
      </c>
      <c r="N105" s="2">
        <v>46206</v>
      </c>
      <c r="P105" s="1" t="s">
        <v>73</v>
      </c>
      <c r="Q105" s="1" t="s">
        <v>55</v>
      </c>
      <c r="R105" s="1" t="s">
        <v>593</v>
      </c>
      <c r="S105" s="2">
        <v>46192</v>
      </c>
      <c r="T105" s="2">
        <v>46202</v>
      </c>
      <c r="AB105" s="1">
        <v>0.56000000000000005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</row>
    <row r="106" spans="1:39" hidden="1" x14ac:dyDescent="0.25">
      <c r="A106" s="1">
        <v>418</v>
      </c>
      <c r="B106" s="1" t="s">
        <v>607</v>
      </c>
      <c r="C106" s="1" t="s">
        <v>606</v>
      </c>
      <c r="D106" s="1" t="s">
        <v>105</v>
      </c>
      <c r="E106" s="1" t="s">
        <v>52</v>
      </c>
      <c r="F106" s="3">
        <v>46192</v>
      </c>
      <c r="G106" s="3">
        <v>46192</v>
      </c>
      <c r="H106" s="4">
        <v>0.5</v>
      </c>
      <c r="J106" s="1" t="s">
        <v>41</v>
      </c>
      <c r="K106" s="1">
        <v>417</v>
      </c>
      <c r="L106" s="1">
        <v>419</v>
      </c>
      <c r="M106" s="1" t="s">
        <v>160</v>
      </c>
      <c r="N106" s="2">
        <v>46203</v>
      </c>
      <c r="P106" s="1" t="s">
        <v>73</v>
      </c>
      <c r="Q106" s="1" t="s">
        <v>55</v>
      </c>
      <c r="R106" s="1" t="s">
        <v>593</v>
      </c>
      <c r="S106" s="2">
        <v>46197</v>
      </c>
      <c r="T106" s="2">
        <v>46197</v>
      </c>
      <c r="AB106" s="1">
        <v>0.5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1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</row>
    <row r="107" spans="1:39" hidden="1" x14ac:dyDescent="0.25">
      <c r="A107" s="1">
        <v>419</v>
      </c>
      <c r="B107" s="1" t="s">
        <v>608</v>
      </c>
      <c r="C107" s="1" t="s">
        <v>606</v>
      </c>
      <c r="D107" s="1" t="s">
        <v>109</v>
      </c>
      <c r="E107" s="1" t="s">
        <v>116</v>
      </c>
      <c r="F107" s="3">
        <v>46195</v>
      </c>
      <c r="G107" s="3">
        <v>46196</v>
      </c>
      <c r="H107" s="4">
        <v>0</v>
      </c>
      <c r="J107" s="1" t="s">
        <v>41</v>
      </c>
      <c r="K107" s="1">
        <v>418</v>
      </c>
      <c r="L107" s="1">
        <v>420</v>
      </c>
      <c r="M107" s="1" t="s">
        <v>436</v>
      </c>
      <c r="N107" s="2">
        <v>46205</v>
      </c>
      <c r="P107" s="1" t="s">
        <v>146</v>
      </c>
      <c r="Q107" s="1" t="s">
        <v>55</v>
      </c>
      <c r="R107" s="1" t="s">
        <v>593</v>
      </c>
      <c r="S107" s="2">
        <v>46198</v>
      </c>
      <c r="T107" s="2">
        <v>46199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1</v>
      </c>
      <c r="AK107" s="1">
        <v>0</v>
      </c>
      <c r="AL107" s="1">
        <v>0</v>
      </c>
      <c r="AM107" s="1">
        <v>0</v>
      </c>
    </row>
    <row r="108" spans="1:39" hidden="1" x14ac:dyDescent="0.25">
      <c r="A108" s="1">
        <v>420</v>
      </c>
      <c r="B108" s="1" t="s">
        <v>609</v>
      </c>
      <c r="C108" s="1" t="s">
        <v>606</v>
      </c>
      <c r="D108" s="1" t="s">
        <v>115</v>
      </c>
      <c r="E108" s="1" t="s">
        <v>52</v>
      </c>
      <c r="F108" s="3">
        <v>46197</v>
      </c>
      <c r="G108" s="3">
        <v>46197</v>
      </c>
      <c r="H108" s="4">
        <v>0</v>
      </c>
      <c r="J108" s="1" t="s">
        <v>41</v>
      </c>
      <c r="K108" s="1">
        <v>419</v>
      </c>
      <c r="M108" s="1" t="s">
        <v>166</v>
      </c>
      <c r="N108" s="2">
        <v>46206</v>
      </c>
      <c r="P108" s="1" t="s">
        <v>146</v>
      </c>
      <c r="Q108" s="1" t="s">
        <v>55</v>
      </c>
      <c r="R108" s="1" t="s">
        <v>593</v>
      </c>
      <c r="S108" s="2">
        <v>46202</v>
      </c>
      <c r="T108" s="2">
        <v>46202</v>
      </c>
      <c r="AB108" s="1">
        <v>0</v>
      </c>
      <c r="AC108" s="1">
        <v>0</v>
      </c>
      <c r="AD108" s="1">
        <v>0</v>
      </c>
      <c r="AE108" s="1">
        <v>0</v>
      </c>
      <c r="AF108" s="1">
        <v>1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1</v>
      </c>
      <c r="AM108" s="1">
        <v>0</v>
      </c>
    </row>
    <row r="109" spans="1:39" hidden="1" x14ac:dyDescent="0.25">
      <c r="A109" s="1">
        <v>423</v>
      </c>
      <c r="B109" s="1" t="s">
        <v>616</v>
      </c>
      <c r="C109" s="1" t="s">
        <v>613</v>
      </c>
      <c r="D109" s="1" t="s">
        <v>105</v>
      </c>
      <c r="E109" s="1" t="s">
        <v>52</v>
      </c>
      <c r="F109" s="3">
        <v>46205</v>
      </c>
      <c r="G109" s="3">
        <v>46205</v>
      </c>
      <c r="H109" s="4">
        <v>0</v>
      </c>
      <c r="J109" s="1" t="s">
        <v>41</v>
      </c>
      <c r="K109" s="1">
        <v>422</v>
      </c>
      <c r="L109" s="1">
        <v>424</v>
      </c>
      <c r="M109" s="1" t="s">
        <v>342</v>
      </c>
      <c r="N109" s="2">
        <v>46197</v>
      </c>
      <c r="P109" s="1" t="s">
        <v>73</v>
      </c>
      <c r="Q109" s="1" t="s">
        <v>55</v>
      </c>
      <c r="R109" s="1" t="s">
        <v>593</v>
      </c>
      <c r="S109" s="2">
        <v>46189</v>
      </c>
      <c r="T109" s="2">
        <v>46189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1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</row>
    <row r="110" spans="1:39" x14ac:dyDescent="0.25">
      <c r="A110" s="1">
        <v>437</v>
      </c>
      <c r="B110" s="1" t="s">
        <v>621</v>
      </c>
      <c r="C110" s="1" t="s">
        <v>622</v>
      </c>
      <c r="D110" s="1" t="s">
        <v>101</v>
      </c>
      <c r="E110" s="1" t="s">
        <v>264</v>
      </c>
      <c r="F110" s="3">
        <v>46199</v>
      </c>
      <c r="G110" s="3">
        <v>46206</v>
      </c>
      <c r="H110" s="4">
        <v>0.25</v>
      </c>
      <c r="J110" s="1" t="s">
        <v>41</v>
      </c>
      <c r="K110" s="1" t="s">
        <v>623</v>
      </c>
      <c r="L110" s="1">
        <v>438</v>
      </c>
      <c r="M110" s="1" t="s">
        <v>367</v>
      </c>
      <c r="N110" s="2">
        <v>46196</v>
      </c>
      <c r="P110" s="1" t="s">
        <v>146</v>
      </c>
      <c r="Q110" s="1" t="s">
        <v>55</v>
      </c>
      <c r="R110" s="1" t="s">
        <v>593</v>
      </c>
      <c r="S110" s="2">
        <v>46204</v>
      </c>
      <c r="T110" s="2">
        <v>46204</v>
      </c>
      <c r="AB110" s="1">
        <v>0.25</v>
      </c>
      <c r="AC110" s="1">
        <v>1</v>
      </c>
      <c r="AD110" s="1">
        <v>0</v>
      </c>
      <c r="AE110" s="1">
        <v>1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</row>
    <row r="111" spans="1:39" hidden="1" x14ac:dyDescent="0.25">
      <c r="A111" s="1">
        <v>441</v>
      </c>
      <c r="B111" s="1" t="s">
        <v>627</v>
      </c>
      <c r="C111" s="1" t="s">
        <v>595</v>
      </c>
      <c r="D111" s="1" t="s">
        <v>628</v>
      </c>
      <c r="E111" s="1" t="s">
        <v>291</v>
      </c>
      <c r="F111" s="3">
        <v>46189</v>
      </c>
      <c r="G111" s="3">
        <v>46199</v>
      </c>
      <c r="H111" s="4">
        <v>0.8</v>
      </c>
      <c r="J111" s="1" t="s">
        <v>41</v>
      </c>
      <c r="M111" s="1" t="s">
        <v>214</v>
      </c>
      <c r="N111" s="2">
        <v>46185</v>
      </c>
      <c r="P111" s="1" t="s">
        <v>73</v>
      </c>
      <c r="Q111" s="1" t="s">
        <v>55</v>
      </c>
      <c r="R111" s="1" t="s">
        <v>593</v>
      </c>
      <c r="S111" s="2">
        <v>46157</v>
      </c>
      <c r="T111" s="2">
        <v>46169</v>
      </c>
      <c r="AB111" s="1">
        <v>0.8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</row>
    <row r="112" spans="1:39" hidden="1" x14ac:dyDescent="0.25">
      <c r="A112" s="1">
        <v>444</v>
      </c>
      <c r="B112" s="1" t="s">
        <v>633</v>
      </c>
      <c r="C112" s="1" t="s">
        <v>630</v>
      </c>
      <c r="D112" s="1" t="s">
        <v>109</v>
      </c>
      <c r="E112" s="1" t="s">
        <v>116</v>
      </c>
      <c r="F112" s="3">
        <v>46198</v>
      </c>
      <c r="G112" s="3">
        <v>46199</v>
      </c>
      <c r="H112" s="4">
        <v>0.5</v>
      </c>
      <c r="J112" s="1" t="s">
        <v>41</v>
      </c>
      <c r="K112" s="1">
        <v>443</v>
      </c>
      <c r="L112" s="1" t="s">
        <v>634</v>
      </c>
      <c r="M112" s="1" t="s">
        <v>224</v>
      </c>
      <c r="N112" s="2">
        <v>46184</v>
      </c>
      <c r="P112" s="1" t="s">
        <v>146</v>
      </c>
      <c r="Q112" s="1" t="s">
        <v>55</v>
      </c>
      <c r="R112" s="1" t="s">
        <v>593</v>
      </c>
      <c r="S112" s="2">
        <v>46167</v>
      </c>
      <c r="T112" s="2">
        <v>46168</v>
      </c>
      <c r="AB112" s="1">
        <v>0.5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1</v>
      </c>
      <c r="AK112" s="1">
        <v>0</v>
      </c>
      <c r="AL112" s="1">
        <v>0</v>
      </c>
      <c r="AM112" s="1">
        <v>0</v>
      </c>
    </row>
    <row r="113" spans="1:39" hidden="1" x14ac:dyDescent="0.25">
      <c r="A113" s="1">
        <v>445</v>
      </c>
      <c r="B113" s="1" t="s">
        <v>635</v>
      </c>
      <c r="C113" s="1" t="s">
        <v>630</v>
      </c>
      <c r="D113" s="1" t="s">
        <v>115</v>
      </c>
      <c r="E113" s="1" t="s">
        <v>52</v>
      </c>
      <c r="F113" s="3">
        <v>46199</v>
      </c>
      <c r="G113" s="3">
        <v>46199</v>
      </c>
      <c r="H113" s="4">
        <v>0</v>
      </c>
      <c r="J113" s="1" t="s">
        <v>41</v>
      </c>
      <c r="K113" s="1" t="s">
        <v>636</v>
      </c>
      <c r="M113" s="1" t="s">
        <v>474</v>
      </c>
      <c r="N113" s="2">
        <v>46185</v>
      </c>
      <c r="P113" s="1" t="s">
        <v>146</v>
      </c>
      <c r="Q113" s="1" t="s">
        <v>55</v>
      </c>
      <c r="R113" s="1" t="s">
        <v>593</v>
      </c>
      <c r="S113" s="2">
        <v>46169</v>
      </c>
      <c r="T113" s="2">
        <v>46169</v>
      </c>
      <c r="AB113" s="1">
        <v>0</v>
      </c>
      <c r="AC113" s="1">
        <v>0</v>
      </c>
      <c r="AD113" s="1">
        <v>0</v>
      </c>
      <c r="AE113" s="1">
        <v>0</v>
      </c>
      <c r="AF113" s="1">
        <v>1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1</v>
      </c>
      <c r="AM113" s="1">
        <v>0</v>
      </c>
    </row>
    <row r="114" spans="1:39" hidden="1" x14ac:dyDescent="0.25">
      <c r="A114" s="1">
        <v>446</v>
      </c>
      <c r="B114" s="1" t="s">
        <v>637</v>
      </c>
      <c r="C114" s="1" t="s">
        <v>595</v>
      </c>
      <c r="D114" s="1" t="s">
        <v>638</v>
      </c>
      <c r="E114" s="1" t="s">
        <v>260</v>
      </c>
      <c r="F114" s="3">
        <v>46192</v>
      </c>
      <c r="G114" s="3">
        <v>46205</v>
      </c>
      <c r="H114" s="4">
        <v>0.6</v>
      </c>
      <c r="J114" s="1" t="s">
        <v>41</v>
      </c>
      <c r="M114" s="1" t="s">
        <v>214</v>
      </c>
      <c r="N114" s="2">
        <v>46183</v>
      </c>
      <c r="P114" s="1" t="s">
        <v>136</v>
      </c>
      <c r="Q114" s="1" t="s">
        <v>55</v>
      </c>
      <c r="R114" s="1" t="s">
        <v>593</v>
      </c>
      <c r="S114" s="2">
        <v>46157</v>
      </c>
      <c r="T114" s="2">
        <v>46167</v>
      </c>
      <c r="AB114" s="1">
        <v>0.6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</row>
    <row r="115" spans="1:39" hidden="1" x14ac:dyDescent="0.25">
      <c r="A115" s="1">
        <v>448</v>
      </c>
      <c r="B115" s="1" t="s">
        <v>642</v>
      </c>
      <c r="C115" s="1" t="s">
        <v>640</v>
      </c>
      <c r="D115" s="1" t="s">
        <v>105</v>
      </c>
      <c r="E115" s="1" t="s">
        <v>52</v>
      </c>
      <c r="F115" s="3">
        <v>46202</v>
      </c>
      <c r="G115" s="3">
        <v>46202</v>
      </c>
      <c r="H115" s="4">
        <v>0</v>
      </c>
      <c r="J115" s="1" t="s">
        <v>41</v>
      </c>
      <c r="K115" s="1">
        <v>447</v>
      </c>
      <c r="L115" s="1">
        <v>449</v>
      </c>
      <c r="M115" s="1" t="s">
        <v>66</v>
      </c>
      <c r="N115" s="2">
        <v>46178</v>
      </c>
      <c r="P115" s="1" t="s">
        <v>76</v>
      </c>
      <c r="Q115" s="1" t="s">
        <v>55</v>
      </c>
      <c r="R115" s="1" t="s">
        <v>593</v>
      </c>
      <c r="S115" s="2">
        <v>46162</v>
      </c>
      <c r="T115" s="2">
        <v>46162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1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</row>
    <row r="116" spans="1:39" hidden="1" x14ac:dyDescent="0.25">
      <c r="A116" s="1">
        <v>449</v>
      </c>
      <c r="B116" s="1" t="s">
        <v>643</v>
      </c>
      <c r="C116" s="1" t="s">
        <v>640</v>
      </c>
      <c r="D116" s="1" t="s">
        <v>109</v>
      </c>
      <c r="E116" s="1" t="s">
        <v>116</v>
      </c>
      <c r="F116" s="3">
        <v>46203</v>
      </c>
      <c r="G116" s="3">
        <v>46204</v>
      </c>
      <c r="H116" s="4">
        <v>0</v>
      </c>
      <c r="J116" s="1" t="s">
        <v>41</v>
      </c>
      <c r="K116" s="1">
        <v>448</v>
      </c>
      <c r="L116" s="1">
        <v>450</v>
      </c>
      <c r="M116" s="1" t="s">
        <v>195</v>
      </c>
      <c r="N116" s="2">
        <v>46182</v>
      </c>
      <c r="P116" s="1" t="s">
        <v>76</v>
      </c>
      <c r="Q116" s="1" t="s">
        <v>55</v>
      </c>
      <c r="R116" s="1" t="s">
        <v>593</v>
      </c>
      <c r="S116" s="2">
        <v>46163</v>
      </c>
      <c r="T116" s="2">
        <v>46164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1</v>
      </c>
      <c r="AK116" s="1">
        <v>0</v>
      </c>
      <c r="AL116" s="1">
        <v>0</v>
      </c>
      <c r="AM116" s="1">
        <v>0</v>
      </c>
    </row>
    <row r="117" spans="1:39" hidden="1" x14ac:dyDescent="0.25">
      <c r="A117" s="1">
        <v>450</v>
      </c>
      <c r="B117" s="1" t="s">
        <v>644</v>
      </c>
      <c r="C117" s="1" t="s">
        <v>640</v>
      </c>
      <c r="D117" s="1" t="s">
        <v>115</v>
      </c>
      <c r="E117" s="1" t="s">
        <v>52</v>
      </c>
      <c r="F117" s="3">
        <v>46205</v>
      </c>
      <c r="G117" s="3">
        <v>46205</v>
      </c>
      <c r="H117" s="4">
        <v>0</v>
      </c>
      <c r="J117" s="1" t="s">
        <v>41</v>
      </c>
      <c r="K117" s="1">
        <v>449</v>
      </c>
      <c r="M117" s="1" t="s">
        <v>224</v>
      </c>
      <c r="N117" s="2">
        <v>46183</v>
      </c>
      <c r="P117" s="1" t="s">
        <v>73</v>
      </c>
      <c r="Q117" s="1" t="s">
        <v>55</v>
      </c>
      <c r="R117" s="1" t="s">
        <v>593</v>
      </c>
      <c r="S117" s="2">
        <v>46167</v>
      </c>
      <c r="T117" s="2">
        <v>46167</v>
      </c>
      <c r="AB117" s="1">
        <v>0</v>
      </c>
      <c r="AC117" s="1">
        <v>0</v>
      </c>
      <c r="AD117" s="1">
        <v>0</v>
      </c>
      <c r="AE117" s="1">
        <v>0</v>
      </c>
      <c r="AF117" s="1">
        <v>1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1</v>
      </c>
      <c r="AM117" s="1">
        <v>0</v>
      </c>
    </row>
    <row r="118" spans="1:39" hidden="1" x14ac:dyDescent="0.25">
      <c r="A118" s="1">
        <v>451</v>
      </c>
      <c r="B118" s="1" t="s">
        <v>645</v>
      </c>
      <c r="C118" s="1" t="s">
        <v>595</v>
      </c>
      <c r="D118" s="1" t="s">
        <v>646</v>
      </c>
      <c r="E118" s="1" t="s">
        <v>260</v>
      </c>
      <c r="F118" s="3">
        <v>46192</v>
      </c>
      <c r="G118" s="3">
        <v>46205</v>
      </c>
      <c r="H118" s="4">
        <v>0.6</v>
      </c>
      <c r="J118" s="1" t="s">
        <v>41</v>
      </c>
      <c r="M118" s="1" t="s">
        <v>214</v>
      </c>
      <c r="N118" s="2">
        <v>46185</v>
      </c>
      <c r="P118" s="1" t="s">
        <v>119</v>
      </c>
      <c r="Q118" s="1" t="s">
        <v>55</v>
      </c>
      <c r="R118" s="1" t="s">
        <v>593</v>
      </c>
      <c r="S118" s="2">
        <v>46157</v>
      </c>
      <c r="T118" s="2">
        <v>46169</v>
      </c>
      <c r="AB118" s="1">
        <v>0.6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</row>
    <row r="119" spans="1:39" hidden="1" x14ac:dyDescent="0.25">
      <c r="A119" s="1">
        <v>453</v>
      </c>
      <c r="B119" s="1" t="s">
        <v>649</v>
      </c>
      <c r="C119" s="1" t="s">
        <v>648</v>
      </c>
      <c r="D119" s="1" t="s">
        <v>105</v>
      </c>
      <c r="E119" s="1" t="s">
        <v>52</v>
      </c>
      <c r="F119" s="3">
        <v>46202</v>
      </c>
      <c r="G119" s="3">
        <v>46202</v>
      </c>
      <c r="H119" s="4">
        <v>0</v>
      </c>
      <c r="J119" s="1" t="s">
        <v>41</v>
      </c>
      <c r="K119" s="1">
        <v>452</v>
      </c>
      <c r="L119" s="1">
        <v>454</v>
      </c>
      <c r="M119" s="1" t="s">
        <v>156</v>
      </c>
      <c r="N119" s="2">
        <v>46182</v>
      </c>
      <c r="P119" s="1" t="s">
        <v>73</v>
      </c>
      <c r="Q119" s="1" t="s">
        <v>55</v>
      </c>
      <c r="R119" s="1" t="s">
        <v>593</v>
      </c>
      <c r="S119" s="2">
        <v>46164</v>
      </c>
      <c r="T119" s="2">
        <v>46164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1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</row>
    <row r="120" spans="1:39" hidden="1" x14ac:dyDescent="0.25">
      <c r="A120" s="1">
        <v>454</v>
      </c>
      <c r="B120" s="1" t="s">
        <v>650</v>
      </c>
      <c r="C120" s="1" t="s">
        <v>648</v>
      </c>
      <c r="D120" s="1" t="s">
        <v>109</v>
      </c>
      <c r="E120" s="1" t="s">
        <v>116</v>
      </c>
      <c r="F120" s="3">
        <v>46203</v>
      </c>
      <c r="G120" s="3">
        <v>46204</v>
      </c>
      <c r="H120" s="4">
        <v>0</v>
      </c>
      <c r="J120" s="1" t="s">
        <v>41</v>
      </c>
      <c r="K120" s="1">
        <v>453</v>
      </c>
      <c r="L120" s="1">
        <v>455</v>
      </c>
      <c r="M120" s="1" t="s">
        <v>224</v>
      </c>
      <c r="N120" s="2">
        <v>46184</v>
      </c>
      <c r="P120" s="1" t="s">
        <v>73</v>
      </c>
      <c r="Q120" s="1" t="s">
        <v>55</v>
      </c>
      <c r="R120" s="1" t="s">
        <v>593</v>
      </c>
      <c r="S120" s="2">
        <v>46167</v>
      </c>
      <c r="T120" s="2">
        <v>46168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1</v>
      </c>
      <c r="AK120" s="1">
        <v>0</v>
      </c>
      <c r="AL120" s="1">
        <v>0</v>
      </c>
      <c r="AM120" s="1">
        <v>0</v>
      </c>
    </row>
    <row r="121" spans="1:39" hidden="1" x14ac:dyDescent="0.25">
      <c r="A121" s="1">
        <v>455</v>
      </c>
      <c r="B121" s="1" t="s">
        <v>651</v>
      </c>
      <c r="C121" s="1" t="s">
        <v>648</v>
      </c>
      <c r="D121" s="1" t="s">
        <v>115</v>
      </c>
      <c r="E121" s="1" t="s">
        <v>52</v>
      </c>
      <c r="F121" s="3">
        <v>46205</v>
      </c>
      <c r="G121" s="3">
        <v>46205</v>
      </c>
      <c r="H121" s="4">
        <v>0</v>
      </c>
      <c r="J121" s="1" t="s">
        <v>41</v>
      </c>
      <c r="K121" s="1">
        <v>454</v>
      </c>
      <c r="M121" s="1" t="s">
        <v>474</v>
      </c>
      <c r="N121" s="2">
        <v>46185</v>
      </c>
      <c r="P121" s="1" t="s">
        <v>73</v>
      </c>
      <c r="Q121" s="1" t="s">
        <v>55</v>
      </c>
      <c r="R121" s="1" t="s">
        <v>593</v>
      </c>
      <c r="S121" s="2">
        <v>46169</v>
      </c>
      <c r="T121" s="2">
        <v>46169</v>
      </c>
      <c r="AB121" s="1">
        <v>0</v>
      </c>
      <c r="AC121" s="1">
        <v>0</v>
      </c>
      <c r="AD121" s="1">
        <v>0</v>
      </c>
      <c r="AE121" s="1">
        <v>0</v>
      </c>
      <c r="AF121" s="1">
        <v>1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1</v>
      </c>
      <c r="AM121" s="1">
        <v>0</v>
      </c>
    </row>
    <row r="122" spans="1:39" hidden="1" x14ac:dyDescent="0.25">
      <c r="A122" s="1">
        <v>456</v>
      </c>
      <c r="B122" s="1" t="s">
        <v>652</v>
      </c>
      <c r="C122" s="1" t="s">
        <v>595</v>
      </c>
      <c r="D122" s="1" t="s">
        <v>653</v>
      </c>
      <c r="E122" s="1" t="s">
        <v>272</v>
      </c>
      <c r="F122" s="3">
        <v>46196</v>
      </c>
      <c r="G122" s="3">
        <v>46205</v>
      </c>
      <c r="H122" s="4">
        <v>0.5</v>
      </c>
      <c r="J122" s="1" t="s">
        <v>41</v>
      </c>
      <c r="M122" s="1" t="s">
        <v>224</v>
      </c>
      <c r="N122" s="2">
        <v>46202</v>
      </c>
      <c r="P122" s="1" t="s">
        <v>146</v>
      </c>
      <c r="Q122" s="1" t="s">
        <v>55</v>
      </c>
      <c r="R122" s="1" t="s">
        <v>593</v>
      </c>
      <c r="S122" s="2">
        <v>46167</v>
      </c>
      <c r="T122" s="2">
        <v>46184</v>
      </c>
      <c r="AB122" s="1">
        <v>0.5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</row>
    <row r="123" spans="1:39" hidden="1" x14ac:dyDescent="0.25">
      <c r="A123" s="1">
        <v>458</v>
      </c>
      <c r="B123" s="1" t="s">
        <v>656</v>
      </c>
      <c r="C123" s="1" t="s">
        <v>655</v>
      </c>
      <c r="D123" s="1" t="s">
        <v>105</v>
      </c>
      <c r="E123" s="1" t="s">
        <v>52</v>
      </c>
      <c r="F123" s="3">
        <v>46202</v>
      </c>
      <c r="G123" s="3">
        <v>46202</v>
      </c>
      <c r="H123" s="4">
        <v>0</v>
      </c>
      <c r="J123" s="1" t="s">
        <v>41</v>
      </c>
      <c r="K123" s="1">
        <v>457</v>
      </c>
      <c r="L123" s="1">
        <v>459</v>
      </c>
      <c r="M123" s="1" t="s">
        <v>342</v>
      </c>
      <c r="N123" s="2">
        <v>46197</v>
      </c>
      <c r="P123" s="1" t="s">
        <v>146</v>
      </c>
      <c r="Q123" s="1" t="s">
        <v>55</v>
      </c>
      <c r="R123" s="1" t="s">
        <v>593</v>
      </c>
      <c r="S123" s="2">
        <v>46181</v>
      </c>
      <c r="T123" s="2">
        <v>46181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1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</row>
    <row r="124" spans="1:39" hidden="1" x14ac:dyDescent="0.25">
      <c r="A124" s="1">
        <v>459</v>
      </c>
      <c r="B124" s="1" t="s">
        <v>657</v>
      </c>
      <c r="C124" s="1" t="s">
        <v>655</v>
      </c>
      <c r="D124" s="1" t="s">
        <v>109</v>
      </c>
      <c r="E124" s="1" t="s">
        <v>116</v>
      </c>
      <c r="F124" s="3">
        <v>46203</v>
      </c>
      <c r="G124" s="3">
        <v>46204</v>
      </c>
      <c r="H124" s="4">
        <v>0</v>
      </c>
      <c r="J124" s="1" t="s">
        <v>41</v>
      </c>
      <c r="K124" s="1">
        <v>458</v>
      </c>
      <c r="L124" s="1">
        <v>460</v>
      </c>
      <c r="M124" s="1" t="s">
        <v>233</v>
      </c>
      <c r="N124" s="2">
        <v>46199</v>
      </c>
      <c r="P124" s="1" t="s">
        <v>67</v>
      </c>
      <c r="Q124" s="1" t="s">
        <v>55</v>
      </c>
      <c r="R124" s="1" t="s">
        <v>593</v>
      </c>
      <c r="S124" s="2">
        <v>46182</v>
      </c>
      <c r="T124" s="2">
        <v>46183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1</v>
      </c>
      <c r="AK124" s="1">
        <v>0</v>
      </c>
      <c r="AL124" s="1">
        <v>0</v>
      </c>
      <c r="AM124" s="1">
        <v>0</v>
      </c>
    </row>
    <row r="125" spans="1:39" hidden="1" x14ac:dyDescent="0.25">
      <c r="A125" s="1">
        <v>460</v>
      </c>
      <c r="B125" s="1" t="s">
        <v>658</v>
      </c>
      <c r="C125" s="1" t="s">
        <v>655</v>
      </c>
      <c r="D125" s="1" t="s">
        <v>115</v>
      </c>
      <c r="E125" s="1" t="s">
        <v>52</v>
      </c>
      <c r="F125" s="3">
        <v>46205</v>
      </c>
      <c r="G125" s="3">
        <v>46205</v>
      </c>
      <c r="H125" s="4">
        <v>0</v>
      </c>
      <c r="J125" s="1" t="s">
        <v>41</v>
      </c>
      <c r="K125" s="1">
        <v>459</v>
      </c>
      <c r="M125" s="1" t="s">
        <v>345</v>
      </c>
      <c r="N125" s="2">
        <v>46202</v>
      </c>
      <c r="P125" s="1" t="s">
        <v>67</v>
      </c>
      <c r="Q125" s="1" t="s">
        <v>55</v>
      </c>
      <c r="R125" s="1" t="s">
        <v>593</v>
      </c>
      <c r="S125" s="2">
        <v>46184</v>
      </c>
      <c r="T125" s="2">
        <v>46184</v>
      </c>
      <c r="AB125" s="1">
        <v>0</v>
      </c>
      <c r="AC125" s="1">
        <v>0</v>
      </c>
      <c r="AD125" s="1">
        <v>0</v>
      </c>
      <c r="AE125" s="1">
        <v>0</v>
      </c>
      <c r="AF125" s="1">
        <v>1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1</v>
      </c>
      <c r="AM125" s="1">
        <v>0</v>
      </c>
    </row>
    <row r="126" spans="1:39" hidden="1" x14ac:dyDescent="0.25">
      <c r="A126" s="1">
        <v>463</v>
      </c>
      <c r="B126" s="1" t="s">
        <v>663</v>
      </c>
      <c r="C126" s="1" t="s">
        <v>662</v>
      </c>
      <c r="D126" s="1" t="s">
        <v>105</v>
      </c>
      <c r="E126" s="1" t="s">
        <v>52</v>
      </c>
      <c r="F126" s="3">
        <v>46205</v>
      </c>
      <c r="G126" s="3">
        <v>46205</v>
      </c>
      <c r="H126" s="4">
        <v>0</v>
      </c>
      <c r="J126" s="1" t="s">
        <v>41</v>
      </c>
      <c r="K126" s="1">
        <v>462</v>
      </c>
      <c r="L126" s="1">
        <v>464</v>
      </c>
      <c r="M126" s="1" t="s">
        <v>342</v>
      </c>
      <c r="N126" s="2">
        <v>46197</v>
      </c>
      <c r="P126" s="1" t="s">
        <v>146</v>
      </c>
      <c r="Q126" s="1" t="s">
        <v>55</v>
      </c>
      <c r="R126" s="1" t="s">
        <v>593</v>
      </c>
      <c r="S126" s="2">
        <v>46181</v>
      </c>
      <c r="T126" s="2">
        <v>46181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1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</row>
    <row r="127" spans="1:39" hidden="1" x14ac:dyDescent="0.25">
      <c r="A127" s="1">
        <v>468</v>
      </c>
      <c r="B127" s="1" t="s">
        <v>670</v>
      </c>
      <c r="C127" s="1" t="s">
        <v>669</v>
      </c>
      <c r="D127" s="1" t="s">
        <v>105</v>
      </c>
      <c r="E127" s="1" t="s">
        <v>52</v>
      </c>
      <c r="F127" s="3">
        <v>46205</v>
      </c>
      <c r="G127" s="3">
        <v>46205</v>
      </c>
      <c r="H127" s="4">
        <v>0</v>
      </c>
      <c r="J127" s="1" t="s">
        <v>41</v>
      </c>
      <c r="K127" s="1">
        <v>467</v>
      </c>
      <c r="L127" s="1">
        <v>469</v>
      </c>
      <c r="M127" s="1" t="s">
        <v>342</v>
      </c>
      <c r="N127" s="2">
        <v>46197</v>
      </c>
      <c r="P127" s="1" t="s">
        <v>146</v>
      </c>
      <c r="Q127" s="1" t="s">
        <v>55</v>
      </c>
      <c r="R127" s="1" t="s">
        <v>593</v>
      </c>
      <c r="S127" s="2">
        <v>46181</v>
      </c>
      <c r="T127" s="2">
        <v>46181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1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</row>
    <row r="128" spans="1:39" x14ac:dyDescent="0.25">
      <c r="A128" s="1">
        <v>492</v>
      </c>
      <c r="B128" s="1" t="s">
        <v>683</v>
      </c>
      <c r="C128" s="1" t="s">
        <v>684</v>
      </c>
      <c r="D128" s="1" t="s">
        <v>101</v>
      </c>
      <c r="E128" s="1" t="s">
        <v>231</v>
      </c>
      <c r="F128" s="3">
        <v>46203</v>
      </c>
      <c r="G128" s="3">
        <v>46206</v>
      </c>
      <c r="H128" s="4">
        <v>0</v>
      </c>
      <c r="J128" s="1" t="s">
        <v>41</v>
      </c>
      <c r="K128" s="1" t="s">
        <v>685</v>
      </c>
      <c r="L128" s="1" t="s">
        <v>686</v>
      </c>
      <c r="M128" s="1" t="s">
        <v>182</v>
      </c>
      <c r="N128" s="2">
        <v>46202</v>
      </c>
      <c r="P128" s="1" t="s">
        <v>146</v>
      </c>
      <c r="Q128" s="1" t="s">
        <v>55</v>
      </c>
      <c r="R128" s="1" t="s">
        <v>593</v>
      </c>
      <c r="S128" s="2">
        <v>46202</v>
      </c>
      <c r="T128" s="2">
        <v>46203</v>
      </c>
      <c r="AB128" s="1">
        <v>0</v>
      </c>
      <c r="AC128" s="1">
        <v>1</v>
      </c>
      <c r="AD128" s="1">
        <v>0</v>
      </c>
      <c r="AE128" s="1">
        <v>1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</row>
    <row r="129" spans="1:39" hidden="1" x14ac:dyDescent="0.25">
      <c r="A129" s="1">
        <v>496</v>
      </c>
      <c r="B129" s="1" t="s">
        <v>690</v>
      </c>
      <c r="C129" s="1" t="s">
        <v>595</v>
      </c>
      <c r="D129" s="1" t="s">
        <v>691</v>
      </c>
      <c r="E129" s="1" t="s">
        <v>227</v>
      </c>
      <c r="F129" s="3">
        <v>46189</v>
      </c>
      <c r="G129" s="3">
        <v>46197</v>
      </c>
      <c r="H129" s="4">
        <v>0.56999999999999995</v>
      </c>
      <c r="J129" s="1" t="s">
        <v>41</v>
      </c>
      <c r="M129" s="1" t="s">
        <v>342</v>
      </c>
      <c r="N129" s="2">
        <v>46204</v>
      </c>
      <c r="P129" s="1" t="s">
        <v>73</v>
      </c>
      <c r="Q129" s="1" t="s">
        <v>55</v>
      </c>
      <c r="R129" s="1" t="s">
        <v>593</v>
      </c>
      <c r="S129" s="2">
        <v>46189</v>
      </c>
      <c r="T129" s="2">
        <v>46197</v>
      </c>
      <c r="AB129" s="1">
        <v>0.56999999999999995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</row>
    <row r="130" spans="1:39" hidden="1" x14ac:dyDescent="0.25">
      <c r="A130" s="1">
        <v>498</v>
      </c>
      <c r="B130" s="1" t="s">
        <v>694</v>
      </c>
      <c r="C130" s="1" t="s">
        <v>693</v>
      </c>
      <c r="D130" s="1" t="s">
        <v>105</v>
      </c>
      <c r="E130" s="1" t="s">
        <v>52</v>
      </c>
      <c r="F130" s="3">
        <v>46195</v>
      </c>
      <c r="G130" s="3">
        <v>46195</v>
      </c>
      <c r="H130" s="4">
        <v>0</v>
      </c>
      <c r="J130" s="1" t="s">
        <v>41</v>
      </c>
      <c r="K130" s="1">
        <v>497</v>
      </c>
      <c r="L130" s="1">
        <v>499</v>
      </c>
      <c r="M130" s="1" t="s">
        <v>182</v>
      </c>
      <c r="N130" s="2">
        <v>46199</v>
      </c>
      <c r="P130" s="1" t="s">
        <v>146</v>
      </c>
      <c r="Q130" s="1" t="s">
        <v>55</v>
      </c>
      <c r="R130" s="1" t="s">
        <v>593</v>
      </c>
      <c r="S130" s="2">
        <v>46192</v>
      </c>
      <c r="T130" s="2">
        <v>46192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1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</row>
    <row r="131" spans="1:39" hidden="1" x14ac:dyDescent="0.25">
      <c r="A131" s="1">
        <v>499</v>
      </c>
      <c r="B131" s="1" t="s">
        <v>695</v>
      </c>
      <c r="C131" s="1" t="s">
        <v>693</v>
      </c>
      <c r="D131" s="1" t="s">
        <v>109</v>
      </c>
      <c r="E131" s="1" t="s">
        <v>52</v>
      </c>
      <c r="F131" s="3">
        <v>46196</v>
      </c>
      <c r="G131" s="3">
        <v>46196</v>
      </c>
      <c r="H131" s="4">
        <v>0</v>
      </c>
      <c r="J131" s="1" t="s">
        <v>41</v>
      </c>
      <c r="K131" s="1">
        <v>498</v>
      </c>
      <c r="L131" s="1">
        <v>500</v>
      </c>
      <c r="M131" s="1" t="s">
        <v>345</v>
      </c>
      <c r="N131" s="2">
        <v>46203</v>
      </c>
      <c r="P131" s="1" t="s">
        <v>146</v>
      </c>
      <c r="Q131" s="1" t="s">
        <v>55</v>
      </c>
      <c r="R131" s="1" t="s">
        <v>593</v>
      </c>
      <c r="S131" s="2">
        <v>46195</v>
      </c>
      <c r="T131" s="2">
        <v>46196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1</v>
      </c>
      <c r="AK131" s="1">
        <v>0</v>
      </c>
      <c r="AL131" s="1">
        <v>0</v>
      </c>
      <c r="AM131" s="1">
        <v>0</v>
      </c>
    </row>
    <row r="132" spans="1:39" hidden="1" x14ac:dyDescent="0.25">
      <c r="A132" s="1">
        <v>500</v>
      </c>
      <c r="B132" s="1" t="s">
        <v>696</v>
      </c>
      <c r="C132" s="1" t="s">
        <v>693</v>
      </c>
      <c r="D132" s="1" t="s">
        <v>115</v>
      </c>
      <c r="E132" s="1" t="s">
        <v>52</v>
      </c>
      <c r="F132" s="3">
        <v>46197</v>
      </c>
      <c r="G132" s="3">
        <v>46197</v>
      </c>
      <c r="H132" s="4">
        <v>0</v>
      </c>
      <c r="J132" s="1" t="s">
        <v>41</v>
      </c>
      <c r="K132" s="1">
        <v>499</v>
      </c>
      <c r="M132" s="1" t="s">
        <v>436</v>
      </c>
      <c r="N132" s="2">
        <v>46204</v>
      </c>
      <c r="P132" s="1" t="s">
        <v>146</v>
      </c>
      <c r="Q132" s="1" t="s">
        <v>55</v>
      </c>
      <c r="R132" s="1" t="s">
        <v>593</v>
      </c>
      <c r="S132" s="2">
        <v>46197</v>
      </c>
      <c r="T132" s="2">
        <v>46197</v>
      </c>
      <c r="AB132" s="1">
        <v>0</v>
      </c>
      <c r="AC132" s="1">
        <v>0</v>
      </c>
      <c r="AD132" s="1">
        <v>0</v>
      </c>
      <c r="AE132" s="1">
        <v>0</v>
      </c>
      <c r="AF132" s="1">
        <v>1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1</v>
      </c>
      <c r="AM132" s="1">
        <v>0</v>
      </c>
    </row>
    <row r="133" spans="1:39" hidden="1" x14ac:dyDescent="0.25">
      <c r="A133" s="1">
        <v>501</v>
      </c>
      <c r="B133" s="1" t="s">
        <v>697</v>
      </c>
      <c r="C133" s="1" t="s">
        <v>595</v>
      </c>
      <c r="D133" s="1" t="s">
        <v>698</v>
      </c>
      <c r="E133" s="1" t="s">
        <v>260</v>
      </c>
      <c r="F133" s="3">
        <v>46191</v>
      </c>
      <c r="G133" s="3">
        <v>46204</v>
      </c>
      <c r="H133" s="4">
        <v>0.7</v>
      </c>
      <c r="J133" s="1" t="s">
        <v>41</v>
      </c>
      <c r="M133" s="1" t="s">
        <v>342</v>
      </c>
      <c r="N133" s="2">
        <v>46211</v>
      </c>
      <c r="P133" s="1" t="s">
        <v>73</v>
      </c>
      <c r="Q133" s="1" t="s">
        <v>55</v>
      </c>
      <c r="R133" s="1" t="s">
        <v>593</v>
      </c>
      <c r="S133" s="2">
        <v>46189</v>
      </c>
      <c r="T133" s="2">
        <v>46206</v>
      </c>
      <c r="AB133" s="1">
        <v>0.7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</row>
    <row r="134" spans="1:39" hidden="1" x14ac:dyDescent="0.25">
      <c r="A134" s="1">
        <v>503</v>
      </c>
      <c r="B134" s="1" t="s">
        <v>703</v>
      </c>
      <c r="C134" s="1" t="s">
        <v>700</v>
      </c>
      <c r="D134" s="1" t="s">
        <v>105</v>
      </c>
      <c r="E134" s="1" t="s">
        <v>52</v>
      </c>
      <c r="F134" s="3">
        <v>46202</v>
      </c>
      <c r="G134" s="3">
        <v>46202</v>
      </c>
      <c r="H134" s="4">
        <v>0</v>
      </c>
      <c r="J134" s="1" t="s">
        <v>41</v>
      </c>
      <c r="K134" s="1">
        <v>502</v>
      </c>
      <c r="L134" s="1">
        <v>504</v>
      </c>
      <c r="M134" s="1" t="s">
        <v>166</v>
      </c>
      <c r="N134" s="2">
        <v>46206</v>
      </c>
      <c r="P134" s="1" t="s">
        <v>146</v>
      </c>
      <c r="Q134" s="1" t="s">
        <v>55</v>
      </c>
      <c r="R134" s="1" t="s">
        <v>593</v>
      </c>
      <c r="S134" s="2">
        <v>46203</v>
      </c>
      <c r="T134" s="2">
        <v>46203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1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</row>
    <row r="135" spans="1:39" hidden="1" x14ac:dyDescent="0.25">
      <c r="A135" s="1">
        <v>504</v>
      </c>
      <c r="B135" s="1" t="s">
        <v>704</v>
      </c>
      <c r="C135" s="1" t="s">
        <v>700</v>
      </c>
      <c r="D135" s="1" t="s">
        <v>109</v>
      </c>
      <c r="E135" s="1" t="s">
        <v>52</v>
      </c>
      <c r="F135" s="3">
        <v>46203</v>
      </c>
      <c r="G135" s="3">
        <v>46203</v>
      </c>
      <c r="H135" s="4">
        <v>0</v>
      </c>
      <c r="J135" s="1" t="s">
        <v>41</v>
      </c>
      <c r="K135" s="1">
        <v>503</v>
      </c>
      <c r="L135" s="1">
        <v>505</v>
      </c>
      <c r="M135" s="1" t="s">
        <v>705</v>
      </c>
      <c r="N135" s="2">
        <v>46210</v>
      </c>
      <c r="P135" s="1" t="s">
        <v>67</v>
      </c>
      <c r="Q135" s="1" t="s">
        <v>55</v>
      </c>
      <c r="R135" s="1" t="s">
        <v>593</v>
      </c>
      <c r="S135" s="2">
        <v>46204</v>
      </c>
      <c r="T135" s="2">
        <v>46205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1</v>
      </c>
      <c r="AK135" s="1">
        <v>0</v>
      </c>
      <c r="AL135" s="1">
        <v>0</v>
      </c>
      <c r="AM135" s="1">
        <v>0</v>
      </c>
    </row>
    <row r="136" spans="1:39" hidden="1" x14ac:dyDescent="0.25">
      <c r="A136" s="1">
        <v>505</v>
      </c>
      <c r="B136" s="1" t="s">
        <v>706</v>
      </c>
      <c r="C136" s="1" t="s">
        <v>700</v>
      </c>
      <c r="D136" s="1" t="s">
        <v>115</v>
      </c>
      <c r="E136" s="1" t="s">
        <v>52</v>
      </c>
      <c r="F136" s="3">
        <v>46204</v>
      </c>
      <c r="G136" s="3">
        <v>46204</v>
      </c>
      <c r="H136" s="4">
        <v>0</v>
      </c>
      <c r="J136" s="1" t="s">
        <v>41</v>
      </c>
      <c r="K136" s="1">
        <v>504</v>
      </c>
      <c r="M136" s="1" t="s">
        <v>707</v>
      </c>
      <c r="N136" s="2">
        <v>46211</v>
      </c>
      <c r="P136" s="1" t="s">
        <v>67</v>
      </c>
      <c r="Q136" s="1" t="s">
        <v>55</v>
      </c>
      <c r="R136" s="1" t="s">
        <v>593</v>
      </c>
      <c r="S136" s="2">
        <v>46206</v>
      </c>
      <c r="T136" s="2">
        <v>46206</v>
      </c>
      <c r="AB136" s="1">
        <v>0</v>
      </c>
      <c r="AC136" s="1">
        <v>0</v>
      </c>
      <c r="AD136" s="1">
        <v>0</v>
      </c>
      <c r="AE136" s="1">
        <v>0</v>
      </c>
      <c r="AF136" s="1">
        <v>1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1</v>
      </c>
      <c r="AM136" s="1">
        <v>0</v>
      </c>
    </row>
    <row r="137" spans="1:39" hidden="1" x14ac:dyDescent="0.25">
      <c r="A137" s="1">
        <v>506</v>
      </c>
      <c r="B137" s="1" t="s">
        <v>708</v>
      </c>
      <c r="C137" s="1" t="s">
        <v>595</v>
      </c>
      <c r="D137" s="1" t="s">
        <v>709</v>
      </c>
      <c r="E137" s="1" t="s">
        <v>260</v>
      </c>
      <c r="F137" s="3">
        <v>46191</v>
      </c>
      <c r="G137" s="3">
        <v>46204</v>
      </c>
      <c r="H137" s="4">
        <v>0.75</v>
      </c>
      <c r="J137" s="1" t="s">
        <v>41</v>
      </c>
      <c r="M137" s="1" t="s">
        <v>342</v>
      </c>
      <c r="N137" s="2">
        <v>46211</v>
      </c>
      <c r="P137" s="1" t="s">
        <v>73</v>
      </c>
      <c r="Q137" s="1" t="s">
        <v>55</v>
      </c>
      <c r="R137" s="1" t="s">
        <v>593</v>
      </c>
      <c r="S137" s="2">
        <v>46189</v>
      </c>
      <c r="T137" s="2">
        <v>46206</v>
      </c>
      <c r="AB137" s="1">
        <v>0.75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</row>
    <row r="138" spans="1:39" hidden="1" x14ac:dyDescent="0.25">
      <c r="A138" s="1">
        <v>508</v>
      </c>
      <c r="B138" s="1" t="s">
        <v>713</v>
      </c>
      <c r="C138" s="1" t="s">
        <v>711</v>
      </c>
      <c r="D138" s="1" t="s">
        <v>105</v>
      </c>
      <c r="E138" s="1" t="s">
        <v>52</v>
      </c>
      <c r="F138" s="3">
        <v>46202</v>
      </c>
      <c r="G138" s="3">
        <v>46202</v>
      </c>
      <c r="H138" s="4">
        <v>0.5</v>
      </c>
      <c r="J138" s="1" t="s">
        <v>41</v>
      </c>
      <c r="K138" s="1">
        <v>507</v>
      </c>
      <c r="L138" s="1">
        <v>509</v>
      </c>
      <c r="M138" s="1" t="s">
        <v>166</v>
      </c>
      <c r="N138" s="2">
        <v>46206</v>
      </c>
      <c r="P138" s="1" t="s">
        <v>146</v>
      </c>
      <c r="Q138" s="1" t="s">
        <v>55</v>
      </c>
      <c r="R138" s="1" t="s">
        <v>593</v>
      </c>
      <c r="S138" s="2">
        <v>46203</v>
      </c>
      <c r="T138" s="2">
        <v>46203</v>
      </c>
      <c r="AB138" s="1">
        <v>0.5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1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</row>
    <row r="139" spans="1:39" hidden="1" x14ac:dyDescent="0.25">
      <c r="A139" s="1">
        <v>509</v>
      </c>
      <c r="B139" s="1" t="s">
        <v>714</v>
      </c>
      <c r="C139" s="1" t="s">
        <v>711</v>
      </c>
      <c r="D139" s="1" t="s">
        <v>109</v>
      </c>
      <c r="E139" s="1" t="s">
        <v>52</v>
      </c>
      <c r="F139" s="3">
        <v>46203</v>
      </c>
      <c r="G139" s="3">
        <v>46203</v>
      </c>
      <c r="H139" s="4">
        <v>0</v>
      </c>
      <c r="J139" s="1" t="s">
        <v>41</v>
      </c>
      <c r="K139" s="1">
        <v>508</v>
      </c>
      <c r="L139" s="1">
        <v>510</v>
      </c>
      <c r="M139" s="1" t="s">
        <v>705</v>
      </c>
      <c r="N139" s="2">
        <v>46210</v>
      </c>
      <c r="P139" s="1" t="s">
        <v>67</v>
      </c>
      <c r="Q139" s="1" t="s">
        <v>55</v>
      </c>
      <c r="R139" s="1" t="s">
        <v>593</v>
      </c>
      <c r="S139" s="2">
        <v>46204</v>
      </c>
      <c r="T139" s="2">
        <v>46205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1</v>
      </c>
      <c r="AK139" s="1">
        <v>0</v>
      </c>
      <c r="AL139" s="1">
        <v>0</v>
      </c>
      <c r="AM139" s="1">
        <v>0</v>
      </c>
    </row>
    <row r="140" spans="1:39" hidden="1" x14ac:dyDescent="0.25">
      <c r="A140" s="1">
        <v>510</v>
      </c>
      <c r="B140" s="1" t="s">
        <v>715</v>
      </c>
      <c r="C140" s="1" t="s">
        <v>711</v>
      </c>
      <c r="D140" s="1" t="s">
        <v>115</v>
      </c>
      <c r="E140" s="1" t="s">
        <v>52</v>
      </c>
      <c r="F140" s="3">
        <v>46204</v>
      </c>
      <c r="G140" s="3">
        <v>46204</v>
      </c>
      <c r="H140" s="4">
        <v>0</v>
      </c>
      <c r="J140" s="1" t="s">
        <v>41</v>
      </c>
      <c r="K140" s="1">
        <v>509</v>
      </c>
      <c r="M140" s="1" t="s">
        <v>707</v>
      </c>
      <c r="N140" s="2">
        <v>46211</v>
      </c>
      <c r="P140" s="1" t="s">
        <v>67</v>
      </c>
      <c r="Q140" s="1" t="s">
        <v>55</v>
      </c>
      <c r="R140" s="1" t="s">
        <v>593</v>
      </c>
      <c r="S140" s="2">
        <v>46206</v>
      </c>
      <c r="T140" s="2">
        <v>46206</v>
      </c>
      <c r="AB140" s="1">
        <v>0</v>
      </c>
      <c r="AC140" s="1">
        <v>0</v>
      </c>
      <c r="AD140" s="1">
        <v>0</v>
      </c>
      <c r="AE140" s="1">
        <v>0</v>
      </c>
      <c r="AF140" s="1">
        <v>1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1</v>
      </c>
      <c r="AM140" s="1">
        <v>0</v>
      </c>
    </row>
    <row r="141" spans="1:39" hidden="1" x14ac:dyDescent="0.25">
      <c r="A141" s="1">
        <v>511</v>
      </c>
      <c r="B141" s="1" t="s">
        <v>716</v>
      </c>
      <c r="C141" s="1" t="s">
        <v>595</v>
      </c>
      <c r="D141" s="1" t="s">
        <v>717</v>
      </c>
      <c r="E141" s="1" t="s">
        <v>260</v>
      </c>
      <c r="F141" s="3">
        <v>46191</v>
      </c>
      <c r="G141" s="3">
        <v>46204</v>
      </c>
      <c r="H141" s="4">
        <v>0.7</v>
      </c>
      <c r="J141" s="1" t="s">
        <v>41</v>
      </c>
      <c r="M141" s="1" t="s">
        <v>342</v>
      </c>
      <c r="N141" s="2">
        <v>46211</v>
      </c>
      <c r="P141" s="1" t="s">
        <v>73</v>
      </c>
      <c r="Q141" s="1" t="s">
        <v>55</v>
      </c>
      <c r="R141" s="1" t="s">
        <v>593</v>
      </c>
      <c r="S141" s="2">
        <v>46189</v>
      </c>
      <c r="T141" s="2">
        <v>46206</v>
      </c>
      <c r="AB141" s="1">
        <v>0.7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</row>
    <row r="142" spans="1:39" hidden="1" x14ac:dyDescent="0.25">
      <c r="A142" s="1">
        <v>513</v>
      </c>
      <c r="B142" s="1" t="s">
        <v>720</v>
      </c>
      <c r="C142" s="1" t="s">
        <v>719</v>
      </c>
      <c r="D142" s="1" t="s">
        <v>105</v>
      </c>
      <c r="E142" s="1" t="s">
        <v>52</v>
      </c>
      <c r="F142" s="3">
        <v>46202</v>
      </c>
      <c r="G142" s="3">
        <v>46202</v>
      </c>
      <c r="H142" s="4">
        <v>0</v>
      </c>
      <c r="J142" s="1" t="s">
        <v>41</v>
      </c>
      <c r="K142" s="1">
        <v>512</v>
      </c>
      <c r="L142" s="1">
        <v>514</v>
      </c>
      <c r="M142" s="1" t="s">
        <v>166</v>
      </c>
      <c r="N142" s="2">
        <v>46206</v>
      </c>
      <c r="P142" s="1" t="s">
        <v>146</v>
      </c>
      <c r="Q142" s="1" t="s">
        <v>55</v>
      </c>
      <c r="R142" s="1" t="s">
        <v>593</v>
      </c>
      <c r="S142" s="2">
        <v>46203</v>
      </c>
      <c r="T142" s="2">
        <v>46203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1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</row>
    <row r="143" spans="1:39" hidden="1" x14ac:dyDescent="0.25">
      <c r="A143" s="1">
        <v>514</v>
      </c>
      <c r="B143" s="1" t="s">
        <v>721</v>
      </c>
      <c r="C143" s="1" t="s">
        <v>719</v>
      </c>
      <c r="D143" s="1" t="s">
        <v>109</v>
      </c>
      <c r="E143" s="1" t="s">
        <v>52</v>
      </c>
      <c r="F143" s="3">
        <v>46203</v>
      </c>
      <c r="G143" s="3">
        <v>46203</v>
      </c>
      <c r="H143" s="4">
        <v>0</v>
      </c>
      <c r="J143" s="1" t="s">
        <v>41</v>
      </c>
      <c r="K143" s="1">
        <v>513</v>
      </c>
      <c r="L143" s="1">
        <v>515</v>
      </c>
      <c r="M143" s="1" t="s">
        <v>705</v>
      </c>
      <c r="N143" s="2">
        <v>46210</v>
      </c>
      <c r="P143" s="1" t="s">
        <v>146</v>
      </c>
      <c r="Q143" s="1" t="s">
        <v>55</v>
      </c>
      <c r="R143" s="1" t="s">
        <v>593</v>
      </c>
      <c r="S143" s="2">
        <v>46204</v>
      </c>
      <c r="T143" s="2">
        <v>46205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1</v>
      </c>
      <c r="AK143" s="1">
        <v>0</v>
      </c>
      <c r="AL143" s="1">
        <v>0</v>
      </c>
      <c r="AM143" s="1">
        <v>0</v>
      </c>
    </row>
    <row r="144" spans="1:39" hidden="1" x14ac:dyDescent="0.25">
      <c r="A144" s="1">
        <v>515</v>
      </c>
      <c r="B144" s="1" t="s">
        <v>722</v>
      </c>
      <c r="C144" s="1" t="s">
        <v>719</v>
      </c>
      <c r="D144" s="1" t="s">
        <v>115</v>
      </c>
      <c r="E144" s="1" t="s">
        <v>52</v>
      </c>
      <c r="F144" s="3">
        <v>46204</v>
      </c>
      <c r="G144" s="3">
        <v>46204</v>
      </c>
      <c r="H144" s="4">
        <v>0</v>
      </c>
      <c r="J144" s="1" t="s">
        <v>41</v>
      </c>
      <c r="K144" s="1">
        <v>514</v>
      </c>
      <c r="M144" s="1" t="s">
        <v>707</v>
      </c>
      <c r="N144" s="2">
        <v>46211</v>
      </c>
      <c r="P144" s="1" t="s">
        <v>67</v>
      </c>
      <c r="Q144" s="1" t="s">
        <v>55</v>
      </c>
      <c r="R144" s="1" t="s">
        <v>593</v>
      </c>
      <c r="S144" s="2">
        <v>46206</v>
      </c>
      <c r="T144" s="2">
        <v>46206</v>
      </c>
      <c r="AB144" s="1">
        <v>0</v>
      </c>
      <c r="AC144" s="1">
        <v>0</v>
      </c>
      <c r="AD144" s="1">
        <v>0</v>
      </c>
      <c r="AE144" s="1">
        <v>0</v>
      </c>
      <c r="AF144" s="1">
        <v>1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1</v>
      </c>
      <c r="AM144" s="1">
        <v>0</v>
      </c>
    </row>
    <row r="145" spans="1:39" hidden="1" x14ac:dyDescent="0.25">
      <c r="A145" s="1">
        <v>516</v>
      </c>
      <c r="B145" s="1" t="s">
        <v>723</v>
      </c>
      <c r="C145" s="1" t="s">
        <v>595</v>
      </c>
      <c r="D145" s="1" t="s">
        <v>724</v>
      </c>
      <c r="E145" s="1" t="s">
        <v>260</v>
      </c>
      <c r="F145" s="3">
        <v>46191</v>
      </c>
      <c r="G145" s="3">
        <v>46204</v>
      </c>
      <c r="H145" s="4">
        <v>0.7</v>
      </c>
      <c r="J145" s="1" t="s">
        <v>41</v>
      </c>
      <c r="M145" s="1" t="s">
        <v>342</v>
      </c>
      <c r="N145" s="2">
        <v>46211</v>
      </c>
      <c r="P145" s="1" t="s">
        <v>73</v>
      </c>
      <c r="Q145" s="1" t="s">
        <v>55</v>
      </c>
      <c r="R145" s="1" t="s">
        <v>593</v>
      </c>
      <c r="S145" s="2">
        <v>46189</v>
      </c>
      <c r="T145" s="2">
        <v>46206</v>
      </c>
      <c r="AB145" s="1">
        <v>0.7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</row>
    <row r="146" spans="1:39" hidden="1" x14ac:dyDescent="0.25">
      <c r="A146" s="1">
        <v>518</v>
      </c>
      <c r="B146" s="1" t="s">
        <v>727</v>
      </c>
      <c r="C146" s="1" t="s">
        <v>726</v>
      </c>
      <c r="D146" s="1" t="s">
        <v>105</v>
      </c>
      <c r="E146" s="1" t="s">
        <v>52</v>
      </c>
      <c r="F146" s="3">
        <v>46202</v>
      </c>
      <c r="G146" s="3">
        <v>46202</v>
      </c>
      <c r="H146" s="4">
        <v>0</v>
      </c>
      <c r="J146" s="1" t="s">
        <v>41</v>
      </c>
      <c r="K146" s="1">
        <v>517</v>
      </c>
      <c r="L146" s="1">
        <v>519</v>
      </c>
      <c r="M146" s="1" t="s">
        <v>166</v>
      </c>
      <c r="N146" s="2">
        <v>46206</v>
      </c>
      <c r="P146" s="1" t="s">
        <v>146</v>
      </c>
      <c r="Q146" s="1" t="s">
        <v>55</v>
      </c>
      <c r="R146" s="1" t="s">
        <v>593</v>
      </c>
      <c r="S146" s="2">
        <v>46203</v>
      </c>
      <c r="T146" s="2">
        <v>46203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1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</row>
    <row r="147" spans="1:39" hidden="1" x14ac:dyDescent="0.25">
      <c r="A147" s="1">
        <v>519</v>
      </c>
      <c r="B147" s="1" t="s">
        <v>728</v>
      </c>
      <c r="C147" s="1" t="s">
        <v>726</v>
      </c>
      <c r="D147" s="1" t="s">
        <v>109</v>
      </c>
      <c r="E147" s="1" t="s">
        <v>52</v>
      </c>
      <c r="F147" s="3">
        <v>46203</v>
      </c>
      <c r="G147" s="3">
        <v>46203</v>
      </c>
      <c r="H147" s="4">
        <v>0</v>
      </c>
      <c r="J147" s="1" t="s">
        <v>41</v>
      </c>
      <c r="K147" s="1">
        <v>518</v>
      </c>
      <c r="L147" s="1">
        <v>520</v>
      </c>
      <c r="M147" s="1" t="s">
        <v>705</v>
      </c>
      <c r="N147" s="2">
        <v>46210</v>
      </c>
      <c r="P147" s="1" t="s">
        <v>67</v>
      </c>
      <c r="Q147" s="1" t="s">
        <v>55</v>
      </c>
      <c r="R147" s="1" t="s">
        <v>593</v>
      </c>
      <c r="S147" s="2">
        <v>46204</v>
      </c>
      <c r="T147" s="2">
        <v>46205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1</v>
      </c>
      <c r="AK147" s="1">
        <v>0</v>
      </c>
      <c r="AL147" s="1">
        <v>0</v>
      </c>
      <c r="AM147" s="1">
        <v>0</v>
      </c>
    </row>
    <row r="148" spans="1:39" hidden="1" x14ac:dyDescent="0.25">
      <c r="A148" s="1">
        <v>520</v>
      </c>
      <c r="B148" s="1" t="s">
        <v>729</v>
      </c>
      <c r="C148" s="1" t="s">
        <v>726</v>
      </c>
      <c r="D148" s="1" t="s">
        <v>115</v>
      </c>
      <c r="E148" s="1" t="s">
        <v>52</v>
      </c>
      <c r="F148" s="3">
        <v>46204</v>
      </c>
      <c r="G148" s="3">
        <v>46204</v>
      </c>
      <c r="H148" s="4">
        <v>0</v>
      </c>
      <c r="J148" s="1" t="s">
        <v>41</v>
      </c>
      <c r="K148" s="1">
        <v>519</v>
      </c>
      <c r="M148" s="1" t="s">
        <v>707</v>
      </c>
      <c r="N148" s="2">
        <v>46211</v>
      </c>
      <c r="P148" s="1" t="s">
        <v>67</v>
      </c>
      <c r="Q148" s="1" t="s">
        <v>55</v>
      </c>
      <c r="R148" s="1" t="s">
        <v>593</v>
      </c>
      <c r="S148" s="2">
        <v>46206</v>
      </c>
      <c r="T148" s="2">
        <v>46206</v>
      </c>
      <c r="AB148" s="1">
        <v>0</v>
      </c>
      <c r="AC148" s="1">
        <v>0</v>
      </c>
      <c r="AD148" s="1">
        <v>0</v>
      </c>
      <c r="AE148" s="1">
        <v>0</v>
      </c>
      <c r="AF148" s="1">
        <v>1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1</v>
      </c>
      <c r="AM148" s="1">
        <v>0</v>
      </c>
    </row>
    <row r="149" spans="1:39" hidden="1" x14ac:dyDescent="0.25">
      <c r="A149" s="1">
        <v>521</v>
      </c>
      <c r="B149" s="1" t="s">
        <v>730</v>
      </c>
      <c r="C149" s="1" t="s">
        <v>595</v>
      </c>
      <c r="D149" s="1" t="s">
        <v>731</v>
      </c>
      <c r="E149" s="1" t="s">
        <v>260</v>
      </c>
      <c r="F149" s="3">
        <v>46191</v>
      </c>
      <c r="G149" s="3">
        <v>46204</v>
      </c>
      <c r="H149" s="4">
        <v>0.75</v>
      </c>
      <c r="J149" s="1" t="s">
        <v>41</v>
      </c>
      <c r="M149" s="1" t="s">
        <v>342</v>
      </c>
      <c r="N149" s="2">
        <v>46211</v>
      </c>
      <c r="P149" s="1" t="s">
        <v>73</v>
      </c>
      <c r="Q149" s="1" t="s">
        <v>55</v>
      </c>
      <c r="R149" s="1" t="s">
        <v>593</v>
      </c>
      <c r="S149" s="2">
        <v>46189</v>
      </c>
      <c r="T149" s="2">
        <v>46206</v>
      </c>
      <c r="AB149" s="1">
        <v>0.75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</row>
    <row r="150" spans="1:39" hidden="1" x14ac:dyDescent="0.25">
      <c r="A150" s="1">
        <v>523</v>
      </c>
      <c r="B150" s="1" t="s">
        <v>734</v>
      </c>
      <c r="C150" s="1" t="s">
        <v>733</v>
      </c>
      <c r="D150" s="1" t="s">
        <v>105</v>
      </c>
      <c r="E150" s="1" t="s">
        <v>52</v>
      </c>
      <c r="F150" s="3">
        <v>46202</v>
      </c>
      <c r="G150" s="3">
        <v>46202</v>
      </c>
      <c r="H150" s="4">
        <v>0.5</v>
      </c>
      <c r="J150" s="1" t="s">
        <v>41</v>
      </c>
      <c r="K150" s="1">
        <v>522</v>
      </c>
      <c r="L150" s="1">
        <v>524</v>
      </c>
      <c r="M150" s="1" t="s">
        <v>166</v>
      </c>
      <c r="N150" s="2">
        <v>46206</v>
      </c>
      <c r="P150" s="1" t="s">
        <v>146</v>
      </c>
      <c r="Q150" s="1" t="s">
        <v>55</v>
      </c>
      <c r="R150" s="1" t="s">
        <v>593</v>
      </c>
      <c r="S150" s="2">
        <v>46203</v>
      </c>
      <c r="T150" s="2">
        <v>46203</v>
      </c>
      <c r="AB150" s="1">
        <v>0.5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1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</row>
    <row r="151" spans="1:39" hidden="1" x14ac:dyDescent="0.25">
      <c r="A151" s="1">
        <v>524</v>
      </c>
      <c r="B151" s="1" t="s">
        <v>735</v>
      </c>
      <c r="C151" s="1" t="s">
        <v>733</v>
      </c>
      <c r="D151" s="1" t="s">
        <v>109</v>
      </c>
      <c r="E151" s="1" t="s">
        <v>52</v>
      </c>
      <c r="F151" s="3">
        <v>46203</v>
      </c>
      <c r="G151" s="3">
        <v>46203</v>
      </c>
      <c r="H151" s="4">
        <v>0</v>
      </c>
      <c r="J151" s="1" t="s">
        <v>41</v>
      </c>
      <c r="K151" s="1">
        <v>523</v>
      </c>
      <c r="L151" s="1">
        <v>525</v>
      </c>
      <c r="M151" s="1" t="s">
        <v>705</v>
      </c>
      <c r="N151" s="2">
        <v>46210</v>
      </c>
      <c r="P151" s="1" t="s">
        <v>67</v>
      </c>
      <c r="Q151" s="1" t="s">
        <v>55</v>
      </c>
      <c r="R151" s="1" t="s">
        <v>593</v>
      </c>
      <c r="S151" s="2">
        <v>46204</v>
      </c>
      <c r="T151" s="2">
        <v>46205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1</v>
      </c>
      <c r="AK151" s="1">
        <v>0</v>
      </c>
      <c r="AL151" s="1">
        <v>0</v>
      </c>
      <c r="AM151" s="1">
        <v>0</v>
      </c>
    </row>
    <row r="152" spans="1:39" hidden="1" x14ac:dyDescent="0.25">
      <c r="A152" s="1">
        <v>525</v>
      </c>
      <c r="B152" s="1" t="s">
        <v>736</v>
      </c>
      <c r="C152" s="1" t="s">
        <v>733</v>
      </c>
      <c r="D152" s="1" t="s">
        <v>115</v>
      </c>
      <c r="E152" s="1" t="s">
        <v>52</v>
      </c>
      <c r="F152" s="3">
        <v>46204</v>
      </c>
      <c r="G152" s="3">
        <v>46204</v>
      </c>
      <c r="H152" s="4">
        <v>0</v>
      </c>
      <c r="J152" s="1" t="s">
        <v>41</v>
      </c>
      <c r="K152" s="1">
        <v>524</v>
      </c>
      <c r="M152" s="1" t="s">
        <v>707</v>
      </c>
      <c r="N152" s="2">
        <v>46211</v>
      </c>
      <c r="P152" s="1" t="s">
        <v>67</v>
      </c>
      <c r="Q152" s="1" t="s">
        <v>55</v>
      </c>
      <c r="R152" s="1" t="s">
        <v>593</v>
      </c>
      <c r="S152" s="2">
        <v>46206</v>
      </c>
      <c r="T152" s="2">
        <v>46206</v>
      </c>
      <c r="AB152" s="1">
        <v>0</v>
      </c>
      <c r="AC152" s="1">
        <v>0</v>
      </c>
      <c r="AD152" s="1">
        <v>0</v>
      </c>
      <c r="AE152" s="1">
        <v>0</v>
      </c>
      <c r="AF152" s="1">
        <v>1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1</v>
      </c>
      <c r="AM152" s="1">
        <v>0</v>
      </c>
    </row>
    <row r="153" spans="1:39" hidden="1" x14ac:dyDescent="0.25">
      <c r="A153" s="1">
        <v>526</v>
      </c>
      <c r="B153" s="1" t="s">
        <v>737</v>
      </c>
      <c r="C153" s="1" t="s">
        <v>595</v>
      </c>
      <c r="D153" s="1" t="s">
        <v>738</v>
      </c>
      <c r="E153" s="1" t="s">
        <v>260</v>
      </c>
      <c r="F153" s="3">
        <v>46191</v>
      </c>
      <c r="G153" s="3">
        <v>46204</v>
      </c>
      <c r="H153" s="4">
        <v>0.75</v>
      </c>
      <c r="J153" s="1" t="s">
        <v>41</v>
      </c>
      <c r="M153" s="1" t="s">
        <v>342</v>
      </c>
      <c r="N153" s="2">
        <v>46211</v>
      </c>
      <c r="P153" s="1" t="s">
        <v>73</v>
      </c>
      <c r="Q153" s="1" t="s">
        <v>55</v>
      </c>
      <c r="R153" s="1" t="s">
        <v>593</v>
      </c>
      <c r="S153" s="2">
        <v>46189</v>
      </c>
      <c r="T153" s="2">
        <v>46206</v>
      </c>
      <c r="AB153" s="1">
        <v>0.75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</row>
    <row r="154" spans="1:39" hidden="1" x14ac:dyDescent="0.25">
      <c r="A154" s="1">
        <v>528</v>
      </c>
      <c r="B154" s="1" t="s">
        <v>741</v>
      </c>
      <c r="C154" s="1" t="s">
        <v>740</v>
      </c>
      <c r="D154" s="1" t="s">
        <v>105</v>
      </c>
      <c r="E154" s="1" t="s">
        <v>52</v>
      </c>
      <c r="F154" s="3">
        <v>46202</v>
      </c>
      <c r="G154" s="3">
        <v>46202</v>
      </c>
      <c r="H154" s="4">
        <v>0.5</v>
      </c>
      <c r="J154" s="1" t="s">
        <v>41</v>
      </c>
      <c r="K154" s="1">
        <v>527</v>
      </c>
      <c r="L154" s="1">
        <v>529</v>
      </c>
      <c r="M154" s="1" t="s">
        <v>166</v>
      </c>
      <c r="N154" s="2">
        <v>46206</v>
      </c>
      <c r="P154" s="1" t="s">
        <v>146</v>
      </c>
      <c r="Q154" s="1" t="s">
        <v>55</v>
      </c>
      <c r="R154" s="1" t="s">
        <v>593</v>
      </c>
      <c r="S154" s="2">
        <v>46203</v>
      </c>
      <c r="T154" s="2">
        <v>46203</v>
      </c>
      <c r="AB154" s="1">
        <v>0.5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1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</row>
    <row r="155" spans="1:39" hidden="1" x14ac:dyDescent="0.25">
      <c r="A155" s="1">
        <v>529</v>
      </c>
      <c r="B155" s="1" t="s">
        <v>742</v>
      </c>
      <c r="C155" s="1" t="s">
        <v>740</v>
      </c>
      <c r="D155" s="1" t="s">
        <v>109</v>
      </c>
      <c r="E155" s="1" t="s">
        <v>52</v>
      </c>
      <c r="F155" s="3">
        <v>46203</v>
      </c>
      <c r="G155" s="3">
        <v>46203</v>
      </c>
      <c r="H155" s="4">
        <v>0</v>
      </c>
      <c r="J155" s="1" t="s">
        <v>41</v>
      </c>
      <c r="K155" s="1">
        <v>528</v>
      </c>
      <c r="L155" s="1">
        <v>530</v>
      </c>
      <c r="M155" s="1" t="s">
        <v>705</v>
      </c>
      <c r="N155" s="2">
        <v>46210</v>
      </c>
      <c r="P155" s="1" t="s">
        <v>67</v>
      </c>
      <c r="Q155" s="1" t="s">
        <v>55</v>
      </c>
      <c r="R155" s="1" t="s">
        <v>593</v>
      </c>
      <c r="S155" s="2">
        <v>46204</v>
      </c>
      <c r="T155" s="2">
        <v>46205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1</v>
      </c>
      <c r="AK155" s="1">
        <v>0</v>
      </c>
      <c r="AL155" s="1">
        <v>0</v>
      </c>
      <c r="AM155" s="1">
        <v>0</v>
      </c>
    </row>
    <row r="156" spans="1:39" hidden="1" x14ac:dyDescent="0.25">
      <c r="A156" s="1">
        <v>530</v>
      </c>
      <c r="B156" s="1" t="s">
        <v>743</v>
      </c>
      <c r="C156" s="1" t="s">
        <v>740</v>
      </c>
      <c r="D156" s="1" t="s">
        <v>115</v>
      </c>
      <c r="E156" s="1" t="s">
        <v>52</v>
      </c>
      <c r="F156" s="3">
        <v>46204</v>
      </c>
      <c r="G156" s="3">
        <v>46204</v>
      </c>
      <c r="H156" s="4">
        <v>0</v>
      </c>
      <c r="J156" s="1" t="s">
        <v>41</v>
      </c>
      <c r="K156" s="1">
        <v>529</v>
      </c>
      <c r="M156" s="1" t="s">
        <v>707</v>
      </c>
      <c r="N156" s="2">
        <v>46211</v>
      </c>
      <c r="P156" s="1" t="s">
        <v>67</v>
      </c>
      <c r="Q156" s="1" t="s">
        <v>55</v>
      </c>
      <c r="R156" s="1" t="s">
        <v>593</v>
      </c>
      <c r="S156" s="2">
        <v>46206</v>
      </c>
      <c r="T156" s="2">
        <v>46206</v>
      </c>
      <c r="AB156" s="1">
        <v>0</v>
      </c>
      <c r="AC156" s="1">
        <v>0</v>
      </c>
      <c r="AD156" s="1">
        <v>0</v>
      </c>
      <c r="AE156" s="1">
        <v>0</v>
      </c>
      <c r="AF156" s="1">
        <v>1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1</v>
      </c>
      <c r="AM156" s="1">
        <v>0</v>
      </c>
    </row>
    <row r="157" spans="1:39" hidden="1" x14ac:dyDescent="0.25">
      <c r="A157" s="1">
        <v>531</v>
      </c>
      <c r="B157" s="1" t="s">
        <v>744</v>
      </c>
      <c r="C157" s="1" t="s">
        <v>595</v>
      </c>
      <c r="D157" s="1" t="s">
        <v>745</v>
      </c>
      <c r="E157" s="1" t="s">
        <v>260</v>
      </c>
      <c r="F157" s="3">
        <v>46191</v>
      </c>
      <c r="G157" s="3">
        <v>46204</v>
      </c>
      <c r="H157" s="4">
        <v>0.75</v>
      </c>
      <c r="J157" s="1" t="s">
        <v>41</v>
      </c>
      <c r="M157" s="1" t="s">
        <v>342</v>
      </c>
      <c r="N157" s="2">
        <v>46211</v>
      </c>
      <c r="P157" s="1" t="s">
        <v>73</v>
      </c>
      <c r="Q157" s="1" t="s">
        <v>55</v>
      </c>
      <c r="R157" s="1" t="s">
        <v>593</v>
      </c>
      <c r="S157" s="2">
        <v>46189</v>
      </c>
      <c r="T157" s="2">
        <v>46206</v>
      </c>
      <c r="AB157" s="1">
        <v>0.75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</row>
    <row r="158" spans="1:39" hidden="1" x14ac:dyDescent="0.25">
      <c r="A158" s="1">
        <v>533</v>
      </c>
      <c r="B158" s="1" t="s">
        <v>748</v>
      </c>
      <c r="C158" s="1" t="s">
        <v>747</v>
      </c>
      <c r="D158" s="1" t="s">
        <v>105</v>
      </c>
      <c r="E158" s="1" t="s">
        <v>52</v>
      </c>
      <c r="F158" s="3">
        <v>46202</v>
      </c>
      <c r="G158" s="3">
        <v>46202</v>
      </c>
      <c r="H158" s="4">
        <v>0.5</v>
      </c>
      <c r="J158" s="1" t="s">
        <v>41</v>
      </c>
      <c r="K158" s="1">
        <v>532</v>
      </c>
      <c r="L158" s="1">
        <v>534</v>
      </c>
      <c r="M158" s="1" t="s">
        <v>166</v>
      </c>
      <c r="N158" s="2">
        <v>46206</v>
      </c>
      <c r="P158" s="1" t="s">
        <v>146</v>
      </c>
      <c r="Q158" s="1" t="s">
        <v>55</v>
      </c>
      <c r="R158" s="1" t="s">
        <v>593</v>
      </c>
      <c r="S158" s="2">
        <v>46203</v>
      </c>
      <c r="T158" s="2">
        <v>46203</v>
      </c>
      <c r="AB158" s="1">
        <v>0.5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1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</row>
    <row r="159" spans="1:39" hidden="1" x14ac:dyDescent="0.25">
      <c r="A159" s="1">
        <v>534</v>
      </c>
      <c r="B159" s="1" t="s">
        <v>749</v>
      </c>
      <c r="C159" s="1" t="s">
        <v>747</v>
      </c>
      <c r="D159" s="1" t="s">
        <v>109</v>
      </c>
      <c r="E159" s="1" t="s">
        <v>52</v>
      </c>
      <c r="F159" s="3">
        <v>46203</v>
      </c>
      <c r="G159" s="3">
        <v>46203</v>
      </c>
      <c r="H159" s="4">
        <v>0</v>
      </c>
      <c r="J159" s="1" t="s">
        <v>41</v>
      </c>
      <c r="K159" s="1">
        <v>533</v>
      </c>
      <c r="L159" s="1">
        <v>535</v>
      </c>
      <c r="M159" s="1" t="s">
        <v>705</v>
      </c>
      <c r="N159" s="2">
        <v>46210</v>
      </c>
      <c r="P159" s="1" t="s">
        <v>67</v>
      </c>
      <c r="Q159" s="1" t="s">
        <v>55</v>
      </c>
      <c r="R159" s="1" t="s">
        <v>593</v>
      </c>
      <c r="S159" s="2">
        <v>46204</v>
      </c>
      <c r="T159" s="2">
        <v>46205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1</v>
      </c>
      <c r="AK159" s="1">
        <v>0</v>
      </c>
      <c r="AL159" s="1">
        <v>0</v>
      </c>
      <c r="AM159" s="1">
        <v>0</v>
      </c>
    </row>
    <row r="160" spans="1:39" hidden="1" x14ac:dyDescent="0.25">
      <c r="A160" s="1">
        <v>535</v>
      </c>
      <c r="B160" s="1" t="s">
        <v>750</v>
      </c>
      <c r="C160" s="1" t="s">
        <v>747</v>
      </c>
      <c r="D160" s="1" t="s">
        <v>115</v>
      </c>
      <c r="E160" s="1" t="s">
        <v>52</v>
      </c>
      <c r="F160" s="3">
        <v>46204</v>
      </c>
      <c r="G160" s="3">
        <v>46204</v>
      </c>
      <c r="H160" s="4">
        <v>0</v>
      </c>
      <c r="J160" s="1" t="s">
        <v>41</v>
      </c>
      <c r="K160" s="1">
        <v>534</v>
      </c>
      <c r="M160" s="1" t="s">
        <v>707</v>
      </c>
      <c r="N160" s="2">
        <v>46211</v>
      </c>
      <c r="P160" s="1" t="s">
        <v>67</v>
      </c>
      <c r="Q160" s="1" t="s">
        <v>55</v>
      </c>
      <c r="R160" s="1" t="s">
        <v>593</v>
      </c>
      <c r="S160" s="2">
        <v>46206</v>
      </c>
      <c r="T160" s="2">
        <v>46206</v>
      </c>
      <c r="AB160" s="1">
        <v>0</v>
      </c>
      <c r="AC160" s="1">
        <v>0</v>
      </c>
      <c r="AD160" s="1">
        <v>0</v>
      </c>
      <c r="AE160" s="1">
        <v>0</v>
      </c>
      <c r="AF160" s="1">
        <v>1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1</v>
      </c>
      <c r="AM160" s="1">
        <v>0</v>
      </c>
    </row>
    <row r="161" spans="1:39" hidden="1" x14ac:dyDescent="0.25">
      <c r="A161" s="1">
        <v>536</v>
      </c>
      <c r="B161" s="1" t="s">
        <v>751</v>
      </c>
      <c r="C161" s="1" t="s">
        <v>595</v>
      </c>
      <c r="D161" s="1" t="s">
        <v>752</v>
      </c>
      <c r="E161" s="1" t="s">
        <v>260</v>
      </c>
      <c r="F161" s="3">
        <v>46191</v>
      </c>
      <c r="G161" s="3">
        <v>46204</v>
      </c>
      <c r="H161" s="4">
        <v>0.75</v>
      </c>
      <c r="J161" s="1" t="s">
        <v>41</v>
      </c>
      <c r="M161" s="1" t="s">
        <v>342</v>
      </c>
      <c r="N161" s="2">
        <v>46211</v>
      </c>
      <c r="P161" s="1" t="s">
        <v>73</v>
      </c>
      <c r="Q161" s="1" t="s">
        <v>55</v>
      </c>
      <c r="R161" s="1" t="s">
        <v>593</v>
      </c>
      <c r="S161" s="2">
        <v>46189</v>
      </c>
      <c r="T161" s="2">
        <v>46206</v>
      </c>
      <c r="AB161" s="1">
        <v>0.75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</row>
    <row r="162" spans="1:39" hidden="1" x14ac:dyDescent="0.25">
      <c r="A162" s="1">
        <v>538</v>
      </c>
      <c r="B162" s="1" t="s">
        <v>755</v>
      </c>
      <c r="C162" s="1" t="s">
        <v>754</v>
      </c>
      <c r="D162" s="1" t="s">
        <v>105</v>
      </c>
      <c r="E162" s="1" t="s">
        <v>52</v>
      </c>
      <c r="F162" s="3">
        <v>46202</v>
      </c>
      <c r="G162" s="3">
        <v>46202</v>
      </c>
      <c r="H162" s="4">
        <v>0.5</v>
      </c>
      <c r="J162" s="1" t="s">
        <v>41</v>
      </c>
      <c r="K162" s="1">
        <v>537</v>
      </c>
      <c r="L162" s="1">
        <v>539</v>
      </c>
      <c r="M162" s="1" t="s">
        <v>166</v>
      </c>
      <c r="N162" s="2">
        <v>46206</v>
      </c>
      <c r="P162" s="1" t="s">
        <v>146</v>
      </c>
      <c r="Q162" s="1" t="s">
        <v>55</v>
      </c>
      <c r="R162" s="1" t="s">
        <v>593</v>
      </c>
      <c r="S162" s="2">
        <v>46203</v>
      </c>
      <c r="T162" s="2">
        <v>46203</v>
      </c>
      <c r="AB162" s="1">
        <v>0.5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1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</row>
    <row r="163" spans="1:39" hidden="1" x14ac:dyDescent="0.25">
      <c r="A163" s="1">
        <v>539</v>
      </c>
      <c r="B163" s="1" t="s">
        <v>756</v>
      </c>
      <c r="C163" s="1" t="s">
        <v>754</v>
      </c>
      <c r="D163" s="1" t="s">
        <v>109</v>
      </c>
      <c r="E163" s="1" t="s">
        <v>52</v>
      </c>
      <c r="F163" s="3">
        <v>46203</v>
      </c>
      <c r="G163" s="3">
        <v>46203</v>
      </c>
      <c r="H163" s="4">
        <v>0</v>
      </c>
      <c r="J163" s="1" t="s">
        <v>41</v>
      </c>
      <c r="K163" s="1">
        <v>538</v>
      </c>
      <c r="L163" s="1">
        <v>540</v>
      </c>
      <c r="M163" s="1" t="s">
        <v>705</v>
      </c>
      <c r="N163" s="2">
        <v>46210</v>
      </c>
      <c r="P163" s="1" t="s">
        <v>67</v>
      </c>
      <c r="Q163" s="1" t="s">
        <v>55</v>
      </c>
      <c r="R163" s="1" t="s">
        <v>593</v>
      </c>
      <c r="S163" s="2">
        <v>46204</v>
      </c>
      <c r="T163" s="2">
        <v>46205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1</v>
      </c>
      <c r="AK163" s="1">
        <v>0</v>
      </c>
      <c r="AL163" s="1">
        <v>0</v>
      </c>
      <c r="AM163" s="1">
        <v>0</v>
      </c>
    </row>
    <row r="164" spans="1:39" hidden="1" x14ac:dyDescent="0.25">
      <c r="A164" s="1">
        <v>540</v>
      </c>
      <c r="B164" s="1" t="s">
        <v>757</v>
      </c>
      <c r="C164" s="1" t="s">
        <v>754</v>
      </c>
      <c r="D164" s="1" t="s">
        <v>115</v>
      </c>
      <c r="E164" s="1" t="s">
        <v>52</v>
      </c>
      <c r="F164" s="3">
        <v>46204</v>
      </c>
      <c r="G164" s="3">
        <v>46204</v>
      </c>
      <c r="H164" s="4">
        <v>0</v>
      </c>
      <c r="J164" s="1" t="s">
        <v>41</v>
      </c>
      <c r="K164" s="1">
        <v>539</v>
      </c>
      <c r="M164" s="1" t="s">
        <v>707</v>
      </c>
      <c r="N164" s="2">
        <v>46211</v>
      </c>
      <c r="P164" s="1" t="s">
        <v>67</v>
      </c>
      <c r="Q164" s="1" t="s">
        <v>55</v>
      </c>
      <c r="R164" s="1" t="s">
        <v>593</v>
      </c>
      <c r="S164" s="2">
        <v>46206</v>
      </c>
      <c r="T164" s="2">
        <v>46206</v>
      </c>
      <c r="AB164" s="1">
        <v>0</v>
      </c>
      <c r="AC164" s="1">
        <v>0</v>
      </c>
      <c r="AD164" s="1">
        <v>0</v>
      </c>
      <c r="AE164" s="1">
        <v>0</v>
      </c>
      <c r="AF164" s="1">
        <v>1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1</v>
      </c>
      <c r="AM164" s="1">
        <v>0</v>
      </c>
    </row>
    <row r="165" spans="1:39" hidden="1" x14ac:dyDescent="0.25">
      <c r="A165" s="1">
        <v>541</v>
      </c>
      <c r="B165" s="1" t="s">
        <v>758</v>
      </c>
      <c r="C165" s="1" t="s">
        <v>595</v>
      </c>
      <c r="D165" s="1" t="s">
        <v>759</v>
      </c>
      <c r="E165" s="1" t="s">
        <v>260</v>
      </c>
      <c r="F165" s="3">
        <v>46191</v>
      </c>
      <c r="G165" s="3">
        <v>46204</v>
      </c>
      <c r="H165" s="4">
        <v>0.7</v>
      </c>
      <c r="J165" s="1" t="s">
        <v>41</v>
      </c>
      <c r="M165" s="1" t="s">
        <v>342</v>
      </c>
      <c r="N165" s="2">
        <v>46211</v>
      </c>
      <c r="P165" s="1" t="s">
        <v>73</v>
      </c>
      <c r="Q165" s="1" t="s">
        <v>55</v>
      </c>
      <c r="R165" s="1" t="s">
        <v>593</v>
      </c>
      <c r="S165" s="2">
        <v>46189</v>
      </c>
      <c r="T165" s="2">
        <v>46206</v>
      </c>
      <c r="AB165" s="1">
        <v>0.7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</row>
    <row r="166" spans="1:39" hidden="1" x14ac:dyDescent="0.25">
      <c r="A166" s="1">
        <v>543</v>
      </c>
      <c r="B166" s="1" t="s">
        <v>762</v>
      </c>
      <c r="C166" s="1" t="s">
        <v>761</v>
      </c>
      <c r="D166" s="1" t="s">
        <v>105</v>
      </c>
      <c r="E166" s="1" t="s">
        <v>52</v>
      </c>
      <c r="F166" s="3">
        <v>46202</v>
      </c>
      <c r="G166" s="3">
        <v>46202</v>
      </c>
      <c r="H166" s="4">
        <v>0</v>
      </c>
      <c r="J166" s="1" t="s">
        <v>41</v>
      </c>
      <c r="K166" s="1">
        <v>542</v>
      </c>
      <c r="L166" s="1">
        <v>544</v>
      </c>
      <c r="M166" s="1" t="s">
        <v>166</v>
      </c>
      <c r="N166" s="2">
        <v>46206</v>
      </c>
      <c r="P166" s="1" t="s">
        <v>146</v>
      </c>
      <c r="Q166" s="1" t="s">
        <v>55</v>
      </c>
      <c r="R166" s="1" t="s">
        <v>593</v>
      </c>
      <c r="S166" s="2">
        <v>46203</v>
      </c>
      <c r="T166" s="2">
        <v>46203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1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</row>
    <row r="167" spans="1:39" hidden="1" x14ac:dyDescent="0.25">
      <c r="A167" s="1">
        <v>544</v>
      </c>
      <c r="B167" s="1" t="s">
        <v>763</v>
      </c>
      <c r="C167" s="1" t="s">
        <v>761</v>
      </c>
      <c r="D167" s="1" t="s">
        <v>109</v>
      </c>
      <c r="E167" s="1" t="s">
        <v>52</v>
      </c>
      <c r="F167" s="3">
        <v>46203</v>
      </c>
      <c r="G167" s="3">
        <v>46203</v>
      </c>
      <c r="H167" s="4">
        <v>0</v>
      </c>
      <c r="J167" s="1" t="s">
        <v>41</v>
      </c>
      <c r="K167" s="1">
        <v>543</v>
      </c>
      <c r="L167" s="1">
        <v>545</v>
      </c>
      <c r="M167" s="1" t="s">
        <v>705</v>
      </c>
      <c r="N167" s="2">
        <v>46210</v>
      </c>
      <c r="P167" s="1" t="s">
        <v>67</v>
      </c>
      <c r="Q167" s="1" t="s">
        <v>55</v>
      </c>
      <c r="R167" s="1" t="s">
        <v>593</v>
      </c>
      <c r="S167" s="2">
        <v>46204</v>
      </c>
      <c r="T167" s="2">
        <v>46205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1</v>
      </c>
      <c r="AK167" s="1">
        <v>0</v>
      </c>
      <c r="AL167" s="1">
        <v>0</v>
      </c>
      <c r="AM167" s="1">
        <v>0</v>
      </c>
    </row>
    <row r="168" spans="1:39" hidden="1" x14ac:dyDescent="0.25">
      <c r="A168" s="1">
        <v>545</v>
      </c>
      <c r="B168" s="1" t="s">
        <v>764</v>
      </c>
      <c r="C168" s="1" t="s">
        <v>761</v>
      </c>
      <c r="D168" s="1" t="s">
        <v>115</v>
      </c>
      <c r="E168" s="1" t="s">
        <v>52</v>
      </c>
      <c r="F168" s="3">
        <v>46204</v>
      </c>
      <c r="G168" s="3">
        <v>46204</v>
      </c>
      <c r="H168" s="4">
        <v>0</v>
      </c>
      <c r="J168" s="1" t="s">
        <v>41</v>
      </c>
      <c r="K168" s="1">
        <v>544</v>
      </c>
      <c r="M168" s="1" t="s">
        <v>707</v>
      </c>
      <c r="N168" s="2">
        <v>46211</v>
      </c>
      <c r="P168" s="1" t="s">
        <v>67</v>
      </c>
      <c r="Q168" s="1" t="s">
        <v>55</v>
      </c>
      <c r="R168" s="1" t="s">
        <v>593</v>
      </c>
      <c r="S168" s="2">
        <v>46206</v>
      </c>
      <c r="T168" s="2">
        <v>46206</v>
      </c>
      <c r="AB168" s="1">
        <v>0</v>
      </c>
      <c r="AC168" s="1">
        <v>0</v>
      </c>
      <c r="AD168" s="1">
        <v>0</v>
      </c>
      <c r="AE168" s="1">
        <v>0</v>
      </c>
      <c r="AF168" s="1">
        <v>1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1</v>
      </c>
      <c r="AM168" s="1">
        <v>0</v>
      </c>
    </row>
    <row r="169" spans="1:39" hidden="1" x14ac:dyDescent="0.25">
      <c r="A169" s="1">
        <v>546</v>
      </c>
      <c r="B169" s="1" t="s">
        <v>765</v>
      </c>
      <c r="C169" s="1" t="s">
        <v>595</v>
      </c>
      <c r="D169" s="1" t="s">
        <v>766</v>
      </c>
      <c r="E169" s="1" t="s">
        <v>260</v>
      </c>
      <c r="F169" s="3">
        <v>46195</v>
      </c>
      <c r="G169" s="3">
        <v>46206</v>
      </c>
      <c r="H169" s="4">
        <v>0.7</v>
      </c>
      <c r="J169" s="1" t="s">
        <v>41</v>
      </c>
      <c r="M169" s="1" t="s">
        <v>342</v>
      </c>
      <c r="N169" s="2">
        <v>46211</v>
      </c>
      <c r="P169" s="1" t="s">
        <v>73</v>
      </c>
      <c r="Q169" s="1" t="s">
        <v>55</v>
      </c>
      <c r="R169" s="1" t="s">
        <v>593</v>
      </c>
      <c r="S169" s="2">
        <v>46189</v>
      </c>
      <c r="T169" s="2">
        <v>46206</v>
      </c>
      <c r="AB169" s="1">
        <v>0.7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</row>
    <row r="170" spans="1:39" hidden="1" x14ac:dyDescent="0.25">
      <c r="A170" s="1">
        <v>548</v>
      </c>
      <c r="B170" s="1" t="s">
        <v>769</v>
      </c>
      <c r="C170" s="1" t="s">
        <v>768</v>
      </c>
      <c r="D170" s="1" t="s">
        <v>105</v>
      </c>
      <c r="E170" s="1" t="s">
        <v>52</v>
      </c>
      <c r="F170" s="3">
        <v>46204</v>
      </c>
      <c r="G170" s="3">
        <v>46204</v>
      </c>
      <c r="H170" s="4">
        <v>0</v>
      </c>
      <c r="J170" s="1" t="s">
        <v>41</v>
      </c>
      <c r="K170" s="1">
        <v>547</v>
      </c>
      <c r="L170" s="1">
        <v>549</v>
      </c>
      <c r="M170" s="1" t="s">
        <v>166</v>
      </c>
      <c r="N170" s="2">
        <v>46206</v>
      </c>
      <c r="P170" s="1" t="s">
        <v>146</v>
      </c>
      <c r="Q170" s="1" t="s">
        <v>55</v>
      </c>
      <c r="R170" s="1" t="s">
        <v>593</v>
      </c>
      <c r="S170" s="2">
        <v>46203</v>
      </c>
      <c r="T170" s="2">
        <v>46203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1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</row>
    <row r="171" spans="1:39" hidden="1" x14ac:dyDescent="0.25">
      <c r="A171" s="1">
        <v>549</v>
      </c>
      <c r="B171" s="1" t="s">
        <v>770</v>
      </c>
      <c r="C171" s="1" t="s">
        <v>768</v>
      </c>
      <c r="D171" s="1" t="s">
        <v>109</v>
      </c>
      <c r="E171" s="1" t="s">
        <v>52</v>
      </c>
      <c r="F171" s="3">
        <v>46205</v>
      </c>
      <c r="G171" s="3">
        <v>46205</v>
      </c>
      <c r="H171" s="4">
        <v>0</v>
      </c>
      <c r="J171" s="1" t="s">
        <v>41</v>
      </c>
      <c r="K171" s="1">
        <v>548</v>
      </c>
      <c r="L171" s="1">
        <v>550</v>
      </c>
      <c r="M171" s="1" t="s">
        <v>705</v>
      </c>
      <c r="N171" s="2">
        <v>46210</v>
      </c>
      <c r="P171" s="1" t="s">
        <v>67</v>
      </c>
      <c r="Q171" s="1" t="s">
        <v>55</v>
      </c>
      <c r="R171" s="1" t="s">
        <v>593</v>
      </c>
      <c r="S171" s="2">
        <v>46204</v>
      </c>
      <c r="T171" s="2">
        <v>46205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1</v>
      </c>
      <c r="AK171" s="1">
        <v>0</v>
      </c>
      <c r="AL171" s="1">
        <v>0</v>
      </c>
      <c r="AM171" s="1">
        <v>0</v>
      </c>
    </row>
    <row r="172" spans="1:39" hidden="1" x14ac:dyDescent="0.25">
      <c r="A172" s="1">
        <v>550</v>
      </c>
      <c r="B172" s="1" t="s">
        <v>771</v>
      </c>
      <c r="C172" s="1" t="s">
        <v>768</v>
      </c>
      <c r="D172" s="1" t="s">
        <v>115</v>
      </c>
      <c r="E172" s="1" t="s">
        <v>52</v>
      </c>
      <c r="F172" s="3">
        <v>46206</v>
      </c>
      <c r="G172" s="3">
        <v>46206</v>
      </c>
      <c r="H172" s="4">
        <v>0</v>
      </c>
      <c r="J172" s="1" t="s">
        <v>168</v>
      </c>
      <c r="K172" s="1">
        <v>549</v>
      </c>
      <c r="M172" s="1" t="s">
        <v>707</v>
      </c>
      <c r="N172" s="2">
        <v>46211</v>
      </c>
      <c r="P172" s="1" t="s">
        <v>67</v>
      </c>
      <c r="Q172" s="1" t="s">
        <v>55</v>
      </c>
      <c r="R172" s="1" t="s">
        <v>593</v>
      </c>
      <c r="S172" s="2">
        <v>46206</v>
      </c>
      <c r="T172" s="2">
        <v>46206</v>
      </c>
      <c r="AB172" s="1">
        <v>0</v>
      </c>
      <c r="AC172" s="1">
        <v>0</v>
      </c>
      <c r="AD172" s="1">
        <v>0</v>
      </c>
      <c r="AE172" s="1">
        <v>0</v>
      </c>
      <c r="AF172" s="1">
        <v>1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</row>
    <row r="173" spans="1:39" hidden="1" x14ac:dyDescent="0.25">
      <c r="A173" s="1">
        <v>551</v>
      </c>
      <c r="B173" s="1" t="s">
        <v>772</v>
      </c>
      <c r="C173" s="1" t="s">
        <v>595</v>
      </c>
      <c r="D173" s="1" t="s">
        <v>773</v>
      </c>
      <c r="E173" s="1" t="s">
        <v>260</v>
      </c>
      <c r="F173" s="3">
        <v>46191</v>
      </c>
      <c r="G173" s="3">
        <v>46204</v>
      </c>
      <c r="H173" s="4">
        <v>0.7</v>
      </c>
      <c r="J173" s="1" t="s">
        <v>41</v>
      </c>
      <c r="M173" s="1" t="s">
        <v>342</v>
      </c>
      <c r="N173" s="2">
        <v>46211</v>
      </c>
      <c r="P173" s="1" t="s">
        <v>73</v>
      </c>
      <c r="Q173" s="1" t="s">
        <v>55</v>
      </c>
      <c r="R173" s="1" t="s">
        <v>593</v>
      </c>
      <c r="S173" s="2">
        <v>46189</v>
      </c>
      <c r="T173" s="2">
        <v>46206</v>
      </c>
      <c r="AB173" s="1">
        <v>0.7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</row>
    <row r="174" spans="1:39" hidden="1" x14ac:dyDescent="0.25">
      <c r="A174" s="1">
        <v>553</v>
      </c>
      <c r="B174" s="1" t="s">
        <v>776</v>
      </c>
      <c r="C174" s="1" t="s">
        <v>775</v>
      </c>
      <c r="D174" s="1" t="s">
        <v>105</v>
      </c>
      <c r="E174" s="1" t="s">
        <v>52</v>
      </c>
      <c r="F174" s="3">
        <v>46202</v>
      </c>
      <c r="G174" s="3">
        <v>46202</v>
      </c>
      <c r="H174" s="4">
        <v>0</v>
      </c>
      <c r="J174" s="1" t="s">
        <v>41</v>
      </c>
      <c r="K174" s="1">
        <v>552</v>
      </c>
      <c r="L174" s="1">
        <v>554</v>
      </c>
      <c r="M174" s="1" t="s">
        <v>166</v>
      </c>
      <c r="N174" s="2">
        <v>46206</v>
      </c>
      <c r="P174" s="1" t="s">
        <v>146</v>
      </c>
      <c r="Q174" s="1" t="s">
        <v>55</v>
      </c>
      <c r="R174" s="1" t="s">
        <v>593</v>
      </c>
      <c r="S174" s="2">
        <v>46203</v>
      </c>
      <c r="T174" s="2">
        <v>46203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1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</row>
    <row r="175" spans="1:39" hidden="1" x14ac:dyDescent="0.25">
      <c r="A175" s="1">
        <v>554</v>
      </c>
      <c r="B175" s="1" t="s">
        <v>777</v>
      </c>
      <c r="C175" s="1" t="s">
        <v>775</v>
      </c>
      <c r="D175" s="1" t="s">
        <v>109</v>
      </c>
      <c r="E175" s="1" t="s">
        <v>52</v>
      </c>
      <c r="F175" s="3">
        <v>46203</v>
      </c>
      <c r="G175" s="3">
        <v>46203</v>
      </c>
      <c r="H175" s="4">
        <v>0</v>
      </c>
      <c r="J175" s="1" t="s">
        <v>41</v>
      </c>
      <c r="K175" s="1">
        <v>553</v>
      </c>
      <c r="L175" s="1">
        <v>555</v>
      </c>
      <c r="M175" s="1" t="s">
        <v>705</v>
      </c>
      <c r="N175" s="2">
        <v>46210</v>
      </c>
      <c r="P175" s="1" t="s">
        <v>67</v>
      </c>
      <c r="Q175" s="1" t="s">
        <v>55</v>
      </c>
      <c r="R175" s="1" t="s">
        <v>593</v>
      </c>
      <c r="S175" s="2">
        <v>46204</v>
      </c>
      <c r="T175" s="2">
        <v>46205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1</v>
      </c>
      <c r="AK175" s="1">
        <v>0</v>
      </c>
      <c r="AL175" s="1">
        <v>0</v>
      </c>
      <c r="AM175" s="1">
        <v>0</v>
      </c>
    </row>
    <row r="176" spans="1:39" hidden="1" x14ac:dyDescent="0.25">
      <c r="A176" s="1">
        <v>555</v>
      </c>
      <c r="B176" s="1" t="s">
        <v>778</v>
      </c>
      <c r="C176" s="1" t="s">
        <v>775</v>
      </c>
      <c r="D176" s="1" t="s">
        <v>115</v>
      </c>
      <c r="E176" s="1" t="s">
        <v>52</v>
      </c>
      <c r="F176" s="3">
        <v>46204</v>
      </c>
      <c r="G176" s="3">
        <v>46204</v>
      </c>
      <c r="H176" s="4">
        <v>0</v>
      </c>
      <c r="J176" s="1" t="s">
        <v>41</v>
      </c>
      <c r="K176" s="1">
        <v>554</v>
      </c>
      <c r="M176" s="1" t="s">
        <v>707</v>
      </c>
      <c r="N176" s="2">
        <v>46211</v>
      </c>
      <c r="P176" s="1" t="s">
        <v>67</v>
      </c>
      <c r="Q176" s="1" t="s">
        <v>55</v>
      </c>
      <c r="R176" s="1" t="s">
        <v>593</v>
      </c>
      <c r="S176" s="2">
        <v>46206</v>
      </c>
      <c r="T176" s="2">
        <v>46206</v>
      </c>
      <c r="AB176" s="1">
        <v>0</v>
      </c>
      <c r="AC176" s="1">
        <v>0</v>
      </c>
      <c r="AD176" s="1">
        <v>0</v>
      </c>
      <c r="AE176" s="1">
        <v>0</v>
      </c>
      <c r="AF176" s="1">
        <v>1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1</v>
      </c>
      <c r="AM176" s="1">
        <v>0</v>
      </c>
    </row>
    <row r="177" spans="1:39" hidden="1" x14ac:dyDescent="0.25">
      <c r="A177" s="1">
        <v>556</v>
      </c>
      <c r="B177" s="1" t="s">
        <v>779</v>
      </c>
      <c r="C177" s="1" t="s">
        <v>595</v>
      </c>
      <c r="D177" s="1" t="s">
        <v>780</v>
      </c>
      <c r="E177" s="1" t="s">
        <v>260</v>
      </c>
      <c r="F177" s="3">
        <v>46195</v>
      </c>
      <c r="G177" s="3">
        <v>46206</v>
      </c>
      <c r="H177" s="4">
        <v>0.7</v>
      </c>
      <c r="J177" s="1" t="s">
        <v>41</v>
      </c>
      <c r="M177" s="1" t="s">
        <v>342</v>
      </c>
      <c r="N177" s="2">
        <v>46211</v>
      </c>
      <c r="P177" s="1" t="s">
        <v>73</v>
      </c>
      <c r="Q177" s="1" t="s">
        <v>55</v>
      </c>
      <c r="R177" s="1" t="s">
        <v>593</v>
      </c>
      <c r="S177" s="2">
        <v>46189</v>
      </c>
      <c r="T177" s="2">
        <v>46206</v>
      </c>
      <c r="AB177" s="1">
        <v>0.7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</row>
    <row r="178" spans="1:39" hidden="1" x14ac:dyDescent="0.25">
      <c r="A178" s="1">
        <v>558</v>
      </c>
      <c r="B178" s="1" t="s">
        <v>783</v>
      </c>
      <c r="C178" s="1" t="s">
        <v>782</v>
      </c>
      <c r="D178" s="1" t="s">
        <v>105</v>
      </c>
      <c r="E178" s="1" t="s">
        <v>52</v>
      </c>
      <c r="F178" s="3">
        <v>46204</v>
      </c>
      <c r="G178" s="3">
        <v>46204</v>
      </c>
      <c r="H178" s="4">
        <v>0</v>
      </c>
      <c r="J178" s="1" t="s">
        <v>41</v>
      </c>
      <c r="K178" s="1">
        <v>557</v>
      </c>
      <c r="L178" s="1">
        <v>559</v>
      </c>
      <c r="M178" s="1" t="s">
        <v>166</v>
      </c>
      <c r="N178" s="2">
        <v>46206</v>
      </c>
      <c r="P178" s="1" t="s">
        <v>146</v>
      </c>
      <c r="Q178" s="1" t="s">
        <v>55</v>
      </c>
      <c r="R178" s="1" t="s">
        <v>593</v>
      </c>
      <c r="S178" s="2">
        <v>46203</v>
      </c>
      <c r="T178" s="2">
        <v>46203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1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</row>
    <row r="179" spans="1:39" hidden="1" x14ac:dyDescent="0.25">
      <c r="A179" s="1">
        <v>559</v>
      </c>
      <c r="B179" s="1" t="s">
        <v>784</v>
      </c>
      <c r="C179" s="1" t="s">
        <v>782</v>
      </c>
      <c r="D179" s="1" t="s">
        <v>109</v>
      </c>
      <c r="E179" s="1" t="s">
        <v>52</v>
      </c>
      <c r="F179" s="3">
        <v>46205</v>
      </c>
      <c r="G179" s="3">
        <v>46205</v>
      </c>
      <c r="H179" s="4">
        <v>0</v>
      </c>
      <c r="J179" s="1" t="s">
        <v>41</v>
      </c>
      <c r="K179" s="1">
        <v>558</v>
      </c>
      <c r="L179" s="1">
        <v>560</v>
      </c>
      <c r="M179" s="1" t="s">
        <v>705</v>
      </c>
      <c r="N179" s="2">
        <v>46210</v>
      </c>
      <c r="P179" s="1" t="s">
        <v>67</v>
      </c>
      <c r="Q179" s="1" t="s">
        <v>55</v>
      </c>
      <c r="R179" s="1" t="s">
        <v>593</v>
      </c>
      <c r="S179" s="2">
        <v>46204</v>
      </c>
      <c r="T179" s="2">
        <v>46205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1</v>
      </c>
      <c r="AK179" s="1">
        <v>0</v>
      </c>
      <c r="AL179" s="1">
        <v>0</v>
      </c>
      <c r="AM179" s="1">
        <v>0</v>
      </c>
    </row>
    <row r="180" spans="1:39" hidden="1" x14ac:dyDescent="0.25">
      <c r="A180" s="1">
        <v>560</v>
      </c>
      <c r="B180" s="1" t="s">
        <v>785</v>
      </c>
      <c r="C180" s="1" t="s">
        <v>782</v>
      </c>
      <c r="D180" s="1" t="s">
        <v>115</v>
      </c>
      <c r="E180" s="1" t="s">
        <v>52</v>
      </c>
      <c r="F180" s="3">
        <v>46206</v>
      </c>
      <c r="G180" s="3">
        <v>46206</v>
      </c>
      <c r="H180" s="4">
        <v>0</v>
      </c>
      <c r="J180" s="1" t="s">
        <v>168</v>
      </c>
      <c r="K180" s="1">
        <v>559</v>
      </c>
      <c r="M180" s="1" t="s">
        <v>707</v>
      </c>
      <c r="N180" s="2">
        <v>46211</v>
      </c>
      <c r="P180" s="1" t="s">
        <v>67</v>
      </c>
      <c r="Q180" s="1" t="s">
        <v>55</v>
      </c>
      <c r="R180" s="1" t="s">
        <v>593</v>
      </c>
      <c r="S180" s="2">
        <v>46206</v>
      </c>
      <c r="T180" s="2">
        <v>46206</v>
      </c>
      <c r="AB180" s="1">
        <v>0</v>
      </c>
      <c r="AC180" s="1">
        <v>0</v>
      </c>
      <c r="AD180" s="1">
        <v>0</v>
      </c>
      <c r="AE180" s="1">
        <v>0</v>
      </c>
      <c r="AF180" s="1">
        <v>1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</row>
    <row r="181" spans="1:39" hidden="1" x14ac:dyDescent="0.25">
      <c r="A181" s="1">
        <v>561</v>
      </c>
      <c r="B181" s="1" t="s">
        <v>786</v>
      </c>
      <c r="C181" s="1" t="s">
        <v>595</v>
      </c>
      <c r="D181" s="1" t="s">
        <v>787</v>
      </c>
      <c r="E181" s="1" t="s">
        <v>788</v>
      </c>
      <c r="F181" s="3">
        <v>46195</v>
      </c>
      <c r="G181" s="3">
        <v>46206</v>
      </c>
      <c r="H181" s="4">
        <v>0.75</v>
      </c>
      <c r="J181" s="1" t="s">
        <v>41</v>
      </c>
      <c r="M181" s="1" t="s">
        <v>342</v>
      </c>
      <c r="N181" s="2">
        <v>46211</v>
      </c>
      <c r="P181" s="1" t="s">
        <v>73</v>
      </c>
      <c r="Q181" s="1" t="s">
        <v>55</v>
      </c>
      <c r="R181" s="1" t="s">
        <v>593</v>
      </c>
      <c r="S181" s="2">
        <v>46189</v>
      </c>
      <c r="T181" s="2">
        <v>46206</v>
      </c>
      <c r="AB181" s="1">
        <v>0.75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</row>
    <row r="182" spans="1:39" hidden="1" x14ac:dyDescent="0.25">
      <c r="A182" s="1">
        <v>563</v>
      </c>
      <c r="B182" s="1" t="s">
        <v>791</v>
      </c>
      <c r="C182" s="1" t="s">
        <v>790</v>
      </c>
      <c r="D182" s="1" t="s">
        <v>105</v>
      </c>
      <c r="E182" s="1" t="s">
        <v>52</v>
      </c>
      <c r="F182" s="3">
        <v>46202</v>
      </c>
      <c r="G182" s="3">
        <v>46204</v>
      </c>
      <c r="H182" s="4">
        <v>0.5</v>
      </c>
      <c r="J182" s="1" t="s">
        <v>41</v>
      </c>
      <c r="K182" s="1">
        <v>562</v>
      </c>
      <c r="L182" s="1">
        <v>564</v>
      </c>
      <c r="M182" s="1" t="s">
        <v>166</v>
      </c>
      <c r="N182" s="2">
        <v>46206</v>
      </c>
      <c r="P182" s="1" t="s">
        <v>146</v>
      </c>
      <c r="Q182" s="1" t="s">
        <v>55</v>
      </c>
      <c r="R182" s="1" t="s">
        <v>593</v>
      </c>
      <c r="S182" s="2">
        <v>46203</v>
      </c>
      <c r="T182" s="2">
        <v>46203</v>
      </c>
      <c r="AB182" s="1">
        <v>0.5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1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</row>
    <row r="183" spans="1:39" hidden="1" x14ac:dyDescent="0.25">
      <c r="A183" s="1">
        <v>564</v>
      </c>
      <c r="B183" s="1" t="s">
        <v>792</v>
      </c>
      <c r="C183" s="1" t="s">
        <v>790</v>
      </c>
      <c r="D183" s="1" t="s">
        <v>109</v>
      </c>
      <c r="E183" s="1" t="s">
        <v>52</v>
      </c>
      <c r="F183" s="3">
        <v>46204</v>
      </c>
      <c r="G183" s="3">
        <v>46205</v>
      </c>
      <c r="H183" s="4">
        <v>0</v>
      </c>
      <c r="J183" s="1" t="s">
        <v>41</v>
      </c>
      <c r="K183" s="1">
        <v>563</v>
      </c>
      <c r="L183" s="1">
        <v>565</v>
      </c>
      <c r="M183" s="1" t="s">
        <v>705</v>
      </c>
      <c r="N183" s="2">
        <v>46210</v>
      </c>
      <c r="P183" s="1" t="s">
        <v>67</v>
      </c>
      <c r="Q183" s="1" t="s">
        <v>55</v>
      </c>
      <c r="R183" s="1" t="s">
        <v>593</v>
      </c>
      <c r="S183" s="2">
        <v>46204</v>
      </c>
      <c r="T183" s="2">
        <v>46205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1</v>
      </c>
      <c r="AK183" s="1">
        <v>0</v>
      </c>
      <c r="AL183" s="1">
        <v>0</v>
      </c>
      <c r="AM183" s="1">
        <v>0</v>
      </c>
    </row>
    <row r="184" spans="1:39" hidden="1" x14ac:dyDescent="0.25">
      <c r="A184" s="1">
        <v>565</v>
      </c>
      <c r="B184" s="1" t="s">
        <v>793</v>
      </c>
      <c r="C184" s="1" t="s">
        <v>790</v>
      </c>
      <c r="D184" s="1" t="s">
        <v>115</v>
      </c>
      <c r="E184" s="1" t="s">
        <v>52</v>
      </c>
      <c r="F184" s="3">
        <v>46205</v>
      </c>
      <c r="G184" s="3">
        <v>46206</v>
      </c>
      <c r="H184" s="4">
        <v>0</v>
      </c>
      <c r="J184" s="1" t="s">
        <v>41</v>
      </c>
      <c r="K184" s="1">
        <v>564</v>
      </c>
      <c r="M184" s="1" t="s">
        <v>707</v>
      </c>
      <c r="N184" s="2">
        <v>46211</v>
      </c>
      <c r="P184" s="1" t="s">
        <v>67</v>
      </c>
      <c r="Q184" s="1" t="s">
        <v>55</v>
      </c>
      <c r="R184" s="1" t="s">
        <v>593</v>
      </c>
      <c r="S184" s="2">
        <v>46206</v>
      </c>
      <c r="T184" s="2">
        <v>46206</v>
      </c>
      <c r="AB184" s="1">
        <v>0</v>
      </c>
      <c r="AC184" s="1">
        <v>0</v>
      </c>
      <c r="AD184" s="1">
        <v>0</v>
      </c>
      <c r="AE184" s="1">
        <v>0</v>
      </c>
      <c r="AF184" s="1">
        <v>1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1</v>
      </c>
      <c r="AM184" s="1">
        <v>0</v>
      </c>
    </row>
    <row r="185" spans="1:39" hidden="1" x14ac:dyDescent="0.25">
      <c r="A185" s="1">
        <v>566</v>
      </c>
      <c r="B185" s="1" t="s">
        <v>794</v>
      </c>
      <c r="C185" s="1" t="s">
        <v>595</v>
      </c>
      <c r="D185" s="1" t="s">
        <v>795</v>
      </c>
      <c r="E185" s="1" t="s">
        <v>260</v>
      </c>
      <c r="F185" s="3">
        <v>46191</v>
      </c>
      <c r="G185" s="3">
        <v>46204</v>
      </c>
      <c r="H185" s="4">
        <v>0.7</v>
      </c>
      <c r="J185" s="1" t="s">
        <v>41</v>
      </c>
      <c r="M185" s="1" t="s">
        <v>342</v>
      </c>
      <c r="N185" s="2">
        <v>46211</v>
      </c>
      <c r="P185" s="1" t="s">
        <v>73</v>
      </c>
      <c r="Q185" s="1" t="s">
        <v>55</v>
      </c>
      <c r="R185" s="1" t="s">
        <v>593</v>
      </c>
      <c r="S185" s="2">
        <v>46189</v>
      </c>
      <c r="T185" s="2">
        <v>46206</v>
      </c>
      <c r="AB185" s="1">
        <v>0.7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</row>
    <row r="186" spans="1:39" hidden="1" x14ac:dyDescent="0.25">
      <c r="A186" s="1">
        <v>568</v>
      </c>
      <c r="B186" s="1" t="s">
        <v>798</v>
      </c>
      <c r="C186" s="1" t="s">
        <v>797</v>
      </c>
      <c r="D186" s="1" t="s">
        <v>105</v>
      </c>
      <c r="E186" s="1" t="s">
        <v>52</v>
      </c>
      <c r="F186" s="3">
        <v>46202</v>
      </c>
      <c r="G186" s="3">
        <v>46202</v>
      </c>
      <c r="H186" s="4">
        <v>0</v>
      </c>
      <c r="J186" s="1" t="s">
        <v>41</v>
      </c>
      <c r="K186" s="1">
        <v>567</v>
      </c>
      <c r="L186" s="1">
        <v>569</v>
      </c>
      <c r="M186" s="1" t="s">
        <v>166</v>
      </c>
      <c r="N186" s="2">
        <v>46206</v>
      </c>
      <c r="P186" s="1" t="s">
        <v>146</v>
      </c>
      <c r="Q186" s="1" t="s">
        <v>55</v>
      </c>
      <c r="R186" s="1" t="s">
        <v>593</v>
      </c>
      <c r="S186" s="2">
        <v>46203</v>
      </c>
      <c r="T186" s="2">
        <v>46203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1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</row>
    <row r="187" spans="1:39" hidden="1" x14ac:dyDescent="0.25">
      <c r="A187" s="1">
        <v>569</v>
      </c>
      <c r="B187" s="1" t="s">
        <v>799</v>
      </c>
      <c r="C187" s="1" t="s">
        <v>797</v>
      </c>
      <c r="D187" s="1" t="s">
        <v>109</v>
      </c>
      <c r="E187" s="1" t="s">
        <v>52</v>
      </c>
      <c r="F187" s="3">
        <v>46203</v>
      </c>
      <c r="G187" s="3">
        <v>46203</v>
      </c>
      <c r="H187" s="4">
        <v>0</v>
      </c>
      <c r="J187" s="1" t="s">
        <v>41</v>
      </c>
      <c r="K187" s="1">
        <v>568</v>
      </c>
      <c r="L187" s="1">
        <v>570</v>
      </c>
      <c r="M187" s="1" t="s">
        <v>705</v>
      </c>
      <c r="N187" s="2">
        <v>46210</v>
      </c>
      <c r="P187" s="1" t="s">
        <v>67</v>
      </c>
      <c r="Q187" s="1" t="s">
        <v>55</v>
      </c>
      <c r="R187" s="1" t="s">
        <v>593</v>
      </c>
      <c r="S187" s="2">
        <v>46204</v>
      </c>
      <c r="T187" s="2">
        <v>46205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1</v>
      </c>
      <c r="AK187" s="1">
        <v>0</v>
      </c>
      <c r="AL187" s="1">
        <v>0</v>
      </c>
      <c r="AM187" s="1">
        <v>0</v>
      </c>
    </row>
    <row r="188" spans="1:39" hidden="1" x14ac:dyDescent="0.25">
      <c r="A188" s="1">
        <v>570</v>
      </c>
      <c r="B188" s="1" t="s">
        <v>800</v>
      </c>
      <c r="C188" s="1" t="s">
        <v>797</v>
      </c>
      <c r="D188" s="1" t="s">
        <v>115</v>
      </c>
      <c r="E188" s="1" t="s">
        <v>52</v>
      </c>
      <c r="F188" s="3">
        <v>46204</v>
      </c>
      <c r="G188" s="3">
        <v>46204</v>
      </c>
      <c r="H188" s="4">
        <v>0</v>
      </c>
      <c r="J188" s="1" t="s">
        <v>41</v>
      </c>
      <c r="K188" s="1">
        <v>569</v>
      </c>
      <c r="M188" s="1" t="s">
        <v>707</v>
      </c>
      <c r="N188" s="2">
        <v>46211</v>
      </c>
      <c r="P188" s="1" t="s">
        <v>67</v>
      </c>
      <c r="Q188" s="1" t="s">
        <v>55</v>
      </c>
      <c r="R188" s="1" t="s">
        <v>593</v>
      </c>
      <c r="S188" s="2">
        <v>46206</v>
      </c>
      <c r="T188" s="2">
        <v>46206</v>
      </c>
      <c r="AB188" s="1">
        <v>0</v>
      </c>
      <c r="AC188" s="1">
        <v>0</v>
      </c>
      <c r="AD188" s="1">
        <v>0</v>
      </c>
      <c r="AE188" s="1">
        <v>0</v>
      </c>
      <c r="AF188" s="1">
        <v>1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1</v>
      </c>
      <c r="AM188" s="1">
        <v>0</v>
      </c>
    </row>
    <row r="189" spans="1:39" hidden="1" x14ac:dyDescent="0.25">
      <c r="A189" s="1">
        <v>571</v>
      </c>
      <c r="B189" s="1" t="s">
        <v>801</v>
      </c>
      <c r="C189" s="1" t="s">
        <v>595</v>
      </c>
      <c r="D189" s="1" t="s">
        <v>802</v>
      </c>
      <c r="E189" s="1" t="s">
        <v>260</v>
      </c>
      <c r="F189" s="3">
        <v>46191</v>
      </c>
      <c r="G189" s="3">
        <v>46204</v>
      </c>
      <c r="H189" s="4">
        <v>0.75</v>
      </c>
      <c r="J189" s="1" t="s">
        <v>41</v>
      </c>
      <c r="M189" s="1" t="s">
        <v>342</v>
      </c>
      <c r="N189" s="2">
        <v>46211</v>
      </c>
      <c r="P189" s="1" t="s">
        <v>73</v>
      </c>
      <c r="Q189" s="1" t="s">
        <v>55</v>
      </c>
      <c r="R189" s="1" t="s">
        <v>593</v>
      </c>
      <c r="S189" s="2">
        <v>46189</v>
      </c>
      <c r="T189" s="2">
        <v>46206</v>
      </c>
      <c r="AB189" s="1">
        <v>0.75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</row>
    <row r="190" spans="1:39" hidden="1" x14ac:dyDescent="0.25">
      <c r="A190" s="1">
        <v>573</v>
      </c>
      <c r="B190" s="1" t="s">
        <v>805</v>
      </c>
      <c r="C190" s="1" t="s">
        <v>804</v>
      </c>
      <c r="D190" s="1" t="s">
        <v>105</v>
      </c>
      <c r="E190" s="1" t="s">
        <v>52</v>
      </c>
      <c r="F190" s="3">
        <v>46202</v>
      </c>
      <c r="G190" s="3">
        <v>46202</v>
      </c>
      <c r="H190" s="4">
        <v>0.5</v>
      </c>
      <c r="J190" s="1" t="s">
        <v>41</v>
      </c>
      <c r="K190" s="1">
        <v>572</v>
      </c>
      <c r="L190" s="1">
        <v>574</v>
      </c>
      <c r="M190" s="1" t="s">
        <v>166</v>
      </c>
      <c r="N190" s="2">
        <v>46206</v>
      </c>
      <c r="P190" s="1" t="s">
        <v>146</v>
      </c>
      <c r="Q190" s="1" t="s">
        <v>55</v>
      </c>
      <c r="R190" s="1" t="s">
        <v>593</v>
      </c>
      <c r="S190" s="2">
        <v>46203</v>
      </c>
      <c r="T190" s="2">
        <v>46203</v>
      </c>
      <c r="AB190" s="1">
        <v>0.5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1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</row>
    <row r="191" spans="1:39" hidden="1" x14ac:dyDescent="0.25">
      <c r="A191" s="1">
        <v>574</v>
      </c>
      <c r="B191" s="1" t="s">
        <v>806</v>
      </c>
      <c r="C191" s="1" t="s">
        <v>804</v>
      </c>
      <c r="D191" s="1" t="s">
        <v>109</v>
      </c>
      <c r="E191" s="1" t="s">
        <v>52</v>
      </c>
      <c r="F191" s="3">
        <v>46203</v>
      </c>
      <c r="G191" s="3">
        <v>46203</v>
      </c>
      <c r="H191" s="4">
        <v>0</v>
      </c>
      <c r="J191" s="1" t="s">
        <v>41</v>
      </c>
      <c r="K191" s="1">
        <v>573</v>
      </c>
      <c r="L191" s="1">
        <v>575</v>
      </c>
      <c r="M191" s="1" t="s">
        <v>705</v>
      </c>
      <c r="N191" s="2">
        <v>46210</v>
      </c>
      <c r="P191" s="1" t="s">
        <v>67</v>
      </c>
      <c r="Q191" s="1" t="s">
        <v>55</v>
      </c>
      <c r="R191" s="1" t="s">
        <v>593</v>
      </c>
      <c r="S191" s="2">
        <v>46204</v>
      </c>
      <c r="T191" s="2">
        <v>46205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1</v>
      </c>
      <c r="AK191" s="1">
        <v>0</v>
      </c>
      <c r="AL191" s="1">
        <v>0</v>
      </c>
      <c r="AM191" s="1">
        <v>0</v>
      </c>
    </row>
    <row r="192" spans="1:39" hidden="1" x14ac:dyDescent="0.25">
      <c r="A192" s="1">
        <v>575</v>
      </c>
      <c r="B192" s="1" t="s">
        <v>807</v>
      </c>
      <c r="C192" s="1" t="s">
        <v>804</v>
      </c>
      <c r="D192" s="1" t="s">
        <v>115</v>
      </c>
      <c r="E192" s="1" t="s">
        <v>52</v>
      </c>
      <c r="F192" s="3">
        <v>46204</v>
      </c>
      <c r="G192" s="3">
        <v>46204</v>
      </c>
      <c r="H192" s="4">
        <v>0</v>
      </c>
      <c r="J192" s="1" t="s">
        <v>41</v>
      </c>
      <c r="K192" s="1">
        <v>574</v>
      </c>
      <c r="M192" s="1" t="s">
        <v>707</v>
      </c>
      <c r="N192" s="2">
        <v>46211</v>
      </c>
      <c r="P192" s="1" t="s">
        <v>67</v>
      </c>
      <c r="Q192" s="1" t="s">
        <v>55</v>
      </c>
      <c r="R192" s="1" t="s">
        <v>593</v>
      </c>
      <c r="S192" s="2">
        <v>46206</v>
      </c>
      <c r="T192" s="2">
        <v>46206</v>
      </c>
      <c r="AB192" s="1">
        <v>0</v>
      </c>
      <c r="AC192" s="1">
        <v>0</v>
      </c>
      <c r="AD192" s="1">
        <v>0</v>
      </c>
      <c r="AE192" s="1">
        <v>0</v>
      </c>
      <c r="AF192" s="1">
        <v>1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1</v>
      </c>
      <c r="AM192" s="1">
        <v>0</v>
      </c>
    </row>
    <row r="193" spans="1:39" hidden="1" x14ac:dyDescent="0.25">
      <c r="A193" s="1">
        <v>576</v>
      </c>
      <c r="B193" s="1" t="s">
        <v>808</v>
      </c>
      <c r="C193" s="1" t="s">
        <v>595</v>
      </c>
      <c r="D193" s="1" t="s">
        <v>809</v>
      </c>
      <c r="E193" s="1" t="s">
        <v>260</v>
      </c>
      <c r="F193" s="3">
        <v>46191</v>
      </c>
      <c r="G193" s="3">
        <v>46204</v>
      </c>
      <c r="H193" s="4">
        <v>0.7</v>
      </c>
      <c r="J193" s="1" t="s">
        <v>41</v>
      </c>
      <c r="M193" s="1" t="s">
        <v>342</v>
      </c>
      <c r="N193" s="2">
        <v>46211</v>
      </c>
      <c r="P193" s="1" t="s">
        <v>73</v>
      </c>
      <c r="Q193" s="1" t="s">
        <v>55</v>
      </c>
      <c r="R193" s="1" t="s">
        <v>593</v>
      </c>
      <c r="S193" s="2">
        <v>46189</v>
      </c>
      <c r="T193" s="2">
        <v>46206</v>
      </c>
      <c r="AB193" s="1">
        <v>0.7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</row>
    <row r="194" spans="1:39" hidden="1" x14ac:dyDescent="0.25">
      <c r="A194" s="1">
        <v>578</v>
      </c>
      <c r="B194" s="1" t="s">
        <v>812</v>
      </c>
      <c r="C194" s="1" t="s">
        <v>811</v>
      </c>
      <c r="D194" s="1" t="s">
        <v>105</v>
      </c>
      <c r="E194" s="1" t="s">
        <v>52</v>
      </c>
      <c r="F194" s="3">
        <v>46202</v>
      </c>
      <c r="G194" s="3">
        <v>46202</v>
      </c>
      <c r="H194" s="4">
        <v>0</v>
      </c>
      <c r="J194" s="1" t="s">
        <v>41</v>
      </c>
      <c r="K194" s="1">
        <v>577</v>
      </c>
      <c r="L194" s="1">
        <v>579</v>
      </c>
      <c r="M194" s="1" t="s">
        <v>166</v>
      </c>
      <c r="N194" s="2">
        <v>46206</v>
      </c>
      <c r="P194" s="1" t="s">
        <v>146</v>
      </c>
      <c r="Q194" s="1" t="s">
        <v>55</v>
      </c>
      <c r="R194" s="1" t="s">
        <v>593</v>
      </c>
      <c r="S194" s="2">
        <v>46203</v>
      </c>
      <c r="T194" s="2">
        <v>46203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1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</row>
    <row r="195" spans="1:39" hidden="1" x14ac:dyDescent="0.25">
      <c r="A195" s="1">
        <v>579</v>
      </c>
      <c r="B195" s="1" t="s">
        <v>813</v>
      </c>
      <c r="C195" s="1" t="s">
        <v>811</v>
      </c>
      <c r="D195" s="1" t="s">
        <v>109</v>
      </c>
      <c r="E195" s="1" t="s">
        <v>52</v>
      </c>
      <c r="F195" s="3">
        <v>46203</v>
      </c>
      <c r="G195" s="3">
        <v>46203</v>
      </c>
      <c r="H195" s="4">
        <v>0</v>
      </c>
      <c r="J195" s="1" t="s">
        <v>41</v>
      </c>
      <c r="K195" s="1">
        <v>578</v>
      </c>
      <c r="L195" s="1">
        <v>580</v>
      </c>
      <c r="M195" s="1" t="s">
        <v>705</v>
      </c>
      <c r="N195" s="2">
        <v>46210</v>
      </c>
      <c r="P195" s="1" t="s">
        <v>67</v>
      </c>
      <c r="Q195" s="1" t="s">
        <v>55</v>
      </c>
      <c r="R195" s="1" t="s">
        <v>593</v>
      </c>
      <c r="S195" s="2">
        <v>46204</v>
      </c>
      <c r="T195" s="2">
        <v>46205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1</v>
      </c>
      <c r="AK195" s="1">
        <v>0</v>
      </c>
      <c r="AL195" s="1">
        <v>0</v>
      </c>
      <c r="AM195" s="1">
        <v>0</v>
      </c>
    </row>
    <row r="196" spans="1:39" hidden="1" x14ac:dyDescent="0.25">
      <c r="A196" s="1">
        <v>580</v>
      </c>
      <c r="B196" s="1" t="s">
        <v>814</v>
      </c>
      <c r="C196" s="1" t="s">
        <v>811</v>
      </c>
      <c r="D196" s="1" t="s">
        <v>115</v>
      </c>
      <c r="E196" s="1" t="s">
        <v>52</v>
      </c>
      <c r="F196" s="3">
        <v>46204</v>
      </c>
      <c r="G196" s="3">
        <v>46204</v>
      </c>
      <c r="H196" s="4">
        <v>0</v>
      </c>
      <c r="J196" s="1" t="s">
        <v>41</v>
      </c>
      <c r="K196" s="1">
        <v>579</v>
      </c>
      <c r="M196" s="1" t="s">
        <v>707</v>
      </c>
      <c r="N196" s="2">
        <v>46211</v>
      </c>
      <c r="P196" s="1" t="s">
        <v>67</v>
      </c>
      <c r="Q196" s="1" t="s">
        <v>55</v>
      </c>
      <c r="R196" s="1" t="s">
        <v>593</v>
      </c>
      <c r="S196" s="2">
        <v>46206</v>
      </c>
      <c r="T196" s="2">
        <v>46206</v>
      </c>
      <c r="AB196" s="1">
        <v>0</v>
      </c>
      <c r="AC196" s="1">
        <v>0</v>
      </c>
      <c r="AD196" s="1">
        <v>0</v>
      </c>
      <c r="AE196" s="1">
        <v>0</v>
      </c>
      <c r="AF196" s="1">
        <v>1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1</v>
      </c>
      <c r="AM196" s="1">
        <v>0</v>
      </c>
    </row>
    <row r="197" spans="1:39" hidden="1" x14ac:dyDescent="0.25">
      <c r="A197" s="1">
        <v>581</v>
      </c>
      <c r="B197" s="1" t="s">
        <v>815</v>
      </c>
      <c r="C197" s="1" t="s">
        <v>595</v>
      </c>
      <c r="D197" s="1" t="s">
        <v>816</v>
      </c>
      <c r="E197" s="1" t="s">
        <v>260</v>
      </c>
      <c r="F197" s="3">
        <v>46192</v>
      </c>
      <c r="G197" s="3">
        <v>46205</v>
      </c>
      <c r="H197" s="4">
        <v>0.7</v>
      </c>
      <c r="J197" s="1" t="s">
        <v>41</v>
      </c>
      <c r="M197" s="1" t="s">
        <v>342</v>
      </c>
      <c r="N197" s="2">
        <v>46211</v>
      </c>
      <c r="P197" s="1" t="s">
        <v>73</v>
      </c>
      <c r="Q197" s="1" t="s">
        <v>55</v>
      </c>
      <c r="R197" s="1" t="s">
        <v>593</v>
      </c>
      <c r="S197" s="2">
        <v>46189</v>
      </c>
      <c r="T197" s="2">
        <v>46206</v>
      </c>
      <c r="U197" s="1" t="s">
        <v>77</v>
      </c>
      <c r="AB197" s="1">
        <v>0.7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</row>
    <row r="198" spans="1:39" hidden="1" x14ac:dyDescent="0.25">
      <c r="A198" s="1">
        <v>583</v>
      </c>
      <c r="B198" s="1" t="s">
        <v>819</v>
      </c>
      <c r="C198" s="1" t="s">
        <v>818</v>
      </c>
      <c r="D198" s="1" t="s">
        <v>105</v>
      </c>
      <c r="E198" s="1" t="s">
        <v>52</v>
      </c>
      <c r="F198" s="3">
        <v>46203</v>
      </c>
      <c r="G198" s="3">
        <v>46203</v>
      </c>
      <c r="H198" s="4">
        <v>0</v>
      </c>
      <c r="J198" s="1" t="s">
        <v>41</v>
      </c>
      <c r="K198" s="1">
        <v>582</v>
      </c>
      <c r="L198" s="1">
        <v>584</v>
      </c>
      <c r="M198" s="1" t="s">
        <v>166</v>
      </c>
      <c r="N198" s="2">
        <v>46206</v>
      </c>
      <c r="P198" s="1" t="s">
        <v>146</v>
      </c>
      <c r="Q198" s="1" t="s">
        <v>55</v>
      </c>
      <c r="R198" s="1" t="s">
        <v>593</v>
      </c>
      <c r="S198" s="2">
        <v>46203</v>
      </c>
      <c r="T198" s="2">
        <v>46203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1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</row>
    <row r="199" spans="1:39" hidden="1" x14ac:dyDescent="0.25">
      <c r="A199" s="1">
        <v>584</v>
      </c>
      <c r="B199" s="1" t="s">
        <v>820</v>
      </c>
      <c r="C199" s="1" t="s">
        <v>818</v>
      </c>
      <c r="D199" s="1" t="s">
        <v>109</v>
      </c>
      <c r="E199" s="1" t="s">
        <v>52</v>
      </c>
      <c r="F199" s="3">
        <v>46204</v>
      </c>
      <c r="G199" s="3">
        <v>46204</v>
      </c>
      <c r="H199" s="4">
        <v>0</v>
      </c>
      <c r="J199" s="1" t="s">
        <v>41</v>
      </c>
      <c r="K199" s="1">
        <v>583</v>
      </c>
      <c r="L199" s="1">
        <v>585</v>
      </c>
      <c r="M199" s="1" t="s">
        <v>705</v>
      </c>
      <c r="N199" s="2">
        <v>46210</v>
      </c>
      <c r="P199" s="1" t="s">
        <v>67</v>
      </c>
      <c r="Q199" s="1" t="s">
        <v>55</v>
      </c>
      <c r="R199" s="1" t="s">
        <v>593</v>
      </c>
      <c r="S199" s="2">
        <v>46204</v>
      </c>
      <c r="T199" s="2">
        <v>46205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1</v>
      </c>
      <c r="AK199" s="1">
        <v>0</v>
      </c>
      <c r="AL199" s="1">
        <v>0</v>
      </c>
      <c r="AM199" s="1">
        <v>0</v>
      </c>
    </row>
    <row r="200" spans="1:39" hidden="1" x14ac:dyDescent="0.25">
      <c r="A200" s="1">
        <v>585</v>
      </c>
      <c r="B200" s="1" t="s">
        <v>821</v>
      </c>
      <c r="C200" s="1" t="s">
        <v>818</v>
      </c>
      <c r="D200" s="1" t="s">
        <v>115</v>
      </c>
      <c r="E200" s="1" t="s">
        <v>52</v>
      </c>
      <c r="F200" s="3">
        <v>46205</v>
      </c>
      <c r="G200" s="3">
        <v>46205</v>
      </c>
      <c r="H200" s="4">
        <v>0</v>
      </c>
      <c r="J200" s="1" t="s">
        <v>41</v>
      </c>
      <c r="K200" s="1">
        <v>584</v>
      </c>
      <c r="M200" s="1" t="s">
        <v>707</v>
      </c>
      <c r="N200" s="2">
        <v>46211</v>
      </c>
      <c r="P200" s="1" t="s">
        <v>67</v>
      </c>
      <c r="Q200" s="1" t="s">
        <v>55</v>
      </c>
      <c r="R200" s="1" t="s">
        <v>593</v>
      </c>
      <c r="S200" s="2">
        <v>46206</v>
      </c>
      <c r="T200" s="2">
        <v>46206</v>
      </c>
      <c r="AB200" s="1">
        <v>0</v>
      </c>
      <c r="AC200" s="1">
        <v>0</v>
      </c>
      <c r="AD200" s="1">
        <v>0</v>
      </c>
      <c r="AE200" s="1">
        <v>0</v>
      </c>
      <c r="AF200" s="1">
        <v>1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1</v>
      </c>
      <c r="AM200" s="1">
        <v>0</v>
      </c>
    </row>
    <row r="201" spans="1:39" hidden="1" x14ac:dyDescent="0.25">
      <c r="A201" s="1">
        <v>586</v>
      </c>
      <c r="B201" s="1" t="s">
        <v>822</v>
      </c>
      <c r="C201" s="1" t="s">
        <v>595</v>
      </c>
      <c r="D201" s="1" t="s">
        <v>823</v>
      </c>
      <c r="E201" s="1" t="s">
        <v>260</v>
      </c>
      <c r="F201" s="3">
        <v>46195</v>
      </c>
      <c r="G201" s="3">
        <v>46206</v>
      </c>
      <c r="H201" s="4">
        <v>0.7</v>
      </c>
      <c r="J201" s="1" t="s">
        <v>41</v>
      </c>
      <c r="M201" s="1" t="s">
        <v>342</v>
      </c>
      <c r="N201" s="2">
        <v>46211</v>
      </c>
      <c r="P201" s="1" t="s">
        <v>73</v>
      </c>
      <c r="Q201" s="1" t="s">
        <v>55</v>
      </c>
      <c r="R201" s="1" t="s">
        <v>593</v>
      </c>
      <c r="S201" s="2">
        <v>46189</v>
      </c>
      <c r="T201" s="2">
        <v>46206</v>
      </c>
      <c r="U201" s="1" t="s">
        <v>77</v>
      </c>
      <c r="AB201" s="1">
        <v>0.7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</row>
    <row r="202" spans="1:39" hidden="1" x14ac:dyDescent="0.25">
      <c r="A202" s="1">
        <v>588</v>
      </c>
      <c r="B202" s="1" t="s">
        <v>826</v>
      </c>
      <c r="C202" s="1" t="s">
        <v>825</v>
      </c>
      <c r="D202" s="1" t="s">
        <v>105</v>
      </c>
      <c r="E202" s="1" t="s">
        <v>52</v>
      </c>
      <c r="F202" s="3">
        <v>46204</v>
      </c>
      <c r="G202" s="3">
        <v>46204</v>
      </c>
      <c r="H202" s="4">
        <v>0</v>
      </c>
      <c r="J202" s="1" t="s">
        <v>41</v>
      </c>
      <c r="K202" s="1">
        <v>587</v>
      </c>
      <c r="L202" s="1">
        <v>589</v>
      </c>
      <c r="M202" s="1" t="s">
        <v>166</v>
      </c>
      <c r="N202" s="2">
        <v>46206</v>
      </c>
      <c r="P202" s="1" t="s">
        <v>146</v>
      </c>
      <c r="Q202" s="1" t="s">
        <v>55</v>
      </c>
      <c r="R202" s="1" t="s">
        <v>593</v>
      </c>
      <c r="S202" s="2">
        <v>46203</v>
      </c>
      <c r="T202" s="2">
        <v>46203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1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</row>
    <row r="203" spans="1:39" hidden="1" x14ac:dyDescent="0.25">
      <c r="A203" s="1">
        <v>589</v>
      </c>
      <c r="B203" s="1" t="s">
        <v>827</v>
      </c>
      <c r="C203" s="1" t="s">
        <v>825</v>
      </c>
      <c r="D203" s="1" t="s">
        <v>109</v>
      </c>
      <c r="E203" s="1" t="s">
        <v>52</v>
      </c>
      <c r="F203" s="3">
        <v>46205</v>
      </c>
      <c r="G203" s="3">
        <v>46205</v>
      </c>
      <c r="H203" s="4">
        <v>0</v>
      </c>
      <c r="J203" s="1" t="s">
        <v>41</v>
      </c>
      <c r="K203" s="1">
        <v>588</v>
      </c>
      <c r="L203" s="1">
        <v>590</v>
      </c>
      <c r="M203" s="1" t="s">
        <v>705</v>
      </c>
      <c r="N203" s="2">
        <v>46210</v>
      </c>
      <c r="P203" s="1" t="s">
        <v>67</v>
      </c>
      <c r="Q203" s="1" t="s">
        <v>55</v>
      </c>
      <c r="R203" s="1" t="s">
        <v>593</v>
      </c>
      <c r="S203" s="2">
        <v>46204</v>
      </c>
      <c r="T203" s="2">
        <v>46205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1</v>
      </c>
      <c r="AK203" s="1">
        <v>0</v>
      </c>
      <c r="AL203" s="1">
        <v>0</v>
      </c>
      <c r="AM203" s="1">
        <v>0</v>
      </c>
    </row>
    <row r="204" spans="1:39" hidden="1" x14ac:dyDescent="0.25">
      <c r="A204" s="1">
        <v>590</v>
      </c>
      <c r="B204" s="1" t="s">
        <v>828</v>
      </c>
      <c r="C204" s="1" t="s">
        <v>825</v>
      </c>
      <c r="D204" s="1" t="s">
        <v>115</v>
      </c>
      <c r="E204" s="1" t="s">
        <v>52</v>
      </c>
      <c r="F204" s="3">
        <v>46206</v>
      </c>
      <c r="G204" s="3">
        <v>46206</v>
      </c>
      <c r="H204" s="4">
        <v>0</v>
      </c>
      <c r="J204" s="1" t="s">
        <v>168</v>
      </c>
      <c r="K204" s="1">
        <v>589</v>
      </c>
      <c r="M204" s="1" t="s">
        <v>707</v>
      </c>
      <c r="N204" s="2">
        <v>46211</v>
      </c>
      <c r="P204" s="1" t="s">
        <v>67</v>
      </c>
      <c r="Q204" s="1" t="s">
        <v>55</v>
      </c>
      <c r="R204" s="1" t="s">
        <v>593</v>
      </c>
      <c r="S204" s="2">
        <v>46206</v>
      </c>
      <c r="T204" s="2">
        <v>46206</v>
      </c>
      <c r="AB204" s="1">
        <v>0</v>
      </c>
      <c r="AC204" s="1">
        <v>0</v>
      </c>
      <c r="AD204" s="1">
        <v>0</v>
      </c>
      <c r="AE204" s="1">
        <v>0</v>
      </c>
      <c r="AF204" s="1">
        <v>1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</row>
    <row r="205" spans="1:39" hidden="1" x14ac:dyDescent="0.25">
      <c r="A205" s="1">
        <v>591</v>
      </c>
      <c r="B205" s="1" t="s">
        <v>829</v>
      </c>
      <c r="C205" s="1" t="s">
        <v>595</v>
      </c>
      <c r="D205" s="1" t="s">
        <v>830</v>
      </c>
      <c r="E205" s="1" t="s">
        <v>260</v>
      </c>
      <c r="F205" s="3">
        <v>46195</v>
      </c>
      <c r="G205" s="3">
        <v>46206</v>
      </c>
      <c r="H205" s="4">
        <v>0.7</v>
      </c>
      <c r="J205" s="1" t="s">
        <v>41</v>
      </c>
      <c r="M205" s="1" t="s">
        <v>342</v>
      </c>
      <c r="N205" s="2">
        <v>46211</v>
      </c>
      <c r="P205" s="1" t="s">
        <v>73</v>
      </c>
      <c r="Q205" s="1" t="s">
        <v>55</v>
      </c>
      <c r="R205" s="1" t="s">
        <v>593</v>
      </c>
      <c r="S205" s="2">
        <v>46189</v>
      </c>
      <c r="T205" s="2">
        <v>46206</v>
      </c>
      <c r="U205" s="1" t="s">
        <v>77</v>
      </c>
      <c r="AB205" s="1">
        <v>0.7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</row>
    <row r="206" spans="1:39" hidden="1" x14ac:dyDescent="0.25">
      <c r="A206" s="1">
        <v>593</v>
      </c>
      <c r="B206" s="1" t="s">
        <v>833</v>
      </c>
      <c r="C206" s="1" t="s">
        <v>832</v>
      </c>
      <c r="D206" s="1" t="s">
        <v>105</v>
      </c>
      <c r="E206" s="1" t="s">
        <v>52</v>
      </c>
      <c r="F206" s="3">
        <v>46204</v>
      </c>
      <c r="G206" s="3">
        <v>46204</v>
      </c>
      <c r="H206" s="4">
        <v>0</v>
      </c>
      <c r="J206" s="1" t="s">
        <v>41</v>
      </c>
      <c r="K206" s="1">
        <v>592</v>
      </c>
      <c r="L206" s="1">
        <v>594</v>
      </c>
      <c r="M206" s="1" t="s">
        <v>166</v>
      </c>
      <c r="N206" s="2">
        <v>46206</v>
      </c>
      <c r="P206" s="1" t="s">
        <v>146</v>
      </c>
      <c r="Q206" s="1" t="s">
        <v>55</v>
      </c>
      <c r="R206" s="1" t="s">
        <v>593</v>
      </c>
      <c r="S206" s="2">
        <v>46203</v>
      </c>
      <c r="T206" s="2">
        <v>46203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1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</row>
    <row r="207" spans="1:39" hidden="1" x14ac:dyDescent="0.25">
      <c r="A207" s="1">
        <v>594</v>
      </c>
      <c r="B207" s="1" t="s">
        <v>834</v>
      </c>
      <c r="C207" s="1" t="s">
        <v>832</v>
      </c>
      <c r="D207" s="1" t="s">
        <v>109</v>
      </c>
      <c r="E207" s="1" t="s">
        <v>52</v>
      </c>
      <c r="F207" s="3">
        <v>46205</v>
      </c>
      <c r="G207" s="3">
        <v>46205</v>
      </c>
      <c r="H207" s="4">
        <v>0</v>
      </c>
      <c r="J207" s="1" t="s">
        <v>41</v>
      </c>
      <c r="K207" s="1">
        <v>593</v>
      </c>
      <c r="L207" s="1">
        <v>595</v>
      </c>
      <c r="M207" s="1" t="s">
        <v>705</v>
      </c>
      <c r="N207" s="2">
        <v>46210</v>
      </c>
      <c r="P207" s="1" t="s">
        <v>67</v>
      </c>
      <c r="Q207" s="1" t="s">
        <v>55</v>
      </c>
      <c r="R207" s="1" t="s">
        <v>593</v>
      </c>
      <c r="S207" s="2">
        <v>46204</v>
      </c>
      <c r="T207" s="2">
        <v>46205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1</v>
      </c>
      <c r="AK207" s="1">
        <v>0</v>
      </c>
      <c r="AL207" s="1">
        <v>0</v>
      </c>
      <c r="AM207" s="1">
        <v>0</v>
      </c>
    </row>
    <row r="208" spans="1:39" hidden="1" x14ac:dyDescent="0.25">
      <c r="A208" s="1">
        <v>595</v>
      </c>
      <c r="B208" s="1" t="s">
        <v>835</v>
      </c>
      <c r="C208" s="1" t="s">
        <v>832</v>
      </c>
      <c r="D208" s="1" t="s">
        <v>115</v>
      </c>
      <c r="E208" s="1" t="s">
        <v>52</v>
      </c>
      <c r="F208" s="3">
        <v>46206</v>
      </c>
      <c r="G208" s="3">
        <v>46206</v>
      </c>
      <c r="H208" s="4">
        <v>0</v>
      </c>
      <c r="J208" s="1" t="s">
        <v>168</v>
      </c>
      <c r="K208" s="1">
        <v>594</v>
      </c>
      <c r="M208" s="1" t="s">
        <v>707</v>
      </c>
      <c r="N208" s="2">
        <v>46211</v>
      </c>
      <c r="P208" s="1" t="s">
        <v>67</v>
      </c>
      <c r="Q208" s="1" t="s">
        <v>55</v>
      </c>
      <c r="R208" s="1" t="s">
        <v>593</v>
      </c>
      <c r="S208" s="2">
        <v>46206</v>
      </c>
      <c r="T208" s="2">
        <v>46206</v>
      </c>
      <c r="AB208" s="1">
        <v>0</v>
      </c>
      <c r="AC208" s="1">
        <v>0</v>
      </c>
      <c r="AD208" s="1">
        <v>0</v>
      </c>
      <c r="AE208" s="1">
        <v>0</v>
      </c>
      <c r="AF208" s="1">
        <v>1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</row>
    <row r="209" spans="1:39" hidden="1" x14ac:dyDescent="0.25">
      <c r="A209" s="1">
        <v>596</v>
      </c>
      <c r="B209" s="1" t="s">
        <v>836</v>
      </c>
      <c r="C209" s="1" t="s">
        <v>595</v>
      </c>
      <c r="D209" s="1" t="s">
        <v>837</v>
      </c>
      <c r="E209" s="1" t="s">
        <v>260</v>
      </c>
      <c r="F209" s="3">
        <v>46192</v>
      </c>
      <c r="G209" s="3">
        <v>46205</v>
      </c>
      <c r="H209" s="4">
        <v>0.7</v>
      </c>
      <c r="J209" s="1" t="s">
        <v>41</v>
      </c>
      <c r="M209" s="1" t="s">
        <v>342</v>
      </c>
      <c r="N209" s="2">
        <v>46211</v>
      </c>
      <c r="P209" s="1" t="s">
        <v>73</v>
      </c>
      <c r="Q209" s="1" t="s">
        <v>55</v>
      </c>
      <c r="R209" s="1" t="s">
        <v>593</v>
      </c>
      <c r="S209" s="2">
        <v>46189</v>
      </c>
      <c r="T209" s="2">
        <v>46206</v>
      </c>
      <c r="U209" s="1" t="s">
        <v>77</v>
      </c>
      <c r="AB209" s="1">
        <v>0.7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</row>
    <row r="210" spans="1:39" hidden="1" x14ac:dyDescent="0.25">
      <c r="A210" s="1">
        <v>598</v>
      </c>
      <c r="B210" s="1" t="s">
        <v>840</v>
      </c>
      <c r="C210" s="1" t="s">
        <v>839</v>
      </c>
      <c r="D210" s="1" t="s">
        <v>105</v>
      </c>
      <c r="E210" s="1" t="s">
        <v>52</v>
      </c>
      <c r="F210" s="3">
        <v>46203</v>
      </c>
      <c r="G210" s="3">
        <v>46203</v>
      </c>
      <c r="H210" s="4">
        <v>0</v>
      </c>
      <c r="J210" s="1" t="s">
        <v>41</v>
      </c>
      <c r="K210" s="1">
        <v>597</v>
      </c>
      <c r="L210" s="1">
        <v>599</v>
      </c>
      <c r="M210" s="1" t="s">
        <v>166</v>
      </c>
      <c r="N210" s="2">
        <v>46206</v>
      </c>
      <c r="P210" s="1" t="s">
        <v>146</v>
      </c>
      <c r="Q210" s="1" t="s">
        <v>55</v>
      </c>
      <c r="R210" s="1" t="s">
        <v>593</v>
      </c>
      <c r="S210" s="2">
        <v>46203</v>
      </c>
      <c r="T210" s="2">
        <v>46203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1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</row>
    <row r="211" spans="1:39" hidden="1" x14ac:dyDescent="0.25">
      <c r="A211" s="1">
        <v>599</v>
      </c>
      <c r="B211" s="1" t="s">
        <v>841</v>
      </c>
      <c r="C211" s="1" t="s">
        <v>839</v>
      </c>
      <c r="D211" s="1" t="s">
        <v>109</v>
      </c>
      <c r="E211" s="1" t="s">
        <v>52</v>
      </c>
      <c r="F211" s="3">
        <v>46204</v>
      </c>
      <c r="G211" s="3">
        <v>46204</v>
      </c>
      <c r="H211" s="4">
        <v>0</v>
      </c>
      <c r="J211" s="1" t="s">
        <v>41</v>
      </c>
      <c r="K211" s="1">
        <v>598</v>
      </c>
      <c r="L211" s="1">
        <v>600</v>
      </c>
      <c r="M211" s="1" t="s">
        <v>705</v>
      </c>
      <c r="N211" s="2">
        <v>46210</v>
      </c>
      <c r="P211" s="1" t="s">
        <v>67</v>
      </c>
      <c r="Q211" s="1" t="s">
        <v>55</v>
      </c>
      <c r="R211" s="1" t="s">
        <v>593</v>
      </c>
      <c r="S211" s="2">
        <v>46204</v>
      </c>
      <c r="T211" s="2">
        <v>46205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1</v>
      </c>
      <c r="AK211" s="1">
        <v>0</v>
      </c>
      <c r="AL211" s="1">
        <v>0</v>
      </c>
      <c r="AM211" s="1">
        <v>0</v>
      </c>
    </row>
    <row r="212" spans="1:39" hidden="1" x14ac:dyDescent="0.25">
      <c r="A212" s="1">
        <v>600</v>
      </c>
      <c r="B212" s="1" t="s">
        <v>842</v>
      </c>
      <c r="C212" s="1" t="s">
        <v>839</v>
      </c>
      <c r="D212" s="1" t="s">
        <v>115</v>
      </c>
      <c r="E212" s="1" t="s">
        <v>52</v>
      </c>
      <c r="F212" s="3">
        <v>46205</v>
      </c>
      <c r="G212" s="3">
        <v>46205</v>
      </c>
      <c r="H212" s="4">
        <v>0</v>
      </c>
      <c r="J212" s="1" t="s">
        <v>41</v>
      </c>
      <c r="K212" s="1">
        <v>599</v>
      </c>
      <c r="M212" s="1" t="s">
        <v>707</v>
      </c>
      <c r="N212" s="2">
        <v>46211</v>
      </c>
      <c r="P212" s="1" t="s">
        <v>67</v>
      </c>
      <c r="Q212" s="1" t="s">
        <v>55</v>
      </c>
      <c r="R212" s="1" t="s">
        <v>593</v>
      </c>
      <c r="S212" s="2">
        <v>46206</v>
      </c>
      <c r="T212" s="2">
        <v>46206</v>
      </c>
      <c r="AB212" s="1">
        <v>0</v>
      </c>
      <c r="AC212" s="1">
        <v>0</v>
      </c>
      <c r="AD212" s="1">
        <v>0</v>
      </c>
      <c r="AE212" s="1">
        <v>0</v>
      </c>
      <c r="AF212" s="1">
        <v>1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1</v>
      </c>
      <c r="AM212" s="1">
        <v>0</v>
      </c>
    </row>
    <row r="213" spans="1:39" hidden="1" x14ac:dyDescent="0.25">
      <c r="A213" s="1">
        <v>601</v>
      </c>
      <c r="B213" s="1" t="s">
        <v>843</v>
      </c>
      <c r="C213" s="1" t="s">
        <v>595</v>
      </c>
      <c r="D213" s="1" t="s">
        <v>844</v>
      </c>
      <c r="E213" s="1" t="s">
        <v>260</v>
      </c>
      <c r="F213" s="3">
        <v>46192</v>
      </c>
      <c r="G213" s="3">
        <v>46205</v>
      </c>
      <c r="H213" s="4">
        <v>0.7</v>
      </c>
      <c r="J213" s="1" t="s">
        <v>41</v>
      </c>
      <c r="M213" s="1" t="s">
        <v>342</v>
      </c>
      <c r="N213" s="2">
        <v>46211</v>
      </c>
      <c r="P213" s="1" t="s">
        <v>73</v>
      </c>
      <c r="Q213" s="1" t="s">
        <v>55</v>
      </c>
      <c r="R213" s="1" t="s">
        <v>593</v>
      </c>
      <c r="S213" s="2">
        <v>46189</v>
      </c>
      <c r="T213" s="2">
        <v>46206</v>
      </c>
      <c r="U213" s="1" t="s">
        <v>77</v>
      </c>
      <c r="AB213" s="1">
        <v>0.7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</row>
    <row r="214" spans="1:39" hidden="1" x14ac:dyDescent="0.25">
      <c r="A214" s="1">
        <v>603</v>
      </c>
      <c r="B214" s="1" t="s">
        <v>847</v>
      </c>
      <c r="C214" s="1" t="s">
        <v>846</v>
      </c>
      <c r="D214" s="1" t="s">
        <v>105</v>
      </c>
      <c r="E214" s="1" t="s">
        <v>52</v>
      </c>
      <c r="F214" s="3">
        <v>46203</v>
      </c>
      <c r="G214" s="3">
        <v>46203</v>
      </c>
      <c r="H214" s="4">
        <v>0</v>
      </c>
      <c r="J214" s="1" t="s">
        <v>41</v>
      </c>
      <c r="K214" s="1">
        <v>602</v>
      </c>
      <c r="L214" s="1">
        <v>604</v>
      </c>
      <c r="M214" s="1" t="s">
        <v>166</v>
      </c>
      <c r="N214" s="2">
        <v>46206</v>
      </c>
      <c r="P214" s="1" t="s">
        <v>146</v>
      </c>
      <c r="Q214" s="1" t="s">
        <v>55</v>
      </c>
      <c r="R214" s="1" t="s">
        <v>593</v>
      </c>
      <c r="S214" s="2">
        <v>46203</v>
      </c>
      <c r="T214" s="2">
        <v>46203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1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</row>
    <row r="215" spans="1:39" hidden="1" x14ac:dyDescent="0.25">
      <c r="A215" s="1">
        <v>604</v>
      </c>
      <c r="B215" s="1" t="s">
        <v>848</v>
      </c>
      <c r="C215" s="1" t="s">
        <v>846</v>
      </c>
      <c r="D215" s="1" t="s">
        <v>109</v>
      </c>
      <c r="E215" s="1" t="s">
        <v>52</v>
      </c>
      <c r="F215" s="3">
        <v>46204</v>
      </c>
      <c r="G215" s="3">
        <v>46204</v>
      </c>
      <c r="H215" s="4">
        <v>0</v>
      </c>
      <c r="J215" s="1" t="s">
        <v>41</v>
      </c>
      <c r="K215" s="1">
        <v>603</v>
      </c>
      <c r="L215" s="1">
        <v>605</v>
      </c>
      <c r="M215" s="1" t="s">
        <v>705</v>
      </c>
      <c r="N215" s="2">
        <v>46210</v>
      </c>
      <c r="P215" s="1" t="s">
        <v>67</v>
      </c>
      <c r="Q215" s="1" t="s">
        <v>55</v>
      </c>
      <c r="R215" s="1" t="s">
        <v>593</v>
      </c>
      <c r="S215" s="2">
        <v>46204</v>
      </c>
      <c r="T215" s="2">
        <v>46205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1</v>
      </c>
      <c r="AK215" s="1">
        <v>0</v>
      </c>
      <c r="AL215" s="1">
        <v>0</v>
      </c>
      <c r="AM215" s="1">
        <v>0</v>
      </c>
    </row>
    <row r="216" spans="1:39" hidden="1" x14ac:dyDescent="0.25">
      <c r="A216" s="1">
        <v>605</v>
      </c>
      <c r="B216" s="1" t="s">
        <v>849</v>
      </c>
      <c r="C216" s="1" t="s">
        <v>846</v>
      </c>
      <c r="D216" s="1" t="s">
        <v>115</v>
      </c>
      <c r="E216" s="1" t="s">
        <v>52</v>
      </c>
      <c r="F216" s="3">
        <v>46205</v>
      </c>
      <c r="G216" s="3">
        <v>46205</v>
      </c>
      <c r="H216" s="4">
        <v>0</v>
      </c>
      <c r="J216" s="1" t="s">
        <v>41</v>
      </c>
      <c r="K216" s="1">
        <v>604</v>
      </c>
      <c r="M216" s="1" t="s">
        <v>707</v>
      </c>
      <c r="N216" s="2">
        <v>46211</v>
      </c>
      <c r="P216" s="1" t="s">
        <v>67</v>
      </c>
      <c r="Q216" s="1" t="s">
        <v>55</v>
      </c>
      <c r="R216" s="1" t="s">
        <v>593</v>
      </c>
      <c r="S216" s="2">
        <v>46206</v>
      </c>
      <c r="T216" s="2">
        <v>46206</v>
      </c>
      <c r="AB216" s="1">
        <v>0</v>
      </c>
      <c r="AC216" s="1">
        <v>0</v>
      </c>
      <c r="AD216" s="1">
        <v>0</v>
      </c>
      <c r="AE216" s="1">
        <v>0</v>
      </c>
      <c r="AF216" s="1">
        <v>1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1</v>
      </c>
      <c r="AM216" s="1">
        <v>0</v>
      </c>
    </row>
    <row r="217" spans="1:39" hidden="1" x14ac:dyDescent="0.25">
      <c r="A217" s="1">
        <v>606</v>
      </c>
      <c r="B217" s="1" t="s">
        <v>850</v>
      </c>
      <c r="C217" s="1" t="s">
        <v>595</v>
      </c>
      <c r="D217" s="1" t="s">
        <v>851</v>
      </c>
      <c r="E217" s="1" t="s">
        <v>260</v>
      </c>
      <c r="F217" s="3">
        <v>46192</v>
      </c>
      <c r="G217" s="3">
        <v>46205</v>
      </c>
      <c r="H217" s="4">
        <v>0.7</v>
      </c>
      <c r="J217" s="1" t="s">
        <v>41</v>
      </c>
      <c r="M217" s="1" t="s">
        <v>342</v>
      </c>
      <c r="N217" s="2">
        <v>46211</v>
      </c>
      <c r="P217" s="1" t="s">
        <v>73</v>
      </c>
      <c r="Q217" s="1" t="s">
        <v>55</v>
      </c>
      <c r="R217" s="1" t="s">
        <v>593</v>
      </c>
      <c r="S217" s="2">
        <v>46189</v>
      </c>
      <c r="T217" s="2">
        <v>46206</v>
      </c>
      <c r="U217" s="1" t="s">
        <v>77</v>
      </c>
      <c r="AB217" s="1">
        <v>0.7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</row>
    <row r="218" spans="1:39" hidden="1" x14ac:dyDescent="0.25">
      <c r="A218" s="1">
        <v>608</v>
      </c>
      <c r="B218" s="1" t="s">
        <v>854</v>
      </c>
      <c r="C218" s="1" t="s">
        <v>853</v>
      </c>
      <c r="D218" s="1" t="s">
        <v>105</v>
      </c>
      <c r="E218" s="1" t="s">
        <v>52</v>
      </c>
      <c r="F218" s="3">
        <v>46203</v>
      </c>
      <c r="G218" s="3">
        <v>46203</v>
      </c>
      <c r="H218" s="4">
        <v>0</v>
      </c>
      <c r="J218" s="1" t="s">
        <v>41</v>
      </c>
      <c r="K218" s="1">
        <v>607</v>
      </c>
      <c r="L218" s="1">
        <v>609</v>
      </c>
      <c r="M218" s="1" t="s">
        <v>166</v>
      </c>
      <c r="N218" s="2">
        <v>46206</v>
      </c>
      <c r="P218" s="1" t="s">
        <v>146</v>
      </c>
      <c r="Q218" s="1" t="s">
        <v>55</v>
      </c>
      <c r="R218" s="1" t="s">
        <v>593</v>
      </c>
      <c r="S218" s="2">
        <v>46203</v>
      </c>
      <c r="T218" s="2">
        <v>46203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1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</row>
    <row r="219" spans="1:39" hidden="1" x14ac:dyDescent="0.25">
      <c r="A219" s="1">
        <v>609</v>
      </c>
      <c r="B219" s="1" t="s">
        <v>855</v>
      </c>
      <c r="C219" s="1" t="s">
        <v>853</v>
      </c>
      <c r="D219" s="1" t="s">
        <v>109</v>
      </c>
      <c r="E219" s="1" t="s">
        <v>52</v>
      </c>
      <c r="F219" s="3">
        <v>46204</v>
      </c>
      <c r="G219" s="3">
        <v>46204</v>
      </c>
      <c r="H219" s="4">
        <v>0</v>
      </c>
      <c r="J219" s="1" t="s">
        <v>41</v>
      </c>
      <c r="K219" s="1">
        <v>608</v>
      </c>
      <c r="L219" s="1">
        <v>610</v>
      </c>
      <c r="M219" s="1" t="s">
        <v>705</v>
      </c>
      <c r="N219" s="2">
        <v>46210</v>
      </c>
      <c r="P219" s="1" t="s">
        <v>67</v>
      </c>
      <c r="Q219" s="1" t="s">
        <v>55</v>
      </c>
      <c r="R219" s="1" t="s">
        <v>593</v>
      </c>
      <c r="S219" s="2">
        <v>46204</v>
      </c>
      <c r="T219" s="2">
        <v>46205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1</v>
      </c>
      <c r="AK219" s="1">
        <v>0</v>
      </c>
      <c r="AL219" s="1">
        <v>0</v>
      </c>
      <c r="AM219" s="1">
        <v>0</v>
      </c>
    </row>
    <row r="220" spans="1:39" hidden="1" x14ac:dyDescent="0.25">
      <c r="A220" s="1">
        <v>610</v>
      </c>
      <c r="B220" s="1" t="s">
        <v>856</v>
      </c>
      <c r="C220" s="1" t="s">
        <v>853</v>
      </c>
      <c r="D220" s="1" t="s">
        <v>115</v>
      </c>
      <c r="E220" s="1" t="s">
        <v>52</v>
      </c>
      <c r="F220" s="3">
        <v>46205</v>
      </c>
      <c r="G220" s="3">
        <v>46205</v>
      </c>
      <c r="H220" s="4">
        <v>0</v>
      </c>
      <c r="J220" s="1" t="s">
        <v>41</v>
      </c>
      <c r="K220" s="1">
        <v>609</v>
      </c>
      <c r="M220" s="1" t="s">
        <v>707</v>
      </c>
      <c r="N220" s="2">
        <v>46211</v>
      </c>
      <c r="P220" s="1" t="s">
        <v>67</v>
      </c>
      <c r="Q220" s="1" t="s">
        <v>55</v>
      </c>
      <c r="R220" s="1" t="s">
        <v>593</v>
      </c>
      <c r="S220" s="2">
        <v>46206</v>
      </c>
      <c r="T220" s="2">
        <v>46206</v>
      </c>
      <c r="AB220" s="1">
        <v>0</v>
      </c>
      <c r="AC220" s="1">
        <v>0</v>
      </c>
      <c r="AD220" s="1">
        <v>0</v>
      </c>
      <c r="AE220" s="1">
        <v>0</v>
      </c>
      <c r="AF220" s="1">
        <v>1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1</v>
      </c>
      <c r="AM220" s="1">
        <v>0</v>
      </c>
    </row>
    <row r="221" spans="1:39" hidden="1" x14ac:dyDescent="0.25">
      <c r="A221" s="1">
        <v>611</v>
      </c>
      <c r="B221" s="1" t="s">
        <v>857</v>
      </c>
      <c r="C221" s="1" t="s">
        <v>595</v>
      </c>
      <c r="D221" s="1" t="s">
        <v>858</v>
      </c>
      <c r="E221" s="1" t="s">
        <v>260</v>
      </c>
      <c r="F221" s="3">
        <v>46192</v>
      </c>
      <c r="G221" s="3">
        <v>46205</v>
      </c>
      <c r="H221" s="4">
        <v>0.7</v>
      </c>
      <c r="J221" s="1" t="s">
        <v>41</v>
      </c>
      <c r="M221" s="1" t="s">
        <v>342</v>
      </c>
      <c r="N221" s="2">
        <v>46211</v>
      </c>
      <c r="P221" s="1" t="s">
        <v>73</v>
      </c>
      <c r="Q221" s="1" t="s">
        <v>55</v>
      </c>
      <c r="R221" s="1" t="s">
        <v>593</v>
      </c>
      <c r="S221" s="2">
        <v>46189</v>
      </c>
      <c r="T221" s="2">
        <v>46206</v>
      </c>
      <c r="U221" s="1" t="s">
        <v>77</v>
      </c>
      <c r="AB221" s="1">
        <v>0.7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</row>
    <row r="222" spans="1:39" hidden="1" x14ac:dyDescent="0.25">
      <c r="A222" s="1">
        <v>613</v>
      </c>
      <c r="B222" s="1" t="s">
        <v>861</v>
      </c>
      <c r="C222" s="1" t="s">
        <v>860</v>
      </c>
      <c r="D222" s="1" t="s">
        <v>105</v>
      </c>
      <c r="E222" s="1" t="s">
        <v>52</v>
      </c>
      <c r="F222" s="3">
        <v>46203</v>
      </c>
      <c r="G222" s="3">
        <v>46203</v>
      </c>
      <c r="H222" s="4">
        <v>0</v>
      </c>
      <c r="J222" s="1" t="s">
        <v>41</v>
      </c>
      <c r="K222" s="1">
        <v>612</v>
      </c>
      <c r="L222" s="1">
        <v>614</v>
      </c>
      <c r="M222" s="1" t="s">
        <v>166</v>
      </c>
      <c r="N222" s="2">
        <v>46206</v>
      </c>
      <c r="P222" s="1" t="s">
        <v>146</v>
      </c>
      <c r="Q222" s="1" t="s">
        <v>55</v>
      </c>
      <c r="R222" s="1" t="s">
        <v>593</v>
      </c>
      <c r="S222" s="2">
        <v>46203</v>
      </c>
      <c r="T222" s="2">
        <v>46203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1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</row>
    <row r="223" spans="1:39" hidden="1" x14ac:dyDescent="0.25">
      <c r="A223" s="1">
        <v>614</v>
      </c>
      <c r="B223" s="1" t="s">
        <v>862</v>
      </c>
      <c r="C223" s="1" t="s">
        <v>860</v>
      </c>
      <c r="D223" s="1" t="s">
        <v>109</v>
      </c>
      <c r="E223" s="1" t="s">
        <v>52</v>
      </c>
      <c r="F223" s="3">
        <v>46204</v>
      </c>
      <c r="G223" s="3">
        <v>46204</v>
      </c>
      <c r="H223" s="4">
        <v>0</v>
      </c>
      <c r="J223" s="1" t="s">
        <v>41</v>
      </c>
      <c r="K223" s="1">
        <v>613</v>
      </c>
      <c r="L223" s="1">
        <v>615</v>
      </c>
      <c r="M223" s="1" t="s">
        <v>705</v>
      </c>
      <c r="N223" s="2">
        <v>46210</v>
      </c>
      <c r="P223" s="1" t="s">
        <v>67</v>
      </c>
      <c r="Q223" s="1" t="s">
        <v>55</v>
      </c>
      <c r="R223" s="1" t="s">
        <v>593</v>
      </c>
      <c r="S223" s="2">
        <v>46204</v>
      </c>
      <c r="T223" s="2">
        <v>46205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1</v>
      </c>
      <c r="AK223" s="1">
        <v>0</v>
      </c>
      <c r="AL223" s="1">
        <v>0</v>
      </c>
      <c r="AM223" s="1">
        <v>0</v>
      </c>
    </row>
    <row r="224" spans="1:39" hidden="1" x14ac:dyDescent="0.25">
      <c r="A224" s="1">
        <v>615</v>
      </c>
      <c r="B224" s="1" t="s">
        <v>863</v>
      </c>
      <c r="C224" s="1" t="s">
        <v>860</v>
      </c>
      <c r="D224" s="1" t="s">
        <v>115</v>
      </c>
      <c r="E224" s="1" t="s">
        <v>52</v>
      </c>
      <c r="F224" s="3">
        <v>46205</v>
      </c>
      <c r="G224" s="3">
        <v>46205</v>
      </c>
      <c r="H224" s="4">
        <v>0</v>
      </c>
      <c r="J224" s="1" t="s">
        <v>41</v>
      </c>
      <c r="K224" s="1">
        <v>614</v>
      </c>
      <c r="M224" s="1" t="s">
        <v>707</v>
      </c>
      <c r="N224" s="2">
        <v>46211</v>
      </c>
      <c r="P224" s="1" t="s">
        <v>67</v>
      </c>
      <c r="Q224" s="1" t="s">
        <v>55</v>
      </c>
      <c r="R224" s="1" t="s">
        <v>593</v>
      </c>
      <c r="S224" s="2">
        <v>46206</v>
      </c>
      <c r="T224" s="2">
        <v>46206</v>
      </c>
      <c r="AB224" s="1">
        <v>0</v>
      </c>
      <c r="AC224" s="1">
        <v>0</v>
      </c>
      <c r="AD224" s="1">
        <v>0</v>
      </c>
      <c r="AE224" s="1">
        <v>0</v>
      </c>
      <c r="AF224" s="1">
        <v>1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1</v>
      </c>
      <c r="AM224" s="1">
        <v>0</v>
      </c>
    </row>
    <row r="225" spans="1:39" hidden="1" x14ac:dyDescent="0.25">
      <c r="A225" s="1">
        <v>621</v>
      </c>
      <c r="B225" s="1" t="s">
        <v>872</v>
      </c>
      <c r="C225" s="1" t="s">
        <v>595</v>
      </c>
      <c r="D225" s="1" t="s">
        <v>873</v>
      </c>
      <c r="E225" s="1" t="s">
        <v>272</v>
      </c>
      <c r="F225" s="3">
        <v>46189</v>
      </c>
      <c r="G225" s="3">
        <v>46198</v>
      </c>
      <c r="H225" s="4">
        <v>0.75</v>
      </c>
      <c r="J225" s="1" t="s">
        <v>41</v>
      </c>
      <c r="M225" s="1" t="s">
        <v>160</v>
      </c>
      <c r="N225" s="2">
        <v>46211</v>
      </c>
      <c r="P225" s="1" t="s">
        <v>73</v>
      </c>
      <c r="Q225" s="1" t="s">
        <v>55</v>
      </c>
      <c r="R225" s="1" t="s">
        <v>593</v>
      </c>
      <c r="S225" s="2">
        <v>46197</v>
      </c>
      <c r="T225" s="2">
        <v>46205</v>
      </c>
      <c r="U225" s="1" t="s">
        <v>77</v>
      </c>
      <c r="AB225" s="1">
        <v>0.75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</row>
    <row r="226" spans="1:39" hidden="1" x14ac:dyDescent="0.25">
      <c r="A226" s="1">
        <v>624</v>
      </c>
      <c r="B226" s="1" t="s">
        <v>877</v>
      </c>
      <c r="C226" s="1" t="s">
        <v>875</v>
      </c>
      <c r="D226" s="1" t="s">
        <v>109</v>
      </c>
      <c r="E226" s="1" t="s">
        <v>116</v>
      </c>
      <c r="F226" s="3">
        <v>46196</v>
      </c>
      <c r="G226" s="3">
        <v>46197</v>
      </c>
      <c r="H226" s="4">
        <v>0.5</v>
      </c>
      <c r="J226" s="1" t="s">
        <v>41</v>
      </c>
      <c r="K226" s="1">
        <v>623</v>
      </c>
      <c r="L226" s="1">
        <v>625</v>
      </c>
      <c r="M226" s="1" t="s">
        <v>705</v>
      </c>
      <c r="N226" s="2">
        <v>46210</v>
      </c>
      <c r="P226" s="1" t="s">
        <v>146</v>
      </c>
      <c r="Q226" s="1" t="s">
        <v>55</v>
      </c>
      <c r="R226" s="1" t="s">
        <v>593</v>
      </c>
      <c r="S226" s="2">
        <v>46203</v>
      </c>
      <c r="T226" s="2">
        <v>46204</v>
      </c>
      <c r="AB226" s="1">
        <v>0.5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1</v>
      </c>
      <c r="AK226" s="1">
        <v>0</v>
      </c>
      <c r="AL226" s="1">
        <v>0</v>
      </c>
      <c r="AM226" s="1">
        <v>0</v>
      </c>
    </row>
    <row r="227" spans="1:39" hidden="1" x14ac:dyDescent="0.25">
      <c r="A227" s="1">
        <v>625</v>
      </c>
      <c r="B227" s="1" t="s">
        <v>878</v>
      </c>
      <c r="C227" s="1" t="s">
        <v>875</v>
      </c>
      <c r="D227" s="1" t="s">
        <v>115</v>
      </c>
      <c r="E227" s="1" t="s">
        <v>52</v>
      </c>
      <c r="F227" s="3">
        <v>46198</v>
      </c>
      <c r="G227" s="3">
        <v>46198</v>
      </c>
      <c r="H227" s="4">
        <v>0</v>
      </c>
      <c r="J227" s="1" t="s">
        <v>41</v>
      </c>
      <c r="K227" s="1">
        <v>624</v>
      </c>
      <c r="M227" s="1" t="s">
        <v>707</v>
      </c>
      <c r="N227" s="2">
        <v>46211</v>
      </c>
      <c r="P227" s="1" t="s">
        <v>146</v>
      </c>
      <c r="Q227" s="1" t="s">
        <v>55</v>
      </c>
      <c r="R227" s="1" t="s">
        <v>593</v>
      </c>
      <c r="S227" s="2">
        <v>46205</v>
      </c>
      <c r="T227" s="2">
        <v>46205</v>
      </c>
      <c r="AB227" s="1">
        <v>0</v>
      </c>
      <c r="AC227" s="1">
        <v>0</v>
      </c>
      <c r="AD227" s="1">
        <v>0</v>
      </c>
      <c r="AE227" s="1">
        <v>0</v>
      </c>
      <c r="AF227" s="1">
        <v>1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1</v>
      </c>
      <c r="AM227" s="1">
        <v>0</v>
      </c>
    </row>
    <row r="228" spans="1:39" hidden="1" x14ac:dyDescent="0.25">
      <c r="A228" s="1">
        <v>628</v>
      </c>
      <c r="B228" s="1" t="s">
        <v>883</v>
      </c>
      <c r="C228" s="1" t="s">
        <v>882</v>
      </c>
      <c r="D228" s="1" t="s">
        <v>105</v>
      </c>
      <c r="E228" s="1" t="s">
        <v>52</v>
      </c>
      <c r="F228" s="3">
        <v>46206</v>
      </c>
      <c r="G228" s="3">
        <v>46206</v>
      </c>
      <c r="H228" s="4">
        <v>0</v>
      </c>
      <c r="J228" s="1" t="s">
        <v>168</v>
      </c>
      <c r="K228" s="1">
        <v>627</v>
      </c>
      <c r="L228" s="1">
        <v>629</v>
      </c>
      <c r="M228" s="1" t="s">
        <v>166</v>
      </c>
      <c r="N228" s="2">
        <v>46206</v>
      </c>
      <c r="P228" s="1" t="s">
        <v>146</v>
      </c>
      <c r="Q228" s="1" t="s">
        <v>55</v>
      </c>
      <c r="R228" s="1" t="s">
        <v>593</v>
      </c>
      <c r="S228" s="2">
        <v>46202</v>
      </c>
      <c r="T228" s="2">
        <v>46202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</row>
    <row r="229" spans="1:39" hidden="1" x14ac:dyDescent="0.25">
      <c r="A229" s="1">
        <v>8</v>
      </c>
      <c r="B229" s="1" t="s">
        <v>74</v>
      </c>
      <c r="C229" s="1" t="s">
        <v>63</v>
      </c>
      <c r="D229" s="1" t="s">
        <v>75</v>
      </c>
      <c r="E229" s="1" t="s">
        <v>907</v>
      </c>
      <c r="F229" s="3">
        <v>46178</v>
      </c>
      <c r="G229" s="3">
        <v>46178</v>
      </c>
      <c r="H229" s="4">
        <v>0</v>
      </c>
      <c r="J229" s="1" t="s">
        <v>83</v>
      </c>
      <c r="L229" s="1">
        <v>393</v>
      </c>
      <c r="M229" s="1" t="s">
        <v>66</v>
      </c>
      <c r="N229" s="2">
        <v>46178</v>
      </c>
      <c r="P229" s="1" t="s">
        <v>348</v>
      </c>
      <c r="Q229" s="1" t="s">
        <v>55</v>
      </c>
      <c r="R229" s="1" t="s">
        <v>61</v>
      </c>
      <c r="S229" s="2">
        <v>46178</v>
      </c>
      <c r="T229" s="2">
        <v>46178</v>
      </c>
      <c r="U229" s="1" t="s">
        <v>908</v>
      </c>
      <c r="W229" s="1" t="s">
        <v>909</v>
      </c>
      <c r="X229" s="1" t="s">
        <v>63</v>
      </c>
      <c r="Y229" s="1" t="s">
        <v>910</v>
      </c>
      <c r="Z229" s="1" t="s">
        <v>911</v>
      </c>
      <c r="AA229" s="1" t="b">
        <v>1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</row>
    <row r="230" spans="1:39" hidden="1" x14ac:dyDescent="0.25">
      <c r="A230" s="1">
        <v>30</v>
      </c>
      <c r="B230" s="1" t="s">
        <v>912</v>
      </c>
      <c r="C230" s="1" t="s">
        <v>142</v>
      </c>
      <c r="D230" s="1" t="s">
        <v>913</v>
      </c>
      <c r="E230" s="1" t="s">
        <v>701</v>
      </c>
      <c r="F230" s="3">
        <v>46191</v>
      </c>
      <c r="G230" s="3">
        <v>46199</v>
      </c>
      <c r="H230" s="4">
        <v>0</v>
      </c>
      <c r="J230" s="1" t="s">
        <v>83</v>
      </c>
      <c r="M230" s="1" t="s">
        <v>228</v>
      </c>
      <c r="N230" s="2">
        <v>46199</v>
      </c>
      <c r="P230" s="1" t="s">
        <v>348</v>
      </c>
      <c r="Q230" s="1" t="s">
        <v>55</v>
      </c>
      <c r="R230" s="1" t="s">
        <v>140</v>
      </c>
      <c r="S230" s="2">
        <v>46184</v>
      </c>
      <c r="T230" s="2">
        <v>46192</v>
      </c>
      <c r="U230" s="1" t="s">
        <v>908</v>
      </c>
      <c r="W230" s="1" t="s">
        <v>914</v>
      </c>
      <c r="X230" s="1" t="s">
        <v>142</v>
      </c>
      <c r="Y230" s="1" t="s">
        <v>915</v>
      </c>
      <c r="Z230" s="1" t="s">
        <v>914</v>
      </c>
      <c r="AA230" s="1" t="b">
        <v>1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</row>
    <row r="231" spans="1:39" hidden="1" x14ac:dyDescent="0.25">
      <c r="A231" s="1">
        <v>107</v>
      </c>
      <c r="B231" s="1" t="s">
        <v>916</v>
      </c>
      <c r="C231" s="1" t="s">
        <v>204</v>
      </c>
      <c r="D231" s="1" t="s">
        <v>917</v>
      </c>
      <c r="E231" s="1" t="s">
        <v>918</v>
      </c>
      <c r="F231" s="3">
        <v>46176</v>
      </c>
      <c r="G231" s="3">
        <v>46191</v>
      </c>
      <c r="H231" s="4">
        <v>0</v>
      </c>
      <c r="J231" s="1" t="s">
        <v>83</v>
      </c>
      <c r="M231" s="1" t="s">
        <v>261</v>
      </c>
      <c r="N231" s="2">
        <v>46191</v>
      </c>
      <c r="P231" s="1" t="s">
        <v>348</v>
      </c>
      <c r="Q231" s="1" t="s">
        <v>55</v>
      </c>
      <c r="R231" s="1" t="s">
        <v>202</v>
      </c>
      <c r="S231" s="2">
        <v>46163</v>
      </c>
      <c r="T231" s="2">
        <v>46178</v>
      </c>
      <c r="U231" s="1" t="s">
        <v>908</v>
      </c>
      <c r="W231" s="1" t="s">
        <v>919</v>
      </c>
      <c r="X231" s="1" t="s">
        <v>204</v>
      </c>
      <c r="Y231" s="1" t="s">
        <v>920</v>
      </c>
      <c r="Z231" s="1" t="s">
        <v>919</v>
      </c>
      <c r="AA231" s="1" t="b">
        <v>1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</row>
    <row r="232" spans="1:39" hidden="1" x14ac:dyDescent="0.25">
      <c r="A232" s="1">
        <v>138</v>
      </c>
      <c r="B232" s="1" t="s">
        <v>921</v>
      </c>
      <c r="C232" s="1" t="s">
        <v>328</v>
      </c>
      <c r="D232" s="1" t="s">
        <v>922</v>
      </c>
      <c r="E232" s="1" t="s">
        <v>701</v>
      </c>
      <c r="F232" s="3">
        <v>46189</v>
      </c>
      <c r="G232" s="3">
        <v>46197</v>
      </c>
      <c r="H232" s="4">
        <v>0</v>
      </c>
      <c r="J232" s="1" t="s">
        <v>83</v>
      </c>
      <c r="M232" s="1" t="s">
        <v>268</v>
      </c>
      <c r="N232" s="2">
        <v>46197</v>
      </c>
      <c r="P232" s="1" t="s">
        <v>348</v>
      </c>
      <c r="Q232" s="1" t="s">
        <v>55</v>
      </c>
      <c r="R232" s="1" t="s">
        <v>326</v>
      </c>
      <c r="S232" s="2">
        <v>46176</v>
      </c>
      <c r="T232" s="2">
        <v>46184</v>
      </c>
      <c r="U232" s="1" t="s">
        <v>908</v>
      </c>
      <c r="W232" s="1" t="s">
        <v>923</v>
      </c>
      <c r="AA232" s="1" t="b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</row>
    <row r="233" spans="1:39" hidden="1" x14ac:dyDescent="0.25">
      <c r="A233" s="1">
        <v>148</v>
      </c>
      <c r="B233" s="1" t="s">
        <v>924</v>
      </c>
      <c r="C233" s="1" t="s">
        <v>328</v>
      </c>
      <c r="D233" s="1" t="s">
        <v>925</v>
      </c>
      <c r="E233" s="1" t="s">
        <v>701</v>
      </c>
      <c r="F233" s="3">
        <v>46183</v>
      </c>
      <c r="G233" s="3">
        <v>46191</v>
      </c>
      <c r="H233" s="4">
        <v>0</v>
      </c>
      <c r="J233" s="1" t="s">
        <v>83</v>
      </c>
      <c r="M233" s="1" t="s">
        <v>224</v>
      </c>
      <c r="N233" s="2">
        <v>46191</v>
      </c>
      <c r="P233" s="1" t="s">
        <v>348</v>
      </c>
      <c r="Q233" s="1" t="s">
        <v>55</v>
      </c>
      <c r="R233" s="1" t="s">
        <v>326</v>
      </c>
      <c r="S233" s="2">
        <v>46170</v>
      </c>
      <c r="T233" s="2">
        <v>46178</v>
      </c>
      <c r="U233" s="1" t="s">
        <v>908</v>
      </c>
      <c r="W233" s="1" t="s">
        <v>926</v>
      </c>
      <c r="AA233" s="1" t="b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</row>
    <row r="234" spans="1:39" hidden="1" x14ac:dyDescent="0.25">
      <c r="A234" s="1">
        <v>153</v>
      </c>
      <c r="B234" s="1" t="s">
        <v>927</v>
      </c>
      <c r="C234" s="1" t="s">
        <v>328</v>
      </c>
      <c r="D234" s="1" t="s">
        <v>928</v>
      </c>
      <c r="E234" s="1" t="s">
        <v>701</v>
      </c>
      <c r="F234" s="3">
        <v>46178</v>
      </c>
      <c r="G234" s="3">
        <v>46188</v>
      </c>
      <c r="H234" s="4">
        <v>0</v>
      </c>
      <c r="J234" s="1" t="s">
        <v>83</v>
      </c>
      <c r="M234" s="1" t="s">
        <v>66</v>
      </c>
      <c r="N234" s="2">
        <v>46188</v>
      </c>
      <c r="P234" s="1" t="s">
        <v>348</v>
      </c>
      <c r="Q234" s="1" t="s">
        <v>55</v>
      </c>
      <c r="R234" s="1" t="s">
        <v>326</v>
      </c>
      <c r="S234" s="2">
        <v>46167</v>
      </c>
      <c r="T234" s="2">
        <v>46175</v>
      </c>
      <c r="U234" s="1" t="s">
        <v>908</v>
      </c>
      <c r="W234" s="1" t="s">
        <v>929</v>
      </c>
      <c r="X234" s="1" t="s">
        <v>328</v>
      </c>
      <c r="Y234" s="1" t="s">
        <v>930</v>
      </c>
      <c r="Z234" s="1" t="s">
        <v>929</v>
      </c>
      <c r="AA234" s="1" t="b">
        <v>1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</row>
    <row r="235" spans="1:39" hidden="1" x14ac:dyDescent="0.25">
      <c r="A235" s="1">
        <v>158</v>
      </c>
      <c r="B235" s="1" t="s">
        <v>931</v>
      </c>
      <c r="C235" s="1" t="s">
        <v>328</v>
      </c>
      <c r="D235" s="1" t="s">
        <v>932</v>
      </c>
      <c r="E235" s="1" t="s">
        <v>701</v>
      </c>
      <c r="F235" s="3">
        <v>46178</v>
      </c>
      <c r="G235" s="3">
        <v>46188</v>
      </c>
      <c r="H235" s="4">
        <v>0</v>
      </c>
      <c r="J235" s="1" t="s">
        <v>83</v>
      </c>
      <c r="M235" s="1" t="s">
        <v>66</v>
      </c>
      <c r="N235" s="2">
        <v>46188</v>
      </c>
      <c r="P235" s="1" t="s">
        <v>348</v>
      </c>
      <c r="Q235" s="1" t="s">
        <v>55</v>
      </c>
      <c r="R235" s="1" t="s">
        <v>326</v>
      </c>
      <c r="S235" s="2">
        <v>46167</v>
      </c>
      <c r="T235" s="2">
        <v>46175</v>
      </c>
      <c r="U235" s="1" t="s">
        <v>908</v>
      </c>
      <c r="W235" s="1" t="s">
        <v>933</v>
      </c>
      <c r="AA235" s="1" t="b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</row>
    <row r="236" spans="1:39" hidden="1" x14ac:dyDescent="0.25">
      <c r="A236" s="1">
        <v>178</v>
      </c>
      <c r="B236" s="1" t="s">
        <v>934</v>
      </c>
      <c r="C236" s="1" t="s">
        <v>328</v>
      </c>
      <c r="D236" s="1" t="s">
        <v>935</v>
      </c>
      <c r="E236" s="1" t="s">
        <v>936</v>
      </c>
      <c r="F236" s="3">
        <v>46181</v>
      </c>
      <c r="G236" s="3">
        <v>46198</v>
      </c>
      <c r="H236" s="4">
        <v>0</v>
      </c>
      <c r="J236" s="1" t="s">
        <v>83</v>
      </c>
      <c r="M236" s="1" t="s">
        <v>195</v>
      </c>
      <c r="N236" s="2">
        <v>46198</v>
      </c>
      <c r="P236" s="1" t="s">
        <v>348</v>
      </c>
      <c r="Q236" s="1" t="s">
        <v>55</v>
      </c>
      <c r="R236" s="1" t="s">
        <v>326</v>
      </c>
      <c r="S236" s="2">
        <v>46157</v>
      </c>
      <c r="T236" s="2">
        <v>46176</v>
      </c>
      <c r="U236" s="1" t="s">
        <v>908</v>
      </c>
      <c r="W236" s="1" t="s">
        <v>937</v>
      </c>
      <c r="AA236" s="1" t="b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</row>
    <row r="237" spans="1:39" hidden="1" x14ac:dyDescent="0.25">
      <c r="A237" s="1">
        <v>198</v>
      </c>
      <c r="B237" s="1" t="s">
        <v>938</v>
      </c>
      <c r="C237" s="1" t="s">
        <v>328</v>
      </c>
      <c r="D237" s="1" t="s">
        <v>939</v>
      </c>
      <c r="E237" s="1" t="s">
        <v>701</v>
      </c>
      <c r="F237" s="3">
        <v>46178</v>
      </c>
      <c r="G237" s="3">
        <v>46188</v>
      </c>
      <c r="H237" s="4">
        <v>0</v>
      </c>
      <c r="J237" s="1" t="s">
        <v>83</v>
      </c>
      <c r="M237" s="1" t="s">
        <v>66</v>
      </c>
      <c r="N237" s="2">
        <v>46188</v>
      </c>
      <c r="P237" s="1" t="s">
        <v>348</v>
      </c>
      <c r="Q237" s="1" t="s">
        <v>55</v>
      </c>
      <c r="R237" s="1" t="s">
        <v>326</v>
      </c>
      <c r="S237" s="2">
        <v>46167</v>
      </c>
      <c r="T237" s="2">
        <v>46175</v>
      </c>
      <c r="U237" s="1" t="s">
        <v>908</v>
      </c>
      <c r="W237" s="1" t="s">
        <v>940</v>
      </c>
      <c r="AA237" s="1" t="b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</row>
    <row r="238" spans="1:39" hidden="1" x14ac:dyDescent="0.25">
      <c r="A238" s="1">
        <v>203</v>
      </c>
      <c r="B238" s="1" t="s">
        <v>941</v>
      </c>
      <c r="C238" s="1" t="s">
        <v>328</v>
      </c>
      <c r="D238" s="1" t="s">
        <v>942</v>
      </c>
      <c r="E238" s="1" t="s">
        <v>701</v>
      </c>
      <c r="F238" s="3">
        <v>46178</v>
      </c>
      <c r="G238" s="3">
        <v>46188</v>
      </c>
      <c r="H238" s="4">
        <v>0</v>
      </c>
      <c r="J238" s="1" t="s">
        <v>83</v>
      </c>
      <c r="M238" s="1" t="s">
        <v>66</v>
      </c>
      <c r="N238" s="2">
        <v>46188</v>
      </c>
      <c r="P238" s="1" t="s">
        <v>348</v>
      </c>
      <c r="Q238" s="1" t="s">
        <v>55</v>
      </c>
      <c r="R238" s="1" t="s">
        <v>326</v>
      </c>
      <c r="S238" s="2">
        <v>46167</v>
      </c>
      <c r="T238" s="2">
        <v>46175</v>
      </c>
      <c r="U238" s="1" t="s">
        <v>908</v>
      </c>
      <c r="W238" s="1" t="s">
        <v>943</v>
      </c>
      <c r="AA238" s="1" t="b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</row>
    <row r="239" spans="1:39" hidden="1" x14ac:dyDescent="0.25">
      <c r="A239" s="1">
        <v>208</v>
      </c>
      <c r="B239" s="1" t="s">
        <v>944</v>
      </c>
      <c r="C239" s="1" t="s">
        <v>328</v>
      </c>
      <c r="D239" s="1" t="s">
        <v>945</v>
      </c>
      <c r="E239" s="1" t="s">
        <v>701</v>
      </c>
      <c r="F239" s="3">
        <v>46178</v>
      </c>
      <c r="G239" s="3">
        <v>46188</v>
      </c>
      <c r="H239" s="4">
        <v>0</v>
      </c>
      <c r="J239" s="1" t="s">
        <v>83</v>
      </c>
      <c r="M239" s="1" t="s">
        <v>66</v>
      </c>
      <c r="N239" s="2">
        <v>46188</v>
      </c>
      <c r="P239" s="1" t="s">
        <v>348</v>
      </c>
      <c r="Q239" s="1" t="s">
        <v>55</v>
      </c>
      <c r="R239" s="1" t="s">
        <v>326</v>
      </c>
      <c r="S239" s="2">
        <v>46167</v>
      </c>
      <c r="T239" s="2">
        <v>46175</v>
      </c>
      <c r="U239" s="1" t="s">
        <v>908</v>
      </c>
      <c r="W239" s="1" t="s">
        <v>946</v>
      </c>
      <c r="AA239" s="1" t="b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</row>
    <row r="240" spans="1:39" hidden="1" x14ac:dyDescent="0.25">
      <c r="A240" s="1">
        <v>218</v>
      </c>
      <c r="B240" s="1" t="s">
        <v>947</v>
      </c>
      <c r="C240" s="1" t="s">
        <v>328</v>
      </c>
      <c r="D240" s="1" t="s">
        <v>948</v>
      </c>
      <c r="E240" s="1" t="s">
        <v>936</v>
      </c>
      <c r="F240" s="3">
        <v>46175</v>
      </c>
      <c r="G240" s="3">
        <v>46192</v>
      </c>
      <c r="H240" s="4">
        <v>0</v>
      </c>
      <c r="J240" s="1" t="s">
        <v>83</v>
      </c>
      <c r="M240" s="1" t="s">
        <v>214</v>
      </c>
      <c r="N240" s="2">
        <v>46192</v>
      </c>
      <c r="P240" s="1" t="s">
        <v>348</v>
      </c>
      <c r="Q240" s="1" t="s">
        <v>55</v>
      </c>
      <c r="R240" s="1" t="s">
        <v>326</v>
      </c>
      <c r="S240" s="2">
        <v>46162</v>
      </c>
      <c r="T240" s="2">
        <v>46181</v>
      </c>
      <c r="U240" s="1" t="s">
        <v>908</v>
      </c>
      <c r="W240" s="1" t="s">
        <v>949</v>
      </c>
      <c r="AA240" s="1" t="b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</row>
    <row r="241" spans="1:39" hidden="1" x14ac:dyDescent="0.25">
      <c r="A241" s="1">
        <v>239</v>
      </c>
      <c r="B241" s="1" t="s">
        <v>950</v>
      </c>
      <c r="C241" s="1" t="s">
        <v>403</v>
      </c>
      <c r="D241" s="1" t="s">
        <v>951</v>
      </c>
      <c r="E241" s="1" t="s">
        <v>701</v>
      </c>
      <c r="F241" s="3">
        <v>46197</v>
      </c>
      <c r="G241" s="3">
        <v>46205</v>
      </c>
      <c r="H241" s="4">
        <v>0</v>
      </c>
      <c r="J241" s="1" t="s">
        <v>83</v>
      </c>
      <c r="M241" s="1" t="s">
        <v>342</v>
      </c>
      <c r="N241" s="2">
        <v>46205</v>
      </c>
      <c r="P241" s="1" t="s">
        <v>348</v>
      </c>
      <c r="Q241" s="1" t="s">
        <v>55</v>
      </c>
      <c r="R241" s="1" t="s">
        <v>401</v>
      </c>
      <c r="S241" s="2">
        <v>46189</v>
      </c>
      <c r="T241" s="2">
        <v>46197</v>
      </c>
      <c r="U241" s="1" t="s">
        <v>908</v>
      </c>
      <c r="W241" s="1" t="s">
        <v>952</v>
      </c>
      <c r="X241" s="1" t="s">
        <v>403</v>
      </c>
      <c r="Y241" s="1" t="s">
        <v>953</v>
      </c>
      <c r="Z241" s="1" t="s">
        <v>952</v>
      </c>
      <c r="AA241" s="1" t="b">
        <v>1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</row>
    <row r="242" spans="1:39" hidden="1" x14ac:dyDescent="0.25">
      <c r="A242" s="1">
        <v>269</v>
      </c>
      <c r="B242" s="1" t="s">
        <v>954</v>
      </c>
      <c r="C242" s="1" t="s">
        <v>403</v>
      </c>
      <c r="D242" s="1" t="s">
        <v>955</v>
      </c>
      <c r="E242" s="1" t="s">
        <v>956</v>
      </c>
      <c r="F242" s="3">
        <v>46196</v>
      </c>
      <c r="G242" s="3">
        <v>46206</v>
      </c>
      <c r="H242" s="4">
        <v>0</v>
      </c>
      <c r="J242" s="1" t="s">
        <v>83</v>
      </c>
      <c r="M242" s="1" t="s">
        <v>367</v>
      </c>
      <c r="N242" s="2">
        <v>46206</v>
      </c>
      <c r="P242" s="1" t="s">
        <v>348</v>
      </c>
      <c r="Q242" s="1" t="s">
        <v>55</v>
      </c>
      <c r="R242" s="1" t="s">
        <v>401</v>
      </c>
      <c r="S242" s="2">
        <v>46188</v>
      </c>
      <c r="T242" s="2">
        <v>46198</v>
      </c>
      <c r="U242" s="1" t="s">
        <v>908</v>
      </c>
      <c r="W242" s="1" t="s">
        <v>957</v>
      </c>
      <c r="X242" s="1" t="s">
        <v>403</v>
      </c>
      <c r="Y242" s="1" t="s">
        <v>958</v>
      </c>
      <c r="Z242" s="1" t="s">
        <v>957</v>
      </c>
      <c r="AA242" s="1" t="b">
        <v>1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</row>
    <row r="243" spans="1:39" hidden="1" x14ac:dyDescent="0.25">
      <c r="A243" s="1">
        <v>295</v>
      </c>
      <c r="B243" s="1" t="s">
        <v>959</v>
      </c>
      <c r="C243" s="1" t="s">
        <v>472</v>
      </c>
      <c r="D243" s="1" t="s">
        <v>960</v>
      </c>
      <c r="E243" s="1" t="s">
        <v>701</v>
      </c>
      <c r="F243" s="3">
        <v>46197</v>
      </c>
      <c r="G243" s="3">
        <v>46205</v>
      </c>
      <c r="H243" s="4">
        <v>0</v>
      </c>
      <c r="J243" s="1" t="s">
        <v>83</v>
      </c>
      <c r="M243" s="1" t="s">
        <v>342</v>
      </c>
      <c r="N243" s="2">
        <v>46205</v>
      </c>
      <c r="P243" s="1" t="s">
        <v>348</v>
      </c>
      <c r="Q243" s="1" t="s">
        <v>55</v>
      </c>
      <c r="R243" s="1" t="s">
        <v>470</v>
      </c>
      <c r="S243" s="2">
        <v>46185</v>
      </c>
      <c r="T243" s="2">
        <v>46195</v>
      </c>
      <c r="U243" s="1" t="s">
        <v>908</v>
      </c>
      <c r="W243" s="1" t="s">
        <v>961</v>
      </c>
      <c r="X243" s="1" t="s">
        <v>472</v>
      </c>
      <c r="Y243" s="1" t="s">
        <v>962</v>
      </c>
      <c r="Z243" s="1" t="s">
        <v>961</v>
      </c>
      <c r="AA243" s="1" t="b">
        <v>1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</row>
    <row r="244" spans="1:39" hidden="1" x14ac:dyDescent="0.25">
      <c r="A244" s="1">
        <v>340</v>
      </c>
      <c r="B244" s="1" t="s">
        <v>564</v>
      </c>
      <c r="C244" s="1" t="s">
        <v>472</v>
      </c>
      <c r="D244" s="1" t="s">
        <v>963</v>
      </c>
      <c r="E244" s="1" t="s">
        <v>264</v>
      </c>
      <c r="F244" s="3">
        <v>46197</v>
      </c>
      <c r="G244" s="3">
        <v>46204</v>
      </c>
      <c r="H244" s="4">
        <v>0</v>
      </c>
      <c r="J244" s="1" t="s">
        <v>83</v>
      </c>
      <c r="M244" s="1" t="s">
        <v>342</v>
      </c>
      <c r="N244" s="2">
        <v>46204</v>
      </c>
      <c r="P244" s="1" t="s">
        <v>348</v>
      </c>
      <c r="Q244" s="1" t="s">
        <v>55</v>
      </c>
      <c r="R244" s="1" t="s">
        <v>470</v>
      </c>
      <c r="S244" s="2">
        <v>46185</v>
      </c>
      <c r="T244" s="2">
        <v>46197</v>
      </c>
      <c r="U244" s="1" t="s">
        <v>908</v>
      </c>
      <c r="W244" s="1" t="s">
        <v>964</v>
      </c>
      <c r="X244" s="1" t="s">
        <v>472</v>
      </c>
      <c r="Y244" s="1" t="s">
        <v>965</v>
      </c>
      <c r="Z244" s="1" t="s">
        <v>964</v>
      </c>
      <c r="AA244" s="1" t="b">
        <v>1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</row>
    <row r="245" spans="1:39" hidden="1" x14ac:dyDescent="0.25">
      <c r="A245" s="1">
        <v>350</v>
      </c>
      <c r="B245" s="1" t="s">
        <v>969</v>
      </c>
      <c r="C245" s="1" t="s">
        <v>472</v>
      </c>
      <c r="D245" s="1" t="s">
        <v>970</v>
      </c>
      <c r="E245" s="1" t="s">
        <v>971</v>
      </c>
      <c r="F245" s="3">
        <v>46178</v>
      </c>
      <c r="G245" s="3">
        <v>46202</v>
      </c>
      <c r="H245" s="4">
        <v>0</v>
      </c>
      <c r="J245" s="1" t="s">
        <v>83</v>
      </c>
      <c r="M245" s="1" t="s">
        <v>66</v>
      </c>
      <c r="N245" s="2">
        <v>46202</v>
      </c>
      <c r="P245" s="1" t="s">
        <v>348</v>
      </c>
      <c r="Q245" s="1" t="s">
        <v>55</v>
      </c>
      <c r="R245" s="1" t="s">
        <v>470</v>
      </c>
      <c r="S245" s="2">
        <v>46168</v>
      </c>
      <c r="T245" s="2">
        <v>46190</v>
      </c>
      <c r="U245" s="1" t="s">
        <v>908</v>
      </c>
      <c r="W245" s="1" t="s">
        <v>972</v>
      </c>
      <c r="X245" s="1" t="s">
        <v>472</v>
      </c>
      <c r="Y245" s="1" t="s">
        <v>973</v>
      </c>
      <c r="Z245" s="1" t="s">
        <v>972</v>
      </c>
      <c r="AA245" s="1" t="b">
        <v>1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</row>
    <row r="246" spans="1:39" hidden="1" x14ac:dyDescent="0.25">
      <c r="A246" s="1">
        <v>370</v>
      </c>
      <c r="B246" s="1" t="s">
        <v>974</v>
      </c>
      <c r="C246" s="1" t="s">
        <v>472</v>
      </c>
      <c r="D246" s="1" t="s">
        <v>975</v>
      </c>
      <c r="E246" s="1" t="s">
        <v>956</v>
      </c>
      <c r="F246" s="3">
        <v>46183</v>
      </c>
      <c r="G246" s="3">
        <v>46195</v>
      </c>
      <c r="H246" s="4">
        <v>0</v>
      </c>
      <c r="J246" s="1" t="s">
        <v>83</v>
      </c>
      <c r="M246" s="1" t="s">
        <v>224</v>
      </c>
      <c r="N246" s="2">
        <v>46195</v>
      </c>
      <c r="P246" s="1" t="s">
        <v>348</v>
      </c>
      <c r="Q246" s="1" t="s">
        <v>55</v>
      </c>
      <c r="R246" s="1" t="s">
        <v>470</v>
      </c>
      <c r="S246" s="2">
        <v>46171</v>
      </c>
      <c r="T246" s="2">
        <v>46183</v>
      </c>
      <c r="U246" s="1" t="s">
        <v>908</v>
      </c>
      <c r="W246" s="1" t="s">
        <v>976</v>
      </c>
      <c r="X246" s="1" t="s">
        <v>472</v>
      </c>
      <c r="Y246" s="1" t="s">
        <v>977</v>
      </c>
      <c r="Z246" s="1" t="s">
        <v>976</v>
      </c>
      <c r="AA246" s="1" t="b">
        <v>1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</row>
    <row r="247" spans="1:39" hidden="1" x14ac:dyDescent="0.25">
      <c r="A247" s="1">
        <v>375</v>
      </c>
      <c r="B247" s="1" t="s">
        <v>978</v>
      </c>
      <c r="C247" s="1" t="s">
        <v>472</v>
      </c>
      <c r="D247" s="1" t="s">
        <v>979</v>
      </c>
      <c r="E247" s="1" t="s">
        <v>956</v>
      </c>
      <c r="F247" s="3">
        <v>46183</v>
      </c>
      <c r="G247" s="3">
        <v>46195</v>
      </c>
      <c r="H247" s="4">
        <v>0</v>
      </c>
      <c r="J247" s="1" t="s">
        <v>83</v>
      </c>
      <c r="M247" s="1" t="s">
        <v>224</v>
      </c>
      <c r="N247" s="2">
        <v>46195</v>
      </c>
      <c r="P247" s="1" t="s">
        <v>348</v>
      </c>
      <c r="Q247" s="1" t="s">
        <v>55</v>
      </c>
      <c r="R247" s="1" t="s">
        <v>470</v>
      </c>
      <c r="S247" s="2">
        <v>46171</v>
      </c>
      <c r="T247" s="2">
        <v>46183</v>
      </c>
      <c r="U247" s="1" t="s">
        <v>908</v>
      </c>
      <c r="W247" s="1" t="s">
        <v>980</v>
      </c>
      <c r="X247" s="1" t="s">
        <v>472</v>
      </c>
      <c r="Y247" s="1" t="s">
        <v>981</v>
      </c>
      <c r="Z247" s="1" t="s">
        <v>980</v>
      </c>
      <c r="AA247" s="1" t="b">
        <v>1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</row>
    <row r="248" spans="1:39" hidden="1" x14ac:dyDescent="0.25">
      <c r="A248" s="1">
        <v>380</v>
      </c>
      <c r="B248" s="1" t="s">
        <v>982</v>
      </c>
      <c r="C248" s="1" t="s">
        <v>472</v>
      </c>
      <c r="D248" s="1" t="s">
        <v>983</v>
      </c>
      <c r="E248" s="1" t="s">
        <v>956</v>
      </c>
      <c r="F248" s="3">
        <v>46183</v>
      </c>
      <c r="G248" s="3">
        <v>46195</v>
      </c>
      <c r="H248" s="4">
        <v>0</v>
      </c>
      <c r="J248" s="1" t="s">
        <v>83</v>
      </c>
      <c r="M248" s="1" t="s">
        <v>224</v>
      </c>
      <c r="N248" s="2">
        <v>46195</v>
      </c>
      <c r="P248" s="1" t="s">
        <v>348</v>
      </c>
      <c r="Q248" s="1" t="s">
        <v>55</v>
      </c>
      <c r="R248" s="1" t="s">
        <v>470</v>
      </c>
      <c r="S248" s="2">
        <v>46171</v>
      </c>
      <c r="T248" s="2">
        <v>46183</v>
      </c>
      <c r="U248" s="1" t="s">
        <v>908</v>
      </c>
      <c r="W248" s="1" t="s">
        <v>984</v>
      </c>
      <c r="X248" s="1" t="s">
        <v>472</v>
      </c>
      <c r="Y248" s="1" t="s">
        <v>985</v>
      </c>
      <c r="Z248" s="1" t="s">
        <v>984</v>
      </c>
      <c r="AA248" s="1" t="b">
        <v>1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</row>
    <row r="249" spans="1:39" hidden="1" x14ac:dyDescent="0.25">
      <c r="A249" s="1">
        <v>385</v>
      </c>
      <c r="B249" s="1" t="s">
        <v>986</v>
      </c>
      <c r="C249" s="1" t="s">
        <v>472</v>
      </c>
      <c r="D249" s="1" t="s">
        <v>987</v>
      </c>
      <c r="E249" s="1" t="s">
        <v>956</v>
      </c>
      <c r="F249" s="3">
        <v>46183</v>
      </c>
      <c r="G249" s="3">
        <v>46195</v>
      </c>
      <c r="H249" s="4">
        <v>0</v>
      </c>
      <c r="J249" s="1" t="s">
        <v>83</v>
      </c>
      <c r="M249" s="1" t="s">
        <v>224</v>
      </c>
      <c r="N249" s="2">
        <v>46195</v>
      </c>
      <c r="P249" s="1" t="s">
        <v>348</v>
      </c>
      <c r="Q249" s="1" t="s">
        <v>55</v>
      </c>
      <c r="R249" s="1" t="s">
        <v>470</v>
      </c>
      <c r="S249" s="2">
        <v>46171</v>
      </c>
      <c r="T249" s="2">
        <v>46183</v>
      </c>
      <c r="U249" s="1" t="s">
        <v>908</v>
      </c>
      <c r="W249" s="1" t="s">
        <v>988</v>
      </c>
      <c r="X249" s="1" t="s">
        <v>472</v>
      </c>
      <c r="Y249" s="1" t="s">
        <v>989</v>
      </c>
      <c r="Z249" s="1" t="s">
        <v>988</v>
      </c>
      <c r="AA249" s="1" t="b">
        <v>1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</row>
    <row r="250" spans="1:39" hidden="1" x14ac:dyDescent="0.25">
      <c r="A250" s="1">
        <v>406</v>
      </c>
      <c r="B250" s="1" t="s">
        <v>610</v>
      </c>
      <c r="C250" s="1" t="s">
        <v>595</v>
      </c>
      <c r="D250" s="1" t="s">
        <v>990</v>
      </c>
      <c r="E250" s="1" t="s">
        <v>264</v>
      </c>
      <c r="F250" s="3">
        <v>46195</v>
      </c>
      <c r="G250" s="3">
        <v>46202</v>
      </c>
      <c r="H250" s="4">
        <v>0</v>
      </c>
      <c r="J250" s="1" t="s">
        <v>83</v>
      </c>
      <c r="M250" s="1" t="s">
        <v>365</v>
      </c>
      <c r="N250" s="2">
        <v>46202</v>
      </c>
      <c r="P250" s="1" t="s">
        <v>348</v>
      </c>
      <c r="Q250" s="1" t="s">
        <v>44</v>
      </c>
      <c r="R250" s="1" t="s">
        <v>593</v>
      </c>
      <c r="S250" s="2">
        <v>46184</v>
      </c>
      <c r="T250" s="2">
        <v>46192</v>
      </c>
      <c r="U250" s="1" t="s">
        <v>908</v>
      </c>
      <c r="W250" s="1" t="s">
        <v>991</v>
      </c>
      <c r="X250" s="1" t="s">
        <v>595</v>
      </c>
      <c r="Y250" s="1" t="s">
        <v>992</v>
      </c>
      <c r="Z250" s="1" t="s">
        <v>991</v>
      </c>
      <c r="AA250" s="1" t="b">
        <v>1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</row>
    <row r="251" spans="1:39" hidden="1" x14ac:dyDescent="0.25">
      <c r="A251" s="1">
        <v>411</v>
      </c>
      <c r="B251" s="1" t="s">
        <v>993</v>
      </c>
      <c r="C251" s="1" t="s">
        <v>595</v>
      </c>
      <c r="D251" s="1" t="s">
        <v>994</v>
      </c>
      <c r="E251" s="1" t="s">
        <v>701</v>
      </c>
      <c r="F251" s="3">
        <v>46195</v>
      </c>
      <c r="G251" s="3">
        <v>46203</v>
      </c>
      <c r="H251" s="4">
        <v>0</v>
      </c>
      <c r="J251" s="1" t="s">
        <v>83</v>
      </c>
      <c r="M251" s="1" t="s">
        <v>365</v>
      </c>
      <c r="N251" s="2">
        <v>46203</v>
      </c>
      <c r="P251" s="1" t="s">
        <v>348</v>
      </c>
      <c r="Q251" s="1" t="s">
        <v>55</v>
      </c>
      <c r="R251" s="1" t="s">
        <v>593</v>
      </c>
      <c r="S251" s="2">
        <v>46192</v>
      </c>
      <c r="T251" s="2">
        <v>46202</v>
      </c>
      <c r="U251" s="1" t="s">
        <v>908</v>
      </c>
      <c r="W251" s="1" t="s">
        <v>995</v>
      </c>
      <c r="X251" s="1" t="s">
        <v>595</v>
      </c>
      <c r="Y251" s="1" t="s">
        <v>996</v>
      </c>
      <c r="Z251" s="1" t="s">
        <v>995</v>
      </c>
      <c r="AA251" s="1" t="b">
        <v>1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</row>
    <row r="252" spans="1:39" hidden="1" x14ac:dyDescent="0.25">
      <c r="A252" s="1">
        <v>451</v>
      </c>
      <c r="B252" s="1" t="s">
        <v>666</v>
      </c>
      <c r="C252" s="1" t="s">
        <v>595</v>
      </c>
      <c r="D252" s="1" t="s">
        <v>997</v>
      </c>
      <c r="E252" s="1" t="s">
        <v>936</v>
      </c>
      <c r="F252" s="3">
        <v>46183</v>
      </c>
      <c r="G252" s="3">
        <v>46202</v>
      </c>
      <c r="H252" s="4">
        <v>0</v>
      </c>
      <c r="J252" s="1" t="s">
        <v>83</v>
      </c>
      <c r="M252" s="1" t="s">
        <v>224</v>
      </c>
      <c r="N252" s="2">
        <v>46202</v>
      </c>
      <c r="P252" s="1" t="s">
        <v>348</v>
      </c>
      <c r="Q252" s="1" t="s">
        <v>55</v>
      </c>
      <c r="R252" s="1" t="s">
        <v>593</v>
      </c>
      <c r="S252" s="2">
        <v>46167</v>
      </c>
      <c r="T252" s="2">
        <v>46184</v>
      </c>
      <c r="U252" s="1" t="s">
        <v>908</v>
      </c>
      <c r="W252" s="1" t="s">
        <v>998</v>
      </c>
      <c r="X252" s="1" t="s">
        <v>595</v>
      </c>
      <c r="Y252" s="1" t="s">
        <v>999</v>
      </c>
      <c r="Z252" s="1" t="s">
        <v>998</v>
      </c>
      <c r="AA252" s="1" t="b">
        <v>1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</row>
    <row r="253" spans="1:39" hidden="1" x14ac:dyDescent="0.25">
      <c r="A253" s="1">
        <v>466</v>
      </c>
      <c r="B253" s="1" t="s">
        <v>1003</v>
      </c>
      <c r="C253" s="1" t="s">
        <v>595</v>
      </c>
      <c r="D253" s="1" t="s">
        <v>1004</v>
      </c>
      <c r="E253" s="1" t="s">
        <v>264</v>
      </c>
      <c r="F253" s="3">
        <v>46199</v>
      </c>
      <c r="G253" s="3">
        <v>46206</v>
      </c>
      <c r="H253" s="4">
        <v>0</v>
      </c>
      <c r="J253" s="1" t="s">
        <v>83</v>
      </c>
      <c r="M253" s="1" t="s">
        <v>182</v>
      </c>
      <c r="N253" s="2">
        <v>46206</v>
      </c>
      <c r="P253" s="1" t="s">
        <v>348</v>
      </c>
      <c r="Q253" s="1" t="s">
        <v>44</v>
      </c>
      <c r="R253" s="1" t="s">
        <v>593</v>
      </c>
      <c r="S253" s="2">
        <v>46192</v>
      </c>
      <c r="T253" s="2">
        <v>46202</v>
      </c>
      <c r="U253" s="1" t="s">
        <v>908</v>
      </c>
      <c r="W253" s="1" t="s">
        <v>1005</v>
      </c>
      <c r="X253" s="1" t="s">
        <v>595</v>
      </c>
      <c r="Y253" s="1" t="s">
        <v>1006</v>
      </c>
      <c r="Z253" s="1" t="s">
        <v>1005</v>
      </c>
      <c r="AA253" s="1" t="b">
        <v>1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96"/>
  <sheetViews>
    <sheetView tabSelected="1" workbookViewId="0">
      <selection activeCell="I303" sqref="I303"/>
    </sheetView>
  </sheetViews>
  <sheetFormatPr defaultRowHeight="15" x14ac:dyDescent="0.25"/>
  <cols>
    <col min="1" max="1" width="14.5703125" style="1" bestFit="1" customWidth="1"/>
    <col min="2" max="2" width="5" style="1" bestFit="1" customWidth="1"/>
    <col min="3" max="3" width="10.28515625" style="1" bestFit="1" customWidth="1"/>
    <col min="4" max="4" width="28.140625" style="1" bestFit="1" customWidth="1"/>
    <col min="5" max="5" width="30.7109375" style="1" bestFit="1" customWidth="1"/>
    <col min="6" max="6" width="12.42578125" style="1" bestFit="1" customWidth="1"/>
    <col min="7" max="7" width="13.7109375" style="4" bestFit="1" customWidth="1"/>
    <col min="8" max="8" width="21.28515625" style="1" bestFit="1" customWidth="1"/>
    <col min="9" max="9" width="32.140625" style="1" bestFit="1" customWidth="1"/>
    <col min="10" max="10" width="8.85546875" style="1" bestFit="1" customWidth="1"/>
    <col min="11" max="16384" width="9.140625" style="1"/>
  </cols>
  <sheetData>
    <row r="1" spans="1:11" x14ac:dyDescent="0.25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9</v>
      </c>
      <c r="G1" s="4" t="s">
        <v>7</v>
      </c>
      <c r="H1" s="1" t="s">
        <v>14</v>
      </c>
      <c r="I1" s="1" t="s">
        <v>17</v>
      </c>
      <c r="J1" s="1" t="s">
        <v>16</v>
      </c>
      <c r="K1" s="1" t="s">
        <v>1028</v>
      </c>
    </row>
    <row r="2" spans="1:11" hidden="1" x14ac:dyDescent="0.25">
      <c r="A2" s="1" t="s">
        <v>43</v>
      </c>
      <c r="B2" s="1">
        <v>1</v>
      </c>
      <c r="C2" s="1">
        <v>1</v>
      </c>
      <c r="E2" s="1" t="s">
        <v>39</v>
      </c>
      <c r="F2" s="1" t="s">
        <v>41</v>
      </c>
      <c r="G2" s="1">
        <v>0.57999999999999996</v>
      </c>
      <c r="I2" s="1" t="s">
        <v>45</v>
      </c>
      <c r="J2" s="1" t="s">
        <v>44</v>
      </c>
    </row>
    <row r="3" spans="1:11" hidden="1" x14ac:dyDescent="0.25">
      <c r="A3" s="1" t="s">
        <v>43</v>
      </c>
      <c r="B3" s="1">
        <v>2</v>
      </c>
      <c r="C3" s="1" t="s">
        <v>46</v>
      </c>
      <c r="D3" s="1" t="s">
        <v>47</v>
      </c>
      <c r="E3" s="1" t="s">
        <v>48</v>
      </c>
      <c r="F3" s="1" t="s">
        <v>41</v>
      </c>
      <c r="G3" s="1">
        <v>0.57999999999999996</v>
      </c>
      <c r="I3" s="1" t="s">
        <v>45</v>
      </c>
      <c r="J3" s="1" t="s">
        <v>44</v>
      </c>
    </row>
    <row r="4" spans="1:11" hidden="1" x14ac:dyDescent="0.25">
      <c r="A4" s="1" t="s">
        <v>60</v>
      </c>
      <c r="B4" s="1">
        <v>4</v>
      </c>
      <c r="C4" s="1" t="s">
        <v>56</v>
      </c>
      <c r="D4" s="1" t="s">
        <v>50</v>
      </c>
      <c r="E4" s="1" t="s">
        <v>57</v>
      </c>
      <c r="F4" s="1" t="s">
        <v>41</v>
      </c>
      <c r="G4" s="1">
        <v>0.78</v>
      </c>
      <c r="I4" s="1" t="s">
        <v>61</v>
      </c>
      <c r="J4" s="1" t="s">
        <v>44</v>
      </c>
    </row>
    <row r="5" spans="1:11" hidden="1" x14ac:dyDescent="0.25">
      <c r="A5" s="1" t="s">
        <v>67</v>
      </c>
      <c r="B5" s="1">
        <v>5</v>
      </c>
      <c r="C5" s="1" t="s">
        <v>62</v>
      </c>
      <c r="D5" s="1" t="s">
        <v>63</v>
      </c>
      <c r="E5" s="1" t="s">
        <v>64</v>
      </c>
      <c r="F5" s="1" t="s">
        <v>41</v>
      </c>
      <c r="G5" s="1">
        <v>0.7</v>
      </c>
      <c r="I5" s="1" t="s">
        <v>61</v>
      </c>
      <c r="J5" s="1" t="s">
        <v>55</v>
      </c>
    </row>
    <row r="6" spans="1:11" hidden="1" x14ac:dyDescent="0.25">
      <c r="A6" s="1" t="s">
        <v>43</v>
      </c>
      <c r="B6" s="1">
        <v>24</v>
      </c>
      <c r="C6" s="1" t="s">
        <v>137</v>
      </c>
      <c r="D6" s="1" t="s">
        <v>50</v>
      </c>
      <c r="E6" s="1" t="s">
        <v>138</v>
      </c>
      <c r="F6" s="1" t="s">
        <v>41</v>
      </c>
      <c r="G6" s="1">
        <v>0.41</v>
      </c>
      <c r="I6" s="1" t="s">
        <v>140</v>
      </c>
      <c r="J6" s="1" t="s">
        <v>55</v>
      </c>
    </row>
    <row r="7" spans="1:11" hidden="1" x14ac:dyDescent="0.25">
      <c r="A7" s="1" t="s">
        <v>146</v>
      </c>
      <c r="B7" s="1">
        <v>25</v>
      </c>
      <c r="C7" s="1" t="s">
        <v>141</v>
      </c>
      <c r="D7" s="1" t="s">
        <v>142</v>
      </c>
      <c r="E7" s="1" t="s">
        <v>143</v>
      </c>
      <c r="F7" s="1" t="s">
        <v>41</v>
      </c>
      <c r="G7" s="1">
        <v>0.38</v>
      </c>
      <c r="I7" s="1" t="s">
        <v>140</v>
      </c>
      <c r="J7" s="1" t="s">
        <v>55</v>
      </c>
    </row>
    <row r="8" spans="1:11" hidden="1" x14ac:dyDescent="0.25">
      <c r="A8" s="1" t="s">
        <v>146</v>
      </c>
      <c r="B8" s="1">
        <v>26</v>
      </c>
      <c r="C8" s="1" t="s">
        <v>147</v>
      </c>
      <c r="D8" s="1" t="s">
        <v>148</v>
      </c>
      <c r="E8" s="1" t="s">
        <v>101</v>
      </c>
      <c r="F8" s="1" t="s">
        <v>41</v>
      </c>
      <c r="G8" s="4">
        <v>0.75</v>
      </c>
      <c r="I8" s="1" t="s">
        <v>140</v>
      </c>
      <c r="J8" s="1" t="s">
        <v>55</v>
      </c>
    </row>
    <row r="9" spans="1:11" hidden="1" x14ac:dyDescent="0.25">
      <c r="A9" s="1" t="s">
        <v>67</v>
      </c>
      <c r="B9" s="1">
        <v>27</v>
      </c>
      <c r="C9" s="1" t="s">
        <v>151</v>
      </c>
      <c r="D9" s="1" t="s">
        <v>148</v>
      </c>
      <c r="E9" s="1" t="s">
        <v>105</v>
      </c>
      <c r="F9" s="1" t="s">
        <v>41</v>
      </c>
      <c r="G9" s="1">
        <v>0</v>
      </c>
      <c r="I9" s="1" t="s">
        <v>140</v>
      </c>
      <c r="J9" s="1" t="s">
        <v>55</v>
      </c>
    </row>
    <row r="10" spans="1:11" hidden="1" x14ac:dyDescent="0.25">
      <c r="A10" s="1" t="s">
        <v>67</v>
      </c>
      <c r="B10" s="1">
        <v>28</v>
      </c>
      <c r="C10" s="1" t="s">
        <v>154</v>
      </c>
      <c r="D10" s="1" t="s">
        <v>148</v>
      </c>
      <c r="E10" s="1" t="s">
        <v>109</v>
      </c>
      <c r="F10" s="1" t="s">
        <v>41</v>
      </c>
      <c r="G10" s="1">
        <v>0</v>
      </c>
      <c r="I10" s="1" t="s">
        <v>140</v>
      </c>
      <c r="J10" s="1" t="s">
        <v>55</v>
      </c>
    </row>
    <row r="11" spans="1:11" hidden="1" x14ac:dyDescent="0.25">
      <c r="A11" s="1" t="s">
        <v>67</v>
      </c>
      <c r="B11" s="1">
        <v>29</v>
      </c>
      <c r="C11" s="1" t="s">
        <v>155</v>
      </c>
      <c r="D11" s="1" t="s">
        <v>148</v>
      </c>
      <c r="E11" s="1" t="s">
        <v>115</v>
      </c>
      <c r="F11" s="1" t="s">
        <v>41</v>
      </c>
      <c r="G11" s="1">
        <v>0</v>
      </c>
      <c r="I11" s="1" t="s">
        <v>140</v>
      </c>
      <c r="J11" s="1" t="s">
        <v>55</v>
      </c>
    </row>
    <row r="12" spans="1:11" hidden="1" x14ac:dyDescent="0.25">
      <c r="A12" s="1" t="s">
        <v>67</v>
      </c>
      <c r="B12" s="1">
        <v>40</v>
      </c>
      <c r="C12" s="1" t="s">
        <v>157</v>
      </c>
      <c r="D12" s="1" t="s">
        <v>142</v>
      </c>
      <c r="E12" s="1" t="s">
        <v>158</v>
      </c>
      <c r="F12" s="1" t="s">
        <v>41</v>
      </c>
      <c r="G12" s="1">
        <v>0.19</v>
      </c>
      <c r="I12" s="1" t="s">
        <v>140</v>
      </c>
      <c r="J12" s="1" t="s">
        <v>55</v>
      </c>
    </row>
    <row r="13" spans="1:11" hidden="1" x14ac:dyDescent="0.25">
      <c r="A13" s="1" t="s">
        <v>67</v>
      </c>
      <c r="B13" s="1">
        <v>41</v>
      </c>
      <c r="C13" s="1" t="s">
        <v>161</v>
      </c>
      <c r="D13" s="1" t="s">
        <v>162</v>
      </c>
      <c r="E13" s="1" t="s">
        <v>101</v>
      </c>
      <c r="F13" s="1" t="s">
        <v>41</v>
      </c>
      <c r="G13" s="4">
        <v>0.75</v>
      </c>
      <c r="I13" s="1" t="s">
        <v>140</v>
      </c>
      <c r="J13" s="1" t="s">
        <v>55</v>
      </c>
    </row>
    <row r="14" spans="1:11" hidden="1" x14ac:dyDescent="0.25">
      <c r="A14" s="1" t="s">
        <v>67</v>
      </c>
      <c r="B14" s="1">
        <v>42</v>
      </c>
      <c r="C14" s="1" t="s">
        <v>163</v>
      </c>
      <c r="D14" s="1" t="s">
        <v>162</v>
      </c>
      <c r="E14" s="1" t="s">
        <v>105</v>
      </c>
      <c r="F14" s="1" t="s">
        <v>41</v>
      </c>
      <c r="G14" s="1">
        <v>0</v>
      </c>
      <c r="I14" s="1" t="s">
        <v>140</v>
      </c>
      <c r="J14" s="1" t="s">
        <v>55</v>
      </c>
    </row>
    <row r="15" spans="1:11" hidden="1" x14ac:dyDescent="0.25">
      <c r="A15" s="1" t="s">
        <v>67</v>
      </c>
      <c r="B15" s="1">
        <v>43</v>
      </c>
      <c r="C15" s="1" t="s">
        <v>165</v>
      </c>
      <c r="D15" s="1" t="s">
        <v>162</v>
      </c>
      <c r="E15" s="1" t="s">
        <v>109</v>
      </c>
      <c r="F15" s="1" t="s">
        <v>41</v>
      </c>
      <c r="G15" s="1">
        <v>0</v>
      </c>
      <c r="I15" s="1" t="s">
        <v>140</v>
      </c>
      <c r="J15" s="1" t="s">
        <v>55</v>
      </c>
    </row>
    <row r="16" spans="1:11" hidden="1" x14ac:dyDescent="0.25">
      <c r="A16" s="1" t="s">
        <v>67</v>
      </c>
      <c r="B16" s="1">
        <v>44</v>
      </c>
      <c r="C16" s="1" t="s">
        <v>167</v>
      </c>
      <c r="D16" s="1" t="s">
        <v>162</v>
      </c>
      <c r="E16" s="1" t="s">
        <v>115</v>
      </c>
      <c r="F16" s="1" t="s">
        <v>168</v>
      </c>
      <c r="G16" s="1">
        <v>0</v>
      </c>
      <c r="I16" s="1" t="s">
        <v>140</v>
      </c>
      <c r="J16" s="1" t="s">
        <v>55</v>
      </c>
    </row>
    <row r="17" spans="1:10" hidden="1" x14ac:dyDescent="0.25">
      <c r="A17" s="1" t="s">
        <v>43</v>
      </c>
      <c r="B17" s="1">
        <v>45</v>
      </c>
      <c r="C17" s="1" t="s">
        <v>170</v>
      </c>
      <c r="D17" s="1" t="s">
        <v>142</v>
      </c>
      <c r="E17" s="1" t="s">
        <v>171</v>
      </c>
      <c r="F17" s="1" t="s">
        <v>41</v>
      </c>
      <c r="G17" s="1">
        <v>0.56999999999999995</v>
      </c>
      <c r="I17" s="1" t="s">
        <v>140</v>
      </c>
      <c r="J17" s="1" t="s">
        <v>55</v>
      </c>
    </row>
    <row r="18" spans="1:10" hidden="1" x14ac:dyDescent="0.25">
      <c r="A18" s="1" t="s">
        <v>146</v>
      </c>
      <c r="B18" s="1">
        <v>48</v>
      </c>
      <c r="C18" s="1" t="s">
        <v>180</v>
      </c>
      <c r="D18" s="1" t="s">
        <v>174</v>
      </c>
      <c r="E18" s="1" t="s">
        <v>109</v>
      </c>
      <c r="F18" s="1" t="s">
        <v>41</v>
      </c>
      <c r="G18" s="1">
        <v>0</v>
      </c>
      <c r="I18" s="1" t="s">
        <v>140</v>
      </c>
      <c r="J18" s="1" t="s">
        <v>55</v>
      </c>
    </row>
    <row r="19" spans="1:10" hidden="1" x14ac:dyDescent="0.25">
      <c r="A19" s="1" t="s">
        <v>67</v>
      </c>
      <c r="B19" s="1">
        <v>49</v>
      </c>
      <c r="C19" s="1" t="s">
        <v>183</v>
      </c>
      <c r="D19" s="1" t="s">
        <v>174</v>
      </c>
      <c r="E19" s="1" t="s">
        <v>115</v>
      </c>
      <c r="F19" s="1" t="s">
        <v>41</v>
      </c>
      <c r="G19" s="1">
        <v>0</v>
      </c>
      <c r="I19" s="1" t="s">
        <v>140</v>
      </c>
      <c r="J19" s="1" t="s">
        <v>55</v>
      </c>
    </row>
    <row r="20" spans="1:10" hidden="1" x14ac:dyDescent="0.25">
      <c r="A20" s="1" t="s">
        <v>136</v>
      </c>
      <c r="B20" s="1">
        <v>66</v>
      </c>
      <c r="C20" s="1" t="s">
        <v>198</v>
      </c>
      <c r="D20" s="1" t="s">
        <v>50</v>
      </c>
      <c r="E20" s="1" t="s">
        <v>199</v>
      </c>
      <c r="F20" s="1" t="s">
        <v>41</v>
      </c>
      <c r="G20" s="1">
        <v>0.54</v>
      </c>
      <c r="I20" s="1" t="s">
        <v>202</v>
      </c>
      <c r="J20" s="1" t="s">
        <v>55</v>
      </c>
    </row>
    <row r="21" spans="1:10" hidden="1" x14ac:dyDescent="0.25">
      <c r="A21" s="1" t="s">
        <v>76</v>
      </c>
      <c r="B21" s="1">
        <v>82</v>
      </c>
      <c r="C21" s="1" t="s">
        <v>215</v>
      </c>
      <c r="D21" s="1" t="s">
        <v>204</v>
      </c>
      <c r="E21" s="1" t="s">
        <v>216</v>
      </c>
      <c r="F21" s="1" t="s">
        <v>41</v>
      </c>
      <c r="G21" s="1">
        <v>0.71</v>
      </c>
      <c r="I21" s="1" t="s">
        <v>202</v>
      </c>
      <c r="J21" s="1" t="s">
        <v>55</v>
      </c>
    </row>
    <row r="22" spans="1:10" hidden="1" x14ac:dyDescent="0.25">
      <c r="A22" s="1" t="s">
        <v>146</v>
      </c>
      <c r="B22" s="1">
        <v>85</v>
      </c>
      <c r="C22" s="1" t="s">
        <v>222</v>
      </c>
      <c r="D22" s="1" t="s">
        <v>219</v>
      </c>
      <c r="E22" s="1" t="s">
        <v>109</v>
      </c>
      <c r="F22" s="1" t="s">
        <v>41</v>
      </c>
      <c r="G22" s="1">
        <v>0.5</v>
      </c>
      <c r="I22" s="1" t="s">
        <v>202</v>
      </c>
      <c r="J22" s="1" t="s">
        <v>55</v>
      </c>
    </row>
    <row r="23" spans="1:10" hidden="1" x14ac:dyDescent="0.25">
      <c r="A23" s="1" t="s">
        <v>67</v>
      </c>
      <c r="B23" s="1">
        <v>86</v>
      </c>
      <c r="C23" s="1" t="s">
        <v>223</v>
      </c>
      <c r="D23" s="1" t="s">
        <v>219</v>
      </c>
      <c r="E23" s="1" t="s">
        <v>115</v>
      </c>
      <c r="F23" s="1" t="s">
        <v>41</v>
      </c>
      <c r="G23" s="1">
        <v>0</v>
      </c>
      <c r="I23" s="1" t="s">
        <v>202</v>
      </c>
      <c r="J23" s="1" t="s">
        <v>55</v>
      </c>
    </row>
    <row r="24" spans="1:10" hidden="1" x14ac:dyDescent="0.25">
      <c r="A24" s="1" t="s">
        <v>67</v>
      </c>
      <c r="B24" s="1">
        <v>87</v>
      </c>
      <c r="C24" s="1" t="s">
        <v>225</v>
      </c>
      <c r="D24" s="1" t="s">
        <v>204</v>
      </c>
      <c r="E24" s="1" t="s">
        <v>226</v>
      </c>
      <c r="F24" s="1" t="s">
        <v>41</v>
      </c>
      <c r="G24" s="1">
        <v>0</v>
      </c>
      <c r="I24" s="1" t="s">
        <v>202</v>
      </c>
      <c r="J24" s="1" t="s">
        <v>55</v>
      </c>
    </row>
    <row r="25" spans="1:10" x14ac:dyDescent="0.25">
      <c r="A25" s="1" t="s">
        <v>67</v>
      </c>
      <c r="B25" s="1">
        <v>88</v>
      </c>
      <c r="C25" s="1" t="s">
        <v>229</v>
      </c>
      <c r="D25" s="1" t="s">
        <v>230</v>
      </c>
      <c r="E25" s="1" t="s">
        <v>101</v>
      </c>
      <c r="F25" s="1" t="s">
        <v>41</v>
      </c>
      <c r="G25" s="4">
        <v>1</v>
      </c>
      <c r="I25" s="1" t="s">
        <v>202</v>
      </c>
      <c r="J25" s="1" t="s">
        <v>55</v>
      </c>
    </row>
    <row r="26" spans="1:10" hidden="1" x14ac:dyDescent="0.25">
      <c r="A26" s="1" t="s">
        <v>67</v>
      </c>
      <c r="B26" s="1">
        <v>92</v>
      </c>
      <c r="C26" s="1" t="s">
        <v>237</v>
      </c>
      <c r="D26" s="1" t="s">
        <v>204</v>
      </c>
      <c r="E26" s="1" t="s">
        <v>238</v>
      </c>
      <c r="F26" s="1" t="s">
        <v>41</v>
      </c>
      <c r="G26" s="1">
        <v>0</v>
      </c>
      <c r="I26" s="1" t="s">
        <v>202</v>
      </c>
      <c r="J26" s="1" t="s">
        <v>55</v>
      </c>
    </row>
    <row r="27" spans="1:10" x14ac:dyDescent="0.25">
      <c r="A27" s="1" t="s">
        <v>67</v>
      </c>
      <c r="B27" s="1">
        <v>93</v>
      </c>
      <c r="C27" s="1" t="s">
        <v>239</v>
      </c>
      <c r="D27" s="1" t="s">
        <v>240</v>
      </c>
      <c r="E27" s="1" t="s">
        <v>101</v>
      </c>
      <c r="F27" s="1" t="s">
        <v>41</v>
      </c>
      <c r="G27" s="4">
        <v>1</v>
      </c>
      <c r="I27" s="1" t="s">
        <v>202</v>
      </c>
      <c r="J27" s="1" t="s">
        <v>55</v>
      </c>
    </row>
    <row r="28" spans="1:10" hidden="1" x14ac:dyDescent="0.25">
      <c r="A28" s="1" t="s">
        <v>67</v>
      </c>
      <c r="B28" s="1">
        <v>97</v>
      </c>
      <c r="C28" s="1" t="s">
        <v>244</v>
      </c>
      <c r="D28" s="1" t="s">
        <v>204</v>
      </c>
      <c r="E28" s="1" t="s">
        <v>245</v>
      </c>
      <c r="F28" s="1" t="s">
        <v>41</v>
      </c>
      <c r="G28" s="1">
        <v>0</v>
      </c>
      <c r="I28" s="1" t="s">
        <v>202</v>
      </c>
      <c r="J28" s="1" t="s">
        <v>55</v>
      </c>
    </row>
    <row r="29" spans="1:10" x14ac:dyDescent="0.25">
      <c r="A29" s="1" t="s">
        <v>67</v>
      </c>
      <c r="B29" s="1">
        <v>98</v>
      </c>
      <c r="C29" s="1" t="s">
        <v>246</v>
      </c>
      <c r="D29" s="1" t="s">
        <v>247</v>
      </c>
      <c r="E29" s="1" t="s">
        <v>101</v>
      </c>
      <c r="F29" s="1" t="s">
        <v>41</v>
      </c>
      <c r="G29" s="4">
        <v>1</v>
      </c>
      <c r="I29" s="1" t="s">
        <v>202</v>
      </c>
      <c r="J29" s="1" t="s">
        <v>55</v>
      </c>
    </row>
    <row r="30" spans="1:10" hidden="1" x14ac:dyDescent="0.25">
      <c r="A30" s="1" t="s">
        <v>67</v>
      </c>
      <c r="B30" s="1">
        <v>102</v>
      </c>
      <c r="C30" s="1" t="s">
        <v>251</v>
      </c>
      <c r="D30" s="1" t="s">
        <v>204</v>
      </c>
      <c r="E30" s="1" t="s">
        <v>252</v>
      </c>
      <c r="F30" s="1" t="s">
        <v>41</v>
      </c>
      <c r="G30" s="1">
        <v>0</v>
      </c>
      <c r="I30" s="1" t="s">
        <v>202</v>
      </c>
      <c r="J30" s="1" t="s">
        <v>55</v>
      </c>
    </row>
    <row r="31" spans="1:10" x14ac:dyDescent="0.25">
      <c r="A31" s="1" t="s">
        <v>67</v>
      </c>
      <c r="B31" s="1">
        <v>103</v>
      </c>
      <c r="C31" s="1" t="s">
        <v>253</v>
      </c>
      <c r="D31" s="1" t="s">
        <v>254</v>
      </c>
      <c r="E31" s="1" t="s">
        <v>101</v>
      </c>
      <c r="F31" s="1" t="s">
        <v>41</v>
      </c>
      <c r="G31" s="4">
        <v>1</v>
      </c>
      <c r="I31" s="1" t="s">
        <v>202</v>
      </c>
      <c r="J31" s="1" t="s">
        <v>55</v>
      </c>
    </row>
    <row r="32" spans="1:10" hidden="1" x14ac:dyDescent="0.25">
      <c r="A32" s="1" t="s">
        <v>76</v>
      </c>
      <c r="B32" s="1">
        <v>117</v>
      </c>
      <c r="C32" s="1" t="s">
        <v>270</v>
      </c>
      <c r="D32" s="1" t="s">
        <v>204</v>
      </c>
      <c r="E32" s="1" t="s">
        <v>271</v>
      </c>
      <c r="F32" s="1" t="s">
        <v>41</v>
      </c>
      <c r="G32" s="1">
        <v>0.83</v>
      </c>
      <c r="I32" s="1" t="s">
        <v>202</v>
      </c>
      <c r="J32" s="1" t="s">
        <v>55</v>
      </c>
    </row>
    <row r="33" spans="1:10" hidden="1" x14ac:dyDescent="0.25">
      <c r="A33" s="1" t="s">
        <v>146</v>
      </c>
      <c r="B33" s="1">
        <v>121</v>
      </c>
      <c r="C33" s="1" t="s">
        <v>279</v>
      </c>
      <c r="D33" s="1" t="s">
        <v>274</v>
      </c>
      <c r="E33" s="1" t="s">
        <v>115</v>
      </c>
      <c r="F33" s="1" t="s">
        <v>41</v>
      </c>
      <c r="G33" s="1">
        <v>0</v>
      </c>
      <c r="I33" s="1" t="s">
        <v>202</v>
      </c>
      <c r="J33" s="1" t="s">
        <v>55</v>
      </c>
    </row>
    <row r="34" spans="1:10" hidden="1" x14ac:dyDescent="0.25">
      <c r="A34" s="1" t="s">
        <v>76</v>
      </c>
      <c r="B34" s="1">
        <v>122</v>
      </c>
      <c r="C34" s="1" t="s">
        <v>280</v>
      </c>
      <c r="D34" s="1" t="s">
        <v>204</v>
      </c>
      <c r="E34" s="1" t="s">
        <v>281</v>
      </c>
      <c r="F34" s="1" t="s">
        <v>41</v>
      </c>
      <c r="G34" s="1">
        <v>0.83</v>
      </c>
      <c r="I34" s="1" t="s">
        <v>202</v>
      </c>
      <c r="J34" s="1" t="s">
        <v>55</v>
      </c>
    </row>
    <row r="35" spans="1:10" hidden="1" x14ac:dyDescent="0.25">
      <c r="A35" s="1" t="s">
        <v>146</v>
      </c>
      <c r="B35" s="1">
        <v>126</v>
      </c>
      <c r="C35" s="1" t="s">
        <v>288</v>
      </c>
      <c r="D35" s="1" t="s">
        <v>283</v>
      </c>
      <c r="E35" s="1" t="s">
        <v>115</v>
      </c>
      <c r="F35" s="1" t="s">
        <v>41</v>
      </c>
      <c r="G35" s="1">
        <v>0</v>
      </c>
      <c r="I35" s="1" t="s">
        <v>202</v>
      </c>
      <c r="J35" s="1" t="s">
        <v>55</v>
      </c>
    </row>
    <row r="36" spans="1:10" hidden="1" x14ac:dyDescent="0.25">
      <c r="A36" s="1" t="s">
        <v>73</v>
      </c>
      <c r="B36" s="1">
        <v>132</v>
      </c>
      <c r="C36" s="1" t="s">
        <v>301</v>
      </c>
      <c r="D36" s="1" t="s">
        <v>204</v>
      </c>
      <c r="E36" s="1" t="s">
        <v>302</v>
      </c>
      <c r="F36" s="1" t="s">
        <v>41</v>
      </c>
      <c r="G36" s="1">
        <v>0.5</v>
      </c>
      <c r="I36" s="1" t="s">
        <v>202</v>
      </c>
      <c r="J36" s="1" t="s">
        <v>55</v>
      </c>
    </row>
    <row r="37" spans="1:10" hidden="1" x14ac:dyDescent="0.25">
      <c r="A37" s="1" t="s">
        <v>146</v>
      </c>
      <c r="B37" s="1">
        <v>134</v>
      </c>
      <c r="C37" s="1" t="s">
        <v>306</v>
      </c>
      <c r="D37" s="1" t="s">
        <v>304</v>
      </c>
      <c r="E37" s="1" t="s">
        <v>105</v>
      </c>
      <c r="F37" s="1" t="s">
        <v>41</v>
      </c>
      <c r="G37" s="1">
        <v>0.5</v>
      </c>
      <c r="I37" s="1" t="s">
        <v>202</v>
      </c>
      <c r="J37" s="1" t="s">
        <v>55</v>
      </c>
    </row>
    <row r="38" spans="1:10" hidden="1" x14ac:dyDescent="0.25">
      <c r="A38" s="1" t="s">
        <v>146</v>
      </c>
      <c r="B38" s="1">
        <v>135</v>
      </c>
      <c r="C38" s="1" t="s">
        <v>307</v>
      </c>
      <c r="D38" s="1" t="s">
        <v>304</v>
      </c>
      <c r="E38" s="1" t="s">
        <v>109</v>
      </c>
      <c r="F38" s="1" t="s">
        <v>41</v>
      </c>
      <c r="G38" s="1">
        <v>0</v>
      </c>
      <c r="I38" s="1" t="s">
        <v>202</v>
      </c>
      <c r="J38" s="1" t="s">
        <v>55</v>
      </c>
    </row>
    <row r="39" spans="1:10" hidden="1" x14ac:dyDescent="0.25">
      <c r="A39" s="1" t="s">
        <v>146</v>
      </c>
      <c r="B39" s="1">
        <v>136</v>
      </c>
      <c r="C39" s="1" t="s">
        <v>308</v>
      </c>
      <c r="D39" s="1" t="s">
        <v>304</v>
      </c>
      <c r="E39" s="1" t="s">
        <v>115</v>
      </c>
      <c r="F39" s="1" t="s">
        <v>41</v>
      </c>
      <c r="G39" s="1">
        <v>0</v>
      </c>
      <c r="I39" s="1" t="s">
        <v>202</v>
      </c>
      <c r="J39" s="1" t="s">
        <v>55</v>
      </c>
    </row>
    <row r="40" spans="1:10" hidden="1" x14ac:dyDescent="0.25">
      <c r="A40" s="1" t="s">
        <v>73</v>
      </c>
      <c r="B40" s="1">
        <v>137</v>
      </c>
      <c r="C40" s="1" t="s">
        <v>309</v>
      </c>
      <c r="D40" s="1" t="s">
        <v>204</v>
      </c>
      <c r="E40" s="1" t="s">
        <v>310</v>
      </c>
      <c r="F40" s="1" t="s">
        <v>41</v>
      </c>
      <c r="G40" s="1">
        <v>0.5</v>
      </c>
      <c r="I40" s="1" t="s">
        <v>202</v>
      </c>
      <c r="J40" s="1" t="s">
        <v>55</v>
      </c>
    </row>
    <row r="41" spans="1:10" hidden="1" x14ac:dyDescent="0.25">
      <c r="A41" s="1" t="s">
        <v>146</v>
      </c>
      <c r="B41" s="1">
        <v>139</v>
      </c>
      <c r="C41" s="1" t="s">
        <v>313</v>
      </c>
      <c r="D41" s="1" t="s">
        <v>312</v>
      </c>
      <c r="E41" s="1" t="s">
        <v>105</v>
      </c>
      <c r="F41" s="1" t="s">
        <v>41</v>
      </c>
      <c r="G41" s="1">
        <v>0.5</v>
      </c>
      <c r="I41" s="1" t="s">
        <v>202</v>
      </c>
      <c r="J41" s="1" t="s">
        <v>55</v>
      </c>
    </row>
    <row r="42" spans="1:10" hidden="1" x14ac:dyDescent="0.25">
      <c r="A42" s="1" t="s">
        <v>146</v>
      </c>
      <c r="B42" s="1">
        <v>140</v>
      </c>
      <c r="C42" s="1" t="s">
        <v>314</v>
      </c>
      <c r="D42" s="1" t="s">
        <v>312</v>
      </c>
      <c r="E42" s="1" t="s">
        <v>109</v>
      </c>
      <c r="F42" s="1" t="s">
        <v>41</v>
      </c>
      <c r="G42" s="1">
        <v>0</v>
      </c>
      <c r="I42" s="1" t="s">
        <v>202</v>
      </c>
      <c r="J42" s="1" t="s">
        <v>55</v>
      </c>
    </row>
    <row r="43" spans="1:10" hidden="1" x14ac:dyDescent="0.25">
      <c r="A43" s="1" t="s">
        <v>146</v>
      </c>
      <c r="B43" s="1">
        <v>141</v>
      </c>
      <c r="C43" s="1" t="s">
        <v>315</v>
      </c>
      <c r="D43" s="1" t="s">
        <v>312</v>
      </c>
      <c r="E43" s="1" t="s">
        <v>115</v>
      </c>
      <c r="F43" s="1" t="s">
        <v>41</v>
      </c>
      <c r="G43" s="1">
        <v>0</v>
      </c>
      <c r="I43" s="1" t="s">
        <v>202</v>
      </c>
      <c r="J43" s="1" t="s">
        <v>55</v>
      </c>
    </row>
    <row r="44" spans="1:10" hidden="1" x14ac:dyDescent="0.25">
      <c r="A44" s="1" t="s">
        <v>73</v>
      </c>
      <c r="B44" s="1">
        <v>142</v>
      </c>
      <c r="C44" s="1" t="s">
        <v>316</v>
      </c>
      <c r="D44" s="1" t="s">
        <v>204</v>
      </c>
      <c r="E44" s="1" t="s">
        <v>317</v>
      </c>
      <c r="F44" s="1" t="s">
        <v>41</v>
      </c>
      <c r="G44" s="1">
        <v>0.5</v>
      </c>
      <c r="I44" s="1" t="s">
        <v>202</v>
      </c>
      <c r="J44" s="1" t="s">
        <v>55</v>
      </c>
    </row>
    <row r="45" spans="1:10" hidden="1" x14ac:dyDescent="0.25">
      <c r="A45" s="1" t="s">
        <v>146</v>
      </c>
      <c r="B45" s="1">
        <v>144</v>
      </c>
      <c r="C45" s="1" t="s">
        <v>320</v>
      </c>
      <c r="D45" s="1" t="s">
        <v>319</v>
      </c>
      <c r="E45" s="1" t="s">
        <v>105</v>
      </c>
      <c r="F45" s="1" t="s">
        <v>41</v>
      </c>
      <c r="G45" s="1">
        <v>0.5</v>
      </c>
      <c r="I45" s="1" t="s">
        <v>202</v>
      </c>
      <c r="J45" s="1" t="s">
        <v>55</v>
      </c>
    </row>
    <row r="46" spans="1:10" hidden="1" x14ac:dyDescent="0.25">
      <c r="A46" s="1" t="s">
        <v>146</v>
      </c>
      <c r="B46" s="1">
        <v>145</v>
      </c>
      <c r="C46" s="1" t="s">
        <v>321</v>
      </c>
      <c r="D46" s="1" t="s">
        <v>319</v>
      </c>
      <c r="E46" s="1" t="s">
        <v>109</v>
      </c>
      <c r="F46" s="1" t="s">
        <v>41</v>
      </c>
      <c r="G46" s="1">
        <v>0</v>
      </c>
      <c r="I46" s="1" t="s">
        <v>202</v>
      </c>
      <c r="J46" s="1" t="s">
        <v>55</v>
      </c>
    </row>
    <row r="47" spans="1:10" hidden="1" x14ac:dyDescent="0.25">
      <c r="A47" s="1" t="s">
        <v>146</v>
      </c>
      <c r="B47" s="1">
        <v>146</v>
      </c>
      <c r="C47" s="1" t="s">
        <v>322</v>
      </c>
      <c r="D47" s="1" t="s">
        <v>319</v>
      </c>
      <c r="E47" s="1" t="s">
        <v>115</v>
      </c>
      <c r="F47" s="1" t="s">
        <v>41</v>
      </c>
      <c r="G47" s="1">
        <v>0</v>
      </c>
      <c r="I47" s="1" t="s">
        <v>202</v>
      </c>
      <c r="J47" s="1" t="s">
        <v>55</v>
      </c>
    </row>
    <row r="48" spans="1:10" hidden="1" x14ac:dyDescent="0.25">
      <c r="A48" s="1" t="s">
        <v>76</v>
      </c>
      <c r="B48" s="1">
        <v>147</v>
      </c>
      <c r="C48" s="1" t="s">
        <v>323</v>
      </c>
      <c r="D48" s="1" t="s">
        <v>50</v>
      </c>
      <c r="E48" s="1" t="s">
        <v>324</v>
      </c>
      <c r="F48" s="1" t="s">
        <v>41</v>
      </c>
      <c r="G48" s="1">
        <v>0.48</v>
      </c>
      <c r="I48" s="1" t="s">
        <v>326</v>
      </c>
      <c r="J48" s="1" t="s">
        <v>55</v>
      </c>
    </row>
    <row r="49" spans="1:10" hidden="1" x14ac:dyDescent="0.25">
      <c r="A49" s="1" t="s">
        <v>73</v>
      </c>
      <c r="B49" s="1">
        <v>158</v>
      </c>
      <c r="C49" s="1" t="s">
        <v>327</v>
      </c>
      <c r="D49" s="1" t="s">
        <v>328</v>
      </c>
      <c r="E49" s="1" t="s">
        <v>329</v>
      </c>
      <c r="F49" s="1" t="s">
        <v>41</v>
      </c>
      <c r="G49" s="1">
        <v>0.56000000000000005</v>
      </c>
      <c r="I49" s="1" t="s">
        <v>326</v>
      </c>
      <c r="J49" s="1" t="s">
        <v>55</v>
      </c>
    </row>
    <row r="50" spans="1:10" hidden="1" x14ac:dyDescent="0.25">
      <c r="A50" s="1" t="s">
        <v>146</v>
      </c>
      <c r="B50" s="1">
        <v>160</v>
      </c>
      <c r="C50" s="1" t="s">
        <v>332</v>
      </c>
      <c r="D50" s="1" t="s">
        <v>331</v>
      </c>
      <c r="E50" s="1" t="s">
        <v>105</v>
      </c>
      <c r="F50" s="1" t="s">
        <v>41</v>
      </c>
      <c r="G50" s="1">
        <v>0</v>
      </c>
      <c r="I50" s="1" t="s">
        <v>326</v>
      </c>
      <c r="J50" s="1" t="s">
        <v>55</v>
      </c>
    </row>
    <row r="51" spans="1:10" hidden="1" x14ac:dyDescent="0.25">
      <c r="A51" s="1" t="s">
        <v>146</v>
      </c>
      <c r="B51" s="1">
        <v>161</v>
      </c>
      <c r="C51" s="1" t="s">
        <v>334</v>
      </c>
      <c r="D51" s="1" t="s">
        <v>331</v>
      </c>
      <c r="E51" s="1" t="s">
        <v>109</v>
      </c>
      <c r="F51" s="1" t="s">
        <v>41</v>
      </c>
      <c r="G51" s="1">
        <v>0</v>
      </c>
      <c r="I51" s="1" t="s">
        <v>326</v>
      </c>
      <c r="J51" s="1" t="s">
        <v>55</v>
      </c>
    </row>
    <row r="52" spans="1:10" hidden="1" x14ac:dyDescent="0.25">
      <c r="A52" s="1" t="s">
        <v>146</v>
      </c>
      <c r="B52" s="1">
        <v>162</v>
      </c>
      <c r="C52" s="1" t="s">
        <v>335</v>
      </c>
      <c r="D52" s="1" t="s">
        <v>331</v>
      </c>
      <c r="E52" s="1" t="s">
        <v>115</v>
      </c>
      <c r="F52" s="1" t="s">
        <v>41</v>
      </c>
      <c r="G52" s="1">
        <v>0</v>
      </c>
      <c r="I52" s="1" t="s">
        <v>326</v>
      </c>
      <c r="J52" s="1" t="s">
        <v>55</v>
      </c>
    </row>
    <row r="53" spans="1:10" hidden="1" x14ac:dyDescent="0.25">
      <c r="A53" s="1" t="s">
        <v>146</v>
      </c>
      <c r="B53" s="1">
        <v>178</v>
      </c>
      <c r="C53" s="1" t="s">
        <v>336</v>
      </c>
      <c r="D53" s="1" t="s">
        <v>328</v>
      </c>
      <c r="E53" s="1" t="s">
        <v>337</v>
      </c>
      <c r="F53" s="1" t="s">
        <v>41</v>
      </c>
      <c r="G53" s="1">
        <v>0.33</v>
      </c>
      <c r="I53" s="1" t="s">
        <v>326</v>
      </c>
      <c r="J53" s="1" t="s">
        <v>55</v>
      </c>
    </row>
    <row r="54" spans="1:10" hidden="1" x14ac:dyDescent="0.25">
      <c r="A54" s="1" t="s">
        <v>146</v>
      </c>
      <c r="B54" s="1">
        <v>180</v>
      </c>
      <c r="C54" s="1" t="s">
        <v>341</v>
      </c>
      <c r="D54" s="1" t="s">
        <v>340</v>
      </c>
      <c r="E54" s="1" t="s">
        <v>105</v>
      </c>
      <c r="F54" s="1" t="s">
        <v>41</v>
      </c>
      <c r="G54" s="1">
        <v>0</v>
      </c>
      <c r="I54" s="1" t="s">
        <v>326</v>
      </c>
      <c r="J54" s="1" t="s">
        <v>55</v>
      </c>
    </row>
    <row r="55" spans="1:10" hidden="1" x14ac:dyDescent="0.25">
      <c r="A55" s="1" t="s">
        <v>67</v>
      </c>
      <c r="B55" s="1">
        <v>181</v>
      </c>
      <c r="C55" s="1" t="s">
        <v>343</v>
      </c>
      <c r="D55" s="1" t="s">
        <v>340</v>
      </c>
      <c r="E55" s="1" t="s">
        <v>109</v>
      </c>
      <c r="F55" s="1" t="s">
        <v>41</v>
      </c>
      <c r="G55" s="1">
        <v>0</v>
      </c>
      <c r="I55" s="1" t="s">
        <v>326</v>
      </c>
      <c r="J55" s="1" t="s">
        <v>55</v>
      </c>
    </row>
    <row r="56" spans="1:10" hidden="1" x14ac:dyDescent="0.25">
      <c r="A56" s="1" t="s">
        <v>67</v>
      </c>
      <c r="B56" s="1">
        <v>182</v>
      </c>
      <c r="C56" s="1" t="s">
        <v>344</v>
      </c>
      <c r="D56" s="1" t="s">
        <v>340</v>
      </c>
      <c r="E56" s="1" t="s">
        <v>115</v>
      </c>
      <c r="F56" s="1" t="s">
        <v>41</v>
      </c>
      <c r="G56" s="1">
        <v>0</v>
      </c>
      <c r="I56" s="1" t="s">
        <v>326</v>
      </c>
      <c r="J56" s="1" t="s">
        <v>55</v>
      </c>
    </row>
    <row r="57" spans="1:10" hidden="1" x14ac:dyDescent="0.25">
      <c r="A57" s="1" t="s">
        <v>348</v>
      </c>
      <c r="B57" s="1">
        <v>183</v>
      </c>
      <c r="C57" s="1" t="s">
        <v>346</v>
      </c>
      <c r="D57" s="1" t="s">
        <v>328</v>
      </c>
      <c r="E57" s="1" t="s">
        <v>347</v>
      </c>
      <c r="F57" s="1" t="s">
        <v>41</v>
      </c>
      <c r="G57" s="1">
        <v>0.43</v>
      </c>
      <c r="I57" s="1" t="s">
        <v>326</v>
      </c>
      <c r="J57" s="1" t="s">
        <v>55</v>
      </c>
    </row>
    <row r="58" spans="1:10" hidden="1" x14ac:dyDescent="0.25">
      <c r="A58" s="1" t="s">
        <v>348</v>
      </c>
      <c r="B58" s="1">
        <v>185</v>
      </c>
      <c r="C58" s="1" t="s">
        <v>353</v>
      </c>
      <c r="D58" s="1" t="s">
        <v>350</v>
      </c>
      <c r="E58" s="1" t="s">
        <v>105</v>
      </c>
      <c r="F58" s="1" t="s">
        <v>41</v>
      </c>
      <c r="G58" s="1">
        <v>0</v>
      </c>
      <c r="I58" s="1" t="s">
        <v>326</v>
      </c>
      <c r="J58" s="1" t="s">
        <v>55</v>
      </c>
    </row>
    <row r="59" spans="1:10" hidden="1" x14ac:dyDescent="0.25">
      <c r="A59" s="1" t="s">
        <v>348</v>
      </c>
      <c r="B59" s="1">
        <v>186</v>
      </c>
      <c r="C59" s="1" t="s">
        <v>355</v>
      </c>
      <c r="D59" s="1" t="s">
        <v>350</v>
      </c>
      <c r="E59" s="1" t="s">
        <v>109</v>
      </c>
      <c r="F59" s="1" t="s">
        <v>168</v>
      </c>
      <c r="G59" s="1">
        <v>0</v>
      </c>
      <c r="I59" s="1" t="s">
        <v>326</v>
      </c>
      <c r="J59" s="1" t="s">
        <v>55</v>
      </c>
    </row>
    <row r="60" spans="1:10" hidden="1" x14ac:dyDescent="0.25">
      <c r="A60" s="1" t="s">
        <v>76</v>
      </c>
      <c r="B60" s="1">
        <v>188</v>
      </c>
      <c r="C60" s="1" t="s">
        <v>357</v>
      </c>
      <c r="D60" s="1" t="s">
        <v>328</v>
      </c>
      <c r="E60" s="1" t="s">
        <v>358</v>
      </c>
      <c r="F60" s="1" t="s">
        <v>41</v>
      </c>
      <c r="G60" s="1">
        <v>0.6</v>
      </c>
      <c r="I60" s="1" t="s">
        <v>326</v>
      </c>
      <c r="J60" s="1" t="s">
        <v>55</v>
      </c>
    </row>
    <row r="61" spans="1:10" hidden="1" x14ac:dyDescent="0.25">
      <c r="A61" s="1" t="s">
        <v>76</v>
      </c>
      <c r="B61" s="1">
        <v>191</v>
      </c>
      <c r="C61" s="1" t="s">
        <v>366</v>
      </c>
      <c r="D61" s="1" t="s">
        <v>361</v>
      </c>
      <c r="E61" s="1" t="s">
        <v>109</v>
      </c>
      <c r="F61" s="1" t="s">
        <v>41</v>
      </c>
      <c r="G61" s="1">
        <v>0.5</v>
      </c>
      <c r="I61" s="1" t="s">
        <v>326</v>
      </c>
      <c r="J61" s="1" t="s">
        <v>55</v>
      </c>
    </row>
    <row r="62" spans="1:10" hidden="1" x14ac:dyDescent="0.25">
      <c r="A62" s="1" t="s">
        <v>76</v>
      </c>
      <c r="B62" s="1">
        <v>192</v>
      </c>
      <c r="C62" s="1" t="s">
        <v>368</v>
      </c>
      <c r="D62" s="1" t="s">
        <v>361</v>
      </c>
      <c r="E62" s="1" t="s">
        <v>115</v>
      </c>
      <c r="F62" s="1" t="s">
        <v>41</v>
      </c>
      <c r="G62" s="1">
        <v>0</v>
      </c>
      <c r="I62" s="1" t="s">
        <v>326</v>
      </c>
      <c r="J62" s="1" t="s">
        <v>55</v>
      </c>
    </row>
    <row r="63" spans="1:10" hidden="1" x14ac:dyDescent="0.25">
      <c r="A63" s="1" t="s">
        <v>146</v>
      </c>
      <c r="B63" s="1">
        <v>198</v>
      </c>
      <c r="C63" s="1" t="s">
        <v>369</v>
      </c>
      <c r="D63" s="1" t="s">
        <v>328</v>
      </c>
      <c r="E63" s="1" t="s">
        <v>370</v>
      </c>
      <c r="F63" s="1" t="s">
        <v>41</v>
      </c>
      <c r="G63" s="1">
        <v>0.5</v>
      </c>
      <c r="I63" s="1" t="s">
        <v>326</v>
      </c>
      <c r="J63" s="1" t="s">
        <v>55</v>
      </c>
    </row>
    <row r="64" spans="1:10" hidden="1" x14ac:dyDescent="0.25">
      <c r="A64" s="1" t="s">
        <v>146</v>
      </c>
      <c r="B64" s="1">
        <v>200</v>
      </c>
      <c r="C64" s="1" t="s">
        <v>373</v>
      </c>
      <c r="D64" s="1" t="s">
        <v>372</v>
      </c>
      <c r="E64" s="1" t="s">
        <v>105</v>
      </c>
      <c r="F64" s="1" t="s">
        <v>41</v>
      </c>
      <c r="G64" s="1">
        <v>0.5</v>
      </c>
      <c r="I64" s="1" t="s">
        <v>326</v>
      </c>
      <c r="J64" s="1" t="s">
        <v>55</v>
      </c>
    </row>
    <row r="65" spans="1:10" hidden="1" x14ac:dyDescent="0.25">
      <c r="A65" s="1" t="s">
        <v>67</v>
      </c>
      <c r="B65" s="1">
        <v>201</v>
      </c>
      <c r="C65" s="1" t="s">
        <v>374</v>
      </c>
      <c r="D65" s="1" t="s">
        <v>372</v>
      </c>
      <c r="E65" s="1" t="s">
        <v>109</v>
      </c>
      <c r="F65" s="1" t="s">
        <v>41</v>
      </c>
      <c r="G65" s="1">
        <v>0</v>
      </c>
      <c r="I65" s="1" t="s">
        <v>326</v>
      </c>
      <c r="J65" s="1" t="s">
        <v>55</v>
      </c>
    </row>
    <row r="66" spans="1:10" hidden="1" x14ac:dyDescent="0.25">
      <c r="A66" s="1" t="s">
        <v>67</v>
      </c>
      <c r="B66" s="1">
        <v>202</v>
      </c>
      <c r="C66" s="1" t="s">
        <v>375</v>
      </c>
      <c r="D66" s="1" t="s">
        <v>372</v>
      </c>
      <c r="E66" s="1" t="s">
        <v>115</v>
      </c>
      <c r="F66" s="1" t="s">
        <v>41</v>
      </c>
      <c r="G66" s="1">
        <v>0</v>
      </c>
      <c r="I66" s="1" t="s">
        <v>326</v>
      </c>
      <c r="J66" s="1" t="s">
        <v>55</v>
      </c>
    </row>
    <row r="67" spans="1:10" hidden="1" x14ac:dyDescent="0.25">
      <c r="A67" s="1" t="s">
        <v>146</v>
      </c>
      <c r="B67" s="1">
        <v>203</v>
      </c>
      <c r="C67" s="1" t="s">
        <v>376</v>
      </c>
      <c r="D67" s="1" t="s">
        <v>328</v>
      </c>
      <c r="E67" s="1" t="s">
        <v>377</v>
      </c>
      <c r="F67" s="1" t="s">
        <v>41</v>
      </c>
      <c r="G67" s="1">
        <v>0.5</v>
      </c>
      <c r="I67" s="1" t="s">
        <v>326</v>
      </c>
      <c r="J67" s="1" t="s">
        <v>55</v>
      </c>
    </row>
    <row r="68" spans="1:10" hidden="1" x14ac:dyDescent="0.25">
      <c r="A68" s="1" t="s">
        <v>146</v>
      </c>
      <c r="B68" s="1">
        <v>205</v>
      </c>
      <c r="C68" s="1" t="s">
        <v>380</v>
      </c>
      <c r="D68" s="1" t="s">
        <v>379</v>
      </c>
      <c r="E68" s="1" t="s">
        <v>105</v>
      </c>
      <c r="F68" s="1" t="s">
        <v>41</v>
      </c>
      <c r="G68" s="1">
        <v>0.5</v>
      </c>
      <c r="I68" s="1" t="s">
        <v>326</v>
      </c>
      <c r="J68" s="1" t="s">
        <v>55</v>
      </c>
    </row>
    <row r="69" spans="1:10" hidden="1" x14ac:dyDescent="0.25">
      <c r="A69" s="1" t="s">
        <v>67</v>
      </c>
      <c r="B69" s="1">
        <v>206</v>
      </c>
      <c r="C69" s="1" t="s">
        <v>381</v>
      </c>
      <c r="D69" s="1" t="s">
        <v>379</v>
      </c>
      <c r="E69" s="1" t="s">
        <v>109</v>
      </c>
      <c r="F69" s="1" t="s">
        <v>41</v>
      </c>
      <c r="G69" s="1">
        <v>0</v>
      </c>
      <c r="I69" s="1" t="s">
        <v>326</v>
      </c>
      <c r="J69" s="1" t="s">
        <v>55</v>
      </c>
    </row>
    <row r="70" spans="1:10" hidden="1" x14ac:dyDescent="0.25">
      <c r="A70" s="1" t="s">
        <v>67</v>
      </c>
      <c r="B70" s="1">
        <v>207</v>
      </c>
      <c r="C70" s="1" t="s">
        <v>382</v>
      </c>
      <c r="D70" s="1" t="s">
        <v>379</v>
      </c>
      <c r="E70" s="1" t="s">
        <v>115</v>
      </c>
      <c r="F70" s="1" t="s">
        <v>41</v>
      </c>
      <c r="G70" s="1">
        <v>0</v>
      </c>
      <c r="I70" s="1" t="s">
        <v>326</v>
      </c>
      <c r="J70" s="1" t="s">
        <v>55</v>
      </c>
    </row>
    <row r="71" spans="1:10" hidden="1" x14ac:dyDescent="0.25">
      <c r="A71" s="1" t="s">
        <v>146</v>
      </c>
      <c r="B71" s="1">
        <v>208</v>
      </c>
      <c r="C71" s="1" t="s">
        <v>383</v>
      </c>
      <c r="D71" s="1" t="s">
        <v>328</v>
      </c>
      <c r="E71" s="1" t="s">
        <v>384</v>
      </c>
      <c r="F71" s="1" t="s">
        <v>41</v>
      </c>
      <c r="G71" s="1">
        <v>0.5</v>
      </c>
      <c r="I71" s="1" t="s">
        <v>326</v>
      </c>
      <c r="J71" s="1" t="s">
        <v>55</v>
      </c>
    </row>
    <row r="72" spans="1:10" hidden="1" x14ac:dyDescent="0.25">
      <c r="A72" s="1" t="s">
        <v>146</v>
      </c>
      <c r="B72" s="1">
        <v>210</v>
      </c>
      <c r="C72" s="1" t="s">
        <v>387</v>
      </c>
      <c r="D72" s="1" t="s">
        <v>386</v>
      </c>
      <c r="E72" s="1" t="s">
        <v>105</v>
      </c>
      <c r="F72" s="1" t="s">
        <v>41</v>
      </c>
      <c r="G72" s="1">
        <v>0.5</v>
      </c>
      <c r="I72" s="1" t="s">
        <v>326</v>
      </c>
      <c r="J72" s="1" t="s">
        <v>55</v>
      </c>
    </row>
    <row r="73" spans="1:10" hidden="1" x14ac:dyDescent="0.25">
      <c r="A73" s="1" t="s">
        <v>67</v>
      </c>
      <c r="B73" s="1">
        <v>211</v>
      </c>
      <c r="C73" s="1" t="s">
        <v>388</v>
      </c>
      <c r="D73" s="1" t="s">
        <v>386</v>
      </c>
      <c r="E73" s="1" t="s">
        <v>109</v>
      </c>
      <c r="F73" s="1" t="s">
        <v>41</v>
      </c>
      <c r="G73" s="1">
        <v>0</v>
      </c>
      <c r="I73" s="1" t="s">
        <v>326</v>
      </c>
      <c r="J73" s="1" t="s">
        <v>55</v>
      </c>
    </row>
    <row r="74" spans="1:10" hidden="1" x14ac:dyDescent="0.25">
      <c r="A74" s="1" t="s">
        <v>67</v>
      </c>
      <c r="B74" s="1">
        <v>212</v>
      </c>
      <c r="C74" s="1" t="s">
        <v>389</v>
      </c>
      <c r="D74" s="1" t="s">
        <v>386</v>
      </c>
      <c r="E74" s="1" t="s">
        <v>115</v>
      </c>
      <c r="F74" s="1" t="s">
        <v>41</v>
      </c>
      <c r="G74" s="1">
        <v>0</v>
      </c>
      <c r="I74" s="1" t="s">
        <v>326</v>
      </c>
      <c r="J74" s="1" t="s">
        <v>55</v>
      </c>
    </row>
    <row r="75" spans="1:10" hidden="1" x14ac:dyDescent="0.25">
      <c r="A75" s="1" t="s">
        <v>146</v>
      </c>
      <c r="B75" s="1">
        <v>228</v>
      </c>
      <c r="C75" s="1" t="s">
        <v>390</v>
      </c>
      <c r="D75" s="1" t="s">
        <v>328</v>
      </c>
      <c r="E75" s="1" t="s">
        <v>391</v>
      </c>
      <c r="F75" s="1" t="s">
        <v>41</v>
      </c>
      <c r="G75" s="1">
        <v>0.43</v>
      </c>
      <c r="I75" s="1" t="s">
        <v>326</v>
      </c>
      <c r="J75" s="1" t="s">
        <v>55</v>
      </c>
    </row>
    <row r="76" spans="1:10" hidden="1" x14ac:dyDescent="0.25">
      <c r="A76" s="1" t="s">
        <v>67</v>
      </c>
      <c r="B76" s="1">
        <v>230</v>
      </c>
      <c r="C76" s="1" t="s">
        <v>395</v>
      </c>
      <c r="D76" s="1" t="s">
        <v>393</v>
      </c>
      <c r="E76" s="1" t="s">
        <v>105</v>
      </c>
      <c r="F76" s="1" t="s">
        <v>41</v>
      </c>
      <c r="G76" s="1">
        <v>0</v>
      </c>
      <c r="I76" s="1" t="s">
        <v>326</v>
      </c>
      <c r="J76" s="1" t="s">
        <v>55</v>
      </c>
    </row>
    <row r="77" spans="1:10" hidden="1" x14ac:dyDescent="0.25">
      <c r="A77" s="1" t="s">
        <v>67</v>
      </c>
      <c r="B77" s="1">
        <v>231</v>
      </c>
      <c r="C77" s="1" t="s">
        <v>396</v>
      </c>
      <c r="D77" s="1" t="s">
        <v>393</v>
      </c>
      <c r="E77" s="1" t="s">
        <v>109</v>
      </c>
      <c r="F77" s="1" t="s">
        <v>168</v>
      </c>
      <c r="G77" s="1">
        <v>0</v>
      </c>
      <c r="I77" s="1" t="s">
        <v>326</v>
      </c>
      <c r="J77" s="1" t="s">
        <v>55</v>
      </c>
    </row>
    <row r="78" spans="1:10" hidden="1" x14ac:dyDescent="0.25">
      <c r="A78" s="1" t="s">
        <v>73</v>
      </c>
      <c r="B78" s="1">
        <v>238</v>
      </c>
      <c r="C78" s="1" t="s">
        <v>398</v>
      </c>
      <c r="D78" s="1" t="s">
        <v>50</v>
      </c>
      <c r="E78" s="1" t="s">
        <v>399</v>
      </c>
      <c r="F78" s="1" t="s">
        <v>41</v>
      </c>
      <c r="G78" s="1">
        <v>0.5</v>
      </c>
      <c r="I78" s="1" t="s">
        <v>401</v>
      </c>
      <c r="J78" s="1" t="s">
        <v>55</v>
      </c>
    </row>
    <row r="79" spans="1:10" hidden="1" x14ac:dyDescent="0.25">
      <c r="A79" s="1" t="s">
        <v>146</v>
      </c>
      <c r="B79" s="1">
        <v>244</v>
      </c>
      <c r="C79" s="1" t="s">
        <v>402</v>
      </c>
      <c r="D79" s="1" t="s">
        <v>403</v>
      </c>
      <c r="E79" s="1" t="s">
        <v>404</v>
      </c>
      <c r="F79" s="1" t="s">
        <v>41</v>
      </c>
      <c r="G79" s="1">
        <v>0.5</v>
      </c>
      <c r="I79" s="1" t="s">
        <v>401</v>
      </c>
      <c r="J79" s="1" t="s">
        <v>55</v>
      </c>
    </row>
    <row r="80" spans="1:10" hidden="1" x14ac:dyDescent="0.25">
      <c r="A80" s="1" t="s">
        <v>67</v>
      </c>
      <c r="B80" s="1">
        <v>246</v>
      </c>
      <c r="C80" s="1" t="s">
        <v>409</v>
      </c>
      <c r="D80" s="1" t="s">
        <v>406</v>
      </c>
      <c r="E80" s="1" t="s">
        <v>105</v>
      </c>
      <c r="F80" s="1" t="s">
        <v>41</v>
      </c>
      <c r="G80" s="1">
        <v>0</v>
      </c>
      <c r="I80" s="1" t="s">
        <v>401</v>
      </c>
      <c r="J80" s="1" t="s">
        <v>55</v>
      </c>
    </row>
    <row r="81" spans="1:10" hidden="1" x14ac:dyDescent="0.25">
      <c r="A81" s="1" t="s">
        <v>67</v>
      </c>
      <c r="B81" s="1">
        <v>247</v>
      </c>
      <c r="C81" s="1" t="s">
        <v>411</v>
      </c>
      <c r="D81" s="1" t="s">
        <v>406</v>
      </c>
      <c r="E81" s="1" t="s">
        <v>109</v>
      </c>
      <c r="F81" s="1" t="s">
        <v>41</v>
      </c>
      <c r="G81" s="1">
        <v>0</v>
      </c>
      <c r="I81" s="1" t="s">
        <v>401</v>
      </c>
      <c r="J81" s="1" t="s">
        <v>55</v>
      </c>
    </row>
    <row r="82" spans="1:10" hidden="1" x14ac:dyDescent="0.25">
      <c r="A82" s="1" t="s">
        <v>67</v>
      </c>
      <c r="B82" s="1">
        <v>248</v>
      </c>
      <c r="C82" s="1" t="s">
        <v>412</v>
      </c>
      <c r="D82" s="1" t="s">
        <v>406</v>
      </c>
      <c r="E82" s="1" t="s">
        <v>115</v>
      </c>
      <c r="F82" s="1" t="s">
        <v>41</v>
      </c>
      <c r="G82" s="1">
        <v>0</v>
      </c>
      <c r="I82" s="1" t="s">
        <v>401</v>
      </c>
      <c r="J82" s="1" t="s">
        <v>55</v>
      </c>
    </row>
    <row r="83" spans="1:10" hidden="1" x14ac:dyDescent="0.25">
      <c r="A83" s="1" t="s">
        <v>67</v>
      </c>
      <c r="B83" s="1">
        <v>249</v>
      </c>
      <c r="C83" s="1" t="s">
        <v>413</v>
      </c>
      <c r="D83" s="1" t="s">
        <v>403</v>
      </c>
      <c r="E83" s="1" t="s">
        <v>414</v>
      </c>
      <c r="F83" s="1" t="s">
        <v>168</v>
      </c>
      <c r="G83" s="1">
        <v>0.5</v>
      </c>
      <c r="I83" s="1" t="s">
        <v>401</v>
      </c>
      <c r="J83" s="1" t="s">
        <v>55</v>
      </c>
    </row>
    <row r="84" spans="1:10" hidden="1" x14ac:dyDescent="0.25">
      <c r="A84" s="1" t="s">
        <v>73</v>
      </c>
      <c r="B84" s="1">
        <v>259</v>
      </c>
      <c r="C84" s="1" t="s">
        <v>420</v>
      </c>
      <c r="D84" s="1" t="s">
        <v>403</v>
      </c>
      <c r="E84" s="1" t="s">
        <v>421</v>
      </c>
      <c r="F84" s="1" t="s">
        <v>41</v>
      </c>
      <c r="G84" s="1">
        <v>0.4</v>
      </c>
      <c r="I84" s="1" t="s">
        <v>401</v>
      </c>
      <c r="J84" s="1" t="s">
        <v>55</v>
      </c>
    </row>
    <row r="85" spans="1:10" hidden="1" x14ac:dyDescent="0.25">
      <c r="A85" s="1" t="s">
        <v>146</v>
      </c>
      <c r="B85" s="1">
        <v>261</v>
      </c>
      <c r="C85" s="1" t="s">
        <v>426</v>
      </c>
      <c r="D85" s="1" t="s">
        <v>423</v>
      </c>
      <c r="E85" s="1" t="s">
        <v>105</v>
      </c>
      <c r="F85" s="1" t="s">
        <v>41</v>
      </c>
      <c r="G85" s="1">
        <v>0</v>
      </c>
      <c r="I85" s="1" t="s">
        <v>401</v>
      </c>
      <c r="J85" s="1" t="s">
        <v>55</v>
      </c>
    </row>
    <row r="86" spans="1:10" hidden="1" x14ac:dyDescent="0.25">
      <c r="A86" s="1" t="s">
        <v>146</v>
      </c>
      <c r="B86" s="1">
        <v>262</v>
      </c>
      <c r="C86" s="1" t="s">
        <v>427</v>
      </c>
      <c r="D86" s="1" t="s">
        <v>423</v>
      </c>
      <c r="E86" s="1" t="s">
        <v>109</v>
      </c>
      <c r="F86" s="1" t="s">
        <v>41</v>
      </c>
      <c r="G86" s="1">
        <v>0</v>
      </c>
      <c r="I86" s="1" t="s">
        <v>401</v>
      </c>
      <c r="J86" s="1" t="s">
        <v>55</v>
      </c>
    </row>
    <row r="87" spans="1:10" hidden="1" x14ac:dyDescent="0.25">
      <c r="A87" s="1" t="s">
        <v>146</v>
      </c>
      <c r="B87" s="1">
        <v>263</v>
      </c>
      <c r="C87" s="1" t="s">
        <v>429</v>
      </c>
      <c r="D87" s="1" t="s">
        <v>423</v>
      </c>
      <c r="E87" s="1" t="s">
        <v>115</v>
      </c>
      <c r="F87" s="1" t="s">
        <v>41</v>
      </c>
      <c r="G87" s="1">
        <v>0</v>
      </c>
      <c r="I87" s="1" t="s">
        <v>401</v>
      </c>
      <c r="J87" s="1" t="s">
        <v>55</v>
      </c>
    </row>
    <row r="88" spans="1:10" hidden="1" x14ac:dyDescent="0.25">
      <c r="A88" s="1" t="s">
        <v>67</v>
      </c>
      <c r="B88" s="1">
        <v>264</v>
      </c>
      <c r="C88" s="1" t="s">
        <v>430</v>
      </c>
      <c r="D88" s="1" t="s">
        <v>403</v>
      </c>
      <c r="E88" s="1" t="s">
        <v>431</v>
      </c>
      <c r="F88" s="1" t="s">
        <v>168</v>
      </c>
      <c r="G88" s="1">
        <v>0.5</v>
      </c>
      <c r="I88" s="1" t="s">
        <v>401</v>
      </c>
      <c r="J88" s="1" t="s">
        <v>55</v>
      </c>
    </row>
    <row r="89" spans="1:10" hidden="1" x14ac:dyDescent="0.25">
      <c r="A89" s="1" t="s">
        <v>67</v>
      </c>
      <c r="B89" s="1">
        <v>266</v>
      </c>
      <c r="C89" s="1" t="s">
        <v>434</v>
      </c>
      <c r="D89" s="1" t="s">
        <v>433</v>
      </c>
      <c r="E89" s="1" t="s">
        <v>105</v>
      </c>
      <c r="F89" s="1" t="s">
        <v>168</v>
      </c>
      <c r="G89" s="1">
        <v>0</v>
      </c>
      <c r="I89" s="1" t="s">
        <v>401</v>
      </c>
      <c r="J89" s="1" t="s">
        <v>55</v>
      </c>
    </row>
    <row r="90" spans="1:10" hidden="1" x14ac:dyDescent="0.25">
      <c r="A90" s="1" t="s">
        <v>67</v>
      </c>
      <c r="B90" s="1">
        <v>269</v>
      </c>
      <c r="C90" s="1" t="s">
        <v>438</v>
      </c>
      <c r="D90" s="1" t="s">
        <v>403</v>
      </c>
      <c r="E90" s="1" t="s">
        <v>439</v>
      </c>
      <c r="F90" s="1" t="s">
        <v>168</v>
      </c>
      <c r="G90" s="1">
        <v>0.5</v>
      </c>
      <c r="I90" s="1" t="s">
        <v>401</v>
      </c>
      <c r="J90" s="1" t="s">
        <v>55</v>
      </c>
    </row>
    <row r="91" spans="1:10" hidden="1" x14ac:dyDescent="0.25">
      <c r="A91" s="1" t="s">
        <v>67</v>
      </c>
      <c r="B91" s="1">
        <v>271</v>
      </c>
      <c r="C91" s="1" t="s">
        <v>442</v>
      </c>
      <c r="D91" s="1" t="s">
        <v>441</v>
      </c>
      <c r="E91" s="1" t="s">
        <v>105</v>
      </c>
      <c r="F91" s="1" t="s">
        <v>168</v>
      </c>
      <c r="G91" s="1">
        <v>0</v>
      </c>
      <c r="I91" s="1" t="s">
        <v>401</v>
      </c>
      <c r="J91" s="1" t="s">
        <v>55</v>
      </c>
    </row>
    <row r="92" spans="1:10" hidden="1" x14ac:dyDescent="0.25">
      <c r="A92" s="1" t="s">
        <v>67</v>
      </c>
      <c r="B92" s="1">
        <v>274</v>
      </c>
      <c r="C92" s="1" t="s">
        <v>445</v>
      </c>
      <c r="D92" s="1" t="s">
        <v>403</v>
      </c>
      <c r="E92" s="1" t="s">
        <v>446</v>
      </c>
      <c r="F92" s="1" t="s">
        <v>168</v>
      </c>
      <c r="G92" s="1">
        <v>0.5</v>
      </c>
      <c r="I92" s="1" t="s">
        <v>401</v>
      </c>
      <c r="J92" s="1" t="s">
        <v>55</v>
      </c>
    </row>
    <row r="93" spans="1:10" hidden="1" x14ac:dyDescent="0.25">
      <c r="A93" s="1" t="s">
        <v>67</v>
      </c>
      <c r="B93" s="1">
        <v>276</v>
      </c>
      <c r="C93" s="1" t="s">
        <v>449</v>
      </c>
      <c r="D93" s="1" t="s">
        <v>448</v>
      </c>
      <c r="E93" s="1" t="s">
        <v>105</v>
      </c>
      <c r="F93" s="1" t="s">
        <v>168</v>
      </c>
      <c r="G93" s="1">
        <v>0</v>
      </c>
      <c r="I93" s="1" t="s">
        <v>401</v>
      </c>
      <c r="J93" s="1" t="s">
        <v>55</v>
      </c>
    </row>
    <row r="94" spans="1:10" hidden="1" x14ac:dyDescent="0.25">
      <c r="A94" s="1" t="s">
        <v>67</v>
      </c>
      <c r="B94" s="1">
        <v>279</v>
      </c>
      <c r="C94" s="1" t="s">
        <v>452</v>
      </c>
      <c r="D94" s="1" t="s">
        <v>403</v>
      </c>
      <c r="E94" s="1" t="s">
        <v>453</v>
      </c>
      <c r="F94" s="1" t="s">
        <v>168</v>
      </c>
      <c r="G94" s="1">
        <v>0.5</v>
      </c>
      <c r="I94" s="1" t="s">
        <v>401</v>
      </c>
      <c r="J94" s="1" t="s">
        <v>55</v>
      </c>
    </row>
    <row r="95" spans="1:10" hidden="1" x14ac:dyDescent="0.25">
      <c r="A95" s="1" t="s">
        <v>67</v>
      </c>
      <c r="B95" s="1">
        <v>281</v>
      </c>
      <c r="C95" s="1" t="s">
        <v>456</v>
      </c>
      <c r="D95" s="1" t="s">
        <v>455</v>
      </c>
      <c r="E95" s="1" t="s">
        <v>105</v>
      </c>
      <c r="F95" s="1" t="s">
        <v>168</v>
      </c>
      <c r="G95" s="1">
        <v>0</v>
      </c>
      <c r="I95" s="1" t="s">
        <v>401</v>
      </c>
      <c r="J95" s="1" t="s">
        <v>55</v>
      </c>
    </row>
    <row r="96" spans="1:10" hidden="1" x14ac:dyDescent="0.25">
      <c r="A96" s="1" t="s">
        <v>67</v>
      </c>
      <c r="B96" s="1">
        <v>289</v>
      </c>
      <c r="C96" s="1" t="s">
        <v>459</v>
      </c>
      <c r="D96" s="1" t="s">
        <v>403</v>
      </c>
      <c r="E96" s="1" t="s">
        <v>460</v>
      </c>
      <c r="F96" s="1" t="s">
        <v>41</v>
      </c>
      <c r="G96" s="1">
        <v>0.56999999999999995</v>
      </c>
      <c r="I96" s="1" t="s">
        <v>401</v>
      </c>
      <c r="J96" s="1" t="s">
        <v>55</v>
      </c>
    </row>
    <row r="97" spans="1:11" hidden="1" x14ac:dyDescent="0.25">
      <c r="A97" s="1" t="s">
        <v>67</v>
      </c>
      <c r="B97" s="1">
        <v>291</v>
      </c>
      <c r="C97" s="1" t="s">
        <v>464</v>
      </c>
      <c r="D97" s="1" t="s">
        <v>462</v>
      </c>
      <c r="E97" s="1" t="s">
        <v>105</v>
      </c>
      <c r="F97" s="1" t="s">
        <v>41</v>
      </c>
      <c r="G97" s="1">
        <v>0</v>
      </c>
      <c r="I97" s="1" t="s">
        <v>401</v>
      </c>
      <c r="J97" s="1" t="s">
        <v>55</v>
      </c>
    </row>
    <row r="98" spans="1:11" hidden="1" x14ac:dyDescent="0.25">
      <c r="A98" s="1" t="s">
        <v>235</v>
      </c>
      <c r="B98" s="1">
        <v>292</v>
      </c>
      <c r="C98" s="1" t="s">
        <v>465</v>
      </c>
      <c r="D98" s="1" t="s">
        <v>462</v>
      </c>
      <c r="E98" s="1" t="s">
        <v>109</v>
      </c>
      <c r="F98" s="1" t="s">
        <v>41</v>
      </c>
      <c r="G98" s="1">
        <v>0</v>
      </c>
      <c r="I98" s="1" t="s">
        <v>401</v>
      </c>
      <c r="J98" s="1" t="s">
        <v>55</v>
      </c>
    </row>
    <row r="99" spans="1:11" hidden="1" x14ac:dyDescent="0.25">
      <c r="A99" s="1" t="s">
        <v>235</v>
      </c>
      <c r="B99" s="1">
        <v>293</v>
      </c>
      <c r="C99" s="1" t="s">
        <v>466</v>
      </c>
      <c r="D99" s="1" t="s">
        <v>462</v>
      </c>
      <c r="E99" s="1" t="s">
        <v>115</v>
      </c>
      <c r="F99" s="1" t="s">
        <v>41</v>
      </c>
      <c r="G99" s="1">
        <v>0</v>
      </c>
      <c r="I99" s="1" t="s">
        <v>401</v>
      </c>
      <c r="J99" s="1" t="s">
        <v>55</v>
      </c>
    </row>
    <row r="100" spans="1:11" hidden="1" x14ac:dyDescent="0.25">
      <c r="A100" s="1" t="s">
        <v>136</v>
      </c>
      <c r="B100" s="1">
        <v>294</v>
      </c>
      <c r="C100" s="1" t="s">
        <v>467</v>
      </c>
      <c r="D100" s="1" t="s">
        <v>50</v>
      </c>
      <c r="E100" s="1" t="s">
        <v>468</v>
      </c>
      <c r="F100" s="1" t="s">
        <v>41</v>
      </c>
      <c r="G100" s="1">
        <v>0.41</v>
      </c>
      <c r="I100" s="1" t="s">
        <v>470</v>
      </c>
      <c r="J100" s="1" t="s">
        <v>44</v>
      </c>
    </row>
    <row r="101" spans="1:11" hidden="1" x14ac:dyDescent="0.25">
      <c r="A101" s="1" t="s">
        <v>119</v>
      </c>
      <c r="B101" s="1">
        <v>305</v>
      </c>
      <c r="C101" s="1" t="s">
        <v>481</v>
      </c>
      <c r="D101" s="1" t="s">
        <v>472</v>
      </c>
      <c r="E101" s="1" t="s">
        <v>482</v>
      </c>
      <c r="F101" s="1" t="s">
        <v>41</v>
      </c>
      <c r="G101" s="1">
        <v>0.86</v>
      </c>
      <c r="I101" s="1" t="s">
        <v>470</v>
      </c>
      <c r="J101" s="1" t="s">
        <v>55</v>
      </c>
    </row>
    <row r="102" spans="1:11" hidden="1" x14ac:dyDescent="0.25">
      <c r="A102" s="1" t="s">
        <v>76</v>
      </c>
      <c r="B102" s="1">
        <v>309</v>
      </c>
      <c r="C102" s="1" t="s">
        <v>491</v>
      </c>
      <c r="D102" s="1" t="s">
        <v>485</v>
      </c>
      <c r="E102" s="1" t="s">
        <v>115</v>
      </c>
      <c r="F102" s="1" t="s">
        <v>41</v>
      </c>
      <c r="G102" s="1">
        <v>0</v>
      </c>
      <c r="I102" s="1" t="s">
        <v>470</v>
      </c>
      <c r="J102" s="1" t="s">
        <v>55</v>
      </c>
    </row>
    <row r="103" spans="1:11" hidden="1" x14ac:dyDescent="0.25">
      <c r="A103" s="1" t="s">
        <v>136</v>
      </c>
      <c r="B103" s="1">
        <v>315</v>
      </c>
      <c r="C103" s="1" t="s">
        <v>493</v>
      </c>
      <c r="D103" s="1" t="s">
        <v>472</v>
      </c>
      <c r="E103" s="1" t="s">
        <v>494</v>
      </c>
      <c r="F103" s="1" t="s">
        <v>41</v>
      </c>
      <c r="G103" s="1">
        <v>0.75</v>
      </c>
      <c r="I103" s="1" t="s">
        <v>470</v>
      </c>
      <c r="J103" s="1" t="s">
        <v>55</v>
      </c>
    </row>
    <row r="104" spans="1:11" hidden="1" x14ac:dyDescent="0.25">
      <c r="A104" s="1" t="s">
        <v>119</v>
      </c>
      <c r="B104" s="1">
        <v>318</v>
      </c>
      <c r="C104" s="1" t="s">
        <v>499</v>
      </c>
      <c r="D104" s="1" t="s">
        <v>496</v>
      </c>
      <c r="E104" s="1" t="s">
        <v>109</v>
      </c>
      <c r="F104" s="1" t="s">
        <v>41</v>
      </c>
      <c r="G104" s="1">
        <v>0.5</v>
      </c>
      <c r="I104" s="1" t="s">
        <v>470</v>
      </c>
      <c r="J104" s="1" t="s">
        <v>55</v>
      </c>
    </row>
    <row r="105" spans="1:11" hidden="1" x14ac:dyDescent="0.25">
      <c r="A105" s="1" t="s">
        <v>119</v>
      </c>
      <c r="B105" s="1">
        <v>319</v>
      </c>
      <c r="C105" s="1" t="s">
        <v>501</v>
      </c>
      <c r="D105" s="1" t="s">
        <v>496</v>
      </c>
      <c r="E105" s="1" t="s">
        <v>115</v>
      </c>
      <c r="F105" s="1" t="s">
        <v>41</v>
      </c>
      <c r="G105" s="1">
        <v>0</v>
      </c>
      <c r="I105" s="1" t="s">
        <v>470</v>
      </c>
      <c r="J105" s="1" t="s">
        <v>55</v>
      </c>
    </row>
    <row r="106" spans="1:11" hidden="1" x14ac:dyDescent="0.25">
      <c r="A106" s="1" t="s">
        <v>146</v>
      </c>
      <c r="B106" s="1">
        <v>335</v>
      </c>
      <c r="C106" s="1" t="s">
        <v>524</v>
      </c>
      <c r="D106" s="1" t="s">
        <v>472</v>
      </c>
      <c r="E106" s="1" t="s">
        <v>525</v>
      </c>
      <c r="F106" s="1" t="s">
        <v>168</v>
      </c>
      <c r="G106" s="1">
        <v>0.35</v>
      </c>
      <c r="I106" s="1" t="s">
        <v>470</v>
      </c>
      <c r="J106" s="1" t="s">
        <v>55</v>
      </c>
    </row>
    <row r="107" spans="1:11" x14ac:dyDescent="0.25">
      <c r="A107" s="1" t="s">
        <v>146</v>
      </c>
      <c r="B107" s="1">
        <v>336</v>
      </c>
      <c r="C107" s="1" t="s">
        <v>526</v>
      </c>
      <c r="D107" s="1" t="s">
        <v>527</v>
      </c>
      <c r="E107" s="1" t="s">
        <v>101</v>
      </c>
      <c r="F107" s="1" t="s">
        <v>168</v>
      </c>
      <c r="G107" s="4">
        <v>1</v>
      </c>
      <c r="I107" s="1" t="s">
        <v>470</v>
      </c>
      <c r="J107" s="1" t="s">
        <v>55</v>
      </c>
    </row>
    <row r="108" spans="1:11" hidden="1" x14ac:dyDescent="0.25">
      <c r="A108" s="1" t="s">
        <v>146</v>
      </c>
      <c r="B108" s="1">
        <v>340</v>
      </c>
      <c r="C108" s="1" t="s">
        <v>534</v>
      </c>
      <c r="D108" s="1" t="s">
        <v>472</v>
      </c>
      <c r="E108" s="1" t="s">
        <v>535</v>
      </c>
      <c r="F108" s="1" t="s">
        <v>168</v>
      </c>
      <c r="G108" s="1">
        <v>0.35</v>
      </c>
      <c r="I108" s="1" t="s">
        <v>470</v>
      </c>
      <c r="J108" s="1" t="s">
        <v>55</v>
      </c>
    </row>
    <row r="109" spans="1:11" x14ac:dyDescent="0.25">
      <c r="A109" s="1" t="s">
        <v>146</v>
      </c>
      <c r="B109" s="1">
        <v>341</v>
      </c>
      <c r="C109" s="1" t="s">
        <v>536</v>
      </c>
      <c r="D109" s="1" t="s">
        <v>537</v>
      </c>
      <c r="E109" s="1" t="s">
        <v>101</v>
      </c>
      <c r="F109" s="1" t="s">
        <v>168</v>
      </c>
      <c r="G109" s="4">
        <v>1</v>
      </c>
      <c r="I109" s="1" t="s">
        <v>470</v>
      </c>
      <c r="J109" s="1" t="s">
        <v>55</v>
      </c>
    </row>
    <row r="110" spans="1:11" hidden="1" x14ac:dyDescent="0.25">
      <c r="A110" s="1" t="s">
        <v>67</v>
      </c>
      <c r="B110" s="1">
        <v>345</v>
      </c>
      <c r="C110" s="1" t="s">
        <v>544</v>
      </c>
      <c r="D110" s="1" t="s">
        <v>472</v>
      </c>
      <c r="E110" s="1" t="s">
        <v>545</v>
      </c>
      <c r="F110" s="1" t="s">
        <v>41</v>
      </c>
      <c r="G110" s="1">
        <v>0.4</v>
      </c>
      <c r="I110" s="1" t="s">
        <v>470</v>
      </c>
      <c r="J110" s="1" t="s">
        <v>55</v>
      </c>
    </row>
    <row r="111" spans="1:11" hidden="1" x14ac:dyDescent="0.25">
      <c r="A111" s="1" t="s">
        <v>67</v>
      </c>
      <c r="B111" s="1">
        <v>346</v>
      </c>
      <c r="C111" s="1" t="s">
        <v>546</v>
      </c>
      <c r="D111" s="1" t="s">
        <v>547</v>
      </c>
      <c r="E111" s="1" t="s">
        <v>101</v>
      </c>
      <c r="F111" s="1" t="s">
        <v>41</v>
      </c>
      <c r="G111" s="4">
        <v>0.9</v>
      </c>
      <c r="I111" s="1" t="s">
        <v>470</v>
      </c>
      <c r="J111" s="1" t="s">
        <v>44</v>
      </c>
      <c r="K111" s="13">
        <v>46209</v>
      </c>
    </row>
    <row r="112" spans="1:11" hidden="1" x14ac:dyDescent="0.25">
      <c r="A112" s="1" t="s">
        <v>235</v>
      </c>
      <c r="B112" s="1">
        <v>347</v>
      </c>
      <c r="C112" s="1" t="s">
        <v>548</v>
      </c>
      <c r="D112" s="1" t="s">
        <v>547</v>
      </c>
      <c r="E112" s="1" t="s">
        <v>105</v>
      </c>
      <c r="F112" s="1" t="s">
        <v>168</v>
      </c>
      <c r="G112" s="1">
        <v>0</v>
      </c>
      <c r="I112" s="1" t="s">
        <v>470</v>
      </c>
      <c r="J112" s="1" t="s">
        <v>44</v>
      </c>
    </row>
    <row r="113" spans="1:11" hidden="1" x14ac:dyDescent="0.25">
      <c r="A113" s="1" t="s">
        <v>73</v>
      </c>
      <c r="B113" s="1">
        <v>350</v>
      </c>
      <c r="C113" s="1" t="s">
        <v>554</v>
      </c>
      <c r="D113" s="1" t="s">
        <v>472</v>
      </c>
      <c r="E113" s="1" t="s">
        <v>555</v>
      </c>
      <c r="F113" s="1" t="s">
        <v>41</v>
      </c>
      <c r="G113" s="1">
        <v>0.4</v>
      </c>
      <c r="I113" s="1" t="s">
        <v>470</v>
      </c>
      <c r="J113" s="1" t="s">
        <v>55</v>
      </c>
    </row>
    <row r="114" spans="1:11" hidden="1" x14ac:dyDescent="0.25">
      <c r="A114" s="1" t="s">
        <v>73</v>
      </c>
      <c r="B114" s="1">
        <v>351</v>
      </c>
      <c r="C114" s="1" t="s">
        <v>556</v>
      </c>
      <c r="D114" s="1" t="s">
        <v>557</v>
      </c>
      <c r="E114" s="1" t="s">
        <v>101</v>
      </c>
      <c r="F114" s="1" t="s">
        <v>41</v>
      </c>
      <c r="G114" s="4">
        <v>0.9</v>
      </c>
      <c r="I114" s="1" t="s">
        <v>470</v>
      </c>
      <c r="J114" s="1" t="s">
        <v>55</v>
      </c>
      <c r="K114" s="13">
        <v>46209</v>
      </c>
    </row>
    <row r="115" spans="1:11" hidden="1" x14ac:dyDescent="0.25">
      <c r="A115" s="1" t="s">
        <v>146</v>
      </c>
      <c r="B115" s="1">
        <v>352</v>
      </c>
      <c r="C115" s="1" t="s">
        <v>559</v>
      </c>
      <c r="D115" s="1" t="s">
        <v>557</v>
      </c>
      <c r="E115" s="1" t="s">
        <v>105</v>
      </c>
      <c r="F115" s="1" t="s">
        <v>168</v>
      </c>
      <c r="G115" s="1">
        <v>0</v>
      </c>
      <c r="I115" s="1" t="s">
        <v>470</v>
      </c>
      <c r="J115" s="1" t="s">
        <v>55</v>
      </c>
    </row>
    <row r="116" spans="1:11" hidden="1" x14ac:dyDescent="0.25">
      <c r="A116" s="1" t="s">
        <v>73</v>
      </c>
      <c r="B116" s="1">
        <v>355</v>
      </c>
      <c r="C116" s="1" t="s">
        <v>564</v>
      </c>
      <c r="D116" s="1" t="s">
        <v>472</v>
      </c>
      <c r="E116" s="1" t="s">
        <v>565</v>
      </c>
      <c r="F116" s="1" t="s">
        <v>41</v>
      </c>
      <c r="G116" s="1">
        <v>0.4</v>
      </c>
      <c r="I116" s="1" t="s">
        <v>470</v>
      </c>
      <c r="J116" s="1" t="s">
        <v>55</v>
      </c>
    </row>
    <row r="117" spans="1:11" hidden="1" x14ac:dyDescent="0.25">
      <c r="A117" s="1" t="s">
        <v>73</v>
      </c>
      <c r="B117" s="1">
        <v>356</v>
      </c>
      <c r="C117" s="1" t="s">
        <v>566</v>
      </c>
      <c r="D117" s="1" t="s">
        <v>567</v>
      </c>
      <c r="E117" s="1" t="s">
        <v>101</v>
      </c>
      <c r="F117" s="1" t="s">
        <v>41</v>
      </c>
      <c r="G117" s="4">
        <v>0.9</v>
      </c>
      <c r="I117" s="1" t="s">
        <v>470</v>
      </c>
      <c r="J117" s="1" t="s">
        <v>55</v>
      </c>
      <c r="K117" s="13">
        <v>46209</v>
      </c>
    </row>
    <row r="118" spans="1:11" hidden="1" x14ac:dyDescent="0.25">
      <c r="A118" s="1" t="s">
        <v>146</v>
      </c>
      <c r="B118" s="1">
        <v>357</v>
      </c>
      <c r="C118" s="1" t="s">
        <v>568</v>
      </c>
      <c r="D118" s="1" t="s">
        <v>567</v>
      </c>
      <c r="E118" s="1" t="s">
        <v>105</v>
      </c>
      <c r="F118" s="1" t="s">
        <v>168</v>
      </c>
      <c r="G118" s="1">
        <v>0</v>
      </c>
      <c r="I118" s="1" t="s">
        <v>470</v>
      </c>
      <c r="J118" s="1" t="s">
        <v>55</v>
      </c>
    </row>
    <row r="119" spans="1:11" hidden="1" x14ac:dyDescent="0.25">
      <c r="A119" s="1" t="s">
        <v>73</v>
      </c>
      <c r="B119" s="1">
        <v>360</v>
      </c>
      <c r="C119" s="1" t="s">
        <v>573</v>
      </c>
      <c r="D119" s="1" t="s">
        <v>472</v>
      </c>
      <c r="E119" s="1" t="s">
        <v>574</v>
      </c>
      <c r="F119" s="1" t="s">
        <v>41</v>
      </c>
      <c r="G119" s="1">
        <v>0.57999999999999996</v>
      </c>
      <c r="I119" s="1" t="s">
        <v>470</v>
      </c>
      <c r="J119" s="1" t="s">
        <v>55</v>
      </c>
    </row>
    <row r="120" spans="1:11" hidden="1" x14ac:dyDescent="0.25">
      <c r="A120" s="1" t="s">
        <v>146</v>
      </c>
      <c r="B120" s="1">
        <v>362</v>
      </c>
      <c r="C120" s="1" t="s">
        <v>578</v>
      </c>
      <c r="D120" s="1" t="s">
        <v>576</v>
      </c>
      <c r="E120" s="1" t="s">
        <v>105</v>
      </c>
      <c r="F120" s="1" t="s">
        <v>41</v>
      </c>
      <c r="G120" s="1">
        <v>0.5</v>
      </c>
      <c r="I120" s="1" t="s">
        <v>470</v>
      </c>
      <c r="J120" s="1" t="s">
        <v>55</v>
      </c>
    </row>
    <row r="121" spans="1:11" hidden="1" x14ac:dyDescent="0.25">
      <c r="A121" s="1" t="s">
        <v>146</v>
      </c>
      <c r="B121" s="1">
        <v>363</v>
      </c>
      <c r="C121" s="1" t="s">
        <v>579</v>
      </c>
      <c r="D121" s="1" t="s">
        <v>576</v>
      </c>
      <c r="E121" s="1" t="s">
        <v>109</v>
      </c>
      <c r="F121" s="1" t="s">
        <v>41</v>
      </c>
      <c r="G121" s="1">
        <v>0</v>
      </c>
      <c r="I121" s="1" t="s">
        <v>470</v>
      </c>
      <c r="J121" s="1" t="s">
        <v>55</v>
      </c>
    </row>
    <row r="122" spans="1:11" hidden="1" x14ac:dyDescent="0.25">
      <c r="A122" s="1" t="s">
        <v>146</v>
      </c>
      <c r="B122" s="1">
        <v>364</v>
      </c>
      <c r="C122" s="1" t="s">
        <v>580</v>
      </c>
      <c r="D122" s="1" t="s">
        <v>576</v>
      </c>
      <c r="E122" s="1" t="s">
        <v>115</v>
      </c>
      <c r="F122" s="1" t="s">
        <v>41</v>
      </c>
      <c r="G122" s="1">
        <v>0</v>
      </c>
      <c r="I122" s="1" t="s">
        <v>470</v>
      </c>
      <c r="J122" s="1" t="s">
        <v>55</v>
      </c>
    </row>
    <row r="123" spans="1:11" hidden="1" x14ac:dyDescent="0.25">
      <c r="A123" s="1" t="s">
        <v>146</v>
      </c>
      <c r="B123" s="1">
        <v>380</v>
      </c>
      <c r="C123" s="1" t="s">
        <v>581</v>
      </c>
      <c r="D123" s="1" t="s">
        <v>472</v>
      </c>
      <c r="E123" s="1" t="s">
        <v>582</v>
      </c>
      <c r="F123" s="1" t="s">
        <v>41</v>
      </c>
      <c r="G123" s="1">
        <v>0.64</v>
      </c>
      <c r="I123" s="1" t="s">
        <v>470</v>
      </c>
      <c r="J123" s="1" t="s">
        <v>55</v>
      </c>
    </row>
    <row r="124" spans="1:11" hidden="1" x14ac:dyDescent="0.25">
      <c r="A124" s="1" t="s">
        <v>146</v>
      </c>
      <c r="B124" s="1">
        <v>382</v>
      </c>
      <c r="C124" s="1" t="s">
        <v>585</v>
      </c>
      <c r="D124" s="1" t="s">
        <v>584</v>
      </c>
      <c r="E124" s="1" t="s">
        <v>105</v>
      </c>
      <c r="F124" s="1" t="s">
        <v>41</v>
      </c>
      <c r="G124" s="1">
        <v>0.5</v>
      </c>
      <c r="I124" s="1" t="s">
        <v>470</v>
      </c>
      <c r="J124" s="1" t="s">
        <v>55</v>
      </c>
    </row>
    <row r="125" spans="1:11" hidden="1" x14ac:dyDescent="0.25">
      <c r="A125" s="1" t="s">
        <v>67</v>
      </c>
      <c r="B125" s="1">
        <v>383</v>
      </c>
      <c r="C125" s="1" t="s">
        <v>586</v>
      </c>
      <c r="D125" s="1" t="s">
        <v>584</v>
      </c>
      <c r="E125" s="1" t="s">
        <v>109</v>
      </c>
      <c r="F125" s="1" t="s">
        <v>41</v>
      </c>
      <c r="G125" s="1">
        <v>0</v>
      </c>
      <c r="I125" s="1" t="s">
        <v>470</v>
      </c>
      <c r="J125" s="1" t="s">
        <v>55</v>
      </c>
    </row>
    <row r="126" spans="1:11" hidden="1" x14ac:dyDescent="0.25">
      <c r="A126" s="1" t="s">
        <v>67</v>
      </c>
      <c r="B126" s="1">
        <v>384</v>
      </c>
      <c r="C126" s="1" t="s">
        <v>588</v>
      </c>
      <c r="D126" s="1" t="s">
        <v>584</v>
      </c>
      <c r="E126" s="1" t="s">
        <v>115</v>
      </c>
      <c r="F126" s="1" t="s">
        <v>41</v>
      </c>
      <c r="G126" s="1">
        <v>0</v>
      </c>
      <c r="I126" s="1" t="s">
        <v>470</v>
      </c>
      <c r="J126" s="1" t="s">
        <v>55</v>
      </c>
    </row>
    <row r="127" spans="1:11" hidden="1" x14ac:dyDescent="0.25">
      <c r="A127" s="1" t="s">
        <v>136</v>
      </c>
      <c r="B127" s="1">
        <v>405</v>
      </c>
      <c r="C127" s="1" t="s">
        <v>590</v>
      </c>
      <c r="D127" s="1" t="s">
        <v>50</v>
      </c>
      <c r="E127" s="1" t="s">
        <v>591</v>
      </c>
      <c r="F127" s="1" t="s">
        <v>41</v>
      </c>
      <c r="G127" s="1">
        <v>0.64</v>
      </c>
      <c r="I127" s="1" t="s">
        <v>593</v>
      </c>
      <c r="J127" s="1" t="s">
        <v>55</v>
      </c>
    </row>
    <row r="128" spans="1:11" hidden="1" x14ac:dyDescent="0.25">
      <c r="A128" s="1" t="s">
        <v>73</v>
      </c>
      <c r="B128" s="1">
        <v>411</v>
      </c>
      <c r="C128" s="1" t="s">
        <v>594</v>
      </c>
      <c r="D128" s="1" t="s">
        <v>595</v>
      </c>
      <c r="E128" s="1" t="s">
        <v>596</v>
      </c>
      <c r="F128" s="1" t="s">
        <v>41</v>
      </c>
      <c r="G128" s="1">
        <v>0.75</v>
      </c>
      <c r="I128" s="1" t="s">
        <v>593</v>
      </c>
      <c r="J128" s="1" t="s">
        <v>55</v>
      </c>
    </row>
    <row r="129" spans="1:10" hidden="1" x14ac:dyDescent="0.25">
      <c r="A129" s="1" t="s">
        <v>146</v>
      </c>
      <c r="B129" s="1">
        <v>414</v>
      </c>
      <c r="C129" s="1" t="s">
        <v>601</v>
      </c>
      <c r="D129" s="1" t="s">
        <v>598</v>
      </c>
      <c r="E129" s="1" t="s">
        <v>109</v>
      </c>
      <c r="F129" s="1" t="s">
        <v>41</v>
      </c>
      <c r="G129" s="1">
        <v>0.5</v>
      </c>
      <c r="I129" s="1" t="s">
        <v>593</v>
      </c>
      <c r="J129" s="1" t="s">
        <v>55</v>
      </c>
    </row>
    <row r="130" spans="1:10" hidden="1" x14ac:dyDescent="0.25">
      <c r="A130" s="1" t="s">
        <v>146</v>
      </c>
      <c r="B130" s="1">
        <v>415</v>
      </c>
      <c r="C130" s="1" t="s">
        <v>602</v>
      </c>
      <c r="D130" s="1" t="s">
        <v>598</v>
      </c>
      <c r="E130" s="1" t="s">
        <v>115</v>
      </c>
      <c r="F130" s="1" t="s">
        <v>41</v>
      </c>
      <c r="G130" s="1">
        <v>0</v>
      </c>
      <c r="I130" s="1" t="s">
        <v>593</v>
      </c>
      <c r="J130" s="1" t="s">
        <v>55</v>
      </c>
    </row>
    <row r="131" spans="1:10" hidden="1" x14ac:dyDescent="0.25">
      <c r="A131" s="1" t="s">
        <v>73</v>
      </c>
      <c r="B131" s="1">
        <v>416</v>
      </c>
      <c r="C131" s="1" t="s">
        <v>603</v>
      </c>
      <c r="D131" s="1" t="s">
        <v>595</v>
      </c>
      <c r="E131" s="1" t="s">
        <v>604</v>
      </c>
      <c r="F131" s="1" t="s">
        <v>41</v>
      </c>
      <c r="G131" s="1">
        <v>0.56000000000000005</v>
      </c>
      <c r="I131" s="1" t="s">
        <v>593</v>
      </c>
      <c r="J131" s="1" t="s">
        <v>55</v>
      </c>
    </row>
    <row r="132" spans="1:10" hidden="1" x14ac:dyDescent="0.25">
      <c r="A132" s="1" t="s">
        <v>73</v>
      </c>
      <c r="B132" s="1">
        <v>418</v>
      </c>
      <c r="C132" s="1" t="s">
        <v>607</v>
      </c>
      <c r="D132" s="1" t="s">
        <v>606</v>
      </c>
      <c r="E132" s="1" t="s">
        <v>105</v>
      </c>
      <c r="F132" s="1" t="s">
        <v>41</v>
      </c>
      <c r="G132" s="1">
        <v>0.5</v>
      </c>
      <c r="I132" s="1" t="s">
        <v>593</v>
      </c>
      <c r="J132" s="1" t="s">
        <v>55</v>
      </c>
    </row>
    <row r="133" spans="1:10" hidden="1" x14ac:dyDescent="0.25">
      <c r="A133" s="1" t="s">
        <v>146</v>
      </c>
      <c r="B133" s="1">
        <v>419</v>
      </c>
      <c r="C133" s="1" t="s">
        <v>608</v>
      </c>
      <c r="D133" s="1" t="s">
        <v>606</v>
      </c>
      <c r="E133" s="1" t="s">
        <v>109</v>
      </c>
      <c r="F133" s="1" t="s">
        <v>41</v>
      </c>
      <c r="G133" s="1">
        <v>0</v>
      </c>
      <c r="I133" s="1" t="s">
        <v>593</v>
      </c>
      <c r="J133" s="1" t="s">
        <v>55</v>
      </c>
    </row>
    <row r="134" spans="1:10" hidden="1" x14ac:dyDescent="0.25">
      <c r="A134" s="1" t="s">
        <v>146</v>
      </c>
      <c r="B134" s="1">
        <v>420</v>
      </c>
      <c r="C134" s="1" t="s">
        <v>609</v>
      </c>
      <c r="D134" s="1" t="s">
        <v>606</v>
      </c>
      <c r="E134" s="1" t="s">
        <v>115</v>
      </c>
      <c r="F134" s="1" t="s">
        <v>41</v>
      </c>
      <c r="G134" s="1">
        <v>0</v>
      </c>
      <c r="I134" s="1" t="s">
        <v>593</v>
      </c>
      <c r="J134" s="1" t="s">
        <v>55</v>
      </c>
    </row>
    <row r="135" spans="1:10" hidden="1" x14ac:dyDescent="0.25">
      <c r="A135" s="1" t="s">
        <v>76</v>
      </c>
      <c r="B135" s="1">
        <v>421</v>
      </c>
      <c r="C135" s="1" t="s">
        <v>610</v>
      </c>
      <c r="D135" s="1" t="s">
        <v>595</v>
      </c>
      <c r="E135" s="1" t="s">
        <v>611</v>
      </c>
      <c r="F135" s="1" t="s">
        <v>41</v>
      </c>
      <c r="G135" s="1">
        <v>0.5</v>
      </c>
      <c r="I135" s="1" t="s">
        <v>593</v>
      </c>
      <c r="J135" s="1" t="s">
        <v>55</v>
      </c>
    </row>
    <row r="136" spans="1:10" hidden="1" x14ac:dyDescent="0.25">
      <c r="A136" s="1" t="s">
        <v>73</v>
      </c>
      <c r="B136" s="1">
        <v>423</v>
      </c>
      <c r="C136" s="1" t="s">
        <v>616</v>
      </c>
      <c r="D136" s="1" t="s">
        <v>613</v>
      </c>
      <c r="E136" s="1" t="s">
        <v>105</v>
      </c>
      <c r="F136" s="1" t="s">
        <v>41</v>
      </c>
      <c r="G136" s="1">
        <v>0</v>
      </c>
      <c r="I136" s="1" t="s">
        <v>593</v>
      </c>
      <c r="J136" s="1" t="s">
        <v>55</v>
      </c>
    </row>
    <row r="137" spans="1:10" hidden="1" x14ac:dyDescent="0.25">
      <c r="A137" s="1" t="s">
        <v>73</v>
      </c>
      <c r="B137" s="1">
        <v>424</v>
      </c>
      <c r="C137" s="1" t="s">
        <v>617</v>
      </c>
      <c r="D137" s="1" t="s">
        <v>613</v>
      </c>
      <c r="E137" s="1" t="s">
        <v>109</v>
      </c>
      <c r="F137" s="1" t="s">
        <v>168</v>
      </c>
      <c r="G137" s="1">
        <v>0</v>
      </c>
      <c r="I137" s="1" t="s">
        <v>593</v>
      </c>
      <c r="J137" s="1" t="s">
        <v>55</v>
      </c>
    </row>
    <row r="138" spans="1:10" hidden="1" x14ac:dyDescent="0.25">
      <c r="A138" s="1" t="s">
        <v>146</v>
      </c>
      <c r="B138" s="1">
        <v>436</v>
      </c>
      <c r="C138" s="1" t="s">
        <v>619</v>
      </c>
      <c r="D138" s="1" t="s">
        <v>595</v>
      </c>
      <c r="E138" s="1" t="s">
        <v>620</v>
      </c>
      <c r="F138" s="1" t="s">
        <v>41</v>
      </c>
      <c r="G138" s="1">
        <v>0.17</v>
      </c>
      <c r="I138" s="1" t="s">
        <v>593</v>
      </c>
      <c r="J138" s="1" t="s">
        <v>55</v>
      </c>
    </row>
    <row r="139" spans="1:10" x14ac:dyDescent="0.25">
      <c r="A139" s="1" t="s">
        <v>146</v>
      </c>
      <c r="B139" s="1">
        <v>437</v>
      </c>
      <c r="C139" s="1" t="s">
        <v>621</v>
      </c>
      <c r="D139" s="1" t="s">
        <v>622</v>
      </c>
      <c r="E139" s="1" t="s">
        <v>101</v>
      </c>
      <c r="F139" s="1" t="s">
        <v>41</v>
      </c>
      <c r="G139" s="4">
        <v>1</v>
      </c>
      <c r="I139" s="1" t="s">
        <v>593</v>
      </c>
      <c r="J139" s="1" t="s">
        <v>55</v>
      </c>
    </row>
    <row r="140" spans="1:10" hidden="1" x14ac:dyDescent="0.25">
      <c r="A140" s="1" t="s">
        <v>73</v>
      </c>
      <c r="B140" s="1">
        <v>441</v>
      </c>
      <c r="C140" s="1" t="s">
        <v>627</v>
      </c>
      <c r="D140" s="1" t="s">
        <v>595</v>
      </c>
      <c r="E140" s="1" t="s">
        <v>628</v>
      </c>
      <c r="F140" s="1" t="s">
        <v>41</v>
      </c>
      <c r="G140" s="1">
        <v>0.8</v>
      </c>
      <c r="I140" s="1" t="s">
        <v>593</v>
      </c>
      <c r="J140" s="1" t="s">
        <v>55</v>
      </c>
    </row>
    <row r="141" spans="1:10" hidden="1" x14ac:dyDescent="0.25">
      <c r="A141" s="1" t="s">
        <v>146</v>
      </c>
      <c r="B141" s="1">
        <v>444</v>
      </c>
      <c r="C141" s="1" t="s">
        <v>633</v>
      </c>
      <c r="D141" s="1" t="s">
        <v>630</v>
      </c>
      <c r="E141" s="1" t="s">
        <v>109</v>
      </c>
      <c r="F141" s="1" t="s">
        <v>41</v>
      </c>
      <c r="G141" s="1">
        <v>0.5</v>
      </c>
      <c r="I141" s="1" t="s">
        <v>593</v>
      </c>
      <c r="J141" s="1" t="s">
        <v>55</v>
      </c>
    </row>
    <row r="142" spans="1:10" hidden="1" x14ac:dyDescent="0.25">
      <c r="A142" s="1" t="s">
        <v>146</v>
      </c>
      <c r="B142" s="1">
        <v>445</v>
      </c>
      <c r="C142" s="1" t="s">
        <v>635</v>
      </c>
      <c r="D142" s="1" t="s">
        <v>630</v>
      </c>
      <c r="E142" s="1" t="s">
        <v>115</v>
      </c>
      <c r="F142" s="1" t="s">
        <v>41</v>
      </c>
      <c r="G142" s="1">
        <v>0</v>
      </c>
      <c r="I142" s="1" t="s">
        <v>593</v>
      </c>
      <c r="J142" s="1" t="s">
        <v>55</v>
      </c>
    </row>
    <row r="143" spans="1:10" hidden="1" x14ac:dyDescent="0.25">
      <c r="A143" s="1" t="s">
        <v>136</v>
      </c>
      <c r="B143" s="1">
        <v>446</v>
      </c>
      <c r="C143" s="1" t="s">
        <v>637</v>
      </c>
      <c r="D143" s="1" t="s">
        <v>595</v>
      </c>
      <c r="E143" s="1" t="s">
        <v>638</v>
      </c>
      <c r="F143" s="1" t="s">
        <v>41</v>
      </c>
      <c r="G143" s="1">
        <v>0.6</v>
      </c>
      <c r="I143" s="1" t="s">
        <v>593</v>
      </c>
      <c r="J143" s="1" t="s">
        <v>55</v>
      </c>
    </row>
    <row r="144" spans="1:10" hidden="1" x14ac:dyDescent="0.25">
      <c r="A144" s="1" t="s">
        <v>76</v>
      </c>
      <c r="B144" s="1">
        <v>448</v>
      </c>
      <c r="C144" s="1" t="s">
        <v>642</v>
      </c>
      <c r="D144" s="1" t="s">
        <v>640</v>
      </c>
      <c r="E144" s="1" t="s">
        <v>105</v>
      </c>
      <c r="F144" s="1" t="s">
        <v>41</v>
      </c>
      <c r="G144" s="1">
        <v>0</v>
      </c>
      <c r="I144" s="1" t="s">
        <v>593</v>
      </c>
      <c r="J144" s="1" t="s">
        <v>55</v>
      </c>
    </row>
    <row r="145" spans="1:10" hidden="1" x14ac:dyDescent="0.25">
      <c r="A145" s="1" t="s">
        <v>76</v>
      </c>
      <c r="B145" s="1">
        <v>449</v>
      </c>
      <c r="C145" s="1" t="s">
        <v>643</v>
      </c>
      <c r="D145" s="1" t="s">
        <v>640</v>
      </c>
      <c r="E145" s="1" t="s">
        <v>109</v>
      </c>
      <c r="F145" s="1" t="s">
        <v>41</v>
      </c>
      <c r="G145" s="1">
        <v>0</v>
      </c>
      <c r="I145" s="1" t="s">
        <v>593</v>
      </c>
      <c r="J145" s="1" t="s">
        <v>55</v>
      </c>
    </row>
    <row r="146" spans="1:10" hidden="1" x14ac:dyDescent="0.25">
      <c r="A146" s="1" t="s">
        <v>73</v>
      </c>
      <c r="B146" s="1">
        <v>450</v>
      </c>
      <c r="C146" s="1" t="s">
        <v>644</v>
      </c>
      <c r="D146" s="1" t="s">
        <v>640</v>
      </c>
      <c r="E146" s="1" t="s">
        <v>115</v>
      </c>
      <c r="F146" s="1" t="s">
        <v>41</v>
      </c>
      <c r="G146" s="1">
        <v>0</v>
      </c>
      <c r="I146" s="1" t="s">
        <v>593</v>
      </c>
      <c r="J146" s="1" t="s">
        <v>55</v>
      </c>
    </row>
    <row r="147" spans="1:10" hidden="1" x14ac:dyDescent="0.25">
      <c r="A147" s="1" t="s">
        <v>119</v>
      </c>
      <c r="B147" s="1">
        <v>451</v>
      </c>
      <c r="C147" s="1" t="s">
        <v>645</v>
      </c>
      <c r="D147" s="1" t="s">
        <v>595</v>
      </c>
      <c r="E147" s="1" t="s">
        <v>646</v>
      </c>
      <c r="F147" s="1" t="s">
        <v>41</v>
      </c>
      <c r="G147" s="1">
        <v>0.6</v>
      </c>
      <c r="I147" s="1" t="s">
        <v>593</v>
      </c>
      <c r="J147" s="1" t="s">
        <v>55</v>
      </c>
    </row>
    <row r="148" spans="1:10" hidden="1" x14ac:dyDescent="0.25">
      <c r="A148" s="1" t="s">
        <v>73</v>
      </c>
      <c r="B148" s="1">
        <v>453</v>
      </c>
      <c r="C148" s="1" t="s">
        <v>649</v>
      </c>
      <c r="D148" s="1" t="s">
        <v>648</v>
      </c>
      <c r="E148" s="1" t="s">
        <v>105</v>
      </c>
      <c r="F148" s="1" t="s">
        <v>41</v>
      </c>
      <c r="G148" s="1">
        <v>0</v>
      </c>
      <c r="I148" s="1" t="s">
        <v>593</v>
      </c>
      <c r="J148" s="1" t="s">
        <v>55</v>
      </c>
    </row>
    <row r="149" spans="1:10" hidden="1" x14ac:dyDescent="0.25">
      <c r="A149" s="1" t="s">
        <v>73</v>
      </c>
      <c r="B149" s="1">
        <v>454</v>
      </c>
      <c r="C149" s="1" t="s">
        <v>650</v>
      </c>
      <c r="D149" s="1" t="s">
        <v>648</v>
      </c>
      <c r="E149" s="1" t="s">
        <v>109</v>
      </c>
      <c r="F149" s="1" t="s">
        <v>41</v>
      </c>
      <c r="G149" s="1">
        <v>0</v>
      </c>
      <c r="I149" s="1" t="s">
        <v>593</v>
      </c>
      <c r="J149" s="1" t="s">
        <v>55</v>
      </c>
    </row>
    <row r="150" spans="1:10" hidden="1" x14ac:dyDescent="0.25">
      <c r="A150" s="1" t="s">
        <v>73</v>
      </c>
      <c r="B150" s="1">
        <v>455</v>
      </c>
      <c r="C150" s="1" t="s">
        <v>651</v>
      </c>
      <c r="D150" s="1" t="s">
        <v>648</v>
      </c>
      <c r="E150" s="1" t="s">
        <v>115</v>
      </c>
      <c r="F150" s="1" t="s">
        <v>41</v>
      </c>
      <c r="G150" s="1">
        <v>0</v>
      </c>
      <c r="I150" s="1" t="s">
        <v>593</v>
      </c>
      <c r="J150" s="1" t="s">
        <v>55</v>
      </c>
    </row>
    <row r="151" spans="1:10" hidden="1" x14ac:dyDescent="0.25">
      <c r="A151" s="1" t="s">
        <v>146</v>
      </c>
      <c r="B151" s="1">
        <v>456</v>
      </c>
      <c r="C151" s="1" t="s">
        <v>652</v>
      </c>
      <c r="D151" s="1" t="s">
        <v>595</v>
      </c>
      <c r="E151" s="1" t="s">
        <v>653</v>
      </c>
      <c r="F151" s="1" t="s">
        <v>41</v>
      </c>
      <c r="G151" s="1">
        <v>0.5</v>
      </c>
      <c r="I151" s="1" t="s">
        <v>593</v>
      </c>
      <c r="J151" s="1" t="s">
        <v>55</v>
      </c>
    </row>
    <row r="152" spans="1:10" hidden="1" x14ac:dyDescent="0.25">
      <c r="A152" s="1" t="s">
        <v>146</v>
      </c>
      <c r="B152" s="1">
        <v>458</v>
      </c>
      <c r="C152" s="1" t="s">
        <v>656</v>
      </c>
      <c r="D152" s="1" t="s">
        <v>655</v>
      </c>
      <c r="E152" s="1" t="s">
        <v>105</v>
      </c>
      <c r="F152" s="1" t="s">
        <v>41</v>
      </c>
      <c r="G152" s="1">
        <v>0</v>
      </c>
      <c r="I152" s="1" t="s">
        <v>593</v>
      </c>
      <c r="J152" s="1" t="s">
        <v>55</v>
      </c>
    </row>
    <row r="153" spans="1:10" hidden="1" x14ac:dyDescent="0.25">
      <c r="A153" s="1" t="s">
        <v>67</v>
      </c>
      <c r="B153" s="1">
        <v>459</v>
      </c>
      <c r="C153" s="1" t="s">
        <v>657</v>
      </c>
      <c r="D153" s="1" t="s">
        <v>655</v>
      </c>
      <c r="E153" s="1" t="s">
        <v>109</v>
      </c>
      <c r="F153" s="1" t="s">
        <v>41</v>
      </c>
      <c r="G153" s="1">
        <v>0</v>
      </c>
      <c r="I153" s="1" t="s">
        <v>593</v>
      </c>
      <c r="J153" s="1" t="s">
        <v>55</v>
      </c>
    </row>
    <row r="154" spans="1:10" hidden="1" x14ac:dyDescent="0.25">
      <c r="A154" s="1" t="s">
        <v>67</v>
      </c>
      <c r="B154" s="1">
        <v>460</v>
      </c>
      <c r="C154" s="1" t="s">
        <v>658</v>
      </c>
      <c r="D154" s="1" t="s">
        <v>655</v>
      </c>
      <c r="E154" s="1" t="s">
        <v>115</v>
      </c>
      <c r="F154" s="1" t="s">
        <v>41</v>
      </c>
      <c r="G154" s="1">
        <v>0</v>
      </c>
      <c r="I154" s="1" t="s">
        <v>593</v>
      </c>
      <c r="J154" s="1" t="s">
        <v>55</v>
      </c>
    </row>
    <row r="155" spans="1:10" hidden="1" x14ac:dyDescent="0.25">
      <c r="A155" s="1" t="s">
        <v>146</v>
      </c>
      <c r="B155" s="1">
        <v>461</v>
      </c>
      <c r="C155" s="1" t="s">
        <v>659</v>
      </c>
      <c r="D155" s="1" t="s">
        <v>595</v>
      </c>
      <c r="E155" s="1" t="s">
        <v>660</v>
      </c>
      <c r="F155" s="1" t="s">
        <v>41</v>
      </c>
      <c r="G155" s="1">
        <v>0.5</v>
      </c>
      <c r="I155" s="1" t="s">
        <v>593</v>
      </c>
      <c r="J155" s="1" t="s">
        <v>55</v>
      </c>
    </row>
    <row r="156" spans="1:10" hidden="1" x14ac:dyDescent="0.25">
      <c r="A156" s="1" t="s">
        <v>146</v>
      </c>
      <c r="B156" s="1">
        <v>463</v>
      </c>
      <c r="C156" s="1" t="s">
        <v>663</v>
      </c>
      <c r="D156" s="1" t="s">
        <v>662</v>
      </c>
      <c r="E156" s="1" t="s">
        <v>105</v>
      </c>
      <c r="F156" s="1" t="s">
        <v>41</v>
      </c>
      <c r="G156" s="1">
        <v>0</v>
      </c>
      <c r="I156" s="1" t="s">
        <v>593</v>
      </c>
      <c r="J156" s="1" t="s">
        <v>55</v>
      </c>
    </row>
    <row r="157" spans="1:10" hidden="1" x14ac:dyDescent="0.25">
      <c r="A157" s="1" t="s">
        <v>146</v>
      </c>
      <c r="B157" s="1">
        <v>464</v>
      </c>
      <c r="C157" s="1" t="s">
        <v>664</v>
      </c>
      <c r="D157" s="1" t="s">
        <v>662</v>
      </c>
      <c r="E157" s="1" t="s">
        <v>109</v>
      </c>
      <c r="F157" s="1" t="s">
        <v>168</v>
      </c>
      <c r="G157" s="1">
        <v>0</v>
      </c>
      <c r="I157" s="1" t="s">
        <v>593</v>
      </c>
      <c r="J157" s="1" t="s">
        <v>55</v>
      </c>
    </row>
    <row r="158" spans="1:10" hidden="1" x14ac:dyDescent="0.25">
      <c r="A158" s="1" t="s">
        <v>146</v>
      </c>
      <c r="B158" s="1">
        <v>466</v>
      </c>
      <c r="C158" s="1" t="s">
        <v>666</v>
      </c>
      <c r="D158" s="1" t="s">
        <v>595</v>
      </c>
      <c r="E158" s="1" t="s">
        <v>667</v>
      </c>
      <c r="F158" s="1" t="s">
        <v>41</v>
      </c>
      <c r="G158" s="1">
        <v>0.5</v>
      </c>
      <c r="I158" s="1" t="s">
        <v>593</v>
      </c>
      <c r="J158" s="1" t="s">
        <v>55</v>
      </c>
    </row>
    <row r="159" spans="1:10" hidden="1" x14ac:dyDescent="0.25">
      <c r="A159" s="1" t="s">
        <v>146</v>
      </c>
      <c r="B159" s="1">
        <v>468</v>
      </c>
      <c r="C159" s="1" t="s">
        <v>670</v>
      </c>
      <c r="D159" s="1" t="s">
        <v>669</v>
      </c>
      <c r="E159" s="1" t="s">
        <v>105</v>
      </c>
      <c r="F159" s="1" t="s">
        <v>41</v>
      </c>
      <c r="G159" s="1">
        <v>0</v>
      </c>
      <c r="I159" s="1" t="s">
        <v>593</v>
      </c>
      <c r="J159" s="1" t="s">
        <v>55</v>
      </c>
    </row>
    <row r="160" spans="1:10" hidden="1" x14ac:dyDescent="0.25">
      <c r="A160" s="1" t="s">
        <v>146</v>
      </c>
      <c r="B160" s="1">
        <v>469</v>
      </c>
      <c r="C160" s="1" t="s">
        <v>671</v>
      </c>
      <c r="D160" s="1" t="s">
        <v>669</v>
      </c>
      <c r="E160" s="1" t="s">
        <v>109</v>
      </c>
      <c r="F160" s="1" t="s">
        <v>168</v>
      </c>
      <c r="G160" s="1">
        <v>0</v>
      </c>
      <c r="I160" s="1" t="s">
        <v>593</v>
      </c>
      <c r="J160" s="1" t="s">
        <v>55</v>
      </c>
    </row>
    <row r="161" spans="1:10" hidden="1" x14ac:dyDescent="0.25">
      <c r="A161" s="1" t="s">
        <v>73</v>
      </c>
      <c r="B161" s="1">
        <v>476</v>
      </c>
      <c r="C161" s="1" t="s">
        <v>673</v>
      </c>
      <c r="D161" s="1" t="s">
        <v>595</v>
      </c>
      <c r="E161" s="1" t="s">
        <v>674</v>
      </c>
      <c r="F161" s="1" t="s">
        <v>168</v>
      </c>
      <c r="G161" s="1">
        <v>0.5</v>
      </c>
      <c r="I161" s="1" t="s">
        <v>593</v>
      </c>
      <c r="J161" s="1" t="s">
        <v>55</v>
      </c>
    </row>
    <row r="162" spans="1:10" hidden="1" x14ac:dyDescent="0.25">
      <c r="A162" s="1" t="s">
        <v>146</v>
      </c>
      <c r="B162" s="1">
        <v>491</v>
      </c>
      <c r="C162" s="1" t="s">
        <v>681</v>
      </c>
      <c r="D162" s="1" t="s">
        <v>595</v>
      </c>
      <c r="E162" s="1" t="s">
        <v>682</v>
      </c>
      <c r="F162" s="1" t="s">
        <v>41</v>
      </c>
      <c r="G162" s="1">
        <v>0</v>
      </c>
      <c r="I162" s="1" t="s">
        <v>593</v>
      </c>
      <c r="J162" s="1" t="s">
        <v>55</v>
      </c>
    </row>
    <row r="163" spans="1:10" x14ac:dyDescent="0.25">
      <c r="A163" s="1" t="s">
        <v>146</v>
      </c>
      <c r="B163" s="1">
        <v>492</v>
      </c>
      <c r="C163" s="1" t="s">
        <v>683</v>
      </c>
      <c r="D163" s="1" t="s">
        <v>684</v>
      </c>
      <c r="E163" s="1" t="s">
        <v>101</v>
      </c>
      <c r="F163" s="1" t="s">
        <v>41</v>
      </c>
      <c r="G163" s="4">
        <v>1</v>
      </c>
      <c r="I163" s="1" t="s">
        <v>593</v>
      </c>
      <c r="J163" s="1" t="s">
        <v>55</v>
      </c>
    </row>
    <row r="164" spans="1:10" hidden="1" x14ac:dyDescent="0.25">
      <c r="A164" s="1" t="s">
        <v>73</v>
      </c>
      <c r="B164" s="1">
        <v>496</v>
      </c>
      <c r="C164" s="1" t="s">
        <v>690</v>
      </c>
      <c r="D164" s="1" t="s">
        <v>595</v>
      </c>
      <c r="E164" s="1" t="s">
        <v>691</v>
      </c>
      <c r="F164" s="1" t="s">
        <v>41</v>
      </c>
      <c r="G164" s="1">
        <v>0.56999999999999995</v>
      </c>
      <c r="I164" s="1" t="s">
        <v>593</v>
      </c>
      <c r="J164" s="1" t="s">
        <v>55</v>
      </c>
    </row>
    <row r="165" spans="1:10" hidden="1" x14ac:dyDescent="0.25">
      <c r="A165" s="1" t="s">
        <v>146</v>
      </c>
      <c r="B165" s="1">
        <v>498</v>
      </c>
      <c r="C165" s="1" t="s">
        <v>694</v>
      </c>
      <c r="D165" s="1" t="s">
        <v>693</v>
      </c>
      <c r="E165" s="1" t="s">
        <v>105</v>
      </c>
      <c r="F165" s="1" t="s">
        <v>41</v>
      </c>
      <c r="G165" s="1">
        <v>0</v>
      </c>
      <c r="I165" s="1" t="s">
        <v>593</v>
      </c>
      <c r="J165" s="1" t="s">
        <v>55</v>
      </c>
    </row>
    <row r="166" spans="1:10" hidden="1" x14ac:dyDescent="0.25">
      <c r="A166" s="1" t="s">
        <v>146</v>
      </c>
      <c r="B166" s="1">
        <v>499</v>
      </c>
      <c r="C166" s="1" t="s">
        <v>695</v>
      </c>
      <c r="D166" s="1" t="s">
        <v>693</v>
      </c>
      <c r="E166" s="1" t="s">
        <v>109</v>
      </c>
      <c r="F166" s="1" t="s">
        <v>41</v>
      </c>
      <c r="G166" s="1">
        <v>0</v>
      </c>
      <c r="I166" s="1" t="s">
        <v>593</v>
      </c>
      <c r="J166" s="1" t="s">
        <v>55</v>
      </c>
    </row>
    <row r="167" spans="1:10" hidden="1" x14ac:dyDescent="0.25">
      <c r="A167" s="1" t="s">
        <v>146</v>
      </c>
      <c r="B167" s="1">
        <v>500</v>
      </c>
      <c r="C167" s="1" t="s">
        <v>696</v>
      </c>
      <c r="D167" s="1" t="s">
        <v>693</v>
      </c>
      <c r="E167" s="1" t="s">
        <v>115</v>
      </c>
      <c r="F167" s="1" t="s">
        <v>41</v>
      </c>
      <c r="G167" s="1">
        <v>0</v>
      </c>
      <c r="I167" s="1" t="s">
        <v>593</v>
      </c>
      <c r="J167" s="1" t="s">
        <v>55</v>
      </c>
    </row>
    <row r="168" spans="1:10" hidden="1" x14ac:dyDescent="0.25">
      <c r="A168" s="1" t="s">
        <v>73</v>
      </c>
      <c r="B168" s="1">
        <v>501</v>
      </c>
      <c r="C168" s="1" t="s">
        <v>697</v>
      </c>
      <c r="D168" s="1" t="s">
        <v>595</v>
      </c>
      <c r="E168" s="1" t="s">
        <v>698</v>
      </c>
      <c r="F168" s="1" t="s">
        <v>41</v>
      </c>
      <c r="G168" s="1">
        <v>0.7</v>
      </c>
      <c r="I168" s="1" t="s">
        <v>593</v>
      </c>
      <c r="J168" s="1" t="s">
        <v>55</v>
      </c>
    </row>
    <row r="169" spans="1:10" hidden="1" x14ac:dyDescent="0.25">
      <c r="A169" s="1" t="s">
        <v>146</v>
      </c>
      <c r="B169" s="1">
        <v>503</v>
      </c>
      <c r="C169" s="1" t="s">
        <v>703</v>
      </c>
      <c r="D169" s="1" t="s">
        <v>700</v>
      </c>
      <c r="E169" s="1" t="s">
        <v>105</v>
      </c>
      <c r="F169" s="1" t="s">
        <v>41</v>
      </c>
      <c r="G169" s="1">
        <v>0</v>
      </c>
      <c r="I169" s="1" t="s">
        <v>593</v>
      </c>
      <c r="J169" s="1" t="s">
        <v>55</v>
      </c>
    </row>
    <row r="170" spans="1:10" hidden="1" x14ac:dyDescent="0.25">
      <c r="A170" s="1" t="s">
        <v>67</v>
      </c>
      <c r="B170" s="1">
        <v>504</v>
      </c>
      <c r="C170" s="1" t="s">
        <v>704</v>
      </c>
      <c r="D170" s="1" t="s">
        <v>700</v>
      </c>
      <c r="E170" s="1" t="s">
        <v>109</v>
      </c>
      <c r="F170" s="1" t="s">
        <v>41</v>
      </c>
      <c r="G170" s="1">
        <v>0</v>
      </c>
      <c r="I170" s="1" t="s">
        <v>593</v>
      </c>
      <c r="J170" s="1" t="s">
        <v>55</v>
      </c>
    </row>
    <row r="171" spans="1:10" hidden="1" x14ac:dyDescent="0.25">
      <c r="A171" s="1" t="s">
        <v>67</v>
      </c>
      <c r="B171" s="1">
        <v>505</v>
      </c>
      <c r="C171" s="1" t="s">
        <v>706</v>
      </c>
      <c r="D171" s="1" t="s">
        <v>700</v>
      </c>
      <c r="E171" s="1" t="s">
        <v>115</v>
      </c>
      <c r="F171" s="1" t="s">
        <v>41</v>
      </c>
      <c r="G171" s="1">
        <v>0</v>
      </c>
      <c r="I171" s="1" t="s">
        <v>593</v>
      </c>
      <c r="J171" s="1" t="s">
        <v>55</v>
      </c>
    </row>
    <row r="172" spans="1:10" hidden="1" x14ac:dyDescent="0.25">
      <c r="A172" s="1" t="s">
        <v>73</v>
      </c>
      <c r="B172" s="1">
        <v>506</v>
      </c>
      <c r="C172" s="1" t="s">
        <v>708</v>
      </c>
      <c r="D172" s="1" t="s">
        <v>595</v>
      </c>
      <c r="E172" s="1" t="s">
        <v>709</v>
      </c>
      <c r="F172" s="1" t="s">
        <v>41</v>
      </c>
      <c r="G172" s="1">
        <v>0.75</v>
      </c>
      <c r="I172" s="1" t="s">
        <v>593</v>
      </c>
      <c r="J172" s="1" t="s">
        <v>55</v>
      </c>
    </row>
    <row r="173" spans="1:10" hidden="1" x14ac:dyDescent="0.25">
      <c r="A173" s="1" t="s">
        <v>146</v>
      </c>
      <c r="B173" s="1">
        <v>508</v>
      </c>
      <c r="C173" s="1" t="s">
        <v>713</v>
      </c>
      <c r="D173" s="1" t="s">
        <v>711</v>
      </c>
      <c r="E173" s="1" t="s">
        <v>105</v>
      </c>
      <c r="F173" s="1" t="s">
        <v>41</v>
      </c>
      <c r="G173" s="1">
        <v>0.5</v>
      </c>
      <c r="I173" s="1" t="s">
        <v>593</v>
      </c>
      <c r="J173" s="1" t="s">
        <v>55</v>
      </c>
    </row>
    <row r="174" spans="1:10" hidden="1" x14ac:dyDescent="0.25">
      <c r="A174" s="1" t="s">
        <v>67</v>
      </c>
      <c r="B174" s="1">
        <v>509</v>
      </c>
      <c r="C174" s="1" t="s">
        <v>714</v>
      </c>
      <c r="D174" s="1" t="s">
        <v>711</v>
      </c>
      <c r="E174" s="1" t="s">
        <v>109</v>
      </c>
      <c r="F174" s="1" t="s">
        <v>41</v>
      </c>
      <c r="G174" s="1">
        <v>0</v>
      </c>
      <c r="I174" s="1" t="s">
        <v>593</v>
      </c>
      <c r="J174" s="1" t="s">
        <v>55</v>
      </c>
    </row>
    <row r="175" spans="1:10" hidden="1" x14ac:dyDescent="0.25">
      <c r="A175" s="1" t="s">
        <v>67</v>
      </c>
      <c r="B175" s="1">
        <v>510</v>
      </c>
      <c r="C175" s="1" t="s">
        <v>715</v>
      </c>
      <c r="D175" s="1" t="s">
        <v>711</v>
      </c>
      <c r="E175" s="1" t="s">
        <v>115</v>
      </c>
      <c r="F175" s="1" t="s">
        <v>41</v>
      </c>
      <c r="G175" s="1">
        <v>0</v>
      </c>
      <c r="I175" s="1" t="s">
        <v>593</v>
      </c>
      <c r="J175" s="1" t="s">
        <v>55</v>
      </c>
    </row>
    <row r="176" spans="1:10" hidden="1" x14ac:dyDescent="0.25">
      <c r="A176" s="1" t="s">
        <v>73</v>
      </c>
      <c r="B176" s="1">
        <v>511</v>
      </c>
      <c r="C176" s="1" t="s">
        <v>716</v>
      </c>
      <c r="D176" s="1" t="s">
        <v>595</v>
      </c>
      <c r="E176" s="1" t="s">
        <v>717</v>
      </c>
      <c r="F176" s="1" t="s">
        <v>41</v>
      </c>
      <c r="G176" s="1">
        <v>0.7</v>
      </c>
      <c r="I176" s="1" t="s">
        <v>593</v>
      </c>
      <c r="J176" s="1" t="s">
        <v>55</v>
      </c>
    </row>
    <row r="177" spans="1:10" hidden="1" x14ac:dyDescent="0.25">
      <c r="A177" s="1" t="s">
        <v>146</v>
      </c>
      <c r="B177" s="1">
        <v>513</v>
      </c>
      <c r="C177" s="1" t="s">
        <v>720</v>
      </c>
      <c r="D177" s="1" t="s">
        <v>719</v>
      </c>
      <c r="E177" s="1" t="s">
        <v>105</v>
      </c>
      <c r="F177" s="1" t="s">
        <v>41</v>
      </c>
      <c r="G177" s="1">
        <v>0</v>
      </c>
      <c r="I177" s="1" t="s">
        <v>593</v>
      </c>
      <c r="J177" s="1" t="s">
        <v>55</v>
      </c>
    </row>
    <row r="178" spans="1:10" hidden="1" x14ac:dyDescent="0.25">
      <c r="A178" s="1" t="s">
        <v>146</v>
      </c>
      <c r="B178" s="1">
        <v>514</v>
      </c>
      <c r="C178" s="1" t="s">
        <v>721</v>
      </c>
      <c r="D178" s="1" t="s">
        <v>719</v>
      </c>
      <c r="E178" s="1" t="s">
        <v>109</v>
      </c>
      <c r="F178" s="1" t="s">
        <v>41</v>
      </c>
      <c r="G178" s="1">
        <v>0</v>
      </c>
      <c r="I178" s="1" t="s">
        <v>593</v>
      </c>
      <c r="J178" s="1" t="s">
        <v>55</v>
      </c>
    </row>
    <row r="179" spans="1:10" hidden="1" x14ac:dyDescent="0.25">
      <c r="A179" s="1" t="s">
        <v>67</v>
      </c>
      <c r="B179" s="1">
        <v>515</v>
      </c>
      <c r="C179" s="1" t="s">
        <v>722</v>
      </c>
      <c r="D179" s="1" t="s">
        <v>719</v>
      </c>
      <c r="E179" s="1" t="s">
        <v>115</v>
      </c>
      <c r="F179" s="1" t="s">
        <v>41</v>
      </c>
      <c r="G179" s="1">
        <v>0</v>
      </c>
      <c r="I179" s="1" t="s">
        <v>593</v>
      </c>
      <c r="J179" s="1" t="s">
        <v>55</v>
      </c>
    </row>
    <row r="180" spans="1:10" hidden="1" x14ac:dyDescent="0.25">
      <c r="A180" s="1" t="s">
        <v>73</v>
      </c>
      <c r="B180" s="1">
        <v>516</v>
      </c>
      <c r="C180" s="1" t="s">
        <v>723</v>
      </c>
      <c r="D180" s="1" t="s">
        <v>595</v>
      </c>
      <c r="E180" s="1" t="s">
        <v>724</v>
      </c>
      <c r="F180" s="1" t="s">
        <v>41</v>
      </c>
      <c r="G180" s="1">
        <v>0.7</v>
      </c>
      <c r="I180" s="1" t="s">
        <v>593</v>
      </c>
      <c r="J180" s="1" t="s">
        <v>55</v>
      </c>
    </row>
    <row r="181" spans="1:10" hidden="1" x14ac:dyDescent="0.25">
      <c r="A181" s="1" t="s">
        <v>146</v>
      </c>
      <c r="B181" s="1">
        <v>518</v>
      </c>
      <c r="C181" s="1" t="s">
        <v>727</v>
      </c>
      <c r="D181" s="1" t="s">
        <v>726</v>
      </c>
      <c r="E181" s="1" t="s">
        <v>105</v>
      </c>
      <c r="F181" s="1" t="s">
        <v>41</v>
      </c>
      <c r="G181" s="1">
        <v>0</v>
      </c>
      <c r="I181" s="1" t="s">
        <v>593</v>
      </c>
      <c r="J181" s="1" t="s">
        <v>55</v>
      </c>
    </row>
    <row r="182" spans="1:10" hidden="1" x14ac:dyDescent="0.25">
      <c r="A182" s="1" t="s">
        <v>67</v>
      </c>
      <c r="B182" s="1">
        <v>519</v>
      </c>
      <c r="C182" s="1" t="s">
        <v>728</v>
      </c>
      <c r="D182" s="1" t="s">
        <v>726</v>
      </c>
      <c r="E182" s="1" t="s">
        <v>109</v>
      </c>
      <c r="F182" s="1" t="s">
        <v>41</v>
      </c>
      <c r="G182" s="1">
        <v>0</v>
      </c>
      <c r="I182" s="1" t="s">
        <v>593</v>
      </c>
      <c r="J182" s="1" t="s">
        <v>55</v>
      </c>
    </row>
    <row r="183" spans="1:10" hidden="1" x14ac:dyDescent="0.25">
      <c r="A183" s="1" t="s">
        <v>67</v>
      </c>
      <c r="B183" s="1">
        <v>520</v>
      </c>
      <c r="C183" s="1" t="s">
        <v>729</v>
      </c>
      <c r="D183" s="1" t="s">
        <v>726</v>
      </c>
      <c r="E183" s="1" t="s">
        <v>115</v>
      </c>
      <c r="F183" s="1" t="s">
        <v>41</v>
      </c>
      <c r="G183" s="1">
        <v>0</v>
      </c>
      <c r="I183" s="1" t="s">
        <v>593</v>
      </c>
      <c r="J183" s="1" t="s">
        <v>55</v>
      </c>
    </row>
    <row r="184" spans="1:10" hidden="1" x14ac:dyDescent="0.25">
      <c r="A184" s="1" t="s">
        <v>73</v>
      </c>
      <c r="B184" s="1">
        <v>521</v>
      </c>
      <c r="C184" s="1" t="s">
        <v>730</v>
      </c>
      <c r="D184" s="1" t="s">
        <v>595</v>
      </c>
      <c r="E184" s="1" t="s">
        <v>731</v>
      </c>
      <c r="F184" s="1" t="s">
        <v>41</v>
      </c>
      <c r="G184" s="1">
        <v>0.75</v>
      </c>
      <c r="I184" s="1" t="s">
        <v>593</v>
      </c>
      <c r="J184" s="1" t="s">
        <v>55</v>
      </c>
    </row>
    <row r="185" spans="1:10" hidden="1" x14ac:dyDescent="0.25">
      <c r="A185" s="1" t="s">
        <v>146</v>
      </c>
      <c r="B185" s="1">
        <v>523</v>
      </c>
      <c r="C185" s="1" t="s">
        <v>734</v>
      </c>
      <c r="D185" s="1" t="s">
        <v>733</v>
      </c>
      <c r="E185" s="1" t="s">
        <v>105</v>
      </c>
      <c r="F185" s="1" t="s">
        <v>41</v>
      </c>
      <c r="G185" s="1">
        <v>0.5</v>
      </c>
      <c r="I185" s="1" t="s">
        <v>593</v>
      </c>
      <c r="J185" s="1" t="s">
        <v>55</v>
      </c>
    </row>
    <row r="186" spans="1:10" hidden="1" x14ac:dyDescent="0.25">
      <c r="A186" s="1" t="s">
        <v>67</v>
      </c>
      <c r="B186" s="1">
        <v>524</v>
      </c>
      <c r="C186" s="1" t="s">
        <v>735</v>
      </c>
      <c r="D186" s="1" t="s">
        <v>733</v>
      </c>
      <c r="E186" s="1" t="s">
        <v>109</v>
      </c>
      <c r="F186" s="1" t="s">
        <v>41</v>
      </c>
      <c r="G186" s="1">
        <v>0</v>
      </c>
      <c r="I186" s="1" t="s">
        <v>593</v>
      </c>
      <c r="J186" s="1" t="s">
        <v>55</v>
      </c>
    </row>
    <row r="187" spans="1:10" hidden="1" x14ac:dyDescent="0.25">
      <c r="A187" s="1" t="s">
        <v>67</v>
      </c>
      <c r="B187" s="1">
        <v>525</v>
      </c>
      <c r="C187" s="1" t="s">
        <v>736</v>
      </c>
      <c r="D187" s="1" t="s">
        <v>733</v>
      </c>
      <c r="E187" s="1" t="s">
        <v>115</v>
      </c>
      <c r="F187" s="1" t="s">
        <v>41</v>
      </c>
      <c r="G187" s="1">
        <v>0</v>
      </c>
      <c r="I187" s="1" t="s">
        <v>593</v>
      </c>
      <c r="J187" s="1" t="s">
        <v>55</v>
      </c>
    </row>
    <row r="188" spans="1:10" hidden="1" x14ac:dyDescent="0.25">
      <c r="A188" s="1" t="s">
        <v>73</v>
      </c>
      <c r="B188" s="1">
        <v>526</v>
      </c>
      <c r="C188" s="1" t="s">
        <v>737</v>
      </c>
      <c r="D188" s="1" t="s">
        <v>595</v>
      </c>
      <c r="E188" s="1" t="s">
        <v>738</v>
      </c>
      <c r="F188" s="1" t="s">
        <v>41</v>
      </c>
      <c r="G188" s="1">
        <v>0.75</v>
      </c>
      <c r="I188" s="1" t="s">
        <v>593</v>
      </c>
      <c r="J188" s="1" t="s">
        <v>55</v>
      </c>
    </row>
    <row r="189" spans="1:10" hidden="1" x14ac:dyDescent="0.25">
      <c r="A189" s="1" t="s">
        <v>146</v>
      </c>
      <c r="B189" s="1">
        <v>528</v>
      </c>
      <c r="C189" s="1" t="s">
        <v>741</v>
      </c>
      <c r="D189" s="1" t="s">
        <v>740</v>
      </c>
      <c r="E189" s="1" t="s">
        <v>105</v>
      </c>
      <c r="F189" s="1" t="s">
        <v>41</v>
      </c>
      <c r="G189" s="1">
        <v>0.5</v>
      </c>
      <c r="I189" s="1" t="s">
        <v>593</v>
      </c>
      <c r="J189" s="1" t="s">
        <v>55</v>
      </c>
    </row>
    <row r="190" spans="1:10" hidden="1" x14ac:dyDescent="0.25">
      <c r="A190" s="1" t="s">
        <v>67</v>
      </c>
      <c r="B190" s="1">
        <v>529</v>
      </c>
      <c r="C190" s="1" t="s">
        <v>742</v>
      </c>
      <c r="D190" s="1" t="s">
        <v>740</v>
      </c>
      <c r="E190" s="1" t="s">
        <v>109</v>
      </c>
      <c r="F190" s="1" t="s">
        <v>41</v>
      </c>
      <c r="G190" s="1">
        <v>0</v>
      </c>
      <c r="I190" s="1" t="s">
        <v>593</v>
      </c>
      <c r="J190" s="1" t="s">
        <v>55</v>
      </c>
    </row>
    <row r="191" spans="1:10" hidden="1" x14ac:dyDescent="0.25">
      <c r="A191" s="1" t="s">
        <v>67</v>
      </c>
      <c r="B191" s="1">
        <v>530</v>
      </c>
      <c r="C191" s="1" t="s">
        <v>743</v>
      </c>
      <c r="D191" s="1" t="s">
        <v>740</v>
      </c>
      <c r="E191" s="1" t="s">
        <v>115</v>
      </c>
      <c r="F191" s="1" t="s">
        <v>41</v>
      </c>
      <c r="G191" s="1">
        <v>0</v>
      </c>
      <c r="I191" s="1" t="s">
        <v>593</v>
      </c>
      <c r="J191" s="1" t="s">
        <v>55</v>
      </c>
    </row>
    <row r="192" spans="1:10" hidden="1" x14ac:dyDescent="0.25">
      <c r="A192" s="1" t="s">
        <v>73</v>
      </c>
      <c r="B192" s="1">
        <v>531</v>
      </c>
      <c r="C192" s="1" t="s">
        <v>744</v>
      </c>
      <c r="D192" s="1" t="s">
        <v>595</v>
      </c>
      <c r="E192" s="1" t="s">
        <v>745</v>
      </c>
      <c r="F192" s="1" t="s">
        <v>41</v>
      </c>
      <c r="G192" s="1">
        <v>0.75</v>
      </c>
      <c r="I192" s="1" t="s">
        <v>593</v>
      </c>
      <c r="J192" s="1" t="s">
        <v>55</v>
      </c>
    </row>
    <row r="193" spans="1:10" hidden="1" x14ac:dyDescent="0.25">
      <c r="A193" s="1" t="s">
        <v>146</v>
      </c>
      <c r="B193" s="1">
        <v>533</v>
      </c>
      <c r="C193" s="1" t="s">
        <v>748</v>
      </c>
      <c r="D193" s="1" t="s">
        <v>747</v>
      </c>
      <c r="E193" s="1" t="s">
        <v>105</v>
      </c>
      <c r="F193" s="1" t="s">
        <v>41</v>
      </c>
      <c r="G193" s="1">
        <v>0.5</v>
      </c>
      <c r="I193" s="1" t="s">
        <v>593</v>
      </c>
      <c r="J193" s="1" t="s">
        <v>55</v>
      </c>
    </row>
    <row r="194" spans="1:10" hidden="1" x14ac:dyDescent="0.25">
      <c r="A194" s="1" t="s">
        <v>67</v>
      </c>
      <c r="B194" s="1">
        <v>534</v>
      </c>
      <c r="C194" s="1" t="s">
        <v>749</v>
      </c>
      <c r="D194" s="1" t="s">
        <v>747</v>
      </c>
      <c r="E194" s="1" t="s">
        <v>109</v>
      </c>
      <c r="F194" s="1" t="s">
        <v>41</v>
      </c>
      <c r="G194" s="1">
        <v>0</v>
      </c>
      <c r="I194" s="1" t="s">
        <v>593</v>
      </c>
      <c r="J194" s="1" t="s">
        <v>55</v>
      </c>
    </row>
    <row r="195" spans="1:10" hidden="1" x14ac:dyDescent="0.25">
      <c r="A195" s="1" t="s">
        <v>67</v>
      </c>
      <c r="B195" s="1">
        <v>535</v>
      </c>
      <c r="C195" s="1" t="s">
        <v>750</v>
      </c>
      <c r="D195" s="1" t="s">
        <v>747</v>
      </c>
      <c r="E195" s="1" t="s">
        <v>115</v>
      </c>
      <c r="F195" s="1" t="s">
        <v>41</v>
      </c>
      <c r="G195" s="1">
        <v>0</v>
      </c>
      <c r="I195" s="1" t="s">
        <v>593</v>
      </c>
      <c r="J195" s="1" t="s">
        <v>55</v>
      </c>
    </row>
    <row r="196" spans="1:10" hidden="1" x14ac:dyDescent="0.25">
      <c r="A196" s="1" t="s">
        <v>73</v>
      </c>
      <c r="B196" s="1">
        <v>536</v>
      </c>
      <c r="C196" s="1" t="s">
        <v>751</v>
      </c>
      <c r="D196" s="1" t="s">
        <v>595</v>
      </c>
      <c r="E196" s="1" t="s">
        <v>752</v>
      </c>
      <c r="F196" s="1" t="s">
        <v>41</v>
      </c>
      <c r="G196" s="1">
        <v>0.75</v>
      </c>
      <c r="I196" s="1" t="s">
        <v>593</v>
      </c>
      <c r="J196" s="1" t="s">
        <v>55</v>
      </c>
    </row>
    <row r="197" spans="1:10" hidden="1" x14ac:dyDescent="0.25">
      <c r="A197" s="1" t="s">
        <v>146</v>
      </c>
      <c r="B197" s="1">
        <v>538</v>
      </c>
      <c r="C197" s="1" t="s">
        <v>755</v>
      </c>
      <c r="D197" s="1" t="s">
        <v>754</v>
      </c>
      <c r="E197" s="1" t="s">
        <v>105</v>
      </c>
      <c r="F197" s="1" t="s">
        <v>41</v>
      </c>
      <c r="G197" s="1">
        <v>0.5</v>
      </c>
      <c r="I197" s="1" t="s">
        <v>593</v>
      </c>
      <c r="J197" s="1" t="s">
        <v>55</v>
      </c>
    </row>
    <row r="198" spans="1:10" hidden="1" x14ac:dyDescent="0.25">
      <c r="A198" s="1" t="s">
        <v>67</v>
      </c>
      <c r="B198" s="1">
        <v>539</v>
      </c>
      <c r="C198" s="1" t="s">
        <v>756</v>
      </c>
      <c r="D198" s="1" t="s">
        <v>754</v>
      </c>
      <c r="E198" s="1" t="s">
        <v>109</v>
      </c>
      <c r="F198" s="1" t="s">
        <v>41</v>
      </c>
      <c r="G198" s="1">
        <v>0</v>
      </c>
      <c r="I198" s="1" t="s">
        <v>593</v>
      </c>
      <c r="J198" s="1" t="s">
        <v>55</v>
      </c>
    </row>
    <row r="199" spans="1:10" hidden="1" x14ac:dyDescent="0.25">
      <c r="A199" s="1" t="s">
        <v>67</v>
      </c>
      <c r="B199" s="1">
        <v>540</v>
      </c>
      <c r="C199" s="1" t="s">
        <v>757</v>
      </c>
      <c r="D199" s="1" t="s">
        <v>754</v>
      </c>
      <c r="E199" s="1" t="s">
        <v>115</v>
      </c>
      <c r="F199" s="1" t="s">
        <v>41</v>
      </c>
      <c r="G199" s="1">
        <v>0</v>
      </c>
      <c r="I199" s="1" t="s">
        <v>593</v>
      </c>
      <c r="J199" s="1" t="s">
        <v>55</v>
      </c>
    </row>
    <row r="200" spans="1:10" hidden="1" x14ac:dyDescent="0.25">
      <c r="A200" s="1" t="s">
        <v>73</v>
      </c>
      <c r="B200" s="1">
        <v>541</v>
      </c>
      <c r="C200" s="1" t="s">
        <v>758</v>
      </c>
      <c r="D200" s="1" t="s">
        <v>595</v>
      </c>
      <c r="E200" s="1" t="s">
        <v>759</v>
      </c>
      <c r="F200" s="1" t="s">
        <v>41</v>
      </c>
      <c r="G200" s="1">
        <v>0.7</v>
      </c>
      <c r="I200" s="1" t="s">
        <v>593</v>
      </c>
      <c r="J200" s="1" t="s">
        <v>55</v>
      </c>
    </row>
    <row r="201" spans="1:10" hidden="1" x14ac:dyDescent="0.25">
      <c r="A201" s="1" t="s">
        <v>146</v>
      </c>
      <c r="B201" s="1">
        <v>543</v>
      </c>
      <c r="C201" s="1" t="s">
        <v>762</v>
      </c>
      <c r="D201" s="1" t="s">
        <v>761</v>
      </c>
      <c r="E201" s="1" t="s">
        <v>105</v>
      </c>
      <c r="F201" s="1" t="s">
        <v>41</v>
      </c>
      <c r="G201" s="1">
        <v>0</v>
      </c>
      <c r="I201" s="1" t="s">
        <v>593</v>
      </c>
      <c r="J201" s="1" t="s">
        <v>55</v>
      </c>
    </row>
    <row r="202" spans="1:10" hidden="1" x14ac:dyDescent="0.25">
      <c r="A202" s="1" t="s">
        <v>67</v>
      </c>
      <c r="B202" s="1">
        <v>544</v>
      </c>
      <c r="C202" s="1" t="s">
        <v>763</v>
      </c>
      <c r="D202" s="1" t="s">
        <v>761</v>
      </c>
      <c r="E202" s="1" t="s">
        <v>109</v>
      </c>
      <c r="F202" s="1" t="s">
        <v>41</v>
      </c>
      <c r="G202" s="1">
        <v>0</v>
      </c>
      <c r="I202" s="1" t="s">
        <v>593</v>
      </c>
      <c r="J202" s="1" t="s">
        <v>55</v>
      </c>
    </row>
    <row r="203" spans="1:10" hidden="1" x14ac:dyDescent="0.25">
      <c r="A203" s="1" t="s">
        <v>67</v>
      </c>
      <c r="B203" s="1">
        <v>545</v>
      </c>
      <c r="C203" s="1" t="s">
        <v>764</v>
      </c>
      <c r="D203" s="1" t="s">
        <v>761</v>
      </c>
      <c r="E203" s="1" t="s">
        <v>115</v>
      </c>
      <c r="F203" s="1" t="s">
        <v>41</v>
      </c>
      <c r="G203" s="1">
        <v>0</v>
      </c>
      <c r="I203" s="1" t="s">
        <v>593</v>
      </c>
      <c r="J203" s="1" t="s">
        <v>55</v>
      </c>
    </row>
    <row r="204" spans="1:10" hidden="1" x14ac:dyDescent="0.25">
      <c r="A204" s="1" t="s">
        <v>73</v>
      </c>
      <c r="B204" s="1">
        <v>546</v>
      </c>
      <c r="C204" s="1" t="s">
        <v>765</v>
      </c>
      <c r="D204" s="1" t="s">
        <v>595</v>
      </c>
      <c r="E204" s="1" t="s">
        <v>766</v>
      </c>
      <c r="F204" s="1" t="s">
        <v>41</v>
      </c>
      <c r="G204" s="1">
        <v>0.7</v>
      </c>
      <c r="I204" s="1" t="s">
        <v>593</v>
      </c>
      <c r="J204" s="1" t="s">
        <v>55</v>
      </c>
    </row>
    <row r="205" spans="1:10" hidden="1" x14ac:dyDescent="0.25">
      <c r="A205" s="1" t="s">
        <v>146</v>
      </c>
      <c r="B205" s="1">
        <v>548</v>
      </c>
      <c r="C205" s="1" t="s">
        <v>769</v>
      </c>
      <c r="D205" s="1" t="s">
        <v>768</v>
      </c>
      <c r="E205" s="1" t="s">
        <v>105</v>
      </c>
      <c r="F205" s="1" t="s">
        <v>41</v>
      </c>
      <c r="G205" s="1">
        <v>0</v>
      </c>
      <c r="I205" s="1" t="s">
        <v>593</v>
      </c>
      <c r="J205" s="1" t="s">
        <v>55</v>
      </c>
    </row>
    <row r="206" spans="1:10" hidden="1" x14ac:dyDescent="0.25">
      <c r="A206" s="1" t="s">
        <v>67</v>
      </c>
      <c r="B206" s="1">
        <v>549</v>
      </c>
      <c r="C206" s="1" t="s">
        <v>770</v>
      </c>
      <c r="D206" s="1" t="s">
        <v>768</v>
      </c>
      <c r="E206" s="1" t="s">
        <v>109</v>
      </c>
      <c r="F206" s="1" t="s">
        <v>41</v>
      </c>
      <c r="G206" s="1">
        <v>0</v>
      </c>
      <c r="I206" s="1" t="s">
        <v>593</v>
      </c>
      <c r="J206" s="1" t="s">
        <v>55</v>
      </c>
    </row>
    <row r="207" spans="1:10" hidden="1" x14ac:dyDescent="0.25">
      <c r="A207" s="1" t="s">
        <v>67</v>
      </c>
      <c r="B207" s="1">
        <v>550</v>
      </c>
      <c r="C207" s="1" t="s">
        <v>771</v>
      </c>
      <c r="D207" s="1" t="s">
        <v>768</v>
      </c>
      <c r="E207" s="1" t="s">
        <v>115</v>
      </c>
      <c r="F207" s="1" t="s">
        <v>168</v>
      </c>
      <c r="G207" s="1">
        <v>0</v>
      </c>
      <c r="I207" s="1" t="s">
        <v>593</v>
      </c>
      <c r="J207" s="1" t="s">
        <v>55</v>
      </c>
    </row>
    <row r="208" spans="1:10" hidden="1" x14ac:dyDescent="0.25">
      <c r="A208" s="1" t="s">
        <v>73</v>
      </c>
      <c r="B208" s="1">
        <v>551</v>
      </c>
      <c r="C208" s="1" t="s">
        <v>772</v>
      </c>
      <c r="D208" s="1" t="s">
        <v>595</v>
      </c>
      <c r="E208" s="1" t="s">
        <v>773</v>
      </c>
      <c r="F208" s="1" t="s">
        <v>41</v>
      </c>
      <c r="G208" s="1">
        <v>0.7</v>
      </c>
      <c r="I208" s="1" t="s">
        <v>593</v>
      </c>
      <c r="J208" s="1" t="s">
        <v>55</v>
      </c>
    </row>
    <row r="209" spans="1:10" hidden="1" x14ac:dyDescent="0.25">
      <c r="A209" s="1" t="s">
        <v>146</v>
      </c>
      <c r="B209" s="1">
        <v>553</v>
      </c>
      <c r="C209" s="1" t="s">
        <v>776</v>
      </c>
      <c r="D209" s="1" t="s">
        <v>775</v>
      </c>
      <c r="E209" s="1" t="s">
        <v>105</v>
      </c>
      <c r="F209" s="1" t="s">
        <v>41</v>
      </c>
      <c r="G209" s="1">
        <v>0</v>
      </c>
      <c r="I209" s="1" t="s">
        <v>593</v>
      </c>
      <c r="J209" s="1" t="s">
        <v>55</v>
      </c>
    </row>
    <row r="210" spans="1:10" hidden="1" x14ac:dyDescent="0.25">
      <c r="A210" s="1" t="s">
        <v>67</v>
      </c>
      <c r="B210" s="1">
        <v>554</v>
      </c>
      <c r="C210" s="1" t="s">
        <v>777</v>
      </c>
      <c r="D210" s="1" t="s">
        <v>775</v>
      </c>
      <c r="E210" s="1" t="s">
        <v>109</v>
      </c>
      <c r="F210" s="1" t="s">
        <v>41</v>
      </c>
      <c r="G210" s="1">
        <v>0</v>
      </c>
      <c r="I210" s="1" t="s">
        <v>593</v>
      </c>
      <c r="J210" s="1" t="s">
        <v>55</v>
      </c>
    </row>
    <row r="211" spans="1:10" hidden="1" x14ac:dyDescent="0.25">
      <c r="A211" s="1" t="s">
        <v>67</v>
      </c>
      <c r="B211" s="1">
        <v>555</v>
      </c>
      <c r="C211" s="1" t="s">
        <v>778</v>
      </c>
      <c r="D211" s="1" t="s">
        <v>775</v>
      </c>
      <c r="E211" s="1" t="s">
        <v>115</v>
      </c>
      <c r="F211" s="1" t="s">
        <v>41</v>
      </c>
      <c r="G211" s="1">
        <v>0</v>
      </c>
      <c r="I211" s="1" t="s">
        <v>593</v>
      </c>
      <c r="J211" s="1" t="s">
        <v>55</v>
      </c>
    </row>
    <row r="212" spans="1:10" hidden="1" x14ac:dyDescent="0.25">
      <c r="A212" s="1" t="s">
        <v>73</v>
      </c>
      <c r="B212" s="1">
        <v>556</v>
      </c>
      <c r="C212" s="1" t="s">
        <v>779</v>
      </c>
      <c r="D212" s="1" t="s">
        <v>595</v>
      </c>
      <c r="E212" s="1" t="s">
        <v>780</v>
      </c>
      <c r="F212" s="1" t="s">
        <v>41</v>
      </c>
      <c r="G212" s="1">
        <v>0.7</v>
      </c>
      <c r="I212" s="1" t="s">
        <v>593</v>
      </c>
      <c r="J212" s="1" t="s">
        <v>55</v>
      </c>
    </row>
    <row r="213" spans="1:10" hidden="1" x14ac:dyDescent="0.25">
      <c r="A213" s="1" t="s">
        <v>146</v>
      </c>
      <c r="B213" s="1">
        <v>558</v>
      </c>
      <c r="C213" s="1" t="s">
        <v>783</v>
      </c>
      <c r="D213" s="1" t="s">
        <v>782</v>
      </c>
      <c r="E213" s="1" t="s">
        <v>105</v>
      </c>
      <c r="F213" s="1" t="s">
        <v>41</v>
      </c>
      <c r="G213" s="1">
        <v>0</v>
      </c>
      <c r="I213" s="1" t="s">
        <v>593</v>
      </c>
      <c r="J213" s="1" t="s">
        <v>55</v>
      </c>
    </row>
    <row r="214" spans="1:10" hidden="1" x14ac:dyDescent="0.25">
      <c r="A214" s="1" t="s">
        <v>67</v>
      </c>
      <c r="B214" s="1">
        <v>559</v>
      </c>
      <c r="C214" s="1" t="s">
        <v>784</v>
      </c>
      <c r="D214" s="1" t="s">
        <v>782</v>
      </c>
      <c r="E214" s="1" t="s">
        <v>109</v>
      </c>
      <c r="F214" s="1" t="s">
        <v>41</v>
      </c>
      <c r="G214" s="1">
        <v>0</v>
      </c>
      <c r="I214" s="1" t="s">
        <v>593</v>
      </c>
      <c r="J214" s="1" t="s">
        <v>55</v>
      </c>
    </row>
    <row r="215" spans="1:10" hidden="1" x14ac:dyDescent="0.25">
      <c r="A215" s="1" t="s">
        <v>67</v>
      </c>
      <c r="B215" s="1">
        <v>560</v>
      </c>
      <c r="C215" s="1" t="s">
        <v>785</v>
      </c>
      <c r="D215" s="1" t="s">
        <v>782</v>
      </c>
      <c r="E215" s="1" t="s">
        <v>115</v>
      </c>
      <c r="F215" s="1" t="s">
        <v>168</v>
      </c>
      <c r="G215" s="1">
        <v>0</v>
      </c>
      <c r="I215" s="1" t="s">
        <v>593</v>
      </c>
      <c r="J215" s="1" t="s">
        <v>55</v>
      </c>
    </row>
    <row r="216" spans="1:10" hidden="1" x14ac:dyDescent="0.25">
      <c r="A216" s="1" t="s">
        <v>73</v>
      </c>
      <c r="B216" s="1">
        <v>561</v>
      </c>
      <c r="C216" s="1" t="s">
        <v>786</v>
      </c>
      <c r="D216" s="1" t="s">
        <v>595</v>
      </c>
      <c r="E216" s="1" t="s">
        <v>787</v>
      </c>
      <c r="F216" s="1" t="s">
        <v>41</v>
      </c>
      <c r="G216" s="1">
        <v>0.75</v>
      </c>
      <c r="I216" s="1" t="s">
        <v>593</v>
      </c>
      <c r="J216" s="1" t="s">
        <v>55</v>
      </c>
    </row>
    <row r="217" spans="1:10" hidden="1" x14ac:dyDescent="0.25">
      <c r="A217" s="1" t="s">
        <v>146</v>
      </c>
      <c r="B217" s="1">
        <v>563</v>
      </c>
      <c r="C217" s="1" t="s">
        <v>791</v>
      </c>
      <c r="D217" s="1" t="s">
        <v>790</v>
      </c>
      <c r="E217" s="1" t="s">
        <v>105</v>
      </c>
      <c r="F217" s="1" t="s">
        <v>41</v>
      </c>
      <c r="G217" s="1">
        <v>0.5</v>
      </c>
      <c r="I217" s="1" t="s">
        <v>593</v>
      </c>
      <c r="J217" s="1" t="s">
        <v>55</v>
      </c>
    </row>
    <row r="218" spans="1:10" hidden="1" x14ac:dyDescent="0.25">
      <c r="A218" s="1" t="s">
        <v>67</v>
      </c>
      <c r="B218" s="1">
        <v>564</v>
      </c>
      <c r="C218" s="1" t="s">
        <v>792</v>
      </c>
      <c r="D218" s="1" t="s">
        <v>790</v>
      </c>
      <c r="E218" s="1" t="s">
        <v>109</v>
      </c>
      <c r="F218" s="1" t="s">
        <v>41</v>
      </c>
      <c r="G218" s="1">
        <v>0</v>
      </c>
      <c r="I218" s="1" t="s">
        <v>593</v>
      </c>
      <c r="J218" s="1" t="s">
        <v>55</v>
      </c>
    </row>
    <row r="219" spans="1:10" hidden="1" x14ac:dyDescent="0.25">
      <c r="A219" s="1" t="s">
        <v>67</v>
      </c>
      <c r="B219" s="1">
        <v>565</v>
      </c>
      <c r="C219" s="1" t="s">
        <v>793</v>
      </c>
      <c r="D219" s="1" t="s">
        <v>790</v>
      </c>
      <c r="E219" s="1" t="s">
        <v>115</v>
      </c>
      <c r="F219" s="1" t="s">
        <v>41</v>
      </c>
      <c r="G219" s="1">
        <v>0</v>
      </c>
      <c r="I219" s="1" t="s">
        <v>593</v>
      </c>
      <c r="J219" s="1" t="s">
        <v>55</v>
      </c>
    </row>
    <row r="220" spans="1:10" hidden="1" x14ac:dyDescent="0.25">
      <c r="A220" s="1" t="s">
        <v>73</v>
      </c>
      <c r="B220" s="1">
        <v>566</v>
      </c>
      <c r="C220" s="1" t="s">
        <v>794</v>
      </c>
      <c r="D220" s="1" t="s">
        <v>595</v>
      </c>
      <c r="E220" s="1" t="s">
        <v>795</v>
      </c>
      <c r="F220" s="1" t="s">
        <v>41</v>
      </c>
      <c r="G220" s="1">
        <v>0.7</v>
      </c>
      <c r="I220" s="1" t="s">
        <v>593</v>
      </c>
      <c r="J220" s="1" t="s">
        <v>55</v>
      </c>
    </row>
    <row r="221" spans="1:10" hidden="1" x14ac:dyDescent="0.25">
      <c r="A221" s="1" t="s">
        <v>146</v>
      </c>
      <c r="B221" s="1">
        <v>568</v>
      </c>
      <c r="C221" s="1" t="s">
        <v>798</v>
      </c>
      <c r="D221" s="1" t="s">
        <v>797</v>
      </c>
      <c r="E221" s="1" t="s">
        <v>105</v>
      </c>
      <c r="F221" s="1" t="s">
        <v>41</v>
      </c>
      <c r="G221" s="1">
        <v>0</v>
      </c>
      <c r="I221" s="1" t="s">
        <v>593</v>
      </c>
      <c r="J221" s="1" t="s">
        <v>55</v>
      </c>
    </row>
    <row r="222" spans="1:10" hidden="1" x14ac:dyDescent="0.25">
      <c r="A222" s="1" t="s">
        <v>67</v>
      </c>
      <c r="B222" s="1">
        <v>569</v>
      </c>
      <c r="C222" s="1" t="s">
        <v>799</v>
      </c>
      <c r="D222" s="1" t="s">
        <v>797</v>
      </c>
      <c r="E222" s="1" t="s">
        <v>109</v>
      </c>
      <c r="F222" s="1" t="s">
        <v>41</v>
      </c>
      <c r="G222" s="1">
        <v>0</v>
      </c>
      <c r="I222" s="1" t="s">
        <v>593</v>
      </c>
      <c r="J222" s="1" t="s">
        <v>55</v>
      </c>
    </row>
    <row r="223" spans="1:10" hidden="1" x14ac:dyDescent="0.25">
      <c r="A223" s="1" t="s">
        <v>67</v>
      </c>
      <c r="B223" s="1">
        <v>570</v>
      </c>
      <c r="C223" s="1" t="s">
        <v>800</v>
      </c>
      <c r="D223" s="1" t="s">
        <v>797</v>
      </c>
      <c r="E223" s="1" t="s">
        <v>115</v>
      </c>
      <c r="F223" s="1" t="s">
        <v>41</v>
      </c>
      <c r="G223" s="1">
        <v>0</v>
      </c>
      <c r="I223" s="1" t="s">
        <v>593</v>
      </c>
      <c r="J223" s="1" t="s">
        <v>55</v>
      </c>
    </row>
    <row r="224" spans="1:10" hidden="1" x14ac:dyDescent="0.25">
      <c r="A224" s="1" t="s">
        <v>73</v>
      </c>
      <c r="B224" s="1">
        <v>571</v>
      </c>
      <c r="C224" s="1" t="s">
        <v>801</v>
      </c>
      <c r="D224" s="1" t="s">
        <v>595</v>
      </c>
      <c r="E224" s="1" t="s">
        <v>802</v>
      </c>
      <c r="F224" s="1" t="s">
        <v>41</v>
      </c>
      <c r="G224" s="1">
        <v>0.75</v>
      </c>
      <c r="I224" s="1" t="s">
        <v>593</v>
      </c>
      <c r="J224" s="1" t="s">
        <v>55</v>
      </c>
    </row>
    <row r="225" spans="1:10" hidden="1" x14ac:dyDescent="0.25">
      <c r="A225" s="1" t="s">
        <v>146</v>
      </c>
      <c r="B225" s="1">
        <v>573</v>
      </c>
      <c r="C225" s="1" t="s">
        <v>805</v>
      </c>
      <c r="D225" s="1" t="s">
        <v>804</v>
      </c>
      <c r="E225" s="1" t="s">
        <v>105</v>
      </c>
      <c r="F225" s="1" t="s">
        <v>41</v>
      </c>
      <c r="G225" s="1">
        <v>0.5</v>
      </c>
      <c r="I225" s="1" t="s">
        <v>593</v>
      </c>
      <c r="J225" s="1" t="s">
        <v>55</v>
      </c>
    </row>
    <row r="226" spans="1:10" hidden="1" x14ac:dyDescent="0.25">
      <c r="A226" s="1" t="s">
        <v>67</v>
      </c>
      <c r="B226" s="1">
        <v>574</v>
      </c>
      <c r="C226" s="1" t="s">
        <v>806</v>
      </c>
      <c r="D226" s="1" t="s">
        <v>804</v>
      </c>
      <c r="E226" s="1" t="s">
        <v>109</v>
      </c>
      <c r="F226" s="1" t="s">
        <v>41</v>
      </c>
      <c r="G226" s="1">
        <v>0</v>
      </c>
      <c r="I226" s="1" t="s">
        <v>593</v>
      </c>
      <c r="J226" s="1" t="s">
        <v>55</v>
      </c>
    </row>
    <row r="227" spans="1:10" hidden="1" x14ac:dyDescent="0.25">
      <c r="A227" s="1" t="s">
        <v>67</v>
      </c>
      <c r="B227" s="1">
        <v>575</v>
      </c>
      <c r="C227" s="1" t="s">
        <v>807</v>
      </c>
      <c r="D227" s="1" t="s">
        <v>804</v>
      </c>
      <c r="E227" s="1" t="s">
        <v>115</v>
      </c>
      <c r="F227" s="1" t="s">
        <v>41</v>
      </c>
      <c r="G227" s="1">
        <v>0</v>
      </c>
      <c r="I227" s="1" t="s">
        <v>593</v>
      </c>
      <c r="J227" s="1" t="s">
        <v>55</v>
      </c>
    </row>
    <row r="228" spans="1:10" hidden="1" x14ac:dyDescent="0.25">
      <c r="A228" s="1" t="s">
        <v>73</v>
      </c>
      <c r="B228" s="1">
        <v>576</v>
      </c>
      <c r="C228" s="1" t="s">
        <v>808</v>
      </c>
      <c r="D228" s="1" t="s">
        <v>595</v>
      </c>
      <c r="E228" s="1" t="s">
        <v>809</v>
      </c>
      <c r="F228" s="1" t="s">
        <v>41</v>
      </c>
      <c r="G228" s="1">
        <v>0.7</v>
      </c>
      <c r="I228" s="1" t="s">
        <v>593</v>
      </c>
      <c r="J228" s="1" t="s">
        <v>55</v>
      </c>
    </row>
    <row r="229" spans="1:10" hidden="1" x14ac:dyDescent="0.25">
      <c r="A229" s="1" t="s">
        <v>146</v>
      </c>
      <c r="B229" s="1">
        <v>578</v>
      </c>
      <c r="C229" s="1" t="s">
        <v>812</v>
      </c>
      <c r="D229" s="1" t="s">
        <v>811</v>
      </c>
      <c r="E229" s="1" t="s">
        <v>105</v>
      </c>
      <c r="F229" s="1" t="s">
        <v>41</v>
      </c>
      <c r="G229" s="1">
        <v>0</v>
      </c>
      <c r="I229" s="1" t="s">
        <v>593</v>
      </c>
      <c r="J229" s="1" t="s">
        <v>55</v>
      </c>
    </row>
    <row r="230" spans="1:10" hidden="1" x14ac:dyDescent="0.25">
      <c r="A230" s="1" t="s">
        <v>67</v>
      </c>
      <c r="B230" s="1">
        <v>579</v>
      </c>
      <c r="C230" s="1" t="s">
        <v>813</v>
      </c>
      <c r="D230" s="1" t="s">
        <v>811</v>
      </c>
      <c r="E230" s="1" t="s">
        <v>109</v>
      </c>
      <c r="F230" s="1" t="s">
        <v>41</v>
      </c>
      <c r="G230" s="1">
        <v>0</v>
      </c>
      <c r="I230" s="1" t="s">
        <v>593</v>
      </c>
      <c r="J230" s="1" t="s">
        <v>55</v>
      </c>
    </row>
    <row r="231" spans="1:10" hidden="1" x14ac:dyDescent="0.25">
      <c r="A231" s="1" t="s">
        <v>67</v>
      </c>
      <c r="B231" s="1">
        <v>580</v>
      </c>
      <c r="C231" s="1" t="s">
        <v>814</v>
      </c>
      <c r="D231" s="1" t="s">
        <v>811</v>
      </c>
      <c r="E231" s="1" t="s">
        <v>115</v>
      </c>
      <c r="F231" s="1" t="s">
        <v>41</v>
      </c>
      <c r="G231" s="1">
        <v>0</v>
      </c>
      <c r="I231" s="1" t="s">
        <v>593</v>
      </c>
      <c r="J231" s="1" t="s">
        <v>55</v>
      </c>
    </row>
    <row r="232" spans="1:10" hidden="1" x14ac:dyDescent="0.25">
      <c r="A232" s="1" t="s">
        <v>73</v>
      </c>
      <c r="B232" s="1">
        <v>581</v>
      </c>
      <c r="C232" s="1" t="s">
        <v>815</v>
      </c>
      <c r="D232" s="1" t="s">
        <v>595</v>
      </c>
      <c r="E232" s="1" t="s">
        <v>816</v>
      </c>
      <c r="F232" s="1" t="s">
        <v>41</v>
      </c>
      <c r="G232" s="1">
        <v>0.7</v>
      </c>
      <c r="I232" s="1" t="s">
        <v>593</v>
      </c>
      <c r="J232" s="1" t="s">
        <v>55</v>
      </c>
    </row>
    <row r="233" spans="1:10" hidden="1" x14ac:dyDescent="0.25">
      <c r="A233" s="1" t="s">
        <v>146</v>
      </c>
      <c r="B233" s="1">
        <v>583</v>
      </c>
      <c r="C233" s="1" t="s">
        <v>819</v>
      </c>
      <c r="D233" s="1" t="s">
        <v>818</v>
      </c>
      <c r="E233" s="1" t="s">
        <v>105</v>
      </c>
      <c r="F233" s="1" t="s">
        <v>41</v>
      </c>
      <c r="G233" s="1">
        <v>0</v>
      </c>
      <c r="I233" s="1" t="s">
        <v>593</v>
      </c>
      <c r="J233" s="1" t="s">
        <v>55</v>
      </c>
    </row>
    <row r="234" spans="1:10" hidden="1" x14ac:dyDescent="0.25">
      <c r="A234" s="1" t="s">
        <v>67</v>
      </c>
      <c r="B234" s="1">
        <v>584</v>
      </c>
      <c r="C234" s="1" t="s">
        <v>820</v>
      </c>
      <c r="D234" s="1" t="s">
        <v>818</v>
      </c>
      <c r="E234" s="1" t="s">
        <v>109</v>
      </c>
      <c r="F234" s="1" t="s">
        <v>41</v>
      </c>
      <c r="G234" s="1">
        <v>0</v>
      </c>
      <c r="I234" s="1" t="s">
        <v>593</v>
      </c>
      <c r="J234" s="1" t="s">
        <v>55</v>
      </c>
    </row>
    <row r="235" spans="1:10" hidden="1" x14ac:dyDescent="0.25">
      <c r="A235" s="1" t="s">
        <v>67</v>
      </c>
      <c r="B235" s="1">
        <v>585</v>
      </c>
      <c r="C235" s="1" t="s">
        <v>821</v>
      </c>
      <c r="D235" s="1" t="s">
        <v>818</v>
      </c>
      <c r="E235" s="1" t="s">
        <v>115</v>
      </c>
      <c r="F235" s="1" t="s">
        <v>41</v>
      </c>
      <c r="G235" s="1">
        <v>0</v>
      </c>
      <c r="I235" s="1" t="s">
        <v>593</v>
      </c>
      <c r="J235" s="1" t="s">
        <v>55</v>
      </c>
    </row>
    <row r="236" spans="1:10" hidden="1" x14ac:dyDescent="0.25">
      <c r="A236" s="1" t="s">
        <v>73</v>
      </c>
      <c r="B236" s="1">
        <v>586</v>
      </c>
      <c r="C236" s="1" t="s">
        <v>822</v>
      </c>
      <c r="D236" s="1" t="s">
        <v>595</v>
      </c>
      <c r="E236" s="1" t="s">
        <v>823</v>
      </c>
      <c r="F236" s="1" t="s">
        <v>41</v>
      </c>
      <c r="G236" s="1">
        <v>0.7</v>
      </c>
      <c r="I236" s="1" t="s">
        <v>593</v>
      </c>
      <c r="J236" s="1" t="s">
        <v>55</v>
      </c>
    </row>
    <row r="237" spans="1:10" hidden="1" x14ac:dyDescent="0.25">
      <c r="A237" s="1" t="s">
        <v>146</v>
      </c>
      <c r="B237" s="1">
        <v>588</v>
      </c>
      <c r="C237" s="1" t="s">
        <v>826</v>
      </c>
      <c r="D237" s="1" t="s">
        <v>825</v>
      </c>
      <c r="E237" s="1" t="s">
        <v>105</v>
      </c>
      <c r="F237" s="1" t="s">
        <v>41</v>
      </c>
      <c r="G237" s="1">
        <v>0</v>
      </c>
      <c r="I237" s="1" t="s">
        <v>593</v>
      </c>
      <c r="J237" s="1" t="s">
        <v>55</v>
      </c>
    </row>
    <row r="238" spans="1:10" hidden="1" x14ac:dyDescent="0.25">
      <c r="A238" s="1" t="s">
        <v>67</v>
      </c>
      <c r="B238" s="1">
        <v>589</v>
      </c>
      <c r="C238" s="1" t="s">
        <v>827</v>
      </c>
      <c r="D238" s="1" t="s">
        <v>825</v>
      </c>
      <c r="E238" s="1" t="s">
        <v>109</v>
      </c>
      <c r="F238" s="1" t="s">
        <v>41</v>
      </c>
      <c r="G238" s="1">
        <v>0</v>
      </c>
      <c r="I238" s="1" t="s">
        <v>593</v>
      </c>
      <c r="J238" s="1" t="s">
        <v>55</v>
      </c>
    </row>
    <row r="239" spans="1:10" hidden="1" x14ac:dyDescent="0.25">
      <c r="A239" s="1" t="s">
        <v>67</v>
      </c>
      <c r="B239" s="1">
        <v>590</v>
      </c>
      <c r="C239" s="1" t="s">
        <v>828</v>
      </c>
      <c r="D239" s="1" t="s">
        <v>825</v>
      </c>
      <c r="E239" s="1" t="s">
        <v>115</v>
      </c>
      <c r="F239" s="1" t="s">
        <v>168</v>
      </c>
      <c r="G239" s="1">
        <v>0</v>
      </c>
      <c r="I239" s="1" t="s">
        <v>593</v>
      </c>
      <c r="J239" s="1" t="s">
        <v>55</v>
      </c>
    </row>
    <row r="240" spans="1:10" hidden="1" x14ac:dyDescent="0.25">
      <c r="A240" s="1" t="s">
        <v>73</v>
      </c>
      <c r="B240" s="1">
        <v>591</v>
      </c>
      <c r="C240" s="1" t="s">
        <v>829</v>
      </c>
      <c r="D240" s="1" t="s">
        <v>595</v>
      </c>
      <c r="E240" s="1" t="s">
        <v>830</v>
      </c>
      <c r="F240" s="1" t="s">
        <v>41</v>
      </c>
      <c r="G240" s="1">
        <v>0.7</v>
      </c>
      <c r="I240" s="1" t="s">
        <v>593</v>
      </c>
      <c r="J240" s="1" t="s">
        <v>55</v>
      </c>
    </row>
    <row r="241" spans="1:10" hidden="1" x14ac:dyDescent="0.25">
      <c r="A241" s="1" t="s">
        <v>146</v>
      </c>
      <c r="B241" s="1">
        <v>593</v>
      </c>
      <c r="C241" s="1" t="s">
        <v>833</v>
      </c>
      <c r="D241" s="1" t="s">
        <v>832</v>
      </c>
      <c r="E241" s="1" t="s">
        <v>105</v>
      </c>
      <c r="F241" s="1" t="s">
        <v>41</v>
      </c>
      <c r="G241" s="1">
        <v>0</v>
      </c>
      <c r="I241" s="1" t="s">
        <v>593</v>
      </c>
      <c r="J241" s="1" t="s">
        <v>55</v>
      </c>
    </row>
    <row r="242" spans="1:10" hidden="1" x14ac:dyDescent="0.25">
      <c r="A242" s="1" t="s">
        <v>67</v>
      </c>
      <c r="B242" s="1">
        <v>594</v>
      </c>
      <c r="C242" s="1" t="s">
        <v>834</v>
      </c>
      <c r="D242" s="1" t="s">
        <v>832</v>
      </c>
      <c r="E242" s="1" t="s">
        <v>109</v>
      </c>
      <c r="F242" s="1" t="s">
        <v>41</v>
      </c>
      <c r="G242" s="1">
        <v>0</v>
      </c>
      <c r="I242" s="1" t="s">
        <v>593</v>
      </c>
      <c r="J242" s="1" t="s">
        <v>55</v>
      </c>
    </row>
    <row r="243" spans="1:10" hidden="1" x14ac:dyDescent="0.25">
      <c r="A243" s="1" t="s">
        <v>67</v>
      </c>
      <c r="B243" s="1">
        <v>595</v>
      </c>
      <c r="C243" s="1" t="s">
        <v>835</v>
      </c>
      <c r="D243" s="1" t="s">
        <v>832</v>
      </c>
      <c r="E243" s="1" t="s">
        <v>115</v>
      </c>
      <c r="F243" s="1" t="s">
        <v>168</v>
      </c>
      <c r="G243" s="1">
        <v>0</v>
      </c>
      <c r="I243" s="1" t="s">
        <v>593</v>
      </c>
      <c r="J243" s="1" t="s">
        <v>55</v>
      </c>
    </row>
    <row r="244" spans="1:10" hidden="1" x14ac:dyDescent="0.25">
      <c r="A244" s="1" t="s">
        <v>73</v>
      </c>
      <c r="B244" s="1">
        <v>596</v>
      </c>
      <c r="C244" s="1" t="s">
        <v>836</v>
      </c>
      <c r="D244" s="1" t="s">
        <v>595</v>
      </c>
      <c r="E244" s="1" t="s">
        <v>837</v>
      </c>
      <c r="F244" s="1" t="s">
        <v>41</v>
      </c>
      <c r="G244" s="1">
        <v>0.7</v>
      </c>
      <c r="I244" s="1" t="s">
        <v>593</v>
      </c>
      <c r="J244" s="1" t="s">
        <v>55</v>
      </c>
    </row>
    <row r="245" spans="1:10" hidden="1" x14ac:dyDescent="0.25">
      <c r="A245" s="1" t="s">
        <v>146</v>
      </c>
      <c r="B245" s="1">
        <v>598</v>
      </c>
      <c r="C245" s="1" t="s">
        <v>840</v>
      </c>
      <c r="D245" s="1" t="s">
        <v>839</v>
      </c>
      <c r="E245" s="1" t="s">
        <v>105</v>
      </c>
      <c r="F245" s="1" t="s">
        <v>41</v>
      </c>
      <c r="G245" s="1">
        <v>0</v>
      </c>
      <c r="I245" s="1" t="s">
        <v>593</v>
      </c>
      <c r="J245" s="1" t="s">
        <v>55</v>
      </c>
    </row>
    <row r="246" spans="1:10" hidden="1" x14ac:dyDescent="0.25">
      <c r="A246" s="1" t="s">
        <v>67</v>
      </c>
      <c r="B246" s="1">
        <v>599</v>
      </c>
      <c r="C246" s="1" t="s">
        <v>841</v>
      </c>
      <c r="D246" s="1" t="s">
        <v>839</v>
      </c>
      <c r="E246" s="1" t="s">
        <v>109</v>
      </c>
      <c r="F246" s="1" t="s">
        <v>41</v>
      </c>
      <c r="G246" s="1">
        <v>0</v>
      </c>
      <c r="I246" s="1" t="s">
        <v>593</v>
      </c>
      <c r="J246" s="1" t="s">
        <v>55</v>
      </c>
    </row>
    <row r="247" spans="1:10" hidden="1" x14ac:dyDescent="0.25">
      <c r="A247" s="1" t="s">
        <v>67</v>
      </c>
      <c r="B247" s="1">
        <v>600</v>
      </c>
      <c r="C247" s="1" t="s">
        <v>842</v>
      </c>
      <c r="D247" s="1" t="s">
        <v>839</v>
      </c>
      <c r="E247" s="1" t="s">
        <v>115</v>
      </c>
      <c r="F247" s="1" t="s">
        <v>41</v>
      </c>
      <c r="G247" s="1">
        <v>0</v>
      </c>
      <c r="I247" s="1" t="s">
        <v>593</v>
      </c>
      <c r="J247" s="1" t="s">
        <v>55</v>
      </c>
    </row>
    <row r="248" spans="1:10" hidden="1" x14ac:dyDescent="0.25">
      <c r="A248" s="1" t="s">
        <v>73</v>
      </c>
      <c r="B248" s="1">
        <v>601</v>
      </c>
      <c r="C248" s="1" t="s">
        <v>843</v>
      </c>
      <c r="D248" s="1" t="s">
        <v>595</v>
      </c>
      <c r="E248" s="1" t="s">
        <v>844</v>
      </c>
      <c r="F248" s="1" t="s">
        <v>41</v>
      </c>
      <c r="G248" s="1">
        <v>0.7</v>
      </c>
      <c r="I248" s="1" t="s">
        <v>593</v>
      </c>
      <c r="J248" s="1" t="s">
        <v>55</v>
      </c>
    </row>
    <row r="249" spans="1:10" hidden="1" x14ac:dyDescent="0.25">
      <c r="A249" s="1" t="s">
        <v>146</v>
      </c>
      <c r="B249" s="1">
        <v>603</v>
      </c>
      <c r="C249" s="1" t="s">
        <v>847</v>
      </c>
      <c r="D249" s="1" t="s">
        <v>846</v>
      </c>
      <c r="E249" s="1" t="s">
        <v>105</v>
      </c>
      <c r="F249" s="1" t="s">
        <v>41</v>
      </c>
      <c r="G249" s="1">
        <v>0</v>
      </c>
      <c r="I249" s="1" t="s">
        <v>593</v>
      </c>
      <c r="J249" s="1" t="s">
        <v>55</v>
      </c>
    </row>
    <row r="250" spans="1:10" hidden="1" x14ac:dyDescent="0.25">
      <c r="A250" s="1" t="s">
        <v>67</v>
      </c>
      <c r="B250" s="1">
        <v>604</v>
      </c>
      <c r="C250" s="1" t="s">
        <v>848</v>
      </c>
      <c r="D250" s="1" t="s">
        <v>846</v>
      </c>
      <c r="E250" s="1" t="s">
        <v>109</v>
      </c>
      <c r="F250" s="1" t="s">
        <v>41</v>
      </c>
      <c r="G250" s="1">
        <v>0</v>
      </c>
      <c r="I250" s="1" t="s">
        <v>593</v>
      </c>
      <c r="J250" s="1" t="s">
        <v>55</v>
      </c>
    </row>
    <row r="251" spans="1:10" hidden="1" x14ac:dyDescent="0.25">
      <c r="A251" s="1" t="s">
        <v>67</v>
      </c>
      <c r="B251" s="1">
        <v>605</v>
      </c>
      <c r="C251" s="1" t="s">
        <v>849</v>
      </c>
      <c r="D251" s="1" t="s">
        <v>846</v>
      </c>
      <c r="E251" s="1" t="s">
        <v>115</v>
      </c>
      <c r="F251" s="1" t="s">
        <v>41</v>
      </c>
      <c r="G251" s="1">
        <v>0</v>
      </c>
      <c r="I251" s="1" t="s">
        <v>593</v>
      </c>
      <c r="J251" s="1" t="s">
        <v>55</v>
      </c>
    </row>
    <row r="252" spans="1:10" hidden="1" x14ac:dyDescent="0.25">
      <c r="A252" s="1" t="s">
        <v>73</v>
      </c>
      <c r="B252" s="1">
        <v>606</v>
      </c>
      <c r="C252" s="1" t="s">
        <v>850</v>
      </c>
      <c r="D252" s="1" t="s">
        <v>595</v>
      </c>
      <c r="E252" s="1" t="s">
        <v>851</v>
      </c>
      <c r="F252" s="1" t="s">
        <v>41</v>
      </c>
      <c r="G252" s="1">
        <v>0.7</v>
      </c>
      <c r="I252" s="1" t="s">
        <v>593</v>
      </c>
      <c r="J252" s="1" t="s">
        <v>55</v>
      </c>
    </row>
    <row r="253" spans="1:10" hidden="1" x14ac:dyDescent="0.25">
      <c r="A253" s="1" t="s">
        <v>146</v>
      </c>
      <c r="B253" s="1">
        <v>608</v>
      </c>
      <c r="C253" s="1" t="s">
        <v>854</v>
      </c>
      <c r="D253" s="1" t="s">
        <v>853</v>
      </c>
      <c r="E253" s="1" t="s">
        <v>105</v>
      </c>
      <c r="F253" s="1" t="s">
        <v>41</v>
      </c>
      <c r="G253" s="1">
        <v>0</v>
      </c>
      <c r="I253" s="1" t="s">
        <v>593</v>
      </c>
      <c r="J253" s="1" t="s">
        <v>55</v>
      </c>
    </row>
    <row r="254" spans="1:10" hidden="1" x14ac:dyDescent="0.25">
      <c r="A254" s="1" t="s">
        <v>67</v>
      </c>
      <c r="B254" s="1">
        <v>609</v>
      </c>
      <c r="C254" s="1" t="s">
        <v>855</v>
      </c>
      <c r="D254" s="1" t="s">
        <v>853</v>
      </c>
      <c r="E254" s="1" t="s">
        <v>109</v>
      </c>
      <c r="F254" s="1" t="s">
        <v>41</v>
      </c>
      <c r="G254" s="1">
        <v>0</v>
      </c>
      <c r="I254" s="1" t="s">
        <v>593</v>
      </c>
      <c r="J254" s="1" t="s">
        <v>55</v>
      </c>
    </row>
    <row r="255" spans="1:10" hidden="1" x14ac:dyDescent="0.25">
      <c r="A255" s="1" t="s">
        <v>67</v>
      </c>
      <c r="B255" s="1">
        <v>610</v>
      </c>
      <c r="C255" s="1" t="s">
        <v>856</v>
      </c>
      <c r="D255" s="1" t="s">
        <v>853</v>
      </c>
      <c r="E255" s="1" t="s">
        <v>115</v>
      </c>
      <c r="F255" s="1" t="s">
        <v>41</v>
      </c>
      <c r="G255" s="1">
        <v>0</v>
      </c>
      <c r="I255" s="1" t="s">
        <v>593</v>
      </c>
      <c r="J255" s="1" t="s">
        <v>55</v>
      </c>
    </row>
    <row r="256" spans="1:10" hidden="1" x14ac:dyDescent="0.25">
      <c r="A256" s="1" t="s">
        <v>73</v>
      </c>
      <c r="B256" s="1">
        <v>611</v>
      </c>
      <c r="C256" s="1" t="s">
        <v>857</v>
      </c>
      <c r="D256" s="1" t="s">
        <v>595</v>
      </c>
      <c r="E256" s="1" t="s">
        <v>858</v>
      </c>
      <c r="F256" s="1" t="s">
        <v>41</v>
      </c>
      <c r="G256" s="1">
        <v>0.7</v>
      </c>
      <c r="I256" s="1" t="s">
        <v>593</v>
      </c>
      <c r="J256" s="1" t="s">
        <v>55</v>
      </c>
    </row>
    <row r="257" spans="1:11" hidden="1" x14ac:dyDescent="0.25">
      <c r="A257" s="1" t="s">
        <v>146</v>
      </c>
      <c r="B257" s="1">
        <v>613</v>
      </c>
      <c r="C257" s="1" t="s">
        <v>861</v>
      </c>
      <c r="D257" s="1" t="s">
        <v>860</v>
      </c>
      <c r="E257" s="1" t="s">
        <v>105</v>
      </c>
      <c r="F257" s="1" t="s">
        <v>41</v>
      </c>
      <c r="G257" s="1">
        <v>0</v>
      </c>
      <c r="I257" s="1" t="s">
        <v>593</v>
      </c>
      <c r="J257" s="1" t="s">
        <v>55</v>
      </c>
    </row>
    <row r="258" spans="1:11" hidden="1" x14ac:dyDescent="0.25">
      <c r="A258" s="1" t="s">
        <v>67</v>
      </c>
      <c r="B258" s="1">
        <v>614</v>
      </c>
      <c r="C258" s="1" t="s">
        <v>862</v>
      </c>
      <c r="D258" s="1" t="s">
        <v>860</v>
      </c>
      <c r="E258" s="1" t="s">
        <v>109</v>
      </c>
      <c r="F258" s="1" t="s">
        <v>41</v>
      </c>
      <c r="G258" s="1">
        <v>0</v>
      </c>
      <c r="I258" s="1" t="s">
        <v>593</v>
      </c>
      <c r="J258" s="1" t="s">
        <v>55</v>
      </c>
    </row>
    <row r="259" spans="1:11" hidden="1" x14ac:dyDescent="0.25">
      <c r="A259" s="1" t="s">
        <v>67</v>
      </c>
      <c r="B259" s="1">
        <v>615</v>
      </c>
      <c r="C259" s="1" t="s">
        <v>863</v>
      </c>
      <c r="D259" s="1" t="s">
        <v>860</v>
      </c>
      <c r="E259" s="1" t="s">
        <v>115</v>
      </c>
      <c r="F259" s="1" t="s">
        <v>41</v>
      </c>
      <c r="G259" s="1">
        <v>0</v>
      </c>
      <c r="I259" s="1" t="s">
        <v>593</v>
      </c>
      <c r="J259" s="1" t="s">
        <v>55</v>
      </c>
    </row>
    <row r="260" spans="1:11" hidden="1" x14ac:dyDescent="0.25">
      <c r="A260" s="1" t="s">
        <v>146</v>
      </c>
      <c r="B260" s="1">
        <v>616</v>
      </c>
      <c r="C260" s="1" t="s">
        <v>864</v>
      </c>
      <c r="D260" s="1" t="s">
        <v>595</v>
      </c>
      <c r="E260" s="1" t="s">
        <v>865</v>
      </c>
      <c r="F260" s="1" t="s">
        <v>168</v>
      </c>
      <c r="G260" s="1">
        <v>0.3</v>
      </c>
      <c r="I260" s="1" t="s">
        <v>593</v>
      </c>
      <c r="J260" s="1" t="s">
        <v>55</v>
      </c>
    </row>
    <row r="261" spans="1:11" hidden="1" x14ac:dyDescent="0.25">
      <c r="A261" s="1" t="s">
        <v>146</v>
      </c>
      <c r="B261" s="1">
        <v>617</v>
      </c>
      <c r="C261" s="1" t="s">
        <v>867</v>
      </c>
      <c r="D261" s="1" t="s">
        <v>868</v>
      </c>
      <c r="E261" s="1" t="s">
        <v>101</v>
      </c>
      <c r="F261" s="1" t="s">
        <v>168</v>
      </c>
      <c r="G261" s="4">
        <v>0.9</v>
      </c>
      <c r="I261" s="1" t="s">
        <v>593</v>
      </c>
      <c r="J261" s="1" t="s">
        <v>55</v>
      </c>
      <c r="K261" s="13">
        <v>46209</v>
      </c>
    </row>
    <row r="262" spans="1:11" hidden="1" x14ac:dyDescent="0.25">
      <c r="A262" s="1" t="s">
        <v>73</v>
      </c>
      <c r="B262" s="1">
        <v>621</v>
      </c>
      <c r="C262" s="1" t="s">
        <v>872</v>
      </c>
      <c r="D262" s="1" t="s">
        <v>595</v>
      </c>
      <c r="E262" s="1" t="s">
        <v>873</v>
      </c>
      <c r="F262" s="1" t="s">
        <v>41</v>
      </c>
      <c r="G262" s="1">
        <v>0.75</v>
      </c>
      <c r="I262" s="1" t="s">
        <v>593</v>
      </c>
      <c r="J262" s="1" t="s">
        <v>55</v>
      </c>
    </row>
    <row r="263" spans="1:11" hidden="1" x14ac:dyDescent="0.25">
      <c r="A263" s="1" t="s">
        <v>146</v>
      </c>
      <c r="B263" s="1">
        <v>624</v>
      </c>
      <c r="C263" s="1" t="s">
        <v>877</v>
      </c>
      <c r="D263" s="1" t="s">
        <v>875</v>
      </c>
      <c r="E263" s="1" t="s">
        <v>109</v>
      </c>
      <c r="F263" s="1" t="s">
        <v>41</v>
      </c>
      <c r="G263" s="1">
        <v>0.5</v>
      </c>
      <c r="I263" s="1" t="s">
        <v>593</v>
      </c>
      <c r="J263" s="1" t="s">
        <v>55</v>
      </c>
    </row>
    <row r="264" spans="1:11" hidden="1" x14ac:dyDescent="0.25">
      <c r="A264" s="1" t="s">
        <v>146</v>
      </c>
      <c r="B264" s="1">
        <v>625</v>
      </c>
      <c r="C264" s="1" t="s">
        <v>878</v>
      </c>
      <c r="D264" s="1" t="s">
        <v>875</v>
      </c>
      <c r="E264" s="1" t="s">
        <v>115</v>
      </c>
      <c r="F264" s="1" t="s">
        <v>41</v>
      </c>
      <c r="G264" s="1">
        <v>0</v>
      </c>
      <c r="I264" s="1" t="s">
        <v>593</v>
      </c>
      <c r="J264" s="1" t="s">
        <v>55</v>
      </c>
    </row>
    <row r="265" spans="1:11" hidden="1" x14ac:dyDescent="0.25">
      <c r="A265" s="1" t="s">
        <v>73</v>
      </c>
      <c r="B265" s="1">
        <v>626</v>
      </c>
      <c r="C265" s="1" t="s">
        <v>879</v>
      </c>
      <c r="D265" s="1" t="s">
        <v>595</v>
      </c>
      <c r="E265" s="1" t="s">
        <v>880</v>
      </c>
      <c r="F265" s="1" t="s">
        <v>168</v>
      </c>
      <c r="G265" s="1">
        <v>0.5</v>
      </c>
      <c r="I265" s="1" t="s">
        <v>593</v>
      </c>
      <c r="J265" s="1" t="s">
        <v>55</v>
      </c>
    </row>
    <row r="266" spans="1:11" hidden="1" x14ac:dyDescent="0.25">
      <c r="A266" s="1" t="s">
        <v>146</v>
      </c>
      <c r="B266" s="1">
        <v>628</v>
      </c>
      <c r="C266" s="1" t="s">
        <v>883</v>
      </c>
      <c r="D266" s="1" t="s">
        <v>882</v>
      </c>
      <c r="E266" s="1" t="s">
        <v>105</v>
      </c>
      <c r="F266" s="1" t="s">
        <v>168</v>
      </c>
      <c r="G266" s="1">
        <v>0</v>
      </c>
      <c r="I266" s="1" t="s">
        <v>593</v>
      </c>
      <c r="J266" s="1" t="s">
        <v>55</v>
      </c>
    </row>
    <row r="267" spans="1:11" hidden="1" x14ac:dyDescent="0.25">
      <c r="A267" s="1" t="s">
        <v>146</v>
      </c>
      <c r="B267" s="1">
        <v>631</v>
      </c>
      <c r="C267" s="1" t="s">
        <v>886</v>
      </c>
      <c r="D267" s="1" t="s">
        <v>50</v>
      </c>
      <c r="E267" s="1" t="s">
        <v>887</v>
      </c>
      <c r="F267" s="1" t="s">
        <v>41</v>
      </c>
      <c r="G267" s="1">
        <v>0</v>
      </c>
      <c r="I267" s="1" t="s">
        <v>888</v>
      </c>
      <c r="J267" s="1" t="s">
        <v>44</v>
      </c>
    </row>
    <row r="268" spans="1:11" hidden="1" x14ac:dyDescent="0.25">
      <c r="A268" s="1" t="s">
        <v>146</v>
      </c>
      <c r="B268" s="1">
        <v>632</v>
      </c>
      <c r="C268" s="1" t="s">
        <v>889</v>
      </c>
      <c r="D268" s="1" t="s">
        <v>890</v>
      </c>
      <c r="E268" s="1" t="s">
        <v>891</v>
      </c>
      <c r="F268" s="1" t="s">
        <v>41</v>
      </c>
      <c r="G268" s="1">
        <v>0</v>
      </c>
      <c r="I268" s="1" t="s">
        <v>888</v>
      </c>
      <c r="J268" s="1" t="s">
        <v>44</v>
      </c>
    </row>
    <row r="269" spans="1:11" hidden="1" x14ac:dyDescent="0.25">
      <c r="A269" s="1" t="s">
        <v>146</v>
      </c>
      <c r="B269" s="1">
        <v>633</v>
      </c>
      <c r="C269" s="1" t="s">
        <v>892</v>
      </c>
      <c r="D269" s="1" t="s">
        <v>893</v>
      </c>
      <c r="E269" s="1" t="s">
        <v>101</v>
      </c>
      <c r="F269" s="1" t="s">
        <v>41</v>
      </c>
      <c r="G269" s="4">
        <v>0.25</v>
      </c>
      <c r="I269" s="1" t="s">
        <v>888</v>
      </c>
      <c r="J269" s="1" t="s">
        <v>44</v>
      </c>
      <c r="K269" s="13">
        <v>46211</v>
      </c>
    </row>
    <row r="270" spans="1:11" hidden="1" x14ac:dyDescent="0.25">
      <c r="A270" s="1" t="s">
        <v>348</v>
      </c>
      <c r="B270" s="1">
        <v>8</v>
      </c>
      <c r="C270" s="1" t="s">
        <v>74</v>
      </c>
      <c r="D270" s="1" t="s">
        <v>63</v>
      </c>
      <c r="E270" s="1" t="s">
        <v>75</v>
      </c>
      <c r="F270" s="1" t="s">
        <v>83</v>
      </c>
      <c r="G270" s="1">
        <v>0</v>
      </c>
      <c r="I270" s="1" t="s">
        <v>61</v>
      </c>
      <c r="J270" s="1" t="s">
        <v>55</v>
      </c>
    </row>
    <row r="271" spans="1:11" hidden="1" x14ac:dyDescent="0.25">
      <c r="A271" s="1" t="s">
        <v>348</v>
      </c>
      <c r="B271" s="1">
        <v>30</v>
      </c>
      <c r="C271" s="1" t="s">
        <v>912</v>
      </c>
      <c r="D271" s="1" t="s">
        <v>142</v>
      </c>
      <c r="E271" s="1" t="s">
        <v>913</v>
      </c>
      <c r="F271" s="1" t="s">
        <v>83</v>
      </c>
      <c r="G271" s="1">
        <v>0</v>
      </c>
      <c r="I271" s="1" t="s">
        <v>140</v>
      </c>
      <c r="J271" s="1" t="s">
        <v>55</v>
      </c>
    </row>
    <row r="272" spans="1:11" hidden="1" x14ac:dyDescent="0.25">
      <c r="A272" s="1" t="s">
        <v>348</v>
      </c>
      <c r="B272" s="1">
        <v>107</v>
      </c>
      <c r="C272" s="1" t="s">
        <v>916</v>
      </c>
      <c r="D272" s="1" t="s">
        <v>204</v>
      </c>
      <c r="E272" s="1" t="s">
        <v>917</v>
      </c>
      <c r="F272" s="1" t="s">
        <v>83</v>
      </c>
      <c r="G272" s="1">
        <v>0</v>
      </c>
      <c r="I272" s="1" t="s">
        <v>202</v>
      </c>
      <c r="J272" s="1" t="s">
        <v>55</v>
      </c>
    </row>
    <row r="273" spans="1:10" hidden="1" x14ac:dyDescent="0.25">
      <c r="A273" s="1" t="s">
        <v>348</v>
      </c>
      <c r="B273" s="1">
        <v>138</v>
      </c>
      <c r="C273" s="1" t="s">
        <v>921</v>
      </c>
      <c r="D273" s="1" t="s">
        <v>328</v>
      </c>
      <c r="E273" s="1" t="s">
        <v>922</v>
      </c>
      <c r="F273" s="1" t="s">
        <v>83</v>
      </c>
      <c r="G273" s="1">
        <v>0</v>
      </c>
      <c r="I273" s="1" t="s">
        <v>326</v>
      </c>
      <c r="J273" s="1" t="s">
        <v>55</v>
      </c>
    </row>
    <row r="274" spans="1:10" hidden="1" x14ac:dyDescent="0.25">
      <c r="A274" s="1" t="s">
        <v>348</v>
      </c>
      <c r="B274" s="1">
        <v>148</v>
      </c>
      <c r="C274" s="1" t="s">
        <v>924</v>
      </c>
      <c r="D274" s="1" t="s">
        <v>328</v>
      </c>
      <c r="E274" s="1" t="s">
        <v>925</v>
      </c>
      <c r="F274" s="1" t="s">
        <v>83</v>
      </c>
      <c r="G274" s="1">
        <v>0</v>
      </c>
      <c r="I274" s="1" t="s">
        <v>326</v>
      </c>
      <c r="J274" s="1" t="s">
        <v>55</v>
      </c>
    </row>
    <row r="275" spans="1:10" hidden="1" x14ac:dyDescent="0.25">
      <c r="A275" s="1" t="s">
        <v>348</v>
      </c>
      <c r="B275" s="1">
        <v>153</v>
      </c>
      <c r="C275" s="1" t="s">
        <v>927</v>
      </c>
      <c r="D275" s="1" t="s">
        <v>328</v>
      </c>
      <c r="E275" s="1" t="s">
        <v>928</v>
      </c>
      <c r="F275" s="1" t="s">
        <v>83</v>
      </c>
      <c r="G275" s="1">
        <v>0</v>
      </c>
      <c r="I275" s="1" t="s">
        <v>326</v>
      </c>
      <c r="J275" s="1" t="s">
        <v>55</v>
      </c>
    </row>
    <row r="276" spans="1:10" hidden="1" x14ac:dyDescent="0.25">
      <c r="A276" s="1" t="s">
        <v>348</v>
      </c>
      <c r="B276" s="1">
        <v>158</v>
      </c>
      <c r="C276" s="1" t="s">
        <v>931</v>
      </c>
      <c r="D276" s="1" t="s">
        <v>328</v>
      </c>
      <c r="E276" s="1" t="s">
        <v>932</v>
      </c>
      <c r="F276" s="1" t="s">
        <v>83</v>
      </c>
      <c r="G276" s="1">
        <v>0</v>
      </c>
      <c r="I276" s="1" t="s">
        <v>326</v>
      </c>
      <c r="J276" s="1" t="s">
        <v>55</v>
      </c>
    </row>
    <row r="277" spans="1:10" hidden="1" x14ac:dyDescent="0.25">
      <c r="A277" s="1" t="s">
        <v>348</v>
      </c>
      <c r="B277" s="1">
        <v>178</v>
      </c>
      <c r="C277" s="1" t="s">
        <v>934</v>
      </c>
      <c r="D277" s="1" t="s">
        <v>328</v>
      </c>
      <c r="E277" s="1" t="s">
        <v>935</v>
      </c>
      <c r="F277" s="1" t="s">
        <v>83</v>
      </c>
      <c r="G277" s="1">
        <v>0</v>
      </c>
      <c r="I277" s="1" t="s">
        <v>326</v>
      </c>
      <c r="J277" s="1" t="s">
        <v>55</v>
      </c>
    </row>
    <row r="278" spans="1:10" hidden="1" x14ac:dyDescent="0.25">
      <c r="A278" s="1" t="s">
        <v>348</v>
      </c>
      <c r="B278" s="1">
        <v>198</v>
      </c>
      <c r="C278" s="1" t="s">
        <v>938</v>
      </c>
      <c r="D278" s="1" t="s">
        <v>328</v>
      </c>
      <c r="E278" s="1" t="s">
        <v>939</v>
      </c>
      <c r="F278" s="1" t="s">
        <v>83</v>
      </c>
      <c r="G278" s="1">
        <v>0</v>
      </c>
      <c r="I278" s="1" t="s">
        <v>326</v>
      </c>
      <c r="J278" s="1" t="s">
        <v>55</v>
      </c>
    </row>
    <row r="279" spans="1:10" hidden="1" x14ac:dyDescent="0.25">
      <c r="A279" s="1" t="s">
        <v>348</v>
      </c>
      <c r="B279" s="1">
        <v>203</v>
      </c>
      <c r="C279" s="1" t="s">
        <v>941</v>
      </c>
      <c r="D279" s="1" t="s">
        <v>328</v>
      </c>
      <c r="E279" s="1" t="s">
        <v>942</v>
      </c>
      <c r="F279" s="1" t="s">
        <v>83</v>
      </c>
      <c r="G279" s="1">
        <v>0</v>
      </c>
      <c r="I279" s="1" t="s">
        <v>326</v>
      </c>
      <c r="J279" s="1" t="s">
        <v>55</v>
      </c>
    </row>
    <row r="280" spans="1:10" hidden="1" x14ac:dyDescent="0.25">
      <c r="A280" s="1" t="s">
        <v>348</v>
      </c>
      <c r="B280" s="1">
        <v>208</v>
      </c>
      <c r="C280" s="1" t="s">
        <v>944</v>
      </c>
      <c r="D280" s="1" t="s">
        <v>328</v>
      </c>
      <c r="E280" s="1" t="s">
        <v>945</v>
      </c>
      <c r="F280" s="1" t="s">
        <v>83</v>
      </c>
      <c r="G280" s="1">
        <v>0</v>
      </c>
      <c r="I280" s="1" t="s">
        <v>326</v>
      </c>
      <c r="J280" s="1" t="s">
        <v>55</v>
      </c>
    </row>
    <row r="281" spans="1:10" hidden="1" x14ac:dyDescent="0.25">
      <c r="A281" s="1" t="s">
        <v>348</v>
      </c>
      <c r="B281" s="1">
        <v>218</v>
      </c>
      <c r="C281" s="1" t="s">
        <v>947</v>
      </c>
      <c r="D281" s="1" t="s">
        <v>328</v>
      </c>
      <c r="E281" s="1" t="s">
        <v>948</v>
      </c>
      <c r="F281" s="1" t="s">
        <v>83</v>
      </c>
      <c r="G281" s="1">
        <v>0</v>
      </c>
      <c r="I281" s="1" t="s">
        <v>326</v>
      </c>
      <c r="J281" s="1" t="s">
        <v>55</v>
      </c>
    </row>
    <row r="282" spans="1:10" hidden="1" x14ac:dyDescent="0.25">
      <c r="A282" s="1" t="s">
        <v>348</v>
      </c>
      <c r="B282" s="1">
        <v>239</v>
      </c>
      <c r="C282" s="1" t="s">
        <v>950</v>
      </c>
      <c r="D282" s="1" t="s">
        <v>403</v>
      </c>
      <c r="E282" s="1" t="s">
        <v>951</v>
      </c>
      <c r="F282" s="1" t="s">
        <v>83</v>
      </c>
      <c r="G282" s="1">
        <v>0</v>
      </c>
      <c r="I282" s="1" t="s">
        <v>401</v>
      </c>
      <c r="J282" s="1" t="s">
        <v>55</v>
      </c>
    </row>
    <row r="283" spans="1:10" hidden="1" x14ac:dyDescent="0.25">
      <c r="A283" s="1" t="s">
        <v>348</v>
      </c>
      <c r="B283" s="1">
        <v>269</v>
      </c>
      <c r="C283" s="1" t="s">
        <v>954</v>
      </c>
      <c r="D283" s="1" t="s">
        <v>403</v>
      </c>
      <c r="E283" s="1" t="s">
        <v>955</v>
      </c>
      <c r="F283" s="1" t="s">
        <v>83</v>
      </c>
      <c r="G283" s="1">
        <v>0</v>
      </c>
      <c r="I283" s="1" t="s">
        <v>401</v>
      </c>
      <c r="J283" s="1" t="s">
        <v>55</v>
      </c>
    </row>
    <row r="284" spans="1:10" hidden="1" x14ac:dyDescent="0.25">
      <c r="A284" s="1" t="s">
        <v>348</v>
      </c>
      <c r="B284" s="1">
        <v>295</v>
      </c>
      <c r="C284" s="1" t="s">
        <v>959</v>
      </c>
      <c r="D284" s="1" t="s">
        <v>472</v>
      </c>
      <c r="E284" s="1" t="s">
        <v>960</v>
      </c>
      <c r="F284" s="1" t="s">
        <v>83</v>
      </c>
      <c r="G284" s="1">
        <v>0</v>
      </c>
      <c r="I284" s="1" t="s">
        <v>470</v>
      </c>
      <c r="J284" s="1" t="s">
        <v>55</v>
      </c>
    </row>
    <row r="285" spans="1:10" hidden="1" x14ac:dyDescent="0.25">
      <c r="A285" s="1" t="s">
        <v>348</v>
      </c>
      <c r="B285" s="1">
        <v>340</v>
      </c>
      <c r="C285" s="1" t="s">
        <v>564</v>
      </c>
      <c r="D285" s="1" t="s">
        <v>472</v>
      </c>
      <c r="E285" s="1" t="s">
        <v>963</v>
      </c>
      <c r="F285" s="1" t="s">
        <v>83</v>
      </c>
      <c r="G285" s="1">
        <v>0</v>
      </c>
      <c r="I285" s="1" t="s">
        <v>470</v>
      </c>
      <c r="J285" s="1" t="s">
        <v>55</v>
      </c>
    </row>
    <row r="286" spans="1:10" hidden="1" x14ac:dyDescent="0.25">
      <c r="A286" s="1" t="s">
        <v>348</v>
      </c>
      <c r="B286" s="1">
        <v>345</v>
      </c>
      <c r="C286" s="1" t="s">
        <v>573</v>
      </c>
      <c r="D286" s="1" t="s">
        <v>472</v>
      </c>
      <c r="E286" s="1" t="s">
        <v>966</v>
      </c>
      <c r="F286" s="1" t="s">
        <v>83</v>
      </c>
      <c r="G286" s="1">
        <v>0</v>
      </c>
      <c r="I286" s="1" t="s">
        <v>470</v>
      </c>
      <c r="J286" s="1" t="s">
        <v>55</v>
      </c>
    </row>
    <row r="287" spans="1:10" hidden="1" x14ac:dyDescent="0.25">
      <c r="A287" s="1" t="s">
        <v>348</v>
      </c>
      <c r="B287" s="1">
        <v>350</v>
      </c>
      <c r="C287" s="1" t="s">
        <v>969</v>
      </c>
      <c r="D287" s="1" t="s">
        <v>472</v>
      </c>
      <c r="E287" s="1" t="s">
        <v>970</v>
      </c>
      <c r="F287" s="1" t="s">
        <v>83</v>
      </c>
      <c r="G287" s="1">
        <v>0</v>
      </c>
      <c r="I287" s="1" t="s">
        <v>470</v>
      </c>
      <c r="J287" s="1" t="s">
        <v>55</v>
      </c>
    </row>
    <row r="288" spans="1:10" hidden="1" x14ac:dyDescent="0.25">
      <c r="A288" s="1" t="s">
        <v>348</v>
      </c>
      <c r="B288" s="1">
        <v>370</v>
      </c>
      <c r="C288" s="1" t="s">
        <v>974</v>
      </c>
      <c r="D288" s="1" t="s">
        <v>472</v>
      </c>
      <c r="E288" s="1" t="s">
        <v>975</v>
      </c>
      <c r="F288" s="1" t="s">
        <v>83</v>
      </c>
      <c r="G288" s="1">
        <v>0</v>
      </c>
      <c r="I288" s="1" t="s">
        <v>470</v>
      </c>
      <c r="J288" s="1" t="s">
        <v>55</v>
      </c>
    </row>
    <row r="289" spans="1:10" hidden="1" x14ac:dyDescent="0.25">
      <c r="A289" s="1" t="s">
        <v>348</v>
      </c>
      <c r="B289" s="1">
        <v>375</v>
      </c>
      <c r="C289" s="1" t="s">
        <v>978</v>
      </c>
      <c r="D289" s="1" t="s">
        <v>472</v>
      </c>
      <c r="E289" s="1" t="s">
        <v>979</v>
      </c>
      <c r="F289" s="1" t="s">
        <v>83</v>
      </c>
      <c r="G289" s="1">
        <v>0</v>
      </c>
      <c r="I289" s="1" t="s">
        <v>470</v>
      </c>
      <c r="J289" s="1" t="s">
        <v>55</v>
      </c>
    </row>
    <row r="290" spans="1:10" hidden="1" x14ac:dyDescent="0.25">
      <c r="A290" s="1" t="s">
        <v>348</v>
      </c>
      <c r="B290" s="1">
        <v>380</v>
      </c>
      <c r="C290" s="1" t="s">
        <v>982</v>
      </c>
      <c r="D290" s="1" t="s">
        <v>472</v>
      </c>
      <c r="E290" s="1" t="s">
        <v>983</v>
      </c>
      <c r="F290" s="1" t="s">
        <v>83</v>
      </c>
      <c r="G290" s="1">
        <v>0</v>
      </c>
      <c r="I290" s="1" t="s">
        <v>470</v>
      </c>
      <c r="J290" s="1" t="s">
        <v>55</v>
      </c>
    </row>
    <row r="291" spans="1:10" hidden="1" x14ac:dyDescent="0.25">
      <c r="A291" s="1" t="s">
        <v>348</v>
      </c>
      <c r="B291" s="1">
        <v>385</v>
      </c>
      <c r="C291" s="1" t="s">
        <v>986</v>
      </c>
      <c r="D291" s="1" t="s">
        <v>472</v>
      </c>
      <c r="E291" s="1" t="s">
        <v>987</v>
      </c>
      <c r="F291" s="1" t="s">
        <v>83</v>
      </c>
      <c r="G291" s="1">
        <v>0</v>
      </c>
      <c r="I291" s="1" t="s">
        <v>470</v>
      </c>
      <c r="J291" s="1" t="s">
        <v>55</v>
      </c>
    </row>
    <row r="292" spans="1:10" hidden="1" x14ac:dyDescent="0.25">
      <c r="A292" s="1" t="s">
        <v>348</v>
      </c>
      <c r="B292" s="1">
        <v>406</v>
      </c>
      <c r="C292" s="1" t="s">
        <v>610</v>
      </c>
      <c r="D292" s="1" t="s">
        <v>595</v>
      </c>
      <c r="E292" s="1" t="s">
        <v>990</v>
      </c>
      <c r="F292" s="1" t="s">
        <v>83</v>
      </c>
      <c r="G292" s="1">
        <v>0</v>
      </c>
      <c r="I292" s="1" t="s">
        <v>593</v>
      </c>
      <c r="J292" s="1" t="s">
        <v>44</v>
      </c>
    </row>
    <row r="293" spans="1:10" hidden="1" x14ac:dyDescent="0.25">
      <c r="A293" s="1" t="s">
        <v>348</v>
      </c>
      <c r="B293" s="1">
        <v>411</v>
      </c>
      <c r="C293" s="1" t="s">
        <v>993</v>
      </c>
      <c r="D293" s="1" t="s">
        <v>595</v>
      </c>
      <c r="E293" s="1" t="s">
        <v>994</v>
      </c>
      <c r="F293" s="1" t="s">
        <v>83</v>
      </c>
      <c r="G293" s="1">
        <v>0</v>
      </c>
      <c r="I293" s="1" t="s">
        <v>593</v>
      </c>
      <c r="J293" s="1" t="s">
        <v>55</v>
      </c>
    </row>
    <row r="294" spans="1:10" hidden="1" x14ac:dyDescent="0.25">
      <c r="A294" s="1" t="s">
        <v>348</v>
      </c>
      <c r="B294" s="1">
        <v>451</v>
      </c>
      <c r="C294" s="1" t="s">
        <v>666</v>
      </c>
      <c r="D294" s="1" t="s">
        <v>595</v>
      </c>
      <c r="E294" s="1" t="s">
        <v>997</v>
      </c>
      <c r="F294" s="1" t="s">
        <v>83</v>
      </c>
      <c r="G294" s="1">
        <v>0</v>
      </c>
      <c r="I294" s="1" t="s">
        <v>593</v>
      </c>
      <c r="J294" s="1" t="s">
        <v>55</v>
      </c>
    </row>
    <row r="295" spans="1:10" hidden="1" x14ac:dyDescent="0.25">
      <c r="A295" s="1" t="s">
        <v>348</v>
      </c>
      <c r="B295" s="1">
        <v>461</v>
      </c>
      <c r="C295" s="1" t="s">
        <v>673</v>
      </c>
      <c r="D295" s="1" t="s">
        <v>595</v>
      </c>
      <c r="E295" s="1" t="s">
        <v>1000</v>
      </c>
      <c r="F295" s="1" t="s">
        <v>83</v>
      </c>
      <c r="G295" s="1">
        <v>0</v>
      </c>
      <c r="I295" s="1" t="s">
        <v>593</v>
      </c>
      <c r="J295" s="1" t="s">
        <v>55</v>
      </c>
    </row>
    <row r="296" spans="1:10" hidden="1" x14ac:dyDescent="0.25">
      <c r="A296" s="1" t="s">
        <v>348</v>
      </c>
      <c r="B296" s="1">
        <v>466</v>
      </c>
      <c r="C296" s="1" t="s">
        <v>1003</v>
      </c>
      <c r="D296" s="1" t="s">
        <v>595</v>
      </c>
      <c r="E296" s="1" t="s">
        <v>1004</v>
      </c>
      <c r="F296" s="1" t="s">
        <v>83</v>
      </c>
      <c r="G296" s="1">
        <v>0</v>
      </c>
      <c r="I296" s="1" t="s">
        <v>593</v>
      </c>
      <c r="J296" s="1" t="s">
        <v>44</v>
      </c>
    </row>
  </sheetData>
  <conditionalFormatting sqref="G1:G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{745E82E6-CDAA-4FC8-A722-F51C5163D555}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5E82E6-CDAA-4FC8-A722-F51C5163D55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4"/>
  <sheetViews>
    <sheetView workbookViewId="0">
      <selection activeCell="K35" sqref="K35"/>
    </sheetView>
  </sheetViews>
  <sheetFormatPr defaultRowHeight="15" x14ac:dyDescent="0.25"/>
  <cols>
    <col min="1" max="1" width="14.5703125" style="1" bestFit="1" customWidth="1"/>
    <col min="2" max="2" width="7.28515625" style="1" bestFit="1" customWidth="1"/>
    <col min="3" max="3" width="10.28515625" style="1" bestFit="1" customWidth="1"/>
    <col min="4" max="4" width="30.42578125" style="1" bestFit="1" customWidth="1"/>
    <col min="5" max="5" width="27.28515625" style="1" bestFit="1" customWidth="1"/>
    <col min="6" max="6" width="12.42578125" style="1" bestFit="1" customWidth="1"/>
    <col min="7" max="7" width="16" style="1" bestFit="1" customWidth="1"/>
    <col min="8" max="8" width="23.5703125" style="1" bestFit="1" customWidth="1"/>
    <col min="9" max="9" width="32.140625" style="1" bestFit="1" customWidth="1"/>
    <col min="10" max="10" width="11.140625" style="1" bestFit="1" customWidth="1"/>
    <col min="11" max="16384" width="9.140625" style="1"/>
  </cols>
  <sheetData>
    <row r="1" spans="1:11" x14ac:dyDescent="0.25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9</v>
      </c>
      <c r="G1" s="1" t="s">
        <v>7</v>
      </c>
      <c r="H1" s="1" t="s">
        <v>14</v>
      </c>
      <c r="I1" s="1" t="s">
        <v>17</v>
      </c>
      <c r="J1" s="1" t="s">
        <v>16</v>
      </c>
      <c r="K1" s="1" t="s">
        <v>1028</v>
      </c>
    </row>
    <row r="2" spans="1:11" s="12" customFormat="1" hidden="1" x14ac:dyDescent="0.25">
      <c r="A2" s="12" t="s">
        <v>67</v>
      </c>
      <c r="B2" s="12">
        <v>89</v>
      </c>
      <c r="C2" s="12" t="s">
        <v>232</v>
      </c>
      <c r="D2" s="12" t="s">
        <v>230</v>
      </c>
      <c r="E2" s="12" t="s">
        <v>105</v>
      </c>
      <c r="F2" s="12" t="s">
        <v>83</v>
      </c>
      <c r="G2" s="12">
        <v>0</v>
      </c>
      <c r="I2" s="12" t="s">
        <v>202</v>
      </c>
      <c r="J2" s="12" t="s">
        <v>55</v>
      </c>
    </row>
    <row r="3" spans="1:11" s="12" customFormat="1" hidden="1" x14ac:dyDescent="0.25">
      <c r="A3" s="12" t="s">
        <v>235</v>
      </c>
      <c r="B3" s="12">
        <v>90</v>
      </c>
      <c r="C3" s="12" t="s">
        <v>234</v>
      </c>
      <c r="D3" s="12" t="s">
        <v>230</v>
      </c>
      <c r="E3" s="12" t="s">
        <v>109</v>
      </c>
      <c r="F3" s="12" t="s">
        <v>83</v>
      </c>
      <c r="G3" s="12">
        <v>0</v>
      </c>
      <c r="I3" s="12" t="s">
        <v>202</v>
      </c>
      <c r="J3" s="12" t="s">
        <v>55</v>
      </c>
    </row>
    <row r="4" spans="1:11" s="12" customFormat="1" hidden="1" x14ac:dyDescent="0.25">
      <c r="A4" s="12" t="s">
        <v>235</v>
      </c>
      <c r="B4" s="12">
        <v>91</v>
      </c>
      <c r="C4" s="12" t="s">
        <v>236</v>
      </c>
      <c r="D4" s="12" t="s">
        <v>230</v>
      </c>
      <c r="E4" s="12" t="s">
        <v>115</v>
      </c>
      <c r="F4" s="12" t="s">
        <v>83</v>
      </c>
      <c r="G4" s="12">
        <v>0</v>
      </c>
      <c r="I4" s="12" t="s">
        <v>202</v>
      </c>
      <c r="J4" s="12" t="s">
        <v>55</v>
      </c>
    </row>
    <row r="5" spans="1:11" s="12" customFormat="1" hidden="1" x14ac:dyDescent="0.25">
      <c r="A5" s="12" t="s">
        <v>67</v>
      </c>
      <c r="B5" s="12">
        <v>94</v>
      </c>
      <c r="C5" s="12" t="s">
        <v>241</v>
      </c>
      <c r="D5" s="12" t="s">
        <v>240</v>
      </c>
      <c r="E5" s="12" t="s">
        <v>105</v>
      </c>
      <c r="F5" s="12" t="s">
        <v>83</v>
      </c>
      <c r="G5" s="12">
        <v>0</v>
      </c>
      <c r="I5" s="12" t="s">
        <v>202</v>
      </c>
      <c r="J5" s="12" t="s">
        <v>55</v>
      </c>
    </row>
    <row r="6" spans="1:11" s="12" customFormat="1" hidden="1" x14ac:dyDescent="0.25">
      <c r="A6" s="12" t="s">
        <v>235</v>
      </c>
      <c r="B6" s="12">
        <v>95</v>
      </c>
      <c r="C6" s="12" t="s">
        <v>242</v>
      </c>
      <c r="D6" s="12" t="s">
        <v>240</v>
      </c>
      <c r="E6" s="12" t="s">
        <v>109</v>
      </c>
      <c r="F6" s="12" t="s">
        <v>83</v>
      </c>
      <c r="G6" s="12">
        <v>0</v>
      </c>
      <c r="I6" s="12" t="s">
        <v>202</v>
      </c>
      <c r="J6" s="12" t="s">
        <v>55</v>
      </c>
    </row>
    <row r="7" spans="1:11" s="12" customFormat="1" hidden="1" x14ac:dyDescent="0.25">
      <c r="A7" s="12" t="s">
        <v>235</v>
      </c>
      <c r="B7" s="12">
        <v>96</v>
      </c>
      <c r="C7" s="12" t="s">
        <v>243</v>
      </c>
      <c r="D7" s="12" t="s">
        <v>240</v>
      </c>
      <c r="E7" s="12" t="s">
        <v>115</v>
      </c>
      <c r="F7" s="12" t="s">
        <v>83</v>
      </c>
      <c r="G7" s="12">
        <v>0</v>
      </c>
      <c r="I7" s="12" t="s">
        <v>202</v>
      </c>
      <c r="J7" s="12" t="s">
        <v>55</v>
      </c>
    </row>
    <row r="8" spans="1:11" s="12" customFormat="1" hidden="1" x14ac:dyDescent="0.25">
      <c r="A8" s="12" t="s">
        <v>67</v>
      </c>
      <c r="B8" s="12">
        <v>99</v>
      </c>
      <c r="C8" s="12" t="s">
        <v>248</v>
      </c>
      <c r="D8" s="12" t="s">
        <v>247</v>
      </c>
      <c r="E8" s="12" t="s">
        <v>105</v>
      </c>
      <c r="F8" s="12" t="s">
        <v>83</v>
      </c>
      <c r="G8" s="12">
        <v>0</v>
      </c>
      <c r="I8" s="12" t="s">
        <v>202</v>
      </c>
      <c r="J8" s="12" t="s">
        <v>55</v>
      </c>
    </row>
    <row r="9" spans="1:11" s="12" customFormat="1" hidden="1" x14ac:dyDescent="0.25">
      <c r="A9" s="12" t="s">
        <v>235</v>
      </c>
      <c r="B9" s="12">
        <v>100</v>
      </c>
      <c r="C9" s="12" t="s">
        <v>249</v>
      </c>
      <c r="D9" s="12" t="s">
        <v>247</v>
      </c>
      <c r="E9" s="12" t="s">
        <v>109</v>
      </c>
      <c r="F9" s="12" t="s">
        <v>83</v>
      </c>
      <c r="G9" s="12">
        <v>0</v>
      </c>
      <c r="I9" s="12" t="s">
        <v>202</v>
      </c>
      <c r="J9" s="12" t="s">
        <v>55</v>
      </c>
    </row>
    <row r="10" spans="1:11" s="12" customFormat="1" hidden="1" x14ac:dyDescent="0.25">
      <c r="A10" s="12" t="s">
        <v>235</v>
      </c>
      <c r="B10" s="12">
        <v>101</v>
      </c>
      <c r="C10" s="12" t="s">
        <v>250</v>
      </c>
      <c r="D10" s="12" t="s">
        <v>247</v>
      </c>
      <c r="E10" s="12" t="s">
        <v>115</v>
      </c>
      <c r="F10" s="12" t="s">
        <v>83</v>
      </c>
      <c r="G10" s="12">
        <v>0</v>
      </c>
      <c r="I10" s="12" t="s">
        <v>202</v>
      </c>
      <c r="J10" s="12" t="s">
        <v>55</v>
      </c>
    </row>
    <row r="11" spans="1:11" s="12" customFormat="1" hidden="1" x14ac:dyDescent="0.25">
      <c r="A11" s="12" t="s">
        <v>67</v>
      </c>
      <c r="B11" s="12">
        <v>104</v>
      </c>
      <c r="C11" s="12" t="s">
        <v>255</v>
      </c>
      <c r="D11" s="12" t="s">
        <v>254</v>
      </c>
      <c r="E11" s="12" t="s">
        <v>105</v>
      </c>
      <c r="F11" s="12" t="s">
        <v>83</v>
      </c>
      <c r="G11" s="12">
        <v>0</v>
      </c>
      <c r="I11" s="12" t="s">
        <v>202</v>
      </c>
      <c r="J11" s="12" t="s">
        <v>55</v>
      </c>
    </row>
    <row r="12" spans="1:11" s="12" customFormat="1" hidden="1" x14ac:dyDescent="0.25">
      <c r="A12" s="12" t="s">
        <v>235</v>
      </c>
      <c r="B12" s="12">
        <v>105</v>
      </c>
      <c r="C12" s="12" t="s">
        <v>256</v>
      </c>
      <c r="D12" s="12" t="s">
        <v>254</v>
      </c>
      <c r="E12" s="12" t="s">
        <v>109</v>
      </c>
      <c r="F12" s="12" t="s">
        <v>83</v>
      </c>
      <c r="G12" s="12">
        <v>0</v>
      </c>
      <c r="I12" s="12" t="s">
        <v>202</v>
      </c>
      <c r="J12" s="12" t="s">
        <v>55</v>
      </c>
    </row>
    <row r="13" spans="1:11" s="12" customFormat="1" hidden="1" x14ac:dyDescent="0.25">
      <c r="A13" s="12" t="s">
        <v>235</v>
      </c>
      <c r="B13" s="12">
        <v>106</v>
      </c>
      <c r="C13" s="12" t="s">
        <v>257</v>
      </c>
      <c r="D13" s="12" t="s">
        <v>254</v>
      </c>
      <c r="E13" s="12" t="s">
        <v>115</v>
      </c>
      <c r="F13" s="12" t="s">
        <v>83</v>
      </c>
      <c r="G13" s="12">
        <v>0</v>
      </c>
      <c r="I13" s="12" t="s">
        <v>202</v>
      </c>
      <c r="J13" s="12" t="s">
        <v>55</v>
      </c>
    </row>
    <row r="14" spans="1:11" s="12" customFormat="1" hidden="1" x14ac:dyDescent="0.25">
      <c r="A14" s="12" t="s">
        <v>348</v>
      </c>
      <c r="B14" s="12">
        <v>187</v>
      </c>
      <c r="C14" s="12" t="s">
        <v>356</v>
      </c>
      <c r="D14" s="12" t="s">
        <v>350</v>
      </c>
      <c r="E14" s="12" t="s">
        <v>115</v>
      </c>
      <c r="F14" s="12" t="s">
        <v>83</v>
      </c>
      <c r="G14" s="12">
        <v>0</v>
      </c>
      <c r="I14" s="12" t="s">
        <v>326</v>
      </c>
      <c r="J14" s="12" t="s">
        <v>55</v>
      </c>
    </row>
    <row r="15" spans="1:11" s="12" customFormat="1" hidden="1" x14ac:dyDescent="0.25">
      <c r="A15" s="12" t="s">
        <v>67</v>
      </c>
      <c r="B15" s="12">
        <v>232</v>
      </c>
      <c r="C15" s="12" t="s">
        <v>397</v>
      </c>
      <c r="D15" s="12" t="s">
        <v>393</v>
      </c>
      <c r="E15" s="12" t="s">
        <v>115</v>
      </c>
      <c r="F15" s="12" t="s">
        <v>83</v>
      </c>
      <c r="G15" s="12">
        <v>0</v>
      </c>
      <c r="I15" s="12" t="s">
        <v>326</v>
      </c>
      <c r="J15" s="12" t="s">
        <v>55</v>
      </c>
    </row>
    <row r="16" spans="1:11" s="12" customFormat="1" hidden="1" x14ac:dyDescent="0.25">
      <c r="A16" s="12" t="s">
        <v>235</v>
      </c>
      <c r="B16" s="12">
        <v>251</v>
      </c>
      <c r="C16" s="12" t="s">
        <v>417</v>
      </c>
      <c r="D16" s="12" t="s">
        <v>416</v>
      </c>
      <c r="E16" s="12" t="s">
        <v>105</v>
      </c>
      <c r="F16" s="12" t="s">
        <v>83</v>
      </c>
      <c r="G16" s="12">
        <v>0</v>
      </c>
      <c r="I16" s="12" t="s">
        <v>401</v>
      </c>
      <c r="J16" s="12" t="s">
        <v>55</v>
      </c>
    </row>
    <row r="17" spans="1:11" s="12" customFormat="1" hidden="1" x14ac:dyDescent="0.25">
      <c r="A17" s="12" t="s">
        <v>235</v>
      </c>
      <c r="B17" s="12">
        <v>252</v>
      </c>
      <c r="C17" s="12" t="s">
        <v>418</v>
      </c>
      <c r="D17" s="12" t="s">
        <v>416</v>
      </c>
      <c r="E17" s="12" t="s">
        <v>109</v>
      </c>
      <c r="F17" s="12" t="s">
        <v>83</v>
      </c>
      <c r="G17" s="12">
        <v>0</v>
      </c>
      <c r="I17" s="12" t="s">
        <v>401</v>
      </c>
      <c r="J17" s="12" t="s">
        <v>55</v>
      </c>
    </row>
    <row r="18" spans="1:11" s="12" customFormat="1" hidden="1" x14ac:dyDescent="0.25">
      <c r="A18" s="12" t="s">
        <v>235</v>
      </c>
      <c r="B18" s="12">
        <v>253</v>
      </c>
      <c r="C18" s="12" t="s">
        <v>419</v>
      </c>
      <c r="D18" s="12" t="s">
        <v>416</v>
      </c>
      <c r="E18" s="12" t="s">
        <v>115</v>
      </c>
      <c r="F18" s="12" t="s">
        <v>83</v>
      </c>
      <c r="G18" s="12">
        <v>0</v>
      </c>
      <c r="I18" s="12" t="s">
        <v>401</v>
      </c>
      <c r="J18" s="12" t="s">
        <v>55</v>
      </c>
    </row>
    <row r="19" spans="1:11" s="12" customFormat="1" hidden="1" x14ac:dyDescent="0.25">
      <c r="A19" s="12" t="s">
        <v>235</v>
      </c>
      <c r="B19" s="12">
        <v>267</v>
      </c>
      <c r="C19" s="12" t="s">
        <v>435</v>
      </c>
      <c r="D19" s="12" t="s">
        <v>433</v>
      </c>
      <c r="E19" s="12" t="s">
        <v>109</v>
      </c>
      <c r="F19" s="12" t="s">
        <v>83</v>
      </c>
      <c r="G19" s="12">
        <v>0</v>
      </c>
      <c r="I19" s="12" t="s">
        <v>401</v>
      </c>
      <c r="J19" s="12" t="s">
        <v>55</v>
      </c>
    </row>
    <row r="20" spans="1:11" s="12" customFormat="1" hidden="1" x14ac:dyDescent="0.25">
      <c r="A20" s="12" t="s">
        <v>235</v>
      </c>
      <c r="B20" s="12">
        <v>268</v>
      </c>
      <c r="C20" s="12" t="s">
        <v>437</v>
      </c>
      <c r="D20" s="12" t="s">
        <v>433</v>
      </c>
      <c r="E20" s="12" t="s">
        <v>115</v>
      </c>
      <c r="F20" s="12" t="s">
        <v>83</v>
      </c>
      <c r="G20" s="12">
        <v>0</v>
      </c>
      <c r="I20" s="12" t="s">
        <v>401</v>
      </c>
      <c r="J20" s="12" t="s">
        <v>55</v>
      </c>
    </row>
    <row r="21" spans="1:11" s="12" customFormat="1" hidden="1" x14ac:dyDescent="0.25">
      <c r="A21" s="12" t="s">
        <v>235</v>
      </c>
      <c r="B21" s="12">
        <v>272</v>
      </c>
      <c r="C21" s="12" t="s">
        <v>443</v>
      </c>
      <c r="D21" s="12" t="s">
        <v>441</v>
      </c>
      <c r="E21" s="12" t="s">
        <v>109</v>
      </c>
      <c r="F21" s="12" t="s">
        <v>83</v>
      </c>
      <c r="G21" s="12">
        <v>0</v>
      </c>
      <c r="I21" s="12" t="s">
        <v>401</v>
      </c>
      <c r="J21" s="12" t="s">
        <v>55</v>
      </c>
    </row>
    <row r="22" spans="1:11" s="12" customFormat="1" hidden="1" x14ac:dyDescent="0.25">
      <c r="A22" s="12" t="s">
        <v>235</v>
      </c>
      <c r="B22" s="12">
        <v>273</v>
      </c>
      <c r="C22" s="12" t="s">
        <v>444</v>
      </c>
      <c r="D22" s="12" t="s">
        <v>441</v>
      </c>
      <c r="E22" s="12" t="s">
        <v>115</v>
      </c>
      <c r="F22" s="12" t="s">
        <v>83</v>
      </c>
      <c r="G22" s="12">
        <v>0</v>
      </c>
      <c r="I22" s="12" t="s">
        <v>401</v>
      </c>
      <c r="J22" s="12" t="s">
        <v>55</v>
      </c>
    </row>
    <row r="23" spans="1:11" s="12" customFormat="1" hidden="1" x14ac:dyDescent="0.25">
      <c r="A23" s="12" t="s">
        <v>235</v>
      </c>
      <c r="B23" s="12">
        <v>277</v>
      </c>
      <c r="C23" s="12" t="s">
        <v>450</v>
      </c>
      <c r="D23" s="12" t="s">
        <v>448</v>
      </c>
      <c r="E23" s="12" t="s">
        <v>109</v>
      </c>
      <c r="F23" s="12" t="s">
        <v>83</v>
      </c>
      <c r="G23" s="12">
        <v>0</v>
      </c>
      <c r="I23" s="12" t="s">
        <v>401</v>
      </c>
      <c r="J23" s="12" t="s">
        <v>55</v>
      </c>
    </row>
    <row r="24" spans="1:11" s="12" customFormat="1" hidden="1" x14ac:dyDescent="0.25">
      <c r="A24" s="12" t="s">
        <v>235</v>
      </c>
      <c r="B24" s="12">
        <v>278</v>
      </c>
      <c r="C24" s="12" t="s">
        <v>451</v>
      </c>
      <c r="D24" s="12" t="s">
        <v>448</v>
      </c>
      <c r="E24" s="12" t="s">
        <v>115</v>
      </c>
      <c r="F24" s="12" t="s">
        <v>83</v>
      </c>
      <c r="G24" s="12">
        <v>0</v>
      </c>
      <c r="I24" s="12" t="s">
        <v>401</v>
      </c>
      <c r="J24" s="12" t="s">
        <v>55</v>
      </c>
    </row>
    <row r="25" spans="1:11" s="12" customFormat="1" hidden="1" x14ac:dyDescent="0.25">
      <c r="A25" s="12" t="s">
        <v>235</v>
      </c>
      <c r="B25" s="12">
        <v>282</v>
      </c>
      <c r="C25" s="12" t="s">
        <v>457</v>
      </c>
      <c r="D25" s="12" t="s">
        <v>455</v>
      </c>
      <c r="E25" s="12" t="s">
        <v>109</v>
      </c>
      <c r="F25" s="12" t="s">
        <v>83</v>
      </c>
      <c r="G25" s="12">
        <v>0</v>
      </c>
      <c r="I25" s="12" t="s">
        <v>401</v>
      </c>
      <c r="J25" s="12" t="s">
        <v>55</v>
      </c>
    </row>
    <row r="26" spans="1:11" s="12" customFormat="1" hidden="1" x14ac:dyDescent="0.25">
      <c r="A26" s="12" t="s">
        <v>235</v>
      </c>
      <c r="B26" s="12">
        <v>283</v>
      </c>
      <c r="C26" s="12" t="s">
        <v>458</v>
      </c>
      <c r="D26" s="12" t="s">
        <v>455</v>
      </c>
      <c r="E26" s="12" t="s">
        <v>115</v>
      </c>
      <c r="F26" s="12" t="s">
        <v>83</v>
      </c>
      <c r="G26" s="12">
        <v>0</v>
      </c>
      <c r="I26" s="12" t="s">
        <v>401</v>
      </c>
      <c r="J26" s="12" t="s">
        <v>55</v>
      </c>
    </row>
    <row r="27" spans="1:11" s="12" customFormat="1" hidden="1" x14ac:dyDescent="0.25">
      <c r="A27" s="12" t="s">
        <v>146</v>
      </c>
      <c r="B27" s="12">
        <v>300</v>
      </c>
      <c r="C27" s="12" t="s">
        <v>471</v>
      </c>
      <c r="D27" s="12" t="s">
        <v>472</v>
      </c>
      <c r="E27" s="12" t="s">
        <v>473</v>
      </c>
      <c r="F27" s="12" t="s">
        <v>83</v>
      </c>
      <c r="G27" s="12">
        <v>0</v>
      </c>
      <c r="I27" s="12" t="s">
        <v>470</v>
      </c>
      <c r="J27" s="12" t="s">
        <v>44</v>
      </c>
    </row>
    <row r="28" spans="1:11" x14ac:dyDescent="0.25">
      <c r="A28" s="1" t="s">
        <v>146</v>
      </c>
      <c r="B28" s="1">
        <v>301</v>
      </c>
      <c r="C28" s="1" t="s">
        <v>475</v>
      </c>
      <c r="D28" s="1" t="s">
        <v>476</v>
      </c>
      <c r="E28" s="1" t="s">
        <v>101</v>
      </c>
      <c r="F28" s="1" t="s">
        <v>83</v>
      </c>
      <c r="G28" s="1">
        <v>0</v>
      </c>
      <c r="I28" s="1" t="s">
        <v>470</v>
      </c>
      <c r="J28" s="1" t="s">
        <v>44</v>
      </c>
      <c r="K28" s="12"/>
    </row>
    <row r="29" spans="1:11" s="12" customFormat="1" hidden="1" x14ac:dyDescent="0.25">
      <c r="A29" s="12" t="s">
        <v>235</v>
      </c>
      <c r="B29" s="12">
        <v>320</v>
      </c>
      <c r="C29" s="12" t="s">
        <v>503</v>
      </c>
      <c r="D29" s="12" t="s">
        <v>472</v>
      </c>
      <c r="E29" s="12" t="s">
        <v>504</v>
      </c>
      <c r="F29" s="12" t="s">
        <v>83</v>
      </c>
      <c r="G29" s="12">
        <v>0</v>
      </c>
      <c r="I29" s="12" t="s">
        <v>470</v>
      </c>
      <c r="J29" s="12" t="s">
        <v>44</v>
      </c>
    </row>
    <row r="30" spans="1:11" x14ac:dyDescent="0.25">
      <c r="A30" s="1" t="s">
        <v>235</v>
      </c>
      <c r="B30" s="1">
        <v>321</v>
      </c>
      <c r="C30" s="1" t="s">
        <v>506</v>
      </c>
      <c r="D30" s="1" t="s">
        <v>507</v>
      </c>
      <c r="E30" s="1" t="s">
        <v>101</v>
      </c>
      <c r="F30" s="1" t="s">
        <v>83</v>
      </c>
      <c r="G30" s="1">
        <v>0</v>
      </c>
      <c r="I30" s="1" t="s">
        <v>470</v>
      </c>
      <c r="J30" s="1" t="s">
        <v>44</v>
      </c>
      <c r="K30" s="12"/>
    </row>
    <row r="31" spans="1:11" s="12" customFormat="1" hidden="1" x14ac:dyDescent="0.25">
      <c r="A31" s="12" t="s">
        <v>235</v>
      </c>
      <c r="B31" s="12">
        <v>322</v>
      </c>
      <c r="C31" s="12" t="s">
        <v>509</v>
      </c>
      <c r="D31" s="12" t="s">
        <v>507</v>
      </c>
      <c r="E31" s="12" t="s">
        <v>105</v>
      </c>
      <c r="F31" s="12" t="s">
        <v>83</v>
      </c>
      <c r="G31" s="12">
        <v>0</v>
      </c>
      <c r="I31" s="12" t="s">
        <v>470</v>
      </c>
      <c r="J31" s="12" t="s">
        <v>55</v>
      </c>
    </row>
    <row r="32" spans="1:11" s="12" customFormat="1" hidden="1" x14ac:dyDescent="0.25">
      <c r="A32" s="12" t="s">
        <v>512</v>
      </c>
      <c r="B32" s="12">
        <v>323</v>
      </c>
      <c r="C32" s="12" t="s">
        <v>510</v>
      </c>
      <c r="D32" s="12" t="s">
        <v>507</v>
      </c>
      <c r="E32" s="12" t="s">
        <v>109</v>
      </c>
      <c r="F32" s="12" t="s">
        <v>83</v>
      </c>
      <c r="G32" s="12">
        <v>0</v>
      </c>
      <c r="I32" s="12" t="s">
        <v>470</v>
      </c>
      <c r="J32" s="12" t="s">
        <v>55</v>
      </c>
    </row>
    <row r="33" spans="1:11" s="12" customFormat="1" hidden="1" x14ac:dyDescent="0.25">
      <c r="A33" s="12" t="s">
        <v>512</v>
      </c>
      <c r="B33" s="12">
        <v>324</v>
      </c>
      <c r="C33" s="12" t="s">
        <v>513</v>
      </c>
      <c r="D33" s="12" t="s">
        <v>507</v>
      </c>
      <c r="E33" s="12" t="s">
        <v>115</v>
      </c>
      <c r="F33" s="12" t="s">
        <v>83</v>
      </c>
      <c r="G33" s="12">
        <v>0</v>
      </c>
      <c r="I33" s="12" t="s">
        <v>470</v>
      </c>
      <c r="J33" s="12" t="s">
        <v>55</v>
      </c>
    </row>
    <row r="34" spans="1:11" s="12" customFormat="1" hidden="1" x14ac:dyDescent="0.25">
      <c r="A34" s="12" t="s">
        <v>235</v>
      </c>
      <c r="B34" s="12">
        <v>325</v>
      </c>
      <c r="C34" s="12" t="s">
        <v>515</v>
      </c>
      <c r="D34" s="12" t="s">
        <v>472</v>
      </c>
      <c r="E34" s="12" t="s">
        <v>516</v>
      </c>
      <c r="F34" s="12" t="s">
        <v>83</v>
      </c>
      <c r="G34" s="12">
        <v>0</v>
      </c>
      <c r="I34" s="12" t="s">
        <v>470</v>
      </c>
      <c r="J34" s="12" t="s">
        <v>44</v>
      </c>
    </row>
    <row r="35" spans="1:11" x14ac:dyDescent="0.25">
      <c r="A35" s="1" t="s">
        <v>235</v>
      </c>
      <c r="B35" s="1">
        <v>326</v>
      </c>
      <c r="C35" s="1" t="s">
        <v>517</v>
      </c>
      <c r="D35" s="1" t="s">
        <v>518</v>
      </c>
      <c r="E35" s="1" t="s">
        <v>101</v>
      </c>
      <c r="F35" s="1" t="s">
        <v>83</v>
      </c>
      <c r="G35" s="1">
        <v>0</v>
      </c>
      <c r="I35" s="1" t="s">
        <v>470</v>
      </c>
      <c r="J35" s="1" t="s">
        <v>44</v>
      </c>
      <c r="K35" s="12"/>
    </row>
    <row r="36" spans="1:11" s="12" customFormat="1" hidden="1" x14ac:dyDescent="0.25">
      <c r="A36" s="12" t="s">
        <v>146</v>
      </c>
      <c r="B36" s="12">
        <v>337</v>
      </c>
      <c r="C36" s="12" t="s">
        <v>529</v>
      </c>
      <c r="D36" s="12" t="s">
        <v>527</v>
      </c>
      <c r="E36" s="12" t="s">
        <v>105</v>
      </c>
      <c r="F36" s="12" t="s">
        <v>83</v>
      </c>
      <c r="G36" s="12">
        <v>0</v>
      </c>
      <c r="I36" s="12" t="s">
        <v>470</v>
      </c>
      <c r="J36" s="12" t="s">
        <v>55</v>
      </c>
    </row>
    <row r="37" spans="1:11" s="12" customFormat="1" hidden="1" x14ac:dyDescent="0.25">
      <c r="A37" s="12" t="s">
        <v>146</v>
      </c>
      <c r="B37" s="12">
        <v>338</v>
      </c>
      <c r="C37" s="12" t="s">
        <v>530</v>
      </c>
      <c r="D37" s="12" t="s">
        <v>527</v>
      </c>
      <c r="E37" s="12" t="s">
        <v>109</v>
      </c>
      <c r="F37" s="12" t="s">
        <v>83</v>
      </c>
      <c r="G37" s="12">
        <v>0</v>
      </c>
      <c r="I37" s="12" t="s">
        <v>470</v>
      </c>
      <c r="J37" s="12" t="s">
        <v>55</v>
      </c>
    </row>
    <row r="38" spans="1:11" s="12" customFormat="1" hidden="1" x14ac:dyDescent="0.25">
      <c r="A38" s="12" t="s">
        <v>146</v>
      </c>
      <c r="B38" s="12">
        <v>339</v>
      </c>
      <c r="C38" s="12" t="s">
        <v>532</v>
      </c>
      <c r="D38" s="12" t="s">
        <v>527</v>
      </c>
      <c r="E38" s="12" t="s">
        <v>115</v>
      </c>
      <c r="F38" s="12" t="s">
        <v>83</v>
      </c>
      <c r="G38" s="12">
        <v>0</v>
      </c>
      <c r="I38" s="12" t="s">
        <v>470</v>
      </c>
      <c r="J38" s="12" t="s">
        <v>55</v>
      </c>
    </row>
    <row r="39" spans="1:11" s="12" customFormat="1" hidden="1" x14ac:dyDescent="0.25">
      <c r="A39" s="12" t="s">
        <v>146</v>
      </c>
      <c r="B39" s="12">
        <v>342</v>
      </c>
      <c r="C39" s="12" t="s">
        <v>539</v>
      </c>
      <c r="D39" s="12" t="s">
        <v>537</v>
      </c>
      <c r="E39" s="12" t="s">
        <v>105</v>
      </c>
      <c r="F39" s="12" t="s">
        <v>83</v>
      </c>
      <c r="G39" s="12">
        <v>0</v>
      </c>
      <c r="I39" s="12" t="s">
        <v>470</v>
      </c>
      <c r="J39" s="12" t="s">
        <v>55</v>
      </c>
    </row>
    <row r="40" spans="1:11" s="12" customFormat="1" hidden="1" x14ac:dyDescent="0.25">
      <c r="A40" s="12" t="s">
        <v>146</v>
      </c>
      <c r="B40" s="12">
        <v>343</v>
      </c>
      <c r="C40" s="12" t="s">
        <v>540</v>
      </c>
      <c r="D40" s="12" t="s">
        <v>537</v>
      </c>
      <c r="E40" s="12" t="s">
        <v>109</v>
      </c>
      <c r="F40" s="12" t="s">
        <v>83</v>
      </c>
      <c r="G40" s="12">
        <v>0</v>
      </c>
      <c r="I40" s="12" t="s">
        <v>470</v>
      </c>
      <c r="J40" s="12" t="s">
        <v>55</v>
      </c>
    </row>
    <row r="41" spans="1:11" s="12" customFormat="1" hidden="1" x14ac:dyDescent="0.25">
      <c r="A41" s="12" t="s">
        <v>146</v>
      </c>
      <c r="B41" s="12">
        <v>344</v>
      </c>
      <c r="C41" s="12" t="s">
        <v>542</v>
      </c>
      <c r="D41" s="12" t="s">
        <v>537</v>
      </c>
      <c r="E41" s="12" t="s">
        <v>115</v>
      </c>
      <c r="F41" s="12" t="s">
        <v>83</v>
      </c>
      <c r="G41" s="12">
        <v>0</v>
      </c>
      <c r="I41" s="12" t="s">
        <v>470</v>
      </c>
      <c r="J41" s="12" t="s">
        <v>55</v>
      </c>
    </row>
    <row r="42" spans="1:11" s="12" customFormat="1" hidden="1" x14ac:dyDescent="0.25">
      <c r="A42" s="12" t="s">
        <v>235</v>
      </c>
      <c r="B42" s="12">
        <v>348</v>
      </c>
      <c r="C42" s="12" t="s">
        <v>550</v>
      </c>
      <c r="D42" s="12" t="s">
        <v>547</v>
      </c>
      <c r="E42" s="12" t="s">
        <v>109</v>
      </c>
      <c r="F42" s="12" t="s">
        <v>83</v>
      </c>
      <c r="G42" s="12">
        <v>0</v>
      </c>
      <c r="I42" s="12" t="s">
        <v>470</v>
      </c>
      <c r="J42" s="12" t="s">
        <v>55</v>
      </c>
    </row>
    <row r="43" spans="1:11" s="12" customFormat="1" hidden="1" x14ac:dyDescent="0.25">
      <c r="A43" s="12" t="s">
        <v>235</v>
      </c>
      <c r="B43" s="12">
        <v>349</v>
      </c>
      <c r="C43" s="12" t="s">
        <v>552</v>
      </c>
      <c r="D43" s="12" t="s">
        <v>547</v>
      </c>
      <c r="E43" s="12" t="s">
        <v>115</v>
      </c>
      <c r="F43" s="12" t="s">
        <v>83</v>
      </c>
      <c r="G43" s="12">
        <v>0</v>
      </c>
      <c r="I43" s="12" t="s">
        <v>470</v>
      </c>
      <c r="J43" s="12" t="s">
        <v>55</v>
      </c>
    </row>
    <row r="44" spans="1:11" s="12" customFormat="1" hidden="1" x14ac:dyDescent="0.25">
      <c r="A44" s="12" t="s">
        <v>146</v>
      </c>
      <c r="B44" s="12">
        <v>353</v>
      </c>
      <c r="C44" s="12" t="s">
        <v>560</v>
      </c>
      <c r="D44" s="12" t="s">
        <v>557</v>
      </c>
      <c r="E44" s="12" t="s">
        <v>109</v>
      </c>
      <c r="F44" s="12" t="s">
        <v>83</v>
      </c>
      <c r="G44" s="12">
        <v>0</v>
      </c>
      <c r="I44" s="12" t="s">
        <v>470</v>
      </c>
      <c r="J44" s="12" t="s">
        <v>55</v>
      </c>
    </row>
    <row r="45" spans="1:11" s="12" customFormat="1" hidden="1" x14ac:dyDescent="0.25">
      <c r="A45" s="12" t="s">
        <v>146</v>
      </c>
      <c r="B45" s="12">
        <v>354</v>
      </c>
      <c r="C45" s="12" t="s">
        <v>562</v>
      </c>
      <c r="D45" s="12" t="s">
        <v>557</v>
      </c>
      <c r="E45" s="12" t="s">
        <v>115</v>
      </c>
      <c r="F45" s="12" t="s">
        <v>83</v>
      </c>
      <c r="G45" s="12">
        <v>0</v>
      </c>
      <c r="I45" s="12" t="s">
        <v>470</v>
      </c>
      <c r="J45" s="12" t="s">
        <v>55</v>
      </c>
    </row>
    <row r="46" spans="1:11" s="12" customFormat="1" hidden="1" x14ac:dyDescent="0.25">
      <c r="A46" s="12" t="s">
        <v>146</v>
      </c>
      <c r="B46" s="12">
        <v>358</v>
      </c>
      <c r="C46" s="12" t="s">
        <v>569</v>
      </c>
      <c r="D46" s="12" t="s">
        <v>567</v>
      </c>
      <c r="E46" s="12" t="s">
        <v>109</v>
      </c>
      <c r="F46" s="12" t="s">
        <v>83</v>
      </c>
      <c r="G46" s="12">
        <v>0</v>
      </c>
      <c r="I46" s="12" t="s">
        <v>470</v>
      </c>
      <c r="J46" s="12" t="s">
        <v>55</v>
      </c>
    </row>
    <row r="47" spans="1:11" s="12" customFormat="1" hidden="1" x14ac:dyDescent="0.25">
      <c r="A47" s="12" t="s">
        <v>146</v>
      </c>
      <c r="B47" s="12">
        <v>359</v>
      </c>
      <c r="C47" s="12" t="s">
        <v>571</v>
      </c>
      <c r="D47" s="12" t="s">
        <v>567</v>
      </c>
      <c r="E47" s="12" t="s">
        <v>115</v>
      </c>
      <c r="F47" s="12" t="s">
        <v>83</v>
      </c>
      <c r="G47" s="12">
        <v>0</v>
      </c>
      <c r="I47" s="12" t="s">
        <v>470</v>
      </c>
      <c r="J47" s="12" t="s">
        <v>55</v>
      </c>
    </row>
    <row r="48" spans="1:11" s="12" customFormat="1" hidden="1" x14ac:dyDescent="0.25">
      <c r="A48" s="12" t="s">
        <v>73</v>
      </c>
      <c r="B48" s="12">
        <v>425</v>
      </c>
      <c r="C48" s="12" t="s">
        <v>618</v>
      </c>
      <c r="D48" s="12" t="s">
        <v>613</v>
      </c>
      <c r="E48" s="12" t="s">
        <v>115</v>
      </c>
      <c r="F48" s="12" t="s">
        <v>83</v>
      </c>
      <c r="G48" s="12">
        <v>0</v>
      </c>
      <c r="I48" s="12" t="s">
        <v>593</v>
      </c>
      <c r="J48" s="12" t="s">
        <v>55</v>
      </c>
    </row>
    <row r="49" spans="1:11" s="12" customFormat="1" hidden="1" x14ac:dyDescent="0.25">
      <c r="A49" s="12" t="s">
        <v>67</v>
      </c>
      <c r="B49" s="12">
        <v>438</v>
      </c>
      <c r="C49" s="12" t="s">
        <v>624</v>
      </c>
      <c r="D49" s="12" t="s">
        <v>622</v>
      </c>
      <c r="E49" s="12" t="s">
        <v>105</v>
      </c>
      <c r="F49" s="12" t="s">
        <v>83</v>
      </c>
      <c r="G49" s="12">
        <v>0</v>
      </c>
      <c r="I49" s="12" t="s">
        <v>593</v>
      </c>
      <c r="J49" s="12" t="s">
        <v>55</v>
      </c>
    </row>
    <row r="50" spans="1:11" s="12" customFormat="1" hidden="1" x14ac:dyDescent="0.25">
      <c r="A50" s="12" t="s">
        <v>235</v>
      </c>
      <c r="B50" s="12">
        <v>439</v>
      </c>
      <c r="C50" s="12" t="s">
        <v>625</v>
      </c>
      <c r="D50" s="12" t="s">
        <v>622</v>
      </c>
      <c r="E50" s="12" t="s">
        <v>109</v>
      </c>
      <c r="F50" s="12" t="s">
        <v>83</v>
      </c>
      <c r="G50" s="12">
        <v>0</v>
      </c>
      <c r="I50" s="12" t="s">
        <v>593</v>
      </c>
      <c r="J50" s="12" t="s">
        <v>55</v>
      </c>
    </row>
    <row r="51" spans="1:11" s="12" customFormat="1" hidden="1" x14ac:dyDescent="0.25">
      <c r="A51" s="12" t="s">
        <v>235</v>
      </c>
      <c r="B51" s="12">
        <v>440</v>
      </c>
      <c r="C51" s="12" t="s">
        <v>626</v>
      </c>
      <c r="D51" s="12" t="s">
        <v>622</v>
      </c>
      <c r="E51" s="12" t="s">
        <v>115</v>
      </c>
      <c r="F51" s="12" t="s">
        <v>83</v>
      </c>
      <c r="G51" s="12">
        <v>0</v>
      </c>
      <c r="I51" s="12" t="s">
        <v>593</v>
      </c>
      <c r="J51" s="12" t="s">
        <v>55</v>
      </c>
    </row>
    <row r="52" spans="1:11" s="12" customFormat="1" hidden="1" x14ac:dyDescent="0.25">
      <c r="A52" s="12" t="s">
        <v>67</v>
      </c>
      <c r="B52" s="12">
        <v>465</v>
      </c>
      <c r="C52" s="12" t="s">
        <v>665</v>
      </c>
      <c r="D52" s="12" t="s">
        <v>662</v>
      </c>
      <c r="E52" s="12" t="s">
        <v>115</v>
      </c>
      <c r="F52" s="12" t="s">
        <v>83</v>
      </c>
      <c r="G52" s="12">
        <v>0</v>
      </c>
      <c r="I52" s="12" t="s">
        <v>593</v>
      </c>
      <c r="J52" s="12" t="s">
        <v>55</v>
      </c>
    </row>
    <row r="53" spans="1:11" s="12" customFormat="1" hidden="1" x14ac:dyDescent="0.25">
      <c r="A53" s="12" t="s">
        <v>67</v>
      </c>
      <c r="B53" s="12">
        <v>470</v>
      </c>
      <c r="C53" s="12" t="s">
        <v>672</v>
      </c>
      <c r="D53" s="12" t="s">
        <v>669</v>
      </c>
      <c r="E53" s="12" t="s">
        <v>115</v>
      </c>
      <c r="F53" s="12" t="s">
        <v>83</v>
      </c>
      <c r="G53" s="12">
        <v>0</v>
      </c>
      <c r="I53" s="12" t="s">
        <v>593</v>
      </c>
      <c r="J53" s="12" t="s">
        <v>55</v>
      </c>
    </row>
    <row r="54" spans="1:11" s="12" customFormat="1" hidden="1" x14ac:dyDescent="0.25">
      <c r="A54" s="12" t="s">
        <v>146</v>
      </c>
      <c r="B54" s="12">
        <v>478</v>
      </c>
      <c r="C54" s="12" t="s">
        <v>678</v>
      </c>
      <c r="D54" s="12" t="s">
        <v>676</v>
      </c>
      <c r="E54" s="12" t="s">
        <v>105</v>
      </c>
      <c r="F54" s="12" t="s">
        <v>83</v>
      </c>
      <c r="G54" s="12">
        <v>0</v>
      </c>
      <c r="I54" s="12" t="s">
        <v>593</v>
      </c>
      <c r="J54" s="12" t="s">
        <v>55</v>
      </c>
    </row>
    <row r="55" spans="1:11" s="12" customFormat="1" hidden="1" x14ac:dyDescent="0.25">
      <c r="A55" s="12" t="s">
        <v>146</v>
      </c>
      <c r="B55" s="12">
        <v>479</v>
      </c>
      <c r="C55" s="12" t="s">
        <v>679</v>
      </c>
      <c r="D55" s="12" t="s">
        <v>676</v>
      </c>
      <c r="E55" s="12" t="s">
        <v>109</v>
      </c>
      <c r="F55" s="12" t="s">
        <v>83</v>
      </c>
      <c r="G55" s="12">
        <v>0</v>
      </c>
      <c r="I55" s="12" t="s">
        <v>593</v>
      </c>
      <c r="J55" s="12" t="s">
        <v>55</v>
      </c>
    </row>
    <row r="56" spans="1:11" s="12" customFormat="1" hidden="1" x14ac:dyDescent="0.25">
      <c r="A56" s="12" t="s">
        <v>67</v>
      </c>
      <c r="B56" s="12">
        <v>493</v>
      </c>
      <c r="C56" s="12" t="s">
        <v>687</v>
      </c>
      <c r="D56" s="12" t="s">
        <v>684</v>
      </c>
      <c r="E56" s="12" t="s">
        <v>105</v>
      </c>
      <c r="F56" s="12" t="s">
        <v>83</v>
      </c>
      <c r="G56" s="12">
        <v>0</v>
      </c>
      <c r="I56" s="12" t="s">
        <v>593</v>
      </c>
      <c r="J56" s="12" t="s">
        <v>55</v>
      </c>
    </row>
    <row r="57" spans="1:11" s="12" customFormat="1" hidden="1" x14ac:dyDescent="0.25">
      <c r="A57" s="12" t="s">
        <v>67</v>
      </c>
      <c r="B57" s="12">
        <v>494</v>
      </c>
      <c r="C57" s="12" t="s">
        <v>688</v>
      </c>
      <c r="D57" s="12" t="s">
        <v>684</v>
      </c>
      <c r="E57" s="12" t="s">
        <v>109</v>
      </c>
      <c r="F57" s="12" t="s">
        <v>83</v>
      </c>
      <c r="G57" s="12">
        <v>0</v>
      </c>
      <c r="I57" s="12" t="s">
        <v>593</v>
      </c>
      <c r="J57" s="12" t="s">
        <v>55</v>
      </c>
    </row>
    <row r="58" spans="1:11" s="12" customFormat="1" hidden="1" x14ac:dyDescent="0.25">
      <c r="A58" s="12" t="s">
        <v>235</v>
      </c>
      <c r="B58" s="12">
        <v>495</v>
      </c>
      <c r="C58" s="12" t="s">
        <v>689</v>
      </c>
      <c r="D58" s="12" t="s">
        <v>684</v>
      </c>
      <c r="E58" s="12" t="s">
        <v>115</v>
      </c>
      <c r="F58" s="12" t="s">
        <v>83</v>
      </c>
      <c r="G58" s="12">
        <v>0</v>
      </c>
      <c r="I58" s="12" t="s">
        <v>593</v>
      </c>
      <c r="J58" s="12" t="s">
        <v>55</v>
      </c>
    </row>
    <row r="59" spans="1:11" s="12" customFormat="1" hidden="1" x14ac:dyDescent="0.25">
      <c r="A59" s="12" t="s">
        <v>146</v>
      </c>
      <c r="B59" s="12">
        <v>618</v>
      </c>
      <c r="C59" s="12" t="s">
        <v>869</v>
      </c>
      <c r="D59" s="12" t="s">
        <v>868</v>
      </c>
      <c r="E59" s="12" t="s">
        <v>105</v>
      </c>
      <c r="F59" s="12" t="s">
        <v>83</v>
      </c>
      <c r="G59" s="12">
        <v>0</v>
      </c>
      <c r="I59" s="12" t="s">
        <v>593</v>
      </c>
      <c r="J59" s="12" t="s">
        <v>55</v>
      </c>
    </row>
    <row r="60" spans="1:11" s="12" customFormat="1" hidden="1" x14ac:dyDescent="0.25">
      <c r="A60" s="12" t="s">
        <v>146</v>
      </c>
      <c r="B60" s="12">
        <v>619</v>
      </c>
      <c r="C60" s="12" t="s">
        <v>870</v>
      </c>
      <c r="D60" s="12" t="s">
        <v>868</v>
      </c>
      <c r="E60" s="12" t="s">
        <v>109</v>
      </c>
      <c r="F60" s="12" t="s">
        <v>83</v>
      </c>
      <c r="G60" s="12">
        <v>0</v>
      </c>
      <c r="I60" s="12" t="s">
        <v>593</v>
      </c>
      <c r="J60" s="12" t="s">
        <v>55</v>
      </c>
    </row>
    <row r="61" spans="1:11" s="12" customFormat="1" hidden="1" x14ac:dyDescent="0.25">
      <c r="A61" s="12" t="s">
        <v>146</v>
      </c>
      <c r="B61" s="12">
        <v>629</v>
      </c>
      <c r="C61" s="12" t="s">
        <v>884</v>
      </c>
      <c r="D61" s="12" t="s">
        <v>882</v>
      </c>
      <c r="E61" s="12" t="s">
        <v>109</v>
      </c>
      <c r="F61" s="12" t="s">
        <v>83</v>
      </c>
      <c r="G61" s="12">
        <v>0</v>
      </c>
      <c r="I61" s="12" t="s">
        <v>593</v>
      </c>
      <c r="J61" s="12" t="s">
        <v>55</v>
      </c>
    </row>
    <row r="62" spans="1:11" s="12" customFormat="1" hidden="1" x14ac:dyDescent="0.25">
      <c r="A62" s="12" t="s">
        <v>67</v>
      </c>
      <c r="B62" s="12">
        <v>630</v>
      </c>
      <c r="C62" s="12" t="s">
        <v>885</v>
      </c>
      <c r="D62" s="12" t="s">
        <v>882</v>
      </c>
      <c r="E62" s="12" t="s">
        <v>115</v>
      </c>
      <c r="F62" s="12" t="s">
        <v>83</v>
      </c>
      <c r="G62" s="12">
        <v>0</v>
      </c>
      <c r="I62" s="12" t="s">
        <v>593</v>
      </c>
      <c r="J62" s="12" t="s">
        <v>55</v>
      </c>
    </row>
    <row r="63" spans="1:11" s="12" customFormat="1" hidden="1" x14ac:dyDescent="0.25">
      <c r="A63" s="12" t="s">
        <v>67</v>
      </c>
      <c r="B63" s="12">
        <v>637</v>
      </c>
      <c r="C63" s="12" t="s">
        <v>899</v>
      </c>
      <c r="D63" s="12" t="s">
        <v>890</v>
      </c>
      <c r="E63" s="12" t="s">
        <v>900</v>
      </c>
      <c r="F63" s="12" t="s">
        <v>83</v>
      </c>
      <c r="G63" s="12">
        <v>0</v>
      </c>
      <c r="I63" s="12" t="s">
        <v>888</v>
      </c>
      <c r="J63" s="12" t="s">
        <v>44</v>
      </c>
    </row>
    <row r="64" spans="1:11" x14ac:dyDescent="0.25">
      <c r="A64" s="1" t="s">
        <v>67</v>
      </c>
      <c r="B64" s="1">
        <v>638</v>
      </c>
      <c r="C64" s="1" t="s">
        <v>901</v>
      </c>
      <c r="D64" s="1" t="s">
        <v>902</v>
      </c>
      <c r="E64" s="1" t="s">
        <v>101</v>
      </c>
      <c r="F64" s="1" t="s">
        <v>83</v>
      </c>
      <c r="G64" s="1">
        <v>0</v>
      </c>
      <c r="I64" s="1" t="s">
        <v>888</v>
      </c>
      <c r="J64" s="1" t="s">
        <v>44</v>
      </c>
      <c r="K64" s="14">
        <v>46209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EABB7A-CD0E-4742-9921-43CA894D0B51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customXml/itemProps2.xml><?xml version="1.0" encoding="utf-8"?>
<ds:datastoreItem xmlns:ds="http://schemas.openxmlformats.org/officeDocument/2006/customXml" ds:itemID="{ABABEA06-9581-4ADA-8255-2FDF3D1DCE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16EF94-5206-4D52-BA95-CA3AD00523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Wallace Candido</cp:lastModifiedBy>
  <dcterms:created xsi:type="dcterms:W3CDTF">2026-07-03T17:12:39Z</dcterms:created>
  <dcterms:modified xsi:type="dcterms:W3CDTF">2026-07-06T12:35:13Z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ediaServiceImageTags">
    <vt:lpwstr/>
  </property>
  <property fmtid="{D5CDD505-2E9C-101B-9397-08002B2CF9AE}" pid="4" name="MSIP_Label_c80bb4b1-c353-4a8c-aa94-59f555332b5a_Enabled">
    <vt:lpwstr>true</vt:lpwstr>
  </property>
  <property fmtid="{D5CDD505-2E9C-101B-9397-08002B2CF9AE}" pid="5" name="MSIP_Label_c80bb4b1-c353-4a8c-aa94-59f555332b5a_SetDate">
    <vt:lpwstr>2026-07-03T17:14:50Z</vt:lpwstr>
  </property>
  <property fmtid="{D5CDD505-2E9C-101B-9397-08002B2CF9AE}" pid="6" name="MSIP_Label_c80bb4b1-c353-4a8c-aa94-59f555332b5a_Method">
    <vt:lpwstr>Standard</vt:lpwstr>
  </property>
  <property fmtid="{D5CDD505-2E9C-101B-9397-08002B2CF9AE}" pid="7" name="MSIP_Label_c80bb4b1-c353-4a8c-aa94-59f555332b5a_Name">
    <vt:lpwstr>C2 - Internal</vt:lpwstr>
  </property>
  <property fmtid="{D5CDD505-2E9C-101B-9397-08002B2CF9AE}" pid="8" name="MSIP_Label_c80bb4b1-c353-4a8c-aa94-59f555332b5a_SiteId">
    <vt:lpwstr>fffad414-b6a3-4f32-a9bd-42d28fc811f1</vt:lpwstr>
  </property>
  <property fmtid="{D5CDD505-2E9C-101B-9397-08002B2CF9AE}" pid="9" name="MSIP_Label_c80bb4b1-c353-4a8c-aa94-59f555332b5a_ActionId">
    <vt:lpwstr>3acd5ed1-01d1-4ce3-bb3c-3b4cf82911a6</vt:lpwstr>
  </property>
  <property fmtid="{D5CDD505-2E9C-101B-9397-08002B2CF9AE}" pid="10" name="MSIP_Label_c80bb4b1-c353-4a8c-aa94-59f555332b5a_ContentBits">
    <vt:lpwstr>2</vt:lpwstr>
  </property>
  <property fmtid="{D5CDD505-2E9C-101B-9397-08002B2CF9AE}" pid="11" name="MSIP_Label_c80bb4b1-c353-4a8c-aa94-59f555332b5a_Tag">
    <vt:lpwstr>10, 3, 0, 1</vt:lpwstr>
  </property>
</Properties>
</file>