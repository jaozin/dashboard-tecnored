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124" documentId="11_107C347001D3E13AF562701330EF08315F078A2E" xr6:coauthVersionLast="47" xr6:coauthVersionMax="47" xr10:uidLastSave="{EDE14090-7BAF-4C0E-B8A5-E3B927E4E083}"/>
  <bookViews>
    <workbookView xWindow="20370" yWindow="-120" windowWidth="29040" windowHeight="15720" activeTab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<sst xmlns="http://schemas.openxmlformats.org/spreadsheetml/2006/main" count="11900" uniqueCount="1033">
  <si>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</si>
  <si>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</si>
  <si>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</si>
  <si>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</si>
  <si>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</si>
  <si>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</si>
  <si>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</si>
  <si>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</si>
  <si>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</si>
  <si>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</si>
  <si>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</si>
  <si>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</si>
  <si>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</si>
  <si>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</si>
  <si>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</si>
  <si>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</si>
  <si>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</si>
  <si>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</si>
  <si>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</si>
  <si>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</si>
  <si>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</si>
  <si>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</si>
  <si>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</si>
  <si>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</si>
  <si>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</si>
  <si>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</si>
  <si>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</si>
  <si>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</si>
  <si>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</si>
  <si>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</si>
  <si>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</si>
  <si>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</si>
  <si>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</si>
  <si>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</si>
  <si>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</si>
  <si>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</si>
  <si>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</si>
  <si>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</si>
  <si>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</si>
  <si>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</si>
  <si>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440 hrs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</si>
  <si>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</si>
  <si>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</si>
  <si>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</si>
  <si>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</si>
  <si>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</si>
  <si>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</si>
  <si>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</si>
  <si>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</si>
  <si>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</si>
  <si>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</si>
  <si>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</si>
  <si>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</si>
  <si>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</si>
  <si>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dias;46</t>
  </si>
  <si>
    <t>Não</t>
  </si>
  <si>
    <t>1.1.2</t>
  </si>
  <si>
    <t>marcos</t>
  </si>
  <si>
    <t>288 hrs</t>
  </si>
  <si>
    <t>Ter 19/05/26</t>
  </si>
  <si>
    <t>Sprint 4</t>
  </si>
  <si>
    <t>MARCOS</t>
  </si>
  <si>
    <t>1.1.2.1</t>
  </si>
  <si>
    <t>Marcos</t>
  </si>
  <si>
    <t>critério de projeto de processo</t>
  </si>
  <si>
    <t>53;62</t>
  </si>
  <si>
    <t>Sex 05/06/26</t>
  </si>
  <si>
    <t>Sprint 10</t>
  </si>
  <si>
    <t>1.1.2.2</t>
  </si>
  <si>
    <t>critério de projeto de mecânica</t>
  </si>
  <si>
    <t>69;128TI+5 dias;78TI+5 dias;73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</si>
  <si>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</si>
  <si>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</si>
  <si>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</si>
  <si>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</si>
  <si>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</si>
  <si>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</si>
  <si>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</si>
  <si>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</si>
  <si>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</si>
  <si>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</si>
  <si>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</si>
  <si>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</si>
  <si>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</si>
  <si>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</si>
  <si>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8 hrs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</si>
  <si>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</si>
  <si>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</si>
  <si>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</si>
  <si>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</si>
  <si>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</si>
  <si>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</si>
  <si>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</si>
  <si>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216 hrs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</si>
  <si>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</si>
  <si>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</si>
  <si>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</si>
  <si>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</si>
  <si>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</si>
  <si>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</si>
  <si>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</si>
  <si>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</si>
  <si>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</si>
  <si>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</si>
  <si>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</si>
  <si>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</si>
  <si>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</si>
  <si>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</si>
  <si>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</si>
  <si>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</si>
  <si>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</si>
  <si>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</si>
  <si>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</si>
  <si>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</si>
  <si>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</si>
  <si>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</si>
  <si>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</si>
  <si>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</si>
  <si>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</si>
  <si>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</si>
  <si>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</si>
  <si>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184 hrs</t>
  </si>
  <si>
    <t>1.1.4.2.1</t>
  </si>
  <si>
    <t>CR-F0009-0306-MB-F-00001</t>
  </si>
  <si>
    <t>21;52;68;240;296;412;149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</si>
  <si>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</si>
  <si>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</si>
  <si>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</si>
  <si>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</si>
  <si>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</si>
  <si>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</si>
  <si>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</si>
  <si>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</si>
  <si>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</si>
  <si>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</si>
  <si>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</si>
  <si>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1.1.6</t>
  </si>
  <si>
    <t>processo</t>
  </si>
  <si>
    <t>32 hrs</t>
  </si>
  <si>
    <t>PROCESSOS</t>
  </si>
  <si>
    <t>1.1.6.3</t>
  </si>
  <si>
    <t>Processo</t>
  </si>
  <si>
    <t>fg-f0009-0306-mb-p-00001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</si>
  <si>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</si>
  <si>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</si>
  <si>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</si>
  <si>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</si>
  <si>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</si>
  <si>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Seg 08/06/26</t>
  </si>
  <si>
    <t>1.1.6.3.3</t>
  </si>
  <si>
    <t>Ter 09/06/26</t>
  </si>
  <si>
    <t>1.1.6.3.4</t>
  </si>
  <si>
    <t>Qui 11/06/26</t>
  </si>
  <si>
    <t>1.1.7</t>
  </si>
  <si>
    <t>mecânica</t>
  </si>
  <si>
    <t>312 hrs</t>
  </si>
  <si>
    <t>Ter 26/05/26</t>
  </si>
  <si>
    <t>MECÂNICA</t>
  </si>
  <si>
    <t>1.1.7.3</t>
  </si>
  <si>
    <t>Mecânica</t>
  </si>
  <si>
    <t>le-f0009-0306-mb-m-00001</t>
  </si>
  <si>
    <t>64 hrs</t>
  </si>
  <si>
    <t>1.1.7.3.1</t>
  </si>
  <si>
    <t>LE-F0009-0306-MB-M-00001</t>
  </si>
  <si>
    <t>68;6TI+5 dias</t>
  </si>
  <si>
    <t>79;316</t>
  </si>
  <si>
    <t>1.1.7.3.2</t>
  </si>
  <si>
    <t>4 dias</t>
  </si>
  <si>
    <t>1.1.7.3.3</t>
  </si>
  <si>
    <t>81;73</t>
  </si>
  <si>
    <t>1.1.7.3.4</t>
  </si>
  <si>
    <t>Ter 02/06/26</t>
  </si>
  <si>
    <t>1.1.7.4</t>
  </si>
  <si>
    <t>pq-f0009-0306-mb-m-00001</t>
  </si>
  <si>
    <t>56 hrs</t>
  </si>
  <si>
    <t>1.1.7.4.1</t>
  </si>
  <si>
    <t>PQ-F0009-0306-MB-M-00001</t>
  </si>
  <si>
    <t>73TI+30 dias</t>
  </si>
  <si>
    <t>1.1.7.4.2</t>
  </si>
  <si>
    <t>Sprint 9</t>
  </si>
  <si>
    <t>1.1.7.4.3</t>
  </si>
  <si>
    <t>1.1.7.4.4</t>
  </si>
  <si>
    <t>Qua 10/06/26</t>
  </si>
  <si>
    <t>1.1.7.5</t>
  </si>
  <si>
    <t>ag-f0009-0306-mb-l-00001</t>
  </si>
  <si>
    <t>80 hrs</t>
  </si>
  <si>
    <t>Qui 18/06/26</t>
  </si>
  <si>
    <t>1.1.7.5.1</t>
  </si>
  <si>
    <t>AG-F0009-0306-MB-L-00001</t>
  </si>
  <si>
    <t>1.1.7.5.2</t>
  </si>
  <si>
    <t>Qui 25/06/26</t>
  </si>
  <si>
    <t>1.1.7.5.3</t>
  </si>
  <si>
    <t>No Prazo</t>
  </si>
  <si>
    <t>Sex 26/06/26</t>
  </si>
  <si>
    <t>Sprint 11</t>
  </si>
  <si>
    <t>1.1.7.5.4</t>
  </si>
  <si>
    <t>Tarefa futura</t>
  </si>
  <si>
    <t>Ter 30/06/26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</si>
  <si>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</si>
  <si>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</si>
  <si>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</si>
  <si>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</si>
  <si>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</si>
  <si>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</si>
  <si>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</si>
  <si>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</si>
  <si>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</si>
  <si>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</si>
  <si>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</si>
  <si>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</si>
  <si>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</si>
  <si>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</si>
  <si>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</si>
  <si>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</si>
  <si>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</si>
  <si>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</si>
  <si>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</si>
  <si>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</si>
  <si>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</si>
  <si>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</si>
  <si>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</si>
  <si>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Qua 03/06/26</t>
  </si>
  <si>
    <t>1.1.7.9.1</t>
  </si>
  <si>
    <t>PL-F0009-0306-MB-M-00001</t>
  </si>
  <si>
    <t>6 dias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</si>
  <si>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</si>
  <si>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</si>
  <si>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</si>
  <si>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</si>
  <si>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</si>
  <si>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</si>
  <si>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</si>
  <si>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152 hrs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</si>
  <si>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</si>
  <si>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</si>
  <si>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</si>
  <si>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</si>
  <si>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</si>
  <si>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</si>
  <si>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</si>
  <si>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</si>
  <si>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>mc-f0009-0306-mb-m-00002</t>
  </si>
  <si>
    <t>1.1.7.12.1</t>
  </si>
  <si>
    <t>MC-F0009-0306-MB-M-00002</t>
  </si>
  <si>
    <t>124;133;143;138</t>
  </si>
  <si>
    <t>Sex 12/06/26</t>
  </si>
  <si>
    <t>1.1.7.12.2</t>
  </si>
  <si>
    <t>125;260</t>
  </si>
  <si>
    <t>Qua 17/06/26</t>
  </si>
  <si>
    <t>1.1.7.12.3</t>
  </si>
  <si>
    <t>1.1.7.12.4</t>
  </si>
  <si>
    <t>Ter 23/06/26</t>
  </si>
  <si>
    <t>1.1.7.13</t>
  </si>
  <si>
    <t>ml-f0009-0306-mb-m-00001</t>
  </si>
  <si>
    <t>72 hrs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</si>
  <si>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</si>
  <si>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</si>
  <si>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</si>
  <si>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</si>
  <si>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</si>
  <si>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</si>
  <si>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</si>
  <si>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</si>
  <si>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</si>
  <si>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</si>
  <si>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>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</si>
  <si>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</si>
  <si>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</si>
  <si>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</si>
  <si>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</si>
  <si>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</si>
  <si>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</si>
  <si>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</si>
  <si>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</si>
  <si>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</si>
  <si>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</si>
  <si>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</si>
  <si>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</si>
  <si>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</si>
  <si>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</si>
  <si>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</si>
  <si>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</si>
  <si>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</si>
  <si>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</si>
  <si>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Seg 22/06/26</t>
  </si>
  <si>
    <t>1.1.7.16.3</t>
  </si>
  <si>
    <t>1.1.7.16.4</t>
  </si>
  <si>
    <t>1.1.8</t>
  </si>
  <si>
    <t>tubulação/utilidades</t>
  </si>
  <si>
    <t>176 hrs</t>
  </si>
  <si>
    <t>TUBULAÇÃO / UTILIDADES</t>
  </si>
  <si>
    <t>1.1.8.3</t>
  </si>
  <si>
    <t>Tubulação/Utilidades</t>
  </si>
  <si>
    <t>ml-f0009-0306-mb-t-00001</t>
  </si>
  <si>
    <t>88 hrs</t>
  </si>
  <si>
    <t>1.1.8.3.1</t>
  </si>
  <si>
    <t>ML-F0009-0306-MB-T-00001</t>
  </si>
  <si>
    <t>7 dias</t>
  </si>
  <si>
    <t>1.1.8.3.2</t>
  </si>
  <si>
    <t>161;199;204;209</t>
  </si>
  <si>
    <t>1.1.8.3.3</t>
  </si>
  <si>
    <t>1.1.8.3.4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</si>
  <si>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</si>
  <si>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</si>
  <si>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</si>
  <si>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</si>
  <si>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</si>
  <si>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</si>
  <si>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</si>
  <si>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</si>
  <si>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</si>
  <si>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</si>
  <si>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1.1.8.8</t>
  </si>
  <si>
    <t>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</si>
  <si>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</si>
  <si>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</si>
  <si>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</si>
  <si>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</si>
  <si>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</si>
  <si>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</si>
  <si>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</si>
  <si>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</si>
  <si>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</si>
  <si>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</t>
  </si>
  <si>
    <t>fg-f0009-0306-mb-t-00001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</si>
  <si>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</si>
  <si>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</si>
  <si>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</si>
  <si>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</si>
  <si>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</si>
  <si>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</si>
  <si>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</si>
  <si>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</t>
  </si>
  <si>
    <t>ag-f0009-0306-mb-t-00001</t>
  </si>
  <si>
    <t>60 hrs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</si>
  <si>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</si>
  <si>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</si>
  <si>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</si>
  <si>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</si>
  <si>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</si>
  <si>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</si>
  <si>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</si>
  <si>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</si>
  <si>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</si>
  <si>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</si>
  <si>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</si>
  <si>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</si>
  <si>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</si>
  <si>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</si>
  <si>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</si>
  <si>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</si>
  <si>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</si>
  <si>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</si>
  <si>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</si>
  <si>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</si>
  <si>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</si>
  <si>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</si>
  <si>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</si>
  <si>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</si>
  <si>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</si>
  <si>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</si>
  <si>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</si>
  <si>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</si>
  <si>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>estrutura metálica</t>
  </si>
  <si>
    <t>144 hrs</t>
  </si>
  <si>
    <t>ESTRUTURA METÁLICA</t>
  </si>
  <si>
    <t>1.1.9.2</t>
  </si>
  <si>
    <t>Estrutura metálica</t>
  </si>
  <si>
    <t>ml-f0009-0306-mb-s-00001</t>
  </si>
  <si>
    <t>48 hrs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</si>
  <si>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</si>
  <si>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</si>
  <si>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</si>
  <si>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</si>
  <si>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</si>
  <si>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</si>
  <si>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</si>
  <si>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</si>
  <si>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</si>
  <si>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</si>
  <si>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</si>
  <si>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</si>
  <si>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</si>
  <si>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Qui 02/07/26</t>
  </si>
  <si>
    <t>1.1.9.3.3</t>
  </si>
  <si>
    <t>Sex 03/07/26</t>
  </si>
  <si>
    <t>1.1.9.3.4</t>
  </si>
  <si>
    <t>Ter 07/07/26</t>
  </si>
  <si>
    <t>1.1.9.5</t>
  </si>
  <si>
    <t>mc-f0009-0306-mb-s-00001</t>
  </si>
  <si>
    <t>40 hrs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</si>
  <si>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</si>
  <si>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</si>
  <si>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</si>
  <si>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</si>
  <si>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</si>
  <si>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</si>
  <si>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</si>
  <si>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</si>
  <si>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</si>
  <si>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</si>
  <si>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</si>
  <si>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</si>
  <si>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</si>
  <si>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</si>
  <si>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</si>
  <si>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</si>
  <si>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</si>
  <si>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</si>
  <si>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</si>
  <si>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</si>
  <si>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</si>
  <si>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</si>
  <si>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</si>
  <si>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</si>
  <si>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</si>
  <si>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</si>
  <si>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</si>
  <si>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</si>
  <si>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</si>
  <si>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</si>
  <si>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</si>
  <si>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</si>
  <si>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</si>
  <si>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</si>
  <si>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</si>
  <si>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</si>
  <si>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</si>
  <si>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</si>
  <si>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</si>
  <si>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</si>
  <si>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</si>
  <si>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</si>
  <si>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</si>
  <si>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</si>
  <si>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</si>
  <si>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>elétrica</t>
  </si>
  <si>
    <t>248 hrs</t>
  </si>
  <si>
    <t>ELÉTRICA</t>
  </si>
  <si>
    <t>1.1.10.2</t>
  </si>
  <si>
    <t>Elétrica</t>
  </si>
  <si>
    <t>ml-f0009-0306-mb-e-00001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</si>
  <si>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</si>
  <si>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</si>
  <si>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</si>
  <si>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</si>
  <si>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</si>
  <si>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</si>
  <si>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</si>
  <si>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>rl-f0009-0306-mb-e-00001</t>
  </si>
  <si>
    <t>190 hrs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</si>
  <si>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</si>
  <si>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</si>
  <si>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</si>
  <si>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</si>
  <si>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</si>
  <si>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</si>
  <si>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</si>
  <si>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</si>
  <si>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</si>
  <si>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</t>
  </si>
  <si>
    <t>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</si>
  <si>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</si>
  <si>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</si>
  <si>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</si>
  <si>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</si>
  <si>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</si>
  <si>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</si>
  <si>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</si>
  <si>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</si>
  <si>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</si>
  <si>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>lm-f0009-0306-mb-e-00001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</si>
  <si>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</si>
  <si>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</si>
  <si>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</si>
  <si>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</si>
  <si>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</si>
  <si>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</si>
  <si>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</si>
  <si>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</si>
  <si>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</si>
  <si>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</t>
  </si>
  <si>
    <t>pq-f0009-0306-mb-e-00001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</si>
  <si>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</si>
  <si>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</si>
  <si>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</si>
  <si>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</si>
  <si>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</si>
  <si>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</si>
  <si>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</si>
  <si>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</si>
  <si>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</t>
  </si>
  <si>
    <t>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</si>
  <si>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</si>
  <si>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</si>
  <si>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</si>
  <si>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</si>
  <si>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</si>
  <si>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</si>
  <si>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</si>
  <si>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</si>
  <si>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</si>
  <si>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>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</si>
  <si>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</si>
  <si>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</si>
  <si>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</si>
  <si>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</si>
  <si>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</si>
  <si>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</si>
  <si>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</si>
  <si>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</si>
  <si>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</si>
  <si>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>ag-f0009-0306-mb-e-00001</t>
  </si>
  <si>
    <t>1.1.10.11.1</t>
  </si>
  <si>
    <t>AG-F0009-0306-MB-E-00001</t>
  </si>
  <si>
    <t>8 dias</t>
  </si>
  <si>
    <t>1.1.10.11.2</t>
  </si>
  <si>
    <t>348;321</t>
  </si>
  <si>
    <t>1.1.10.11.3</t>
  </si>
  <si>
    <t>349TT</t>
  </si>
  <si>
    <t>1.1.10.11.4</t>
  </si>
  <si>
    <t>348TT</t>
  </si>
  <si>
    <t>1.1.10.12</t>
  </si>
  <si>
    <t>ag-f0009-0306-mb-e-00002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</si>
  <si>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</si>
  <si>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</si>
  <si>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</si>
  <si>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</si>
  <si>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</si>
  <si>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</si>
  <si>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</si>
  <si>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</si>
  <si>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</t>
  </si>
  <si>
    <t>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</si>
  <si>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</si>
  <si>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</si>
  <si>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</si>
  <si>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</si>
  <si>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</si>
  <si>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</si>
  <si>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</si>
  <si>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</si>
  <si>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>ag-f0009-0306-mb-e-00004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</si>
  <si>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</si>
  <si>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</si>
  <si>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</si>
  <si>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</si>
  <si>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</si>
  <si>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</si>
  <si>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</si>
  <si>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</t>
  </si>
  <si>
    <t>du-f0009-0306-mb-e-00001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</si>
  <si>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</si>
  <si>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</si>
  <si>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</si>
  <si>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</si>
  <si>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</si>
  <si>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</si>
  <si>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</t>
  </si>
  <si>
    <t>fd-f0009-0306-mb-e-00001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</si>
  <si>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</si>
  <si>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</si>
  <si>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</si>
  <si>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</si>
  <si>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</si>
  <si>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</si>
  <si>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</si>
  <si>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</t>
  </si>
  <si>
    <t>automação e instrumentação</t>
  </si>
  <si>
    <t>AUTOMAÇÃO E INSTRUMENTAÇÃO</t>
  </si>
  <si>
    <t>1.1.11.2</t>
  </si>
  <si>
    <t>Automação e instrumentação</t>
  </si>
  <si>
    <t>li-f0009-0306-mb-j-00001</t>
  </si>
  <si>
    <t>104 hrs</t>
  </si>
  <si>
    <t>1.1.11.2.1</t>
  </si>
  <si>
    <t>LI-F0009-0306-MB-J-00001</t>
  </si>
  <si>
    <t>418;462;467;472;477</t>
  </si>
  <si>
    <t>1.1.11.2.2</t>
  </si>
  <si>
    <t>419TT</t>
  </si>
  <si>
    <t>1.1.11.2.3</t>
  </si>
  <si>
    <t>418TT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</si>
  <si>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</si>
  <si>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</si>
  <si>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</si>
  <si>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</si>
  <si>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</si>
  <si>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</si>
  <si>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</si>
  <si>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</si>
  <si>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</si>
  <si>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</si>
  <si>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</si>
  <si>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</si>
  <si>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</si>
  <si>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</si>
  <si>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</si>
  <si>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</si>
  <si>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</si>
  <si>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</si>
  <si>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</si>
  <si>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</si>
  <si>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</si>
  <si>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497TI-5 dias</t>
  </si>
  <si>
    <t>1.1.11.7.2</t>
  </si>
  <si>
    <t>1.1.11.7.3</t>
  </si>
  <si>
    <t>1.1.11.7.4</t>
  </si>
  <si>
    <t>1.1.11.8</t>
  </si>
  <si>
    <t>fg-f0009-0306-mb-j-00001</t>
  </si>
  <si>
    <t>96 hrs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</si>
  <si>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</si>
  <si>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</si>
  <si>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</si>
  <si>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</si>
  <si>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</si>
  <si>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</si>
  <si>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</si>
  <si>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</si>
  <si>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</t>
  </si>
  <si>
    <t>fg-f0009-0306-mb-j-00002</t>
  </si>
  <si>
    <t>1.1.11.9.1</t>
  </si>
  <si>
    <t>FG-F0009-0306-MB-J-00002</t>
  </si>
  <si>
    <t>453;417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</si>
  <si>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</si>
  <si>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</si>
  <si>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</si>
  <si>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</si>
  <si>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</si>
  <si>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</si>
  <si>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</si>
  <si>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</si>
  <si>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</si>
  <si>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</si>
  <si>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</si>
  <si>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</si>
  <si>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</si>
  <si>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</si>
  <si>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</si>
  <si>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</si>
  <si>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</si>
  <si>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</si>
  <si>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</si>
  <si>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</si>
  <si>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</si>
  <si>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</si>
  <si>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</si>
  <si>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</si>
  <si>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</si>
  <si>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</si>
  <si>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</si>
  <si>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</si>
  <si>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</si>
  <si>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</si>
  <si>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</si>
  <si>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</si>
  <si>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</si>
  <si>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</si>
  <si>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</si>
  <si>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</si>
  <si>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</si>
  <si>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</si>
  <si>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</si>
  <si>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</t>
  </si>
  <si>
    <t>lm-f0009-0306-mb-j-00001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</si>
  <si>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</si>
  <si>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</si>
  <si>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</si>
  <si>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</si>
  <si>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</si>
  <si>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</si>
  <si>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</si>
  <si>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</si>
  <si>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</si>
  <si>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</si>
  <si>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</si>
  <si>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</si>
  <si>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</si>
  <si>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</si>
  <si>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</si>
  <si>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</si>
  <si>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120 hrs</t>
  </si>
  <si>
    <t>1.1.11.20.1</t>
  </si>
  <si>
    <t>FD-F0009-0306-MB-J-00001</t>
  </si>
  <si>
    <t>9 dias</t>
  </si>
  <si>
    <t>508;512II;517II;522II;527II;532II;537II;542II;547II;552II;557II;562II;567II;572II;577II;617II;592II;587II;582II;612II;607II;602II;597II</t>
  </si>
  <si>
    <t>1.1.11.20.2</t>
  </si>
  <si>
    <t>1.1.11.20.3</t>
  </si>
  <si>
    <t>Seg 06/07/26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</si>
  <si>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</si>
  <si>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</si>
  <si>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</si>
  <si>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</si>
  <si>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</si>
  <si>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</si>
  <si>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507II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</si>
  <si>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</si>
  <si>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</si>
  <si>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</si>
  <si>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</si>
  <si>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</si>
  <si>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</si>
  <si>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</si>
  <si>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</si>
  <si>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</si>
  <si>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</si>
  <si>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</si>
  <si>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</si>
  <si>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</si>
  <si>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</si>
  <si>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</si>
  <si>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</si>
  <si>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</si>
  <si>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</si>
  <si>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</si>
  <si>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</si>
  <si>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</si>
  <si>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</si>
  <si>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</si>
  <si>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</si>
  <si>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</si>
  <si>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</si>
  <si>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</si>
  <si>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</si>
  <si>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</si>
  <si>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</si>
  <si>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</si>
  <si>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</si>
  <si>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</si>
  <si>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</si>
  <si>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</si>
  <si>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</si>
  <si>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</si>
  <si>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</si>
  <si>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</si>
  <si>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</si>
  <si>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</si>
  <si>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</si>
  <si>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</si>
  <si>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</si>
  <si>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</si>
  <si>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</si>
  <si>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</si>
  <si>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</si>
  <si>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</si>
  <si>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</si>
  <si>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</si>
  <si>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</si>
  <si>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</si>
  <si>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</si>
  <si>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</si>
  <si>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</si>
  <si>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</si>
  <si>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</si>
  <si>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</si>
  <si>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</si>
  <si>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</si>
  <si>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</si>
  <si>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</si>
  <si>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</si>
  <si>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</si>
  <si>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</si>
  <si>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</si>
  <si>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</si>
  <si>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</si>
  <si>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</si>
  <si>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</si>
  <si>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</si>
  <si>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</si>
  <si>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</si>
  <si>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</si>
  <si>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</si>
  <si>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</si>
  <si>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</si>
  <si>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</si>
  <si>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</si>
  <si>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</si>
  <si>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</si>
  <si>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</si>
  <si>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</si>
  <si>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</si>
  <si>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</si>
  <si>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</si>
  <si>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</si>
  <si>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</si>
  <si>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</si>
  <si>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</si>
  <si>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</si>
  <si>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</si>
  <si>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</si>
  <si>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</si>
  <si>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</si>
  <si>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</si>
  <si>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</si>
  <si>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</si>
  <si>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</si>
  <si>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</si>
  <si>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</si>
  <si>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</si>
  <si>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</si>
  <si>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</si>
  <si>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</si>
  <si>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</si>
  <si>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</si>
  <si>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</si>
  <si>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</si>
  <si>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</si>
  <si>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</si>
  <si>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</si>
  <si>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</si>
  <si>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</si>
  <si>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</si>
  <si>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</si>
  <si>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</si>
  <si>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</si>
  <si>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</si>
  <si>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</si>
  <si>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</si>
  <si>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</si>
  <si>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</si>
  <si>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</si>
  <si>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</si>
  <si>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</si>
  <si>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</si>
  <si>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</si>
  <si>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</si>
  <si>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</si>
  <si>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</si>
  <si>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</si>
  <si>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</si>
  <si>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</si>
  <si>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</si>
  <si>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</si>
  <si>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</si>
  <si>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</si>
  <si>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</si>
  <si>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</si>
  <si>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</si>
  <si>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</si>
  <si>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</si>
  <si>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</si>
  <si>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</si>
  <si>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</si>
  <si>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</si>
  <si>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</si>
  <si>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</si>
  <si>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</si>
  <si>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</si>
  <si>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1.1.11.43.1</t>
  </si>
  <si>
    <t>LB-F0009-0306-MB-J-00001</t>
  </si>
  <si>
    <t>3,8 dias</t>
  </si>
  <si>
    <t>1.1.11.43.2</t>
  </si>
  <si>
    <t>1.1.11.43.3</t>
  </si>
  <si>
    <t>1.1.11.43.4</t>
  </si>
  <si>
    <t>Seg 13/07/26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</si>
  <si>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</si>
  <si>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</si>
  <si>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</si>
  <si>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</si>
  <si>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</si>
  <si>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</si>
  <si>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</si>
  <si>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</si>
  <si>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</si>
  <si>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</si>
  <si>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</si>
  <si>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</si>
  <si>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</si>
  <si>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</si>
  <si>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</si>
  <si>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</si>
  <si>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</si>
  <si>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</si>
  <si>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</si>
  <si>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</si>
  <si>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</si>
  <si>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</si>
  <si>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</si>
  <si>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</si>
  <si>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</si>
  <si>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</si>
  <si>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</si>
  <si>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</si>
  <si>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</si>
  <si>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</si>
  <si>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</si>
  <si>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638TT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</si>
  <si>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</si>
  <si>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</si>
  <si>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</si>
  <si>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</si>
  <si>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</si>
  <si>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</si>
  <si>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</si>
  <si>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</si>
  <si>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</t>
  </si>
  <si>
    <t>coordenação</t>
  </si>
  <si>
    <t>52 dias</t>
  </si>
  <si>
    <t>COORDENAÇÃO</t>
  </si>
  <si>
    <t>Área 0306 - Sopradores -       Coordenação</t>
  </si>
  <si>
    <t xml:space="preserve">      Coordenação</t>
  </si>
  <si>
    <t>1.1.5.1</t>
  </si>
  <si>
    <t>Coordenação</t>
  </si>
  <si>
    <t>rm-f0009-0306-mb-g-00001</t>
  </si>
  <si>
    <t>Seg 01/06/26</t>
  </si>
  <si>
    <t>Coordenação -          RM-F0009-0306-MB-G-00001</t>
  </si>
  <si>
    <t xml:space="preserve">         RM-F0009-0306-MB-G-00001</t>
  </si>
  <si>
    <t>1.1.5.2</t>
  </si>
  <si>
    <t>rm-f0009-0306-mb-g-00002</t>
  </si>
  <si>
    <t>Coordenação -          RM-F0009-0306-MB-G-00002</t>
  </si>
  <si>
    <t xml:space="preserve">         RM-F0009-0306-MB-G-00002</t>
  </si>
  <si>
    <t>1.1.5.3</t>
  </si>
  <si>
    <t>rl-f0009-0306-mb-g-00001</t>
  </si>
  <si>
    <t>Coordenação -          RL-F0009-0306-MB-G-00001</t>
  </si>
  <si>
    <t xml:space="preserve">         RL-F0009-0306-MB-G-00001</t>
  </si>
  <si>
    <t>1.1.5.4</t>
  </si>
  <si>
    <t>lp-f0009-0306-mb-g-00001</t>
  </si>
  <si>
    <t>47 dias</t>
  </si>
  <si>
    <t>Coordenação -          LP-F0009-0306-MB-G-00001</t>
  </si>
  <si>
    <t xml:space="preserve">         LP-F0009-0306-MB-G-00001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</si>
  <si>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</si>
  <si>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</si>
  <si>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</si>
  <si>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</si>
  <si>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</si>
  <si>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</si>
  <si>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</si>
  <si>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</si>
  <si>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</si>
  <si>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</si>
  <si>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</si>
  <si>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1.1.8.5</t>
  </si>
  <si>
    <t>fd-f0009-0306-mb-t-00001</t>
  </si>
  <si>
    <t>Tubulação/Utilidades -          FD-F0009-0306-MB-T-00001</t>
  </si>
  <si>
    <t xml:space="preserve">         FD-F0009-0306-MB-T-00001</t>
  </si>
  <si>
    <t>1.1.8.6</t>
  </si>
  <si>
    <t>fd-f0009-0306-mb-t-00002</t>
  </si>
  <si>
    <t>Tubulação/Utilidades -          FD-F0009-0306-MB-T-00002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</si>
  <si>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</si>
  <si>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</si>
  <si>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</si>
  <si>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</si>
  <si>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</si>
  <si>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</si>
  <si>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</si>
  <si>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</si>
  <si>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</si>
  <si>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</si>
  <si>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</si>
  <si>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</si>
  <si>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</si>
  <si>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</si>
  <si>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</si>
  <si>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</si>
  <si>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</si>
  <si>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</si>
  <si>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</si>
  <si>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</si>
  <si>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</si>
  <si>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</si>
  <si>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</si>
  <si>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</si>
  <si>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</si>
  <si>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</si>
  <si>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</si>
  <si>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</si>
  <si>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du-f0009-0306-mb-e-00002</t>
  </si>
  <si>
    <t>Elétrica -          DU-F0009-0306-MB-E-00002</t>
  </si>
  <si>
    <t xml:space="preserve">         DU-F0009-0306-MB-E-00002</t>
  </si>
  <si>
    <t>du-f0009-0306-mb-e-00003</t>
  </si>
  <si>
    <t>Elétrica -          DU-F0009-0306-MB-E-00003</t>
  </si>
  <si>
    <t xml:space="preserve">         DU-F0009-0306-MB-E-00003</t>
  </si>
  <si>
    <t>du-f0009-0306-mb-e-00004</t>
  </si>
  <si>
    <t>17 dias</t>
  </si>
  <si>
    <t>Elétrica -          DU-F0009-0306-MB-E-00004</t>
  </si>
  <si>
    <t xml:space="preserve">         DU-F0009-0306-MB-E-00004</t>
  </si>
  <si>
    <t>fd-f0009-0306-mb-e-00002</t>
  </si>
  <si>
    <t>Elétrica -          FD-F0009-0306-MB-E-00002</t>
  </si>
  <si>
    <t xml:space="preserve">         FD-F0009-0306-MB-E-00002</t>
  </si>
  <si>
    <t>1.1.10.20</t>
  </si>
  <si>
    <t>fd-f0009-0306-mb-e-00003</t>
  </si>
  <si>
    <t>Elétrica -          FD-F0009-0306-MB-E-00003</t>
  </si>
  <si>
    <t xml:space="preserve">         FD-F0009-0306-MB-E-00003</t>
  </si>
  <si>
    <t>1.1.10.21</t>
  </si>
  <si>
    <t>fd-f0009-0306-mb-e-00004</t>
  </si>
  <si>
    <t>Elétrica -          FD-F0009-0306-MB-E-00004</t>
  </si>
  <si>
    <t xml:space="preserve">         FD-F0009-0306-MB-E-00004</t>
  </si>
  <si>
    <t>1.1.10.22</t>
  </si>
  <si>
    <t>fd-f0009-0306-mb-e-00005</t>
  </si>
  <si>
    <t>Elétrica -          FD-F0009-0306-MB-E-00005</t>
  </si>
  <si>
    <t xml:space="preserve">         FD-F0009-0306-MB-E-00005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</si>
  <si>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</si>
  <si>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</si>
  <si>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</si>
  <si>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</si>
  <si>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</si>
  <si>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</si>
  <si>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</si>
  <si>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</si>
  <si>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</si>
  <si>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</si>
  <si>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>li-f0009-0306-mb-j-00002</t>
  </si>
  <si>
    <t>Automação e instrumentação -          LI-F0009-0306-MB-J-00002</t>
  </si>
  <si>
    <t xml:space="preserve">         LI-F0009-0306-MB-J-00002</t>
  </si>
  <si>
    <t>1.1.11.16</t>
  </si>
  <si>
    <t>li-f0009-0306-mb-j-00003</t>
  </si>
  <si>
    <t>Automação e instrumentação -          LI-F0009-0306-MB-J-00003</t>
  </si>
  <si>
    <t xml:space="preserve">         LI-F0009-0306-MB-J-00003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</si>
  <si>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</si>
  <si>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</si>
  <si>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</si>
  <si>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</si>
  <si>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</si>
  <si>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</si>
  <si>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</si>
  <si>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</si>
  <si>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</si>
  <si>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</si>
  <si>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</si>
  <si>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</si>
  <si>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</si>
  <si>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</si>
  <si>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</si>
  <si>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</si>
  <si>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</si>
  <si>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</si>
  <si>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</si>
  <si>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</si>
  <si>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</si>
  <si>
    <t>Data Entrega</t>
  </si>
  <si>
    <t>Status2</t>
  </si>
  <si>
    <t>Aguardando avaliação</t>
  </si>
  <si>
    <t>Aguardando</t>
  </si>
  <si>
    <t>Design</t>
  </si>
  <si>
    <t>Aguardando 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</si>
</sst>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</cellXfs>
  <cellStyles count="1">
    <cellStyle name="Normal" xfId="0" builtinId="0"/>
  </cellStyles>
  <dxfs count="36"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  <dxf>
      <numFmt numFmtId="0" formatCode="General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Concluídas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39</c:v>
                </c:pt>
                <c:pt idx="1">
                  <c:v>2</c:v>
                </c:pt>
                <c:pt idx="2">
                  <c:v>0</c:v>
                </c:pt>
                <c:pt idx="3">
                  <c:v>13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A-4FF3-A1B8-6EC98776083A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38</c:v>
                </c:pt>
                <c:pt idx="1">
                  <c:v>1</c:v>
                </c:pt>
                <c:pt idx="2">
                  <c:v>0</c:v>
                </c:pt>
                <c:pt idx="3">
                  <c:v>12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A-4FF3-A1B8-6EC987760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Atrasadas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5-4B86-A83E-355BB1D03082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95-4B86-A83E-355BB1D03082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95-4B86-A83E-355BB1D03082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95-4B86-A83E-355BB1D03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BA95C-96DB-4EF6-8AD1-46C8FA646D60}" name="Tabela1" displayName="Tabela1" ref="A1:AM482" totalsRowShown="0">
  <autoFilter ref="A1:AM482" xr:uid="{C4EBA95C-96DB-4EF6-8AD1-46C8FA646D60}"/>
  <tableColumns count="39">
    <tableColumn id="1" xr3:uid="{B14563C9-F0F0-444A-89F4-A769340B77D7}" name="Id"/>
    <tableColumn id="2" xr3:uid="{D72F7F09-EB6B-4877-9CD3-F61AC7D002E4}" name="EDT"/>
    <tableColumn id="3" xr3:uid="{27BFAAB7-9AEB-400D-A123-C24C86D3F387}" name="Nome do Resumo da Tarefa"/>
    <tableColumn id="4" xr3:uid="{E9AA483C-BD2A-4A73-B155-3357EEA31A2D}" name="Nome da Tarefa"/>
    <tableColumn id="5" xr3:uid="{A428A550-4E2C-44A4-8C7E-4FE67AA07057}" name="Duração"/>
    <tableColumn id="6" xr3:uid="{EDCD7F4E-F523-409E-A4A2-B9325F73BB03}" name="Início" dataDxfId="34"/>
    <tableColumn id="7" xr3:uid="{06DF0780-E30A-4214-A7CB-2DF3DFBE11B7}" name="Término" dataDxfId="33"/>
    <tableColumn id="8" xr3:uid="{84E0CC06-B6FA-44D0-A177-C922FC40C220}" name="% concluída" dataDxfId="32"/>
    <tableColumn id="9" xr3:uid="{50644D0A-3241-45ED-92C7-4AB63DA79BEF}" name="Término real" dataDxfId="31"/>
    <tableColumn id="10" xr3:uid="{1219E0B4-E5B9-46FA-83B7-3B7D2271BD9F}" name="Status"/>
    <tableColumn id="11" xr3:uid="{20D068DE-B420-4909-B54B-43B5474A5CD0}" name="Predecessoras"/>
    <tableColumn id="12" xr3:uid="{266F67E7-04A9-4672-B79B-F6E7B8D2D3CE}" name="Sucessoras"/>
    <tableColumn id="13" xr3:uid="{84E7075B-1F45-44F9-B13F-6AE482C4A107}" name="Início da Linha de Base"/>
    <tableColumn id="14" xr3:uid="{A8CC3A08-988E-4191-9AA5-D1AF6618BB18}" name="Término da linha de base" dataDxfId="30"/>
    <tableColumn id="15" xr3:uid="{707F12D5-913E-4929-A5D0-BA0FFC3BE7BF}" name="Nomes dos recursos"/>
    <tableColumn id="16" xr3:uid="{E7F40FCF-A39E-4CC6-A706-07B70E829A91}" name="Sprint"/>
    <tableColumn id="17" xr3:uid="{C30E0883-788A-436C-B19D-978C4F0596E8}" name="Crítica"/>
    <tableColumn id="18" xr3:uid="{BB73D37D-3378-43B7-B5CA-CB6DB1DF8EB0}" name="Disciplina"/>
    <tableColumn id="19" xr3:uid="{17940FE7-3946-4DC6-B1F4-EEF901DA552E}" name="Início_LB_R0" dataDxfId="29"/>
    <tableColumn id="20" xr3:uid="{C151E10D-868B-4656-A93F-2714DF46727B}" name="Término_LB_R0" dataDxfId="28"/>
    <tableColumn id="21" xr3:uid="{D9EB63C9-ED8F-4EDC-A3AE-7965FDE9D0EB}" name="Comparação"/>
    <tableColumn id="22" xr3:uid="{D529AF75-7175-4977-9696-BA806434BB99}" name="Unnamed: 20"/>
    <tableColumn id="23" xr3:uid="{7BF43DB9-7AC2-45CA-93AE-54C535409D43}" name="Concat_Plan"/>
    <tableColumn id="24" xr3:uid="{CAA15B13-15F8-4E9B-B2DA-6581858AF8DE}" name="Nome do Resumo da Tarefa.1"/>
    <tableColumn id="25" xr3:uid="{6BABBA0D-3394-43F1-9613-7C3A65DD436C}" name="Nome da Tarefa.1"/>
    <tableColumn id="26" xr3:uid="{DEE003D1-7695-48A0-B4AA-F6405622BB41}" name="Concat_Proj"/>
    <tableColumn id="27" xr3:uid="{548A0FD9-E26D-4FB6-AA44-69B7A9B7315E}" name="Unnamed: 25"/>
    <tableColumn id="28" xr3:uid="{02E54C49-FB50-4FCC-BC5E-9CE06474E725}" name="pct_val"/>
    <tableColumn id="29" xr3:uid="{1C2368CE-C94D-41AE-9B0A-632D125CF2DE}" name="Emissão inicial total"/>
    <tableColumn id="30" xr3:uid="{7931CDFE-CC8C-439F-8FE5-1A815BC3D5E6}" name="Emissão inicial concluída"/>
    <tableColumn id="31" xr3:uid="{94DD484F-CF68-4FAA-A112-B0B616BFF3FC}" name="Emissão Inicial Atrasada"/>
    <tableColumn id="32" xr3:uid="{1BB27E93-5E06-49AD-B56C-2B8B9D28E76C}" name="Aprovação total"/>
    <tableColumn id="33" xr3:uid="{AF238E36-7D24-40F1-A5B3-9FAA03FA92EE}" name="Avaliação do cliente concluída"/>
    <tableColumn id="34" xr3:uid="{D875857D-3FBB-49DE-816F-AE5B6EF4BE13}" name="Avaliação Cliente Atrasada"/>
    <tableColumn id="35" xr3:uid="{F1D40077-19FA-4984-90D0-500366D1236E}" name="Atendimento de comentário concluído"/>
    <tableColumn id="36" xr3:uid="{6728D4D6-8CF8-46F0-8CCC-2F2BDAFCFF57}" name="Atendimento Atrasado"/>
    <tableColumn id="37" xr3:uid="{4D39CB8C-3D2B-43EE-8288-E8DDF1B01A6D}" name="Aprovação concluída"/>
    <tableColumn id="38" xr3:uid="{BAD1F185-E078-4A98-A722-4046A82CD6D5}" name="Aprovação Atrasada"/>
    <tableColumn id="39" xr3:uid="{47F7BEBC-A2B4-46E6-9BF9-F34D2AA21E75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100B56-6E6E-4589-AE20-AAC788D2FC37}" name="Tabela2" displayName="Tabela2" ref="A3:H16" totalsRowCount="1">
  <autoFilter ref="A3:H15" xr:uid="{37100B56-6E6E-4589-AE20-AAC788D2FC37}"/>
  <tableColumns count="8">
    <tableColumn id="1" xr3:uid="{6C5946E3-170F-4C5A-B2AB-DB8DA59DF6BA}" name="Disciplina" totalsRowLabel="Total"/>
    <tableColumn id="2" xr3:uid="{52B4F4E5-E9DA-48D6-B883-00FF0FAB587E}" name="Emissão inicial total" totalsRowFunction="sum" totalsRowDxfId="27"/>
    <tableColumn id="3" xr3:uid="{3019A991-AF0A-4949-A43E-025570BFE600}" name="Emissão inicial concluída" totalsRowFunction="sum" totalsRowDxfId="26"/>
    <tableColumn id="4" xr3:uid="{9757B225-E452-4678-A49C-83EBF9279D74}" name="%EI" dataDxfId="25" totalsRowDxfId="24"/>
    <tableColumn id="5" xr3:uid="{71982DAF-F324-4A67-8A5A-A6A88521ABA9}" name="Avaliação do cliente concluída" totalsRowFunction="sum" totalsRowDxfId="23"/>
    <tableColumn id="6" xr3:uid="{52FB6604-CB72-4ED1-A090-E224737D373B}" name="Atendimento de comentário concluído" totalsRowFunction="sum" totalsRowDxfId="22"/>
    <tableColumn id="7" xr3:uid="{347ABEDC-7C89-4705-8460-E063CA52D39A}" name="Aprovação concluída" totalsRowFunction="sum" totalsRowDxfId="21"/>
    <tableColumn id="8" xr3:uid="{9EA4A05F-7378-447F-8094-2A5F9901A0F4}" name="%AP" dataDxfId="20" totalsRow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45C472-0624-4BAB-AD35-C260A1EB74FD}" name="Tabela3" displayName="Tabela3" ref="A21:E34" totalsRowCount="1">
  <autoFilter ref="A21:E33" xr:uid="{2945C472-0624-4BAB-AD35-C260A1EB74FD}"/>
  <tableColumns count="5">
    <tableColumn id="1" xr3:uid="{6B74EC07-79A8-4183-B4BE-C249C3D0B783}" name="Disciplina" totalsRowLabel="Total"/>
    <tableColumn id="2" xr3:uid="{E346C63F-7C34-48F9-89A6-97BEBF331403}" name="Emissão Inicial Atrasada" totalsRowFunction="sum"/>
    <tableColumn id="3" xr3:uid="{08838F60-9C82-428E-9A85-83FD25B79E1A}" name="Avaliação Cliente Atrasada" totalsRowFunction="sum"/>
    <tableColumn id="4" xr3:uid="{4E520E90-22CE-44F1-B0A9-A38DB3AFF935}" name="Atendimento Atrasado" totalsRowFunction="sum"/>
    <tableColumn id="5" xr3:uid="{1A8762CD-602D-4FD7-A9BB-B433A2273712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80C41C-6197-4080-97A9-6AFDC4A6931F}" name="Tabela4" displayName="Tabela4" ref="A1:O80" totalsRowShown="0" headerRowDxfId="18">
  <autoFilter ref="A1:O80" xr:uid="{5180C41C-6197-4080-97A9-6AFDC4A6931F}"/>
  <tableColumns count="15">
    <tableColumn id="1" xr3:uid="{5514B408-BD07-4760-B846-5A62849F8D34}" name="Data" dataDxfId="17"/>
    <tableColumn id="2" xr3:uid="{5195925C-9B56-4059-AAFB-500CD480C1C5}" name="Emissão prevista na LB"/>
    <tableColumn id="3" xr3:uid="{197BA5D3-B6C5-43A7-BA63-480B1E8FAE9A}" name="Emissão prevista na LB acumulada"/>
    <tableColumn id="4" xr3:uid="{C8210F0E-6986-4CD7-B8D7-F36745DD4361}" name="Emissão realizada por dia"/>
    <tableColumn id="5" xr3:uid="{17060C81-1617-4A2C-A025-2B837D133C7E}" name="Emissão realizada acumulada"/>
    <tableColumn id="6" xr3:uid="{53469071-A885-4A4C-A61A-A04B0D20B9A8}" name="Aprovação prevista na LB"/>
    <tableColumn id="7" xr3:uid="{33D57E0F-5260-40FF-9F82-6D4B336C1259}" name="Aprovação realizada por dia"/>
    <tableColumn id="8" xr3:uid="{1474CD0A-B407-43AC-92C9-68E90994BD89}" name="Aprovação prevista na LB acumulada"/>
    <tableColumn id="9" xr3:uid="{98A1CDEF-1EE2-46B3-BC3A-4E12F2E527BB}" name="Aprovação realizada acumulada"/>
    <tableColumn id="10" xr3:uid="{79D70D5C-64D1-41DA-BA3F-3F71914F243D}" name="Avanço da EI previsto na LB" dataDxfId="16"/>
    <tableColumn id="11" xr3:uid="{6B85AB11-3C95-4B7B-AD9B-8D6C03936966}" name="Avanço real da EI na LB" dataDxfId="15"/>
    <tableColumn id="12" xr3:uid="{794441BA-15B2-4954-B818-13DF2961C528}" name="COMP_EI"/>
    <tableColumn id="13" xr3:uid="{D4F77B1E-BC79-443C-AA9B-4C76D727E088}" name="Avanço da AP previsto na LB" dataDxfId="14"/>
    <tableColumn id="14" xr3:uid="{E35D9459-43A4-4416-BC45-3BB2ABB06A5D}" name="Avanço da AP real na LB" dataDxfId="13"/>
    <tableColumn id="15" xr3:uid="{27905403-3BD2-4492-824E-D80C76399E90}" name="COMP_A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081B33-25DA-486F-8727-80E47C74C3EA}" name="Tabela5" displayName="Tabela5" ref="A1:AM143" totalsRowShown="0">
  <autoFilter ref="A1:AM143" xr:uid="{D5081B33-25DA-486F-8727-80E47C74C3EA}"/>
  <tableColumns count="39">
    <tableColumn id="1" xr3:uid="{AB80B15F-D024-427B-B95B-8F787F7DA3EE}" name="Id"/>
    <tableColumn id="2" xr3:uid="{6D964876-3537-4CFE-BD8D-1102AB4CE8AC}" name="EDT"/>
    <tableColumn id="3" xr3:uid="{380B7939-D68B-4776-BDE3-E1D4FE0E6141}" name="Nome do Resumo da Tarefa"/>
    <tableColumn id="4" xr3:uid="{17C5720E-C7B6-4EA0-A94E-2CB0A7CADC1C}" name="Nome da Tarefa"/>
    <tableColumn id="5" xr3:uid="{AF8860E0-7FBF-4F45-AA96-34867B90C5E4}" name="Duração"/>
    <tableColumn id="6" xr3:uid="{1AF9EA24-8961-4086-B201-0088C40A587D}" name="Início" dataDxfId="12"/>
    <tableColumn id="7" xr3:uid="{2819169A-911F-4A09-BB54-50B2DC991C4B}" name="Término" dataDxfId="11"/>
    <tableColumn id="8" xr3:uid="{DBE69800-3216-4BC8-B9AF-F07871AB6DA3}" name="% concluída" dataDxfId="10"/>
    <tableColumn id="9" xr3:uid="{6478F5BF-8438-4CF5-8109-3B6CA59CCC0C}" name="Término real" dataDxfId="9"/>
    <tableColumn id="10" xr3:uid="{C3A32CDB-AA03-4BA4-B82F-68DA51895A81}" name="Status"/>
    <tableColumn id="11" xr3:uid="{67EF0B17-930E-4310-9503-366A34E1C6AE}" name="Predecessoras"/>
    <tableColumn id="12" xr3:uid="{FC026BEF-5477-4449-A187-B38B74643DC4}" name="Sucessoras"/>
    <tableColumn id="13" xr3:uid="{6F58DC4F-BC93-439E-A96F-DCA13AF299A3}" name="Início da Linha de Base"/>
    <tableColumn id="14" xr3:uid="{3B222716-6FF0-46AB-AD8C-F940B03A7275}" name="Término da linha de base" dataDxfId="8"/>
    <tableColumn id="15" xr3:uid="{64D8DC8C-19A0-434D-BA0B-E31D999FD3C2}" name="Nomes dos recursos"/>
    <tableColumn id="16" xr3:uid="{40479FB4-4998-4356-9595-FDA9BAB89484}" name="Sprint"/>
    <tableColumn id="17" xr3:uid="{A552A59E-A58B-4595-AAE4-8652956CE7EA}" name="Crítica"/>
    <tableColumn id="18" xr3:uid="{B42E4748-3C98-422A-B535-6CF5294C2082}" name="Disciplina"/>
    <tableColumn id="19" xr3:uid="{14B93819-2642-4137-8BBD-37ECA6513AC3}" name="Início_LB_R0" dataDxfId="7"/>
    <tableColumn id="20" xr3:uid="{D0C9215F-A6EA-4F48-937A-6BA952D974EB}" name="Término_LB_R0" dataDxfId="6"/>
    <tableColumn id="21" xr3:uid="{81FA6297-BB38-4FEF-B28C-B0F2A6D19325}" name="Comparação"/>
    <tableColumn id="22" xr3:uid="{B3AC67EE-2C32-45CC-8FF3-AC7530C54C71}" name="Unnamed: 20"/>
    <tableColumn id="23" xr3:uid="{98323729-BEDB-47E3-B161-6421FCE72224}" name="Concat_Plan"/>
    <tableColumn id="24" xr3:uid="{76D438CC-4F08-4F09-B0B9-8A6769C8553C}" name="Nome do Resumo da Tarefa.1"/>
    <tableColumn id="25" xr3:uid="{9E50B834-8E3A-4131-938B-1D6D3A4C8440}" name="Nome da Tarefa.1"/>
    <tableColumn id="26" xr3:uid="{6EF040F8-35D3-4190-B90E-D03BF3A7A6E9}" name="Concat_Proj"/>
    <tableColumn id="27" xr3:uid="{2094FC05-5A3E-46D3-A5ED-34B33F1A49D2}" name="Unnamed: 25"/>
    <tableColumn id="28" xr3:uid="{168E40C3-936E-44DE-B327-6EFC92D1BF40}" name="pct_val"/>
    <tableColumn id="29" xr3:uid="{B59B94A3-6105-441B-B20C-A121068AAB75}" name="Emissão inicial total"/>
    <tableColumn id="30" xr3:uid="{766C81DC-4D6B-4A78-B234-07F902FB30A4}" name="Emissão inicial concluída"/>
    <tableColumn id="31" xr3:uid="{8E523C1C-0BBB-4C75-AB62-E49AFA258C42}" name="Emissão Inicial Atrasada"/>
    <tableColumn id="32" xr3:uid="{F43ACF13-766B-4103-9854-AAFF1BB09C70}" name="Aprovação total"/>
    <tableColumn id="33" xr3:uid="{0DCAF88A-CACA-487A-B438-C7809811F6B1}" name="Avaliação do cliente concluída"/>
    <tableColumn id="34" xr3:uid="{132CE7B0-AFDF-481D-910B-0800506FDA29}" name="Avaliação Cliente Atrasada"/>
    <tableColumn id="35" xr3:uid="{D1C436CD-2B73-4EC7-B2C9-EDE1B059D8E2}" name="Atendimento de comentário concluído"/>
    <tableColumn id="36" xr3:uid="{F15320C2-CD97-4E42-AE37-BC21DB05366B}" name="Atendimento Atrasado"/>
    <tableColumn id="37" xr3:uid="{07AA889E-C399-4530-8672-8F48F3E9C369}" name="Aprovação concluída"/>
    <tableColumn id="38" xr3:uid="{B8F2085B-5471-4FF0-9419-66925BB70714}" name="Aprovação Atrasada"/>
    <tableColumn id="39" xr3:uid="{DB734148-F062-4479-90E9-67B619AE822F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D00722-9CD6-48ED-960E-3FBA0E4F1C7F}" name="Tabela6" displayName="Tabela6" ref="A1:AM340" totalsRowShown="0">
  <autoFilter ref="A1:AM340" xr:uid="{76D00722-9CD6-48ED-960E-3FBA0E4F1C7F}"/>
  <tableColumns count="39">
    <tableColumn id="1" xr3:uid="{A9C945B9-EE50-4D92-B26E-1B1EC22A9B96}" name="Id"/>
    <tableColumn id="2" xr3:uid="{9BCD3BFB-0C5B-4B7F-AC51-9B276E2AFD41}" name="EDT"/>
    <tableColumn id="3" xr3:uid="{A2EE4D9C-FE5F-49F1-B656-23E15AF3889D}" name="Nome do Resumo da Tarefa"/>
    <tableColumn id="4" xr3:uid="{8042A757-6677-4204-9739-45B850626389}" name="Nome da Tarefa"/>
    <tableColumn id="5" xr3:uid="{1E407DDF-6886-4637-AF7F-065A8128C10F}" name="Duração"/>
    <tableColumn id="6" xr3:uid="{13765F89-350B-4532-895D-404A30693ACB}" name="Início" dataDxfId="5"/>
    <tableColumn id="7" xr3:uid="{6F2B4B7B-A444-4B68-B06B-BDD0E3A99B7D}" name="Término" dataDxfId="4"/>
    <tableColumn id="8" xr3:uid="{9A70D719-5A3F-4B7E-A1FE-602A0A2E566A}" name="% concluída" dataDxfId="3"/>
    <tableColumn id="9" xr3:uid="{38209A35-C929-48E8-BDAA-E9B25C180B18}" name="Término real"/>
    <tableColumn id="10" xr3:uid="{57F2C920-EA96-45AC-9680-70BE14E5F240}" name="Status"/>
    <tableColumn id="11" xr3:uid="{4A5F4A18-9F89-42D8-831F-1C05AC0AF100}" name="Predecessoras"/>
    <tableColumn id="12" xr3:uid="{F1644778-3F81-4502-B7AC-6B9456EEB98D}" name="Sucessoras"/>
    <tableColumn id="13" xr3:uid="{C86504D2-8B5B-4177-9040-A80202E45412}" name="Início da Linha de Base"/>
    <tableColumn id="14" xr3:uid="{3D268280-B835-4FC8-9C78-600CB2E0CB8E}" name="Término da linha de base" dataDxfId="2"/>
    <tableColumn id="15" xr3:uid="{13BCCF1C-088A-456C-9F8B-022139A69954}" name="Nomes dos recursos"/>
    <tableColumn id="16" xr3:uid="{D769DD7E-F907-491B-BD31-241B56A3E825}" name="Sprint"/>
    <tableColumn id="17" xr3:uid="{89646B45-322B-4B1B-B471-1FC200C87EED}" name="Crítica"/>
    <tableColumn id="18" xr3:uid="{DC882304-416B-4232-A466-8E7C88EDAFD9}" name="Disciplina"/>
    <tableColumn id="19" xr3:uid="{9DBAF91B-ADC6-41EF-ABCF-95E04FDDDD98}" name="Início_LB_R0" dataDxfId="1"/>
    <tableColumn id="20" xr3:uid="{87DB613A-7FAF-436B-94C3-30499267BC40}" name="Término_LB_R0" dataDxfId="0"/>
    <tableColumn id="21" xr3:uid="{D4862D25-1192-4EEA-8F98-CF525C9E3F35}" name="Comparação"/>
    <tableColumn id="22" xr3:uid="{B56CC99A-3421-434E-A416-E01D8B58BF1B}" name="Unnamed: 20"/>
    <tableColumn id="23" xr3:uid="{76B8D9EB-8FB4-40FF-AAB2-49B1ECFC6397}" name="Concat_Plan"/>
    <tableColumn id="24" xr3:uid="{FB6016A9-E632-46BB-9410-C47C81C4C044}" name="Nome do Resumo da Tarefa.1"/>
    <tableColumn id="25" xr3:uid="{1A348DD0-87E1-4F95-8FEB-5937D8EBB5D6}" name="Nome da Tarefa.1"/>
    <tableColumn id="26" xr3:uid="{57D651EB-D720-4AF1-BC2A-B955B460F88A}" name="Concat_Proj"/>
    <tableColumn id="27" xr3:uid="{144742FC-62DC-4094-BD4F-0FE376BFFE6C}" name="Unnamed: 25"/>
    <tableColumn id="28" xr3:uid="{19C16556-E0E2-4367-A6E3-5705172D689C}" name="pct_val"/>
    <tableColumn id="29" xr3:uid="{7B52C27E-E4B5-4512-984D-894FD3CB29B1}" name="Emissão inicial total"/>
    <tableColumn id="30" xr3:uid="{BED13AE6-2BF2-4D1A-B08C-0EBDD12DBAA4}" name="Emissão inicial concluída"/>
    <tableColumn id="31" xr3:uid="{63B20FF4-0049-45D7-8DEA-0E2856C0BE98}" name="Emissão Inicial Atrasada"/>
    <tableColumn id="32" xr3:uid="{3FF84C8E-8443-4D58-A8FD-C3C346271A0A}" name="Aprovação total"/>
    <tableColumn id="33" xr3:uid="{41D909D8-47F0-4534-B84C-790CB2CDD2C9}" name="Avaliação do cliente concluída"/>
    <tableColumn id="34" xr3:uid="{F7EFE8EE-277C-4AE5-9652-F249B89FC602}" name="Avaliação Cliente Atrasada"/>
    <tableColumn id="35" xr3:uid="{1AA117EC-44C3-4D8C-946C-DC86A18D4F97}" name="Atendimento de comentário concluído"/>
    <tableColumn id="36" xr3:uid="{6C955D31-7CC4-4DC9-95C2-C49F4B7A231D}" name="Atendimento Atrasado"/>
    <tableColumn id="37" xr3:uid="{3221EFD4-2F3F-4FB9-B269-AC88501A41B1}" name="Aprovação concluída"/>
    <tableColumn id="38" xr3:uid="{DB390311-E2EF-4242-B98F-F64D078247DF}" name="Aprovação Atrasada"/>
    <tableColumn id="39" xr3:uid="{157B409F-EB5B-403C-ACEC-A88B5017299F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DB056B-2E2E-4753-B307-E0F000900490}" name="Tabela7" displayName="Tabela7" ref="A1:L340" totalsRowShown="0">
  <autoFilter ref="A1:L340" xr:uid="{65DB056B-2E2E-4753-B307-E0F000900490}">
    <filterColumn colId="4">
      <filters>
        <filter val="atendimento de comentários"/>
        <filter val="emissão inicial"/>
      </filters>
    </filterColumn>
    <filterColumn colId="8">
      <filters>
        <filter val="TUBULAÇÃO / UTILIDADES"/>
      </filters>
    </filterColumn>
  </autoFilter>
  <sortState xmlns:xlrd2="http://schemas.microsoft.com/office/spreadsheetml/2017/richdata2" ref="A10:J308">
    <sortCondition descending="1" ref="E1:E340"/>
  </sortState>
  <tableColumns count="12">
    <tableColumn id="1" xr3:uid="{AB101D83-B3B2-4D5F-917C-F044253A2802}" name="Sprint"/>
    <tableColumn id="2" xr3:uid="{3D6890ED-C333-4EFD-AFD2-2A5A20BF13C6}" name="Id"/>
    <tableColumn id="3" xr3:uid="{39F365A5-9EA6-4453-9846-15C61EB11451}" name="EDT"/>
    <tableColumn id="4" xr3:uid="{8701D816-1A3E-446E-AD5D-DFD861D4B1AB}" name="Nome do Resumo da Tarefa"/>
    <tableColumn id="5" xr3:uid="{2785778E-2A37-4D2B-9582-C0E19B2687FA}" name="Nome da Tarefa"/>
    <tableColumn id="6" xr3:uid="{C69DE207-C2FF-4230-A882-22703F2F1127}" name="Status"/>
    <tableColumn id="7" xr3:uid="{5F6A9946-F1D7-4A21-96CD-A703C7FECC1A}" name="% concluída" dataDxfId="35"/>
    <tableColumn id="8" xr3:uid="{8FE51DE3-B7AC-4E7A-A9C0-60F9B7B2B501}" name="Nomes dos recursos"/>
    <tableColumn id="9" xr3:uid="{336F4FF9-25A9-4C9F-9589-BAB3FAA1818E}" name="Disciplina"/>
    <tableColumn id="10" xr3:uid="{0E5FE0AA-1A10-44AC-AAD5-AD6AD55FD94A}" name="Crítica"/>
    <tableColumn id="11" xr3:uid="{203716A6-5549-4DD7-9C54-F3AFED7E80A7}" name="Data Entrega"/>
    <tableColumn id="12" xr3:uid="{4535E1E7-9879-48B1-8697-4AF2384F913B}" name="Status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2"/>
  <sheetViews>
    <sheetView topLeftCell="D1" workbookViewId="0">
      <selection activeCell="O8" sqref="O8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7.28515625" bestFit="1" customWidth="1"/>
    <col min="5" max="5" width="10.42578125" bestFit="1" customWidth="1"/>
    <col min="6" max="7" width="10.7109375" style="2" bestFit="1" customWidth="1"/>
    <col min="8" max="8" width="13.7109375" style="3" bestFit="1" customWidth="1"/>
    <col min="9" max="9" width="14.5703125" style="2" bestFit="1" customWidth="1"/>
    <col min="10" max="10" width="12.42578125" bestFit="1" customWidth="1"/>
    <col min="11" max="11" width="16.140625" bestFit="1" customWidth="1"/>
    <col min="12" max="12" width="111.140625" bestFit="1" customWidth="1"/>
    <col min="13" max="13" width="23.42578125" bestFit="1" customWidth="1"/>
    <col min="14" max="14" width="25.85546875" style="2" bestFit="1" customWidth="1"/>
    <col min="15" max="15" width="21.28515625" bestFit="1" customWidth="1"/>
    <col min="16" max="16" width="14.5703125" bestFit="1" customWidth="1"/>
    <col min="17" max="17" width="8.85546875" bestFit="1" customWidth="1"/>
    <col min="18" max="18" width="32.140625" bestFit="1" customWidth="1"/>
    <col min="19" max="19" width="14.28515625" style="2" bestFit="1" customWidth="1"/>
    <col min="20" max="20" width="17" style="2" bestFit="1" customWidth="1"/>
    <col min="21" max="21" width="14.28515625" bestFit="1" customWidth="1"/>
    <col min="22" max="22" width="15" bestFit="1" customWidth="1"/>
    <col min="23" max="23" width="57.5703125" bestFit="1" customWidth="1"/>
    <col min="24" max="24" width="29.7109375" bestFit="1" customWidth="1"/>
    <col min="25" max="25" width="35.28515625" bestFit="1" customWidth="1"/>
    <col min="26" max="26" width="57.5703125" bestFit="1" customWidth="1"/>
    <col min="27" max="27" width="15" bestFit="1" customWidth="1"/>
    <col min="28" max="28" width="9.5703125" bestFit="1" customWidth="1"/>
    <col min="29" max="29" width="21" bestFit="1" customWidth="1"/>
    <col min="30" max="30" width="25.42578125" bestFit="1" customWidth="1"/>
    <col min="31" max="31" width="24.7109375" bestFit="1" customWidth="1"/>
    <col min="32" max="32" width="17.28515625" bestFit="1" customWidth="1"/>
    <col min="33" max="33" width="30.42578125" bestFit="1" customWidth="1"/>
    <col min="34" max="34" width="27.140625" bestFit="1" customWidth="1"/>
    <col min="35" max="35" width="38.28515625" bestFit="1" customWidth="1"/>
    <col min="36" max="36" width="23.85546875" bestFit="1" customWidth="1"/>
    <col min="37" max="37" width="21.7109375" bestFit="1" customWidth="1"/>
    <col min="38" max="38" width="21" bestFit="1" customWidth="1"/>
    <col min="39" max="39" width="12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>
        <v>1</v>
      </c>
      <c r="D2" t="s">
        <v>39</v>
      </c>
      <c r="E2" t="s">
        <v>40</v>
      </c>
      <c r="F2" s="2">
        <v>46139</v>
      </c>
      <c r="G2" s="2">
        <v>46219</v>
      </c>
      <c r="H2" s="3">
        <v>0.67</v>
      </c>
      <c r="J2" t="s">
        <v>41</v>
      </c>
      <c r="M2" t="s">
        <v>42</v>
      </c>
      <c r="N2" s="2">
        <v>46211</v>
      </c>
      <c r="P2" t="s">
        <v>43</v>
      </c>
      <c r="Q2" t="s">
        <v>44</v>
      </c>
      <c r="R2" t="s">
        <v>45</v>
      </c>
      <c r="S2" s="2">
        <v>46139</v>
      </c>
      <c r="T2" s="2">
        <v>46210</v>
      </c>
      <c r="AB2">
        <v>0.67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2</v>
      </c>
      <c r="B3" t="s">
        <v>46</v>
      </c>
      <c r="C3" t="s">
        <v>47</v>
      </c>
      <c r="D3" t="s">
        <v>48</v>
      </c>
      <c r="E3" t="s">
        <v>40</v>
      </c>
      <c r="F3" s="2">
        <v>46139</v>
      </c>
      <c r="G3" s="2">
        <v>46219</v>
      </c>
      <c r="H3" s="3">
        <v>0.67</v>
      </c>
      <c r="J3" t="s">
        <v>41</v>
      </c>
      <c r="M3" t="s">
        <v>42</v>
      </c>
      <c r="N3" s="2">
        <v>46211</v>
      </c>
      <c r="P3" t="s">
        <v>43</v>
      </c>
      <c r="Q3" t="s">
        <v>44</v>
      </c>
      <c r="R3" t="s">
        <v>45</v>
      </c>
      <c r="S3" s="2">
        <v>46139</v>
      </c>
      <c r="T3" s="2">
        <v>46210</v>
      </c>
      <c r="AB3">
        <v>0.67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3</v>
      </c>
      <c r="B4" t="s">
        <v>49</v>
      </c>
      <c r="C4" t="s">
        <v>50</v>
      </c>
      <c r="D4" t="s">
        <v>51</v>
      </c>
      <c r="E4" t="s">
        <v>52</v>
      </c>
      <c r="F4" s="2">
        <v>46139</v>
      </c>
      <c r="G4" s="2">
        <v>46139</v>
      </c>
      <c r="H4" s="3">
        <v>1</v>
      </c>
      <c r="I4" s="2">
        <v>46139</v>
      </c>
      <c r="J4" t="s">
        <v>53</v>
      </c>
      <c r="L4" t="s">
        <v>54</v>
      </c>
      <c r="M4" t="s">
        <v>42</v>
      </c>
      <c r="N4" s="2">
        <v>46139</v>
      </c>
      <c r="P4" t="s">
        <v>43</v>
      </c>
      <c r="Q4" t="s">
        <v>55</v>
      </c>
      <c r="R4" t="s">
        <v>45</v>
      </c>
      <c r="S4" s="2">
        <v>46139</v>
      </c>
      <c r="T4" s="2">
        <v>46139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4</v>
      </c>
      <c r="B5" t="s">
        <v>56</v>
      </c>
      <c r="C5" t="s">
        <v>50</v>
      </c>
      <c r="D5" t="s">
        <v>57</v>
      </c>
      <c r="E5" t="s">
        <v>58</v>
      </c>
      <c r="F5" s="2">
        <v>46161</v>
      </c>
      <c r="G5" s="2">
        <v>46216</v>
      </c>
      <c r="H5" s="3">
        <v>0.78</v>
      </c>
      <c r="J5" t="s">
        <v>41</v>
      </c>
      <c r="M5" t="s">
        <v>59</v>
      </c>
      <c r="N5" s="2">
        <v>46178</v>
      </c>
      <c r="P5" t="s">
        <v>60</v>
      </c>
      <c r="Q5" t="s">
        <v>44</v>
      </c>
      <c r="R5" t="s">
        <v>61</v>
      </c>
      <c r="S5" s="2">
        <v>46161</v>
      </c>
      <c r="T5" s="2">
        <v>46178</v>
      </c>
      <c r="AB5">
        <v>0.78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5</v>
      </c>
      <c r="B6" t="s">
        <v>62</v>
      </c>
      <c r="C6" t="s">
        <v>63</v>
      </c>
      <c r="D6" t="s">
        <v>64</v>
      </c>
      <c r="E6" t="s">
        <v>52</v>
      </c>
      <c r="F6" s="2">
        <v>46203</v>
      </c>
      <c r="G6" s="2">
        <v>46203</v>
      </c>
      <c r="H6" s="3">
        <v>0.7</v>
      </c>
      <c r="J6" t="s">
        <v>41</v>
      </c>
      <c r="L6" t="s">
        <v>65</v>
      </c>
      <c r="M6" t="s">
        <v>66</v>
      </c>
      <c r="N6" s="2">
        <v>46178</v>
      </c>
      <c r="P6" t="s">
        <v>67</v>
      </c>
      <c r="Q6" t="s">
        <v>55</v>
      </c>
      <c r="R6" t="s">
        <v>61</v>
      </c>
      <c r="S6" s="2">
        <v>46178</v>
      </c>
      <c r="T6" s="2">
        <v>46178</v>
      </c>
      <c r="AB6">
        <v>0.7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6</v>
      </c>
      <c r="B7" t="s">
        <v>68</v>
      </c>
      <c r="C7" t="s">
        <v>63</v>
      </c>
      <c r="D7" t="s">
        <v>69</v>
      </c>
      <c r="E7" t="s">
        <v>52</v>
      </c>
      <c r="F7" s="2">
        <v>46161</v>
      </c>
      <c r="G7" s="2">
        <v>46161</v>
      </c>
      <c r="H7" s="3">
        <v>1</v>
      </c>
      <c r="I7" s="2">
        <v>46161</v>
      </c>
      <c r="J7" t="s">
        <v>53</v>
      </c>
      <c r="L7" t="s">
        <v>70</v>
      </c>
      <c r="M7" t="s">
        <v>59</v>
      </c>
      <c r="N7" s="2">
        <v>46161</v>
      </c>
      <c r="P7" t="s">
        <v>60</v>
      </c>
      <c r="Q7" t="s">
        <v>55</v>
      </c>
      <c r="R7" t="s">
        <v>61</v>
      </c>
      <c r="S7" s="2">
        <v>46161</v>
      </c>
      <c r="T7" s="2">
        <v>46161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7</v>
      </c>
      <c r="B8" t="s">
        <v>71</v>
      </c>
      <c r="C8" t="s">
        <v>63</v>
      </c>
      <c r="D8" t="s">
        <v>72</v>
      </c>
      <c r="E8" t="s">
        <v>52</v>
      </c>
      <c r="F8" s="2">
        <v>46188</v>
      </c>
      <c r="G8" s="2">
        <v>46188</v>
      </c>
      <c r="H8" s="3">
        <v>1</v>
      </c>
      <c r="I8" s="2">
        <v>46188</v>
      </c>
      <c r="J8" t="s">
        <v>53</v>
      </c>
      <c r="L8">
        <v>297</v>
      </c>
      <c r="M8" t="s">
        <v>66</v>
      </c>
      <c r="N8" s="2">
        <v>46178</v>
      </c>
      <c r="P8" t="s">
        <v>73</v>
      </c>
      <c r="Q8" t="s">
        <v>55</v>
      </c>
      <c r="R8" t="s">
        <v>61</v>
      </c>
      <c r="S8" s="2">
        <v>46178</v>
      </c>
      <c r="T8" s="2">
        <v>46178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8</v>
      </c>
      <c r="B9" t="s">
        <v>74</v>
      </c>
      <c r="C9" t="s">
        <v>63</v>
      </c>
      <c r="D9" t="s">
        <v>75</v>
      </c>
      <c r="E9" t="s">
        <v>52</v>
      </c>
      <c r="F9" s="2">
        <v>46182</v>
      </c>
      <c r="G9" s="2">
        <v>46182</v>
      </c>
      <c r="H9" s="3">
        <v>1</v>
      </c>
      <c r="I9" s="2">
        <v>46182</v>
      </c>
      <c r="J9" t="s">
        <v>53</v>
      </c>
      <c r="L9">
        <v>413</v>
      </c>
      <c r="M9" t="s">
        <v>66</v>
      </c>
      <c r="N9" s="2">
        <v>46178</v>
      </c>
      <c r="P9" t="s">
        <v>76</v>
      </c>
      <c r="Q9" t="s">
        <v>55</v>
      </c>
      <c r="R9" t="s">
        <v>61</v>
      </c>
      <c r="S9" s="2">
        <v>46178</v>
      </c>
      <c r="T9" s="2">
        <v>46178</v>
      </c>
      <c r="U9" t="s">
        <v>77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9</v>
      </c>
      <c r="B10" t="s">
        <v>78</v>
      </c>
      <c r="C10" t="s">
        <v>63</v>
      </c>
      <c r="D10" t="s">
        <v>79</v>
      </c>
      <c r="E10" t="s">
        <v>52</v>
      </c>
      <c r="F10" s="2">
        <v>46164</v>
      </c>
      <c r="G10" s="2">
        <v>46164</v>
      </c>
      <c r="H10" s="3">
        <v>1</v>
      </c>
      <c r="I10" s="2">
        <v>46164</v>
      </c>
      <c r="J10" t="s">
        <v>53</v>
      </c>
      <c r="L10">
        <v>150</v>
      </c>
      <c r="M10" t="s">
        <v>80</v>
      </c>
      <c r="N10" s="2">
        <v>46164</v>
      </c>
      <c r="P10" t="s">
        <v>60</v>
      </c>
      <c r="Q10" t="s">
        <v>55</v>
      </c>
      <c r="R10" t="s">
        <v>61</v>
      </c>
      <c r="S10" s="2">
        <v>46164</v>
      </c>
      <c r="T10" s="2">
        <v>46164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10</v>
      </c>
      <c r="B11" t="s">
        <v>81</v>
      </c>
      <c r="C11" t="s">
        <v>63</v>
      </c>
      <c r="D11" t="s">
        <v>82</v>
      </c>
      <c r="E11" t="s">
        <v>52</v>
      </c>
      <c r="F11" s="2">
        <v>46216</v>
      </c>
      <c r="G11" s="2">
        <v>46216</v>
      </c>
      <c r="H11" s="3">
        <v>0</v>
      </c>
      <c r="J11" t="s">
        <v>41</v>
      </c>
      <c r="L11">
        <v>240</v>
      </c>
      <c r="M11" t="s">
        <v>66</v>
      </c>
      <c r="N11" s="2">
        <v>46178</v>
      </c>
      <c r="P11" t="s">
        <v>43</v>
      </c>
      <c r="Q11" t="s">
        <v>55</v>
      </c>
      <c r="R11" t="s">
        <v>61</v>
      </c>
      <c r="S11" s="2">
        <v>46178</v>
      </c>
      <c r="T11" s="2">
        <v>46178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11</v>
      </c>
      <c r="B12" t="s">
        <v>83</v>
      </c>
      <c r="C12" t="s">
        <v>50</v>
      </c>
      <c r="D12" t="s">
        <v>84</v>
      </c>
      <c r="E12" t="s">
        <v>85</v>
      </c>
      <c r="F12" s="2">
        <v>46141</v>
      </c>
      <c r="G12" s="2">
        <v>46141</v>
      </c>
      <c r="H12" s="3">
        <v>1</v>
      </c>
      <c r="I12" s="2">
        <v>46141</v>
      </c>
      <c r="J12" t="s">
        <v>53</v>
      </c>
      <c r="M12" t="s">
        <v>86</v>
      </c>
      <c r="N12" s="2">
        <v>46141</v>
      </c>
      <c r="P12" t="s">
        <v>43</v>
      </c>
      <c r="Q12" t="s">
        <v>55</v>
      </c>
      <c r="R12" t="s">
        <v>87</v>
      </c>
      <c r="S12" s="2">
        <v>46141</v>
      </c>
      <c r="T12" s="2">
        <v>46141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12</v>
      </c>
      <c r="B13" t="s">
        <v>88</v>
      </c>
      <c r="C13" t="s">
        <v>89</v>
      </c>
      <c r="D13" t="s">
        <v>90</v>
      </c>
      <c r="E13" t="s">
        <v>52</v>
      </c>
      <c r="F13" s="2">
        <v>46141</v>
      </c>
      <c r="G13" s="2">
        <v>46141</v>
      </c>
      <c r="H13" s="3">
        <v>1</v>
      </c>
      <c r="I13" s="2">
        <v>46141</v>
      </c>
      <c r="J13" t="s">
        <v>53</v>
      </c>
      <c r="M13" t="s">
        <v>86</v>
      </c>
      <c r="N13" s="2">
        <v>46141</v>
      </c>
      <c r="P13" t="s">
        <v>43</v>
      </c>
      <c r="Q13" t="s">
        <v>55</v>
      </c>
      <c r="R13" t="s">
        <v>87</v>
      </c>
      <c r="S13" s="2">
        <v>46141</v>
      </c>
      <c r="T13" s="2">
        <v>46141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13</v>
      </c>
      <c r="B14" t="s">
        <v>91</v>
      </c>
      <c r="C14" t="s">
        <v>50</v>
      </c>
      <c r="D14" t="s">
        <v>92</v>
      </c>
      <c r="E14" t="s">
        <v>93</v>
      </c>
      <c r="F14" s="2">
        <v>46139</v>
      </c>
      <c r="G14" s="2">
        <v>46175</v>
      </c>
      <c r="H14" s="3">
        <v>1</v>
      </c>
      <c r="I14" s="2">
        <v>46175</v>
      </c>
      <c r="J14" t="s">
        <v>53</v>
      </c>
      <c r="M14" t="s">
        <v>42</v>
      </c>
      <c r="N14" s="2">
        <v>46174</v>
      </c>
      <c r="P14" t="s">
        <v>43</v>
      </c>
      <c r="Q14" t="s">
        <v>55</v>
      </c>
      <c r="R14" t="s">
        <v>94</v>
      </c>
      <c r="S14" s="2">
        <v>46139</v>
      </c>
      <c r="T14" s="2">
        <v>46160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14</v>
      </c>
      <c r="B15" t="s">
        <v>95</v>
      </c>
      <c r="C15" t="s">
        <v>96</v>
      </c>
      <c r="D15" t="s">
        <v>97</v>
      </c>
      <c r="E15" t="s">
        <v>93</v>
      </c>
      <c r="F15" s="2">
        <v>46139</v>
      </c>
      <c r="G15" s="2">
        <v>46175</v>
      </c>
      <c r="H15" s="3">
        <v>1</v>
      </c>
      <c r="I15" s="2">
        <v>46175</v>
      </c>
      <c r="J15" t="s">
        <v>53</v>
      </c>
      <c r="M15" t="s">
        <v>42</v>
      </c>
      <c r="N15" s="2">
        <v>46174</v>
      </c>
      <c r="P15" t="s">
        <v>43</v>
      </c>
      <c r="Q15" t="s">
        <v>55</v>
      </c>
      <c r="R15" t="s">
        <v>94</v>
      </c>
      <c r="S15" s="2">
        <v>46139</v>
      </c>
      <c r="T15" s="2">
        <v>46155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15</v>
      </c>
      <c r="B16" t="s">
        <v>98</v>
      </c>
      <c r="C16" t="s">
        <v>99</v>
      </c>
      <c r="D16" t="s">
        <v>100</v>
      </c>
      <c r="E16" t="s">
        <v>101</v>
      </c>
      <c r="F16" s="2">
        <v>46139</v>
      </c>
      <c r="G16" s="2">
        <v>46141</v>
      </c>
      <c r="H16" s="3">
        <v>1</v>
      </c>
      <c r="I16" s="2">
        <v>46141</v>
      </c>
      <c r="J16" t="s">
        <v>53</v>
      </c>
      <c r="K16">
        <v>3</v>
      </c>
      <c r="L16" t="s">
        <v>102</v>
      </c>
      <c r="M16" t="s">
        <v>42</v>
      </c>
      <c r="N16" s="2">
        <v>46141</v>
      </c>
      <c r="P16" t="s">
        <v>43</v>
      </c>
      <c r="Q16" t="s">
        <v>55</v>
      </c>
      <c r="R16" t="s">
        <v>94</v>
      </c>
      <c r="S16" s="2">
        <v>46139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16</v>
      </c>
      <c r="B17" t="s">
        <v>103</v>
      </c>
      <c r="C17" t="s">
        <v>99</v>
      </c>
      <c r="D17" t="s">
        <v>104</v>
      </c>
      <c r="E17" t="s">
        <v>52</v>
      </c>
      <c r="F17" s="2">
        <v>46142</v>
      </c>
      <c r="G17" s="2">
        <v>46142</v>
      </c>
      <c r="H17" s="3">
        <v>1</v>
      </c>
      <c r="I17" s="2">
        <v>46142</v>
      </c>
      <c r="J17" t="s">
        <v>53</v>
      </c>
      <c r="K17">
        <v>15</v>
      </c>
      <c r="L17" t="s">
        <v>105</v>
      </c>
      <c r="M17" t="s">
        <v>106</v>
      </c>
      <c r="N17" s="2">
        <v>46142</v>
      </c>
      <c r="P17" t="s">
        <v>43</v>
      </c>
      <c r="Q17" t="s">
        <v>55</v>
      </c>
      <c r="R17" t="s">
        <v>94</v>
      </c>
      <c r="S17" s="2">
        <v>46142</v>
      </c>
      <c r="T17" s="2">
        <v>46142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17</v>
      </c>
      <c r="B18" t="s">
        <v>107</v>
      </c>
      <c r="C18" t="s">
        <v>99</v>
      </c>
      <c r="D18" t="s">
        <v>108</v>
      </c>
      <c r="E18" t="s">
        <v>109</v>
      </c>
      <c r="F18" s="2">
        <v>46143</v>
      </c>
      <c r="G18" s="2">
        <v>46154</v>
      </c>
      <c r="H18" s="3">
        <v>1</v>
      </c>
      <c r="I18" s="2">
        <v>46154</v>
      </c>
      <c r="J18" t="s">
        <v>53</v>
      </c>
      <c r="K18" t="s">
        <v>110</v>
      </c>
      <c r="L18" t="s">
        <v>111</v>
      </c>
      <c r="M18" t="s">
        <v>112</v>
      </c>
      <c r="N18" s="2">
        <v>46154</v>
      </c>
      <c r="P18" t="s">
        <v>43</v>
      </c>
      <c r="Q18" t="s">
        <v>55</v>
      </c>
      <c r="R18" t="s">
        <v>94</v>
      </c>
      <c r="S18" s="2">
        <v>46143</v>
      </c>
      <c r="T18" s="2">
        <v>46154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18</v>
      </c>
      <c r="B19" t="s">
        <v>113</v>
      </c>
      <c r="C19" t="s">
        <v>99</v>
      </c>
      <c r="D19" t="s">
        <v>114</v>
      </c>
      <c r="E19" t="s">
        <v>115</v>
      </c>
      <c r="F19" s="2">
        <v>46174</v>
      </c>
      <c r="G19" s="2">
        <v>46175</v>
      </c>
      <c r="H19" s="3">
        <v>1</v>
      </c>
      <c r="I19" s="2">
        <v>46175</v>
      </c>
      <c r="J19" t="s">
        <v>53</v>
      </c>
      <c r="K19" t="s">
        <v>116</v>
      </c>
      <c r="M19" t="s">
        <v>117</v>
      </c>
      <c r="N19" s="2">
        <v>46174</v>
      </c>
      <c r="P19" t="s">
        <v>118</v>
      </c>
      <c r="Q19" t="s">
        <v>55</v>
      </c>
      <c r="R19" t="s">
        <v>94</v>
      </c>
      <c r="S19" s="2">
        <v>46154</v>
      </c>
      <c r="T19" s="2">
        <v>46155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x14ac:dyDescent="0.25">
      <c r="A20">
        <v>19</v>
      </c>
      <c r="B20" t="s">
        <v>119</v>
      </c>
      <c r="C20" t="s">
        <v>96</v>
      </c>
      <c r="D20" t="s">
        <v>120</v>
      </c>
      <c r="E20" t="s">
        <v>121</v>
      </c>
      <c r="F20" s="2">
        <v>46142</v>
      </c>
      <c r="G20" s="2">
        <v>46174</v>
      </c>
      <c r="H20" s="3">
        <v>1</v>
      </c>
      <c r="I20" s="2">
        <v>46174</v>
      </c>
      <c r="J20" t="s">
        <v>53</v>
      </c>
      <c r="M20" t="s">
        <v>106</v>
      </c>
      <c r="N20" s="2">
        <v>46171</v>
      </c>
      <c r="P20" t="s">
        <v>43</v>
      </c>
      <c r="Q20" t="s">
        <v>55</v>
      </c>
      <c r="R20" t="s">
        <v>94</v>
      </c>
      <c r="S20" s="2">
        <v>46142</v>
      </c>
      <c r="T20" s="2">
        <v>46160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20</v>
      </c>
      <c r="B21" t="s">
        <v>122</v>
      </c>
      <c r="C21" t="s">
        <v>123</v>
      </c>
      <c r="D21" t="s">
        <v>100</v>
      </c>
      <c r="E21" t="s">
        <v>101</v>
      </c>
      <c r="F21" s="2">
        <v>46142</v>
      </c>
      <c r="G21" s="2">
        <v>46146</v>
      </c>
      <c r="H21" s="3">
        <v>1</v>
      </c>
      <c r="I21" s="2">
        <v>46146</v>
      </c>
      <c r="J21" t="s">
        <v>53</v>
      </c>
      <c r="K21">
        <v>15</v>
      </c>
      <c r="L21" t="s">
        <v>124</v>
      </c>
      <c r="M21" t="s">
        <v>106</v>
      </c>
      <c r="N21" s="2">
        <v>46146</v>
      </c>
      <c r="P21" t="s">
        <v>43</v>
      </c>
      <c r="Q21" t="s">
        <v>55</v>
      </c>
      <c r="R21" t="s">
        <v>94</v>
      </c>
      <c r="S21" s="2">
        <v>46142</v>
      </c>
      <c r="T21" s="2">
        <v>46146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 x14ac:dyDescent="0.25">
      <c r="A22">
        <v>21</v>
      </c>
      <c r="B22" t="s">
        <v>125</v>
      </c>
      <c r="C22" t="s">
        <v>123</v>
      </c>
      <c r="D22" t="s">
        <v>104</v>
      </c>
      <c r="E22" t="s">
        <v>52</v>
      </c>
      <c r="F22" s="2">
        <v>46147</v>
      </c>
      <c r="G22" s="2">
        <v>46147</v>
      </c>
      <c r="H22" s="3">
        <v>1</v>
      </c>
      <c r="I22" s="2">
        <v>46147</v>
      </c>
      <c r="J22" t="s">
        <v>53</v>
      </c>
      <c r="K22">
        <v>20</v>
      </c>
      <c r="L22" t="s">
        <v>126</v>
      </c>
      <c r="M22" t="s">
        <v>127</v>
      </c>
      <c r="N22" s="2">
        <v>46147</v>
      </c>
      <c r="P22" t="s">
        <v>43</v>
      </c>
      <c r="Q22" t="s">
        <v>55</v>
      </c>
      <c r="R22" t="s">
        <v>94</v>
      </c>
      <c r="S22" s="2">
        <v>46147</v>
      </c>
      <c r="T22" s="2">
        <v>46147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22</v>
      </c>
      <c r="B23" t="s">
        <v>128</v>
      </c>
      <c r="C23" t="s">
        <v>123</v>
      </c>
      <c r="D23" t="s">
        <v>108</v>
      </c>
      <c r="E23" t="s">
        <v>109</v>
      </c>
      <c r="F23" s="2">
        <v>46148</v>
      </c>
      <c r="G23" s="2">
        <v>46157</v>
      </c>
      <c r="H23" s="3">
        <v>1</v>
      </c>
      <c r="I23" s="2">
        <v>46157</v>
      </c>
      <c r="J23" t="s">
        <v>53</v>
      </c>
      <c r="K23" t="s">
        <v>129</v>
      </c>
      <c r="L23" t="s">
        <v>130</v>
      </c>
      <c r="M23" t="s">
        <v>131</v>
      </c>
      <c r="N23" s="2">
        <v>46157</v>
      </c>
      <c r="P23" t="s">
        <v>43</v>
      </c>
      <c r="Q23" t="s">
        <v>55</v>
      </c>
      <c r="R23" t="s">
        <v>94</v>
      </c>
      <c r="S23" s="2">
        <v>46148</v>
      </c>
      <c r="T23" s="2">
        <v>46157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23</v>
      </c>
      <c r="B24" t="s">
        <v>132</v>
      </c>
      <c r="C24" t="s">
        <v>123</v>
      </c>
      <c r="D24" t="s">
        <v>114</v>
      </c>
      <c r="E24" t="s">
        <v>115</v>
      </c>
      <c r="F24" s="2">
        <v>46171</v>
      </c>
      <c r="G24" s="2">
        <v>46174</v>
      </c>
      <c r="H24" s="3">
        <v>1</v>
      </c>
      <c r="I24" s="2">
        <v>46174</v>
      </c>
      <c r="J24" t="s">
        <v>53</v>
      </c>
      <c r="K24" t="s">
        <v>133</v>
      </c>
      <c r="M24" t="s">
        <v>134</v>
      </c>
      <c r="N24" s="2">
        <v>46171</v>
      </c>
      <c r="P24" t="s">
        <v>135</v>
      </c>
      <c r="Q24" t="s">
        <v>55</v>
      </c>
      <c r="R24" t="s">
        <v>94</v>
      </c>
      <c r="S24" s="2">
        <v>46157</v>
      </c>
      <c r="T24" s="2">
        <v>46160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</row>
    <row r="25" spans="1:39" x14ac:dyDescent="0.25">
      <c r="A25">
        <v>50</v>
      </c>
      <c r="B25" t="s">
        <v>136</v>
      </c>
      <c r="C25" t="s">
        <v>50</v>
      </c>
      <c r="D25" t="s">
        <v>137</v>
      </c>
      <c r="E25" t="s">
        <v>138</v>
      </c>
      <c r="F25" s="2">
        <v>46178</v>
      </c>
      <c r="G25" s="2">
        <v>46184</v>
      </c>
      <c r="H25" s="3">
        <v>1</v>
      </c>
      <c r="I25" s="2">
        <v>46184</v>
      </c>
      <c r="J25" t="s">
        <v>53</v>
      </c>
      <c r="M25" t="s">
        <v>66</v>
      </c>
      <c r="N25" s="2">
        <v>46184</v>
      </c>
      <c r="P25" t="s">
        <v>118</v>
      </c>
      <c r="Q25" t="s">
        <v>55</v>
      </c>
      <c r="R25" t="s">
        <v>139</v>
      </c>
      <c r="S25" s="2">
        <v>46147</v>
      </c>
      <c r="T25" s="2">
        <v>46195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61</v>
      </c>
      <c r="B26" t="s">
        <v>140</v>
      </c>
      <c r="C26" t="s">
        <v>141</v>
      </c>
      <c r="D26" t="s">
        <v>142</v>
      </c>
      <c r="E26" t="s">
        <v>138</v>
      </c>
      <c r="F26" s="2">
        <v>46178</v>
      </c>
      <c r="G26" s="2">
        <v>46184</v>
      </c>
      <c r="H26" s="3">
        <v>1</v>
      </c>
      <c r="I26" s="2">
        <v>46184</v>
      </c>
      <c r="J26" t="s">
        <v>53</v>
      </c>
      <c r="M26" t="s">
        <v>66</v>
      </c>
      <c r="N26" s="2">
        <v>46184</v>
      </c>
      <c r="P26" t="s">
        <v>118</v>
      </c>
      <c r="Q26" t="s">
        <v>55</v>
      </c>
      <c r="R26" t="s">
        <v>139</v>
      </c>
      <c r="S26" s="2">
        <v>46156</v>
      </c>
      <c r="T26" s="2">
        <v>46162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62</v>
      </c>
      <c r="B27" t="s">
        <v>143</v>
      </c>
      <c r="C27" t="s">
        <v>144</v>
      </c>
      <c r="D27" t="s">
        <v>100</v>
      </c>
      <c r="E27" t="s">
        <v>52</v>
      </c>
      <c r="F27" s="2">
        <v>46178</v>
      </c>
      <c r="G27" s="2">
        <v>46178</v>
      </c>
      <c r="H27" s="3">
        <v>1</v>
      </c>
      <c r="I27" s="2">
        <v>46178</v>
      </c>
      <c r="J27" t="s">
        <v>53</v>
      </c>
      <c r="K27" t="s">
        <v>145</v>
      </c>
      <c r="L27" t="s">
        <v>146</v>
      </c>
      <c r="M27" t="s">
        <v>66</v>
      </c>
      <c r="N27" s="2">
        <v>46178</v>
      </c>
      <c r="P27" t="s">
        <v>118</v>
      </c>
      <c r="Q27" t="s">
        <v>55</v>
      </c>
      <c r="R27" t="s">
        <v>139</v>
      </c>
      <c r="S27" s="2">
        <v>46156</v>
      </c>
      <c r="T27" s="2">
        <v>46156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</row>
    <row r="28" spans="1:39" x14ac:dyDescent="0.25">
      <c r="A28">
        <v>63</v>
      </c>
      <c r="B28" t="s">
        <v>147</v>
      </c>
      <c r="C28" t="s">
        <v>144</v>
      </c>
      <c r="D28" t="s">
        <v>104</v>
      </c>
      <c r="E28" t="s">
        <v>52</v>
      </c>
      <c r="F28" s="2">
        <v>46181</v>
      </c>
      <c r="G28" s="2">
        <v>46181</v>
      </c>
      <c r="H28" s="3">
        <v>1</v>
      </c>
      <c r="I28" s="2">
        <v>46181</v>
      </c>
      <c r="J28" t="s">
        <v>53</v>
      </c>
      <c r="K28">
        <v>62</v>
      </c>
      <c r="L28">
        <v>64</v>
      </c>
      <c r="M28" t="s">
        <v>148</v>
      </c>
      <c r="N28" s="2">
        <v>46181</v>
      </c>
      <c r="P28" t="s">
        <v>76</v>
      </c>
      <c r="Q28" t="s">
        <v>55</v>
      </c>
      <c r="R28" t="s">
        <v>139</v>
      </c>
      <c r="S28" s="2">
        <v>46157</v>
      </c>
      <c r="T28" s="2">
        <v>46157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64</v>
      </c>
      <c r="B29" t="s">
        <v>149</v>
      </c>
      <c r="C29" t="s">
        <v>144</v>
      </c>
      <c r="D29" t="s">
        <v>108</v>
      </c>
      <c r="E29" t="s">
        <v>115</v>
      </c>
      <c r="F29" s="2">
        <v>46182</v>
      </c>
      <c r="G29" s="2">
        <v>46183</v>
      </c>
      <c r="H29" s="3">
        <v>1</v>
      </c>
      <c r="I29" s="2">
        <v>46183</v>
      </c>
      <c r="J29" t="s">
        <v>53</v>
      </c>
      <c r="K29">
        <v>63</v>
      </c>
      <c r="L29">
        <v>65</v>
      </c>
      <c r="M29" t="s">
        <v>150</v>
      </c>
      <c r="N29" s="2">
        <v>46183</v>
      </c>
      <c r="P29" t="s">
        <v>76</v>
      </c>
      <c r="Q29" t="s">
        <v>55</v>
      </c>
      <c r="R29" t="s">
        <v>139</v>
      </c>
      <c r="S29" s="2">
        <v>46160</v>
      </c>
      <c r="T29" s="2">
        <v>46161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65</v>
      </c>
      <c r="B30" t="s">
        <v>151</v>
      </c>
      <c r="C30" t="s">
        <v>144</v>
      </c>
      <c r="D30" t="s">
        <v>114</v>
      </c>
      <c r="E30" t="s">
        <v>52</v>
      </c>
      <c r="F30" s="2">
        <v>46184</v>
      </c>
      <c r="G30" s="2">
        <v>46184</v>
      </c>
      <c r="H30" s="3">
        <v>1</v>
      </c>
      <c r="I30" s="2">
        <v>46184</v>
      </c>
      <c r="J30" t="s">
        <v>53</v>
      </c>
      <c r="K30">
        <v>64</v>
      </c>
      <c r="M30" t="s">
        <v>152</v>
      </c>
      <c r="N30" s="2">
        <v>46184</v>
      </c>
      <c r="P30" t="s">
        <v>76</v>
      </c>
      <c r="Q30" t="s">
        <v>55</v>
      </c>
      <c r="R30" t="s">
        <v>139</v>
      </c>
      <c r="S30" s="2">
        <v>46162</v>
      </c>
      <c r="T30" s="2">
        <v>46162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</row>
    <row r="31" spans="1:39" x14ac:dyDescent="0.25">
      <c r="A31">
        <v>66</v>
      </c>
      <c r="B31" t="s">
        <v>153</v>
      </c>
      <c r="C31" t="s">
        <v>50</v>
      </c>
      <c r="D31" t="s">
        <v>154</v>
      </c>
      <c r="E31" t="s">
        <v>155</v>
      </c>
      <c r="F31" s="2">
        <v>46160</v>
      </c>
      <c r="G31" s="2">
        <v>46218</v>
      </c>
      <c r="H31" s="3">
        <v>0.62</v>
      </c>
      <c r="J31" t="s">
        <v>41</v>
      </c>
      <c r="M31" t="s">
        <v>156</v>
      </c>
      <c r="N31" s="2">
        <v>46203</v>
      </c>
      <c r="P31" t="s">
        <v>135</v>
      </c>
      <c r="Q31" t="s">
        <v>55</v>
      </c>
      <c r="R31" t="s">
        <v>157</v>
      </c>
      <c r="S31" s="2">
        <v>46147</v>
      </c>
      <c r="T31" s="2">
        <v>46195</v>
      </c>
      <c r="AB31">
        <v>0.62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77</v>
      </c>
      <c r="B32" t="s">
        <v>158</v>
      </c>
      <c r="C32" t="s">
        <v>159</v>
      </c>
      <c r="D32" t="s">
        <v>160</v>
      </c>
      <c r="E32" t="s">
        <v>161</v>
      </c>
      <c r="F32" s="2">
        <v>46184</v>
      </c>
      <c r="G32" s="2">
        <v>46195</v>
      </c>
      <c r="H32" s="3">
        <v>1</v>
      </c>
      <c r="I32" s="2">
        <v>46195</v>
      </c>
      <c r="J32" t="s">
        <v>53</v>
      </c>
      <c r="M32" t="s">
        <v>156</v>
      </c>
      <c r="N32" s="2">
        <v>46175</v>
      </c>
      <c r="P32" t="s">
        <v>76</v>
      </c>
      <c r="Q32" t="s">
        <v>55</v>
      </c>
      <c r="R32" t="s">
        <v>157</v>
      </c>
      <c r="S32" s="2">
        <v>46156</v>
      </c>
      <c r="T32" s="2">
        <v>46163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78</v>
      </c>
      <c r="B33" t="s">
        <v>162</v>
      </c>
      <c r="C33" t="s">
        <v>163</v>
      </c>
      <c r="D33" t="s">
        <v>100</v>
      </c>
      <c r="E33" t="s">
        <v>115</v>
      </c>
      <c r="F33" s="2">
        <v>46184</v>
      </c>
      <c r="G33" s="2">
        <v>46185</v>
      </c>
      <c r="H33" s="3">
        <v>1</v>
      </c>
      <c r="I33" s="2">
        <v>46185</v>
      </c>
      <c r="J33" t="s">
        <v>53</v>
      </c>
      <c r="K33" t="s">
        <v>164</v>
      </c>
      <c r="L33" t="s">
        <v>165</v>
      </c>
      <c r="M33" t="s">
        <v>156</v>
      </c>
      <c r="N33" s="2">
        <v>46169</v>
      </c>
      <c r="P33" t="s">
        <v>76</v>
      </c>
      <c r="Q33" t="s">
        <v>55</v>
      </c>
      <c r="R33" t="s">
        <v>157</v>
      </c>
      <c r="S33" s="2">
        <v>46156</v>
      </c>
      <c r="T33" s="2">
        <v>46157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  <row r="34" spans="1:39" x14ac:dyDescent="0.25">
      <c r="A34">
        <v>79</v>
      </c>
      <c r="B34" t="s">
        <v>166</v>
      </c>
      <c r="C34" t="s">
        <v>163</v>
      </c>
      <c r="D34" t="s">
        <v>104</v>
      </c>
      <c r="E34" t="s">
        <v>167</v>
      </c>
      <c r="F34" s="2">
        <v>46185</v>
      </c>
      <c r="G34" s="2">
        <v>46190</v>
      </c>
      <c r="H34" s="3">
        <v>1</v>
      </c>
      <c r="I34" s="2">
        <v>46190</v>
      </c>
      <c r="J34" t="s">
        <v>53</v>
      </c>
      <c r="K34">
        <v>78</v>
      </c>
      <c r="L34">
        <v>80</v>
      </c>
      <c r="M34" t="s">
        <v>134</v>
      </c>
      <c r="N34" s="2">
        <v>46170</v>
      </c>
      <c r="P34" t="s">
        <v>73</v>
      </c>
      <c r="Q34" t="s">
        <v>55</v>
      </c>
      <c r="R34" t="s">
        <v>157</v>
      </c>
      <c r="S34" s="2">
        <v>46160</v>
      </c>
      <c r="T34" s="2">
        <v>46160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80</v>
      </c>
      <c r="B35" t="s">
        <v>168</v>
      </c>
      <c r="C35" t="s">
        <v>163</v>
      </c>
      <c r="D35" t="s">
        <v>108</v>
      </c>
      <c r="E35" t="s">
        <v>115</v>
      </c>
      <c r="F35" s="2">
        <v>46191</v>
      </c>
      <c r="G35" s="2">
        <v>46192</v>
      </c>
      <c r="H35" s="3">
        <v>1</v>
      </c>
      <c r="I35" s="2">
        <v>46192</v>
      </c>
      <c r="J35" t="s">
        <v>53</v>
      </c>
      <c r="K35">
        <v>79</v>
      </c>
      <c r="L35" t="s">
        <v>169</v>
      </c>
      <c r="M35" t="s">
        <v>117</v>
      </c>
      <c r="N35" s="2">
        <v>46174</v>
      </c>
      <c r="P35" t="s">
        <v>73</v>
      </c>
      <c r="Q35" t="s">
        <v>55</v>
      </c>
      <c r="R35" t="s">
        <v>157</v>
      </c>
      <c r="S35" s="2">
        <v>46161</v>
      </c>
      <c r="T35" s="2">
        <v>46162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81</v>
      </c>
      <c r="B36" t="s">
        <v>170</v>
      </c>
      <c r="C36" t="s">
        <v>163</v>
      </c>
      <c r="D36" t="s">
        <v>114</v>
      </c>
      <c r="E36" t="s">
        <v>115</v>
      </c>
      <c r="F36" s="2">
        <v>46192</v>
      </c>
      <c r="G36" s="2">
        <v>46195</v>
      </c>
      <c r="H36" s="3">
        <v>1</v>
      </c>
      <c r="I36" s="2">
        <v>46195</v>
      </c>
      <c r="J36" t="s">
        <v>53</v>
      </c>
      <c r="K36">
        <v>80</v>
      </c>
      <c r="M36" t="s">
        <v>171</v>
      </c>
      <c r="N36" s="2">
        <v>46175</v>
      </c>
      <c r="P36" t="s">
        <v>73</v>
      </c>
      <c r="Q36" t="s">
        <v>55</v>
      </c>
      <c r="R36" t="s">
        <v>157</v>
      </c>
      <c r="S36" s="2">
        <v>46163</v>
      </c>
      <c r="T36" s="2">
        <v>46163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</row>
    <row r="37" spans="1:39" x14ac:dyDescent="0.25">
      <c r="A37">
        <v>82</v>
      </c>
      <c r="B37" t="s">
        <v>172</v>
      </c>
      <c r="C37" t="s">
        <v>159</v>
      </c>
      <c r="D37" t="s">
        <v>173</v>
      </c>
      <c r="E37" t="s">
        <v>174</v>
      </c>
      <c r="F37" s="2">
        <v>46182</v>
      </c>
      <c r="G37" s="2">
        <v>46190</v>
      </c>
      <c r="H37" s="3">
        <v>0.5</v>
      </c>
      <c r="J37" t="s">
        <v>41</v>
      </c>
      <c r="M37" t="s">
        <v>171</v>
      </c>
      <c r="N37" s="2">
        <v>46183</v>
      </c>
      <c r="P37" t="s">
        <v>76</v>
      </c>
      <c r="Q37" t="s">
        <v>55</v>
      </c>
      <c r="R37" t="s">
        <v>157</v>
      </c>
      <c r="S37" s="2">
        <v>46168</v>
      </c>
      <c r="T37" s="2">
        <v>46176</v>
      </c>
      <c r="AB37">
        <v>0.5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83</v>
      </c>
      <c r="B38" t="s">
        <v>175</v>
      </c>
      <c r="C38" t="s">
        <v>176</v>
      </c>
      <c r="D38" t="s">
        <v>100</v>
      </c>
      <c r="E38" t="s">
        <v>101</v>
      </c>
      <c r="F38" s="2">
        <v>46182</v>
      </c>
      <c r="G38" s="2">
        <v>46185</v>
      </c>
      <c r="H38" s="3">
        <v>1</v>
      </c>
      <c r="I38" s="2">
        <v>46185</v>
      </c>
      <c r="J38" t="s">
        <v>53</v>
      </c>
      <c r="K38" t="s">
        <v>177</v>
      </c>
      <c r="L38">
        <v>84</v>
      </c>
      <c r="M38" t="s">
        <v>171</v>
      </c>
      <c r="N38" s="2">
        <v>46177</v>
      </c>
      <c r="P38" t="s">
        <v>76</v>
      </c>
      <c r="Q38" t="s">
        <v>55</v>
      </c>
      <c r="R38" t="s">
        <v>157</v>
      </c>
      <c r="S38" s="2">
        <v>46168</v>
      </c>
      <c r="T38" s="2">
        <v>46170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</row>
    <row r="39" spans="1:39" x14ac:dyDescent="0.25">
      <c r="A39">
        <v>84</v>
      </c>
      <c r="B39" t="s">
        <v>178</v>
      </c>
      <c r="C39" t="s">
        <v>176</v>
      </c>
      <c r="D39" t="s">
        <v>104</v>
      </c>
      <c r="E39" t="s">
        <v>52</v>
      </c>
      <c r="F39" s="2">
        <v>46188</v>
      </c>
      <c r="G39" s="2">
        <v>46188</v>
      </c>
      <c r="H39" s="3">
        <v>0</v>
      </c>
      <c r="J39" t="s">
        <v>41</v>
      </c>
      <c r="K39">
        <v>83</v>
      </c>
      <c r="L39">
        <v>85</v>
      </c>
      <c r="M39" t="s">
        <v>66</v>
      </c>
      <c r="N39" s="2">
        <v>46178</v>
      </c>
      <c r="P39" t="s">
        <v>179</v>
      </c>
      <c r="Q39" t="s">
        <v>55</v>
      </c>
      <c r="R39" t="s">
        <v>157</v>
      </c>
      <c r="S39" s="2">
        <v>46171</v>
      </c>
      <c r="T39" s="2">
        <v>46171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85</v>
      </c>
      <c r="B40" t="s">
        <v>180</v>
      </c>
      <c r="C40" t="s">
        <v>176</v>
      </c>
      <c r="D40" t="s">
        <v>108</v>
      </c>
      <c r="E40" t="s">
        <v>52</v>
      </c>
      <c r="F40" s="2">
        <v>46189</v>
      </c>
      <c r="G40" s="2">
        <v>46189</v>
      </c>
      <c r="H40" s="3">
        <v>0</v>
      </c>
      <c r="J40" t="s">
        <v>41</v>
      </c>
      <c r="K40">
        <v>84</v>
      </c>
      <c r="L40">
        <v>86</v>
      </c>
      <c r="M40" t="s">
        <v>148</v>
      </c>
      <c r="N40" s="2">
        <v>46182</v>
      </c>
      <c r="P40" t="s">
        <v>179</v>
      </c>
      <c r="Q40" t="s">
        <v>55</v>
      </c>
      <c r="R40" t="s">
        <v>157</v>
      </c>
      <c r="S40" s="2">
        <v>46174</v>
      </c>
      <c r="T40" s="2">
        <v>46175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</row>
    <row r="41" spans="1:39" x14ac:dyDescent="0.25">
      <c r="A41">
        <v>86</v>
      </c>
      <c r="B41" t="s">
        <v>181</v>
      </c>
      <c r="C41" t="s">
        <v>176</v>
      </c>
      <c r="D41" t="s">
        <v>114</v>
      </c>
      <c r="E41" t="s">
        <v>52</v>
      </c>
      <c r="F41" s="2">
        <v>46190</v>
      </c>
      <c r="G41" s="2">
        <v>46190</v>
      </c>
      <c r="H41" s="3">
        <v>0</v>
      </c>
      <c r="J41" t="s">
        <v>41</v>
      </c>
      <c r="K41">
        <v>85</v>
      </c>
      <c r="M41" t="s">
        <v>182</v>
      </c>
      <c r="N41" s="2">
        <v>46183</v>
      </c>
      <c r="P41" t="s">
        <v>67</v>
      </c>
      <c r="Q41" t="s">
        <v>55</v>
      </c>
      <c r="R41" t="s">
        <v>157</v>
      </c>
      <c r="S41" s="2">
        <v>46176</v>
      </c>
      <c r="T41" s="2">
        <v>46176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</row>
    <row r="42" spans="1:39" x14ac:dyDescent="0.25">
      <c r="A42">
        <v>87</v>
      </c>
      <c r="B42" t="s">
        <v>183</v>
      </c>
      <c r="C42" t="s">
        <v>159</v>
      </c>
      <c r="D42" t="s">
        <v>184</v>
      </c>
      <c r="E42" t="s">
        <v>185</v>
      </c>
      <c r="F42" s="2">
        <v>46203</v>
      </c>
      <c r="G42" s="2">
        <v>46218</v>
      </c>
      <c r="H42" s="3">
        <v>0.4</v>
      </c>
      <c r="J42" t="s">
        <v>41</v>
      </c>
      <c r="M42" t="s">
        <v>186</v>
      </c>
      <c r="N42" s="2">
        <v>46203</v>
      </c>
      <c r="P42" t="s">
        <v>67</v>
      </c>
      <c r="Q42" t="s">
        <v>55</v>
      </c>
      <c r="R42" t="s">
        <v>157</v>
      </c>
      <c r="S42" s="2">
        <v>46183</v>
      </c>
      <c r="T42" s="2">
        <v>46195</v>
      </c>
      <c r="AB42">
        <v>0.4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88</v>
      </c>
      <c r="B43" t="s">
        <v>187</v>
      </c>
      <c r="C43" t="s">
        <v>188</v>
      </c>
      <c r="D43" t="s">
        <v>100</v>
      </c>
      <c r="E43" t="s">
        <v>167</v>
      </c>
      <c r="F43" s="2">
        <v>46203</v>
      </c>
      <c r="G43" s="2">
        <v>46206</v>
      </c>
      <c r="H43" s="3">
        <v>1</v>
      </c>
      <c r="I43" s="2">
        <v>46206</v>
      </c>
      <c r="J43" t="s">
        <v>53</v>
      </c>
      <c r="K43">
        <v>245</v>
      </c>
      <c r="L43">
        <v>89</v>
      </c>
      <c r="M43" t="s">
        <v>186</v>
      </c>
      <c r="N43" s="2">
        <v>46197</v>
      </c>
      <c r="P43" t="s">
        <v>67</v>
      </c>
      <c r="Q43" t="s">
        <v>55</v>
      </c>
      <c r="R43" t="s">
        <v>157</v>
      </c>
      <c r="S43" s="2">
        <v>46183</v>
      </c>
      <c r="T43" s="2">
        <v>46189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 x14ac:dyDescent="0.25">
      <c r="A44">
        <v>89</v>
      </c>
      <c r="B44" t="s">
        <v>189</v>
      </c>
      <c r="C44" t="s">
        <v>188</v>
      </c>
      <c r="D44" t="s">
        <v>104</v>
      </c>
      <c r="E44" t="s">
        <v>167</v>
      </c>
      <c r="F44" s="2">
        <v>46209</v>
      </c>
      <c r="G44" s="2">
        <v>46216</v>
      </c>
      <c r="H44" s="3">
        <v>0</v>
      </c>
      <c r="J44" t="s">
        <v>41</v>
      </c>
      <c r="K44">
        <v>88</v>
      </c>
      <c r="L44">
        <v>90</v>
      </c>
      <c r="M44" t="s">
        <v>190</v>
      </c>
      <c r="N44" s="2">
        <v>46198</v>
      </c>
      <c r="P44" t="s">
        <v>67</v>
      </c>
      <c r="Q44" t="s">
        <v>55</v>
      </c>
      <c r="R44" t="s">
        <v>157</v>
      </c>
      <c r="S44" s="2">
        <v>46190</v>
      </c>
      <c r="T44" s="2">
        <v>46190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90</v>
      </c>
      <c r="B45" t="s">
        <v>191</v>
      </c>
      <c r="C45" t="s">
        <v>188</v>
      </c>
      <c r="D45" t="s">
        <v>108</v>
      </c>
      <c r="E45" t="s">
        <v>52</v>
      </c>
      <c r="F45" s="2">
        <v>46217</v>
      </c>
      <c r="G45" s="2">
        <v>46217</v>
      </c>
      <c r="H45" s="3">
        <v>0</v>
      </c>
      <c r="J45" t="s">
        <v>192</v>
      </c>
      <c r="K45">
        <v>89</v>
      </c>
      <c r="L45">
        <v>91</v>
      </c>
      <c r="M45" t="s">
        <v>193</v>
      </c>
      <c r="N45" s="2">
        <v>46202</v>
      </c>
      <c r="P45" t="s">
        <v>194</v>
      </c>
      <c r="Q45" t="s">
        <v>55</v>
      </c>
      <c r="R45" t="s">
        <v>157</v>
      </c>
      <c r="S45" s="2">
        <v>46191</v>
      </c>
      <c r="T45" s="2">
        <v>46192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91</v>
      </c>
      <c r="B46" t="s">
        <v>195</v>
      </c>
      <c r="C46" t="s">
        <v>188</v>
      </c>
      <c r="D46" t="s">
        <v>114</v>
      </c>
      <c r="E46" t="s">
        <v>52</v>
      </c>
      <c r="F46" s="2">
        <v>46218</v>
      </c>
      <c r="G46" s="2">
        <v>46218</v>
      </c>
      <c r="H46" s="3">
        <v>0</v>
      </c>
      <c r="J46" t="s">
        <v>196</v>
      </c>
      <c r="K46">
        <v>90</v>
      </c>
      <c r="M46" t="s">
        <v>197</v>
      </c>
      <c r="N46" s="2">
        <v>46203</v>
      </c>
      <c r="P46" t="s">
        <v>194</v>
      </c>
      <c r="Q46" t="s">
        <v>55</v>
      </c>
      <c r="R46" t="s">
        <v>157</v>
      </c>
      <c r="S46" s="2">
        <v>46195</v>
      </c>
      <c r="T46" s="2">
        <v>46195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92</v>
      </c>
      <c r="B47" t="s">
        <v>198</v>
      </c>
      <c r="C47" t="s">
        <v>159</v>
      </c>
      <c r="D47" t="s">
        <v>199</v>
      </c>
      <c r="E47" t="s">
        <v>185</v>
      </c>
      <c r="F47" s="2">
        <v>46203</v>
      </c>
      <c r="G47" s="2">
        <v>46218</v>
      </c>
      <c r="H47" s="3">
        <v>0.4</v>
      </c>
      <c r="J47" t="s">
        <v>41</v>
      </c>
      <c r="M47" t="s">
        <v>186</v>
      </c>
      <c r="N47" s="2">
        <v>46203</v>
      </c>
      <c r="P47" t="s">
        <v>67</v>
      </c>
      <c r="Q47" t="s">
        <v>55</v>
      </c>
      <c r="R47" t="s">
        <v>157</v>
      </c>
      <c r="S47" s="2">
        <v>46183</v>
      </c>
      <c r="T47" s="2">
        <v>46195</v>
      </c>
      <c r="AB47">
        <v>0.4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93</v>
      </c>
      <c r="B48" t="s">
        <v>200</v>
      </c>
      <c r="C48" t="s">
        <v>201</v>
      </c>
      <c r="D48" t="s">
        <v>100</v>
      </c>
      <c r="E48" t="s">
        <v>167</v>
      </c>
      <c r="F48" s="2">
        <v>46203</v>
      </c>
      <c r="G48" s="2">
        <v>46206</v>
      </c>
      <c r="H48" s="3">
        <v>1</v>
      </c>
      <c r="I48" s="2">
        <v>46206</v>
      </c>
      <c r="J48" t="s">
        <v>53</v>
      </c>
      <c r="K48">
        <v>245</v>
      </c>
      <c r="L48">
        <v>94</v>
      </c>
      <c r="M48" t="s">
        <v>186</v>
      </c>
      <c r="N48" s="2">
        <v>46197</v>
      </c>
      <c r="P48" t="s">
        <v>67</v>
      </c>
      <c r="Q48" t="s">
        <v>55</v>
      </c>
      <c r="R48" t="s">
        <v>157</v>
      </c>
      <c r="S48" s="2">
        <v>46183</v>
      </c>
      <c r="T48" s="2">
        <v>46189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</row>
    <row r="49" spans="1:39" x14ac:dyDescent="0.25">
      <c r="A49">
        <v>94</v>
      </c>
      <c r="B49" t="s">
        <v>202</v>
      </c>
      <c r="C49" t="s">
        <v>201</v>
      </c>
      <c r="D49" t="s">
        <v>104</v>
      </c>
      <c r="E49" t="s">
        <v>167</v>
      </c>
      <c r="F49" s="2">
        <v>46209</v>
      </c>
      <c r="G49" s="2">
        <v>46216</v>
      </c>
      <c r="H49" s="3">
        <v>0</v>
      </c>
      <c r="J49" t="s">
        <v>41</v>
      </c>
      <c r="K49">
        <v>93</v>
      </c>
      <c r="L49">
        <v>95</v>
      </c>
      <c r="M49" t="s">
        <v>190</v>
      </c>
      <c r="N49" s="2">
        <v>46198</v>
      </c>
      <c r="P49" t="s">
        <v>67</v>
      </c>
      <c r="Q49" t="s">
        <v>55</v>
      </c>
      <c r="R49" t="s">
        <v>157</v>
      </c>
      <c r="S49" s="2">
        <v>46190</v>
      </c>
      <c r="T49" s="2">
        <v>46190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95</v>
      </c>
      <c r="B50" t="s">
        <v>203</v>
      </c>
      <c r="C50" t="s">
        <v>201</v>
      </c>
      <c r="D50" t="s">
        <v>108</v>
      </c>
      <c r="E50" t="s">
        <v>52</v>
      </c>
      <c r="F50" s="2">
        <v>46217</v>
      </c>
      <c r="G50" s="2">
        <v>46217</v>
      </c>
      <c r="H50" s="3">
        <v>0</v>
      </c>
      <c r="J50" t="s">
        <v>192</v>
      </c>
      <c r="K50">
        <v>94</v>
      </c>
      <c r="L50">
        <v>96</v>
      </c>
      <c r="M50" t="s">
        <v>193</v>
      </c>
      <c r="N50" s="2">
        <v>46202</v>
      </c>
      <c r="P50" t="s">
        <v>194</v>
      </c>
      <c r="Q50" t="s">
        <v>55</v>
      </c>
      <c r="R50" t="s">
        <v>157</v>
      </c>
      <c r="S50" s="2">
        <v>46191</v>
      </c>
      <c r="T50" s="2">
        <v>46192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96</v>
      </c>
      <c r="B51" t="s">
        <v>204</v>
      </c>
      <c r="C51" t="s">
        <v>201</v>
      </c>
      <c r="D51" t="s">
        <v>114</v>
      </c>
      <c r="E51" t="s">
        <v>52</v>
      </c>
      <c r="F51" s="2">
        <v>46218</v>
      </c>
      <c r="G51" s="2">
        <v>46218</v>
      </c>
      <c r="H51" s="3">
        <v>0</v>
      </c>
      <c r="J51" t="s">
        <v>196</v>
      </c>
      <c r="K51">
        <v>95</v>
      </c>
      <c r="M51" t="s">
        <v>197</v>
      </c>
      <c r="N51" s="2">
        <v>46203</v>
      </c>
      <c r="P51" t="s">
        <v>194</v>
      </c>
      <c r="Q51" t="s">
        <v>55</v>
      </c>
      <c r="R51" t="s">
        <v>157</v>
      </c>
      <c r="S51" s="2">
        <v>46195</v>
      </c>
      <c r="T51" s="2">
        <v>46195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97</v>
      </c>
      <c r="B52" t="s">
        <v>205</v>
      </c>
      <c r="C52" t="s">
        <v>159</v>
      </c>
      <c r="D52" t="s">
        <v>206</v>
      </c>
      <c r="E52" t="s">
        <v>185</v>
      </c>
      <c r="F52" s="2">
        <v>46203</v>
      </c>
      <c r="G52" s="2">
        <v>46218</v>
      </c>
      <c r="H52" s="3">
        <v>0.4</v>
      </c>
      <c r="J52" t="s">
        <v>41</v>
      </c>
      <c r="M52" t="s">
        <v>186</v>
      </c>
      <c r="N52" s="2">
        <v>46203</v>
      </c>
      <c r="P52" t="s">
        <v>67</v>
      </c>
      <c r="Q52" t="s">
        <v>55</v>
      </c>
      <c r="R52" t="s">
        <v>157</v>
      </c>
      <c r="S52" s="2">
        <v>46183</v>
      </c>
      <c r="T52" s="2">
        <v>46195</v>
      </c>
      <c r="AB52">
        <v>0.4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98</v>
      </c>
      <c r="B53" t="s">
        <v>207</v>
      </c>
      <c r="C53" t="s">
        <v>208</v>
      </c>
      <c r="D53" t="s">
        <v>100</v>
      </c>
      <c r="E53" t="s">
        <v>167</v>
      </c>
      <c r="F53" s="2">
        <v>46203</v>
      </c>
      <c r="G53" s="2">
        <v>46206</v>
      </c>
      <c r="H53" s="3">
        <v>1</v>
      </c>
      <c r="I53" s="2">
        <v>46206</v>
      </c>
      <c r="J53" t="s">
        <v>53</v>
      </c>
      <c r="K53">
        <v>245</v>
      </c>
      <c r="L53">
        <v>99</v>
      </c>
      <c r="M53" t="s">
        <v>186</v>
      </c>
      <c r="N53" s="2">
        <v>46197</v>
      </c>
      <c r="P53" t="s">
        <v>67</v>
      </c>
      <c r="Q53" t="s">
        <v>55</v>
      </c>
      <c r="R53" t="s">
        <v>157</v>
      </c>
      <c r="S53" s="2">
        <v>46183</v>
      </c>
      <c r="T53" s="2">
        <v>46189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</row>
    <row r="54" spans="1:39" x14ac:dyDescent="0.25">
      <c r="A54">
        <v>99</v>
      </c>
      <c r="B54" t="s">
        <v>209</v>
      </c>
      <c r="C54" t="s">
        <v>208</v>
      </c>
      <c r="D54" t="s">
        <v>104</v>
      </c>
      <c r="E54" t="s">
        <v>167</v>
      </c>
      <c r="F54" s="2">
        <v>46209</v>
      </c>
      <c r="G54" s="2">
        <v>46216</v>
      </c>
      <c r="H54" s="3">
        <v>0</v>
      </c>
      <c r="J54" t="s">
        <v>41</v>
      </c>
      <c r="K54">
        <v>98</v>
      </c>
      <c r="L54">
        <v>100</v>
      </c>
      <c r="M54" t="s">
        <v>190</v>
      </c>
      <c r="N54" s="2">
        <v>46198</v>
      </c>
      <c r="P54" t="s">
        <v>67</v>
      </c>
      <c r="Q54" t="s">
        <v>55</v>
      </c>
      <c r="R54" t="s">
        <v>157</v>
      </c>
      <c r="S54" s="2">
        <v>46190</v>
      </c>
      <c r="T54" s="2">
        <v>46190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>
        <v>100</v>
      </c>
      <c r="B55" t="s">
        <v>210</v>
      </c>
      <c r="C55" t="s">
        <v>208</v>
      </c>
      <c r="D55" t="s">
        <v>108</v>
      </c>
      <c r="E55" t="s">
        <v>52</v>
      </c>
      <c r="F55" s="2">
        <v>46217</v>
      </c>
      <c r="G55" s="2">
        <v>46217</v>
      </c>
      <c r="H55" s="3">
        <v>0</v>
      </c>
      <c r="J55" t="s">
        <v>192</v>
      </c>
      <c r="K55">
        <v>99</v>
      </c>
      <c r="L55">
        <v>101</v>
      </c>
      <c r="M55" t="s">
        <v>193</v>
      </c>
      <c r="N55" s="2">
        <v>46202</v>
      </c>
      <c r="P55" t="s">
        <v>194</v>
      </c>
      <c r="Q55" t="s">
        <v>55</v>
      </c>
      <c r="R55" t="s">
        <v>157</v>
      </c>
      <c r="S55" s="2">
        <v>46191</v>
      </c>
      <c r="T55" s="2">
        <v>46192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101</v>
      </c>
      <c r="B56" t="s">
        <v>211</v>
      </c>
      <c r="C56" t="s">
        <v>208</v>
      </c>
      <c r="D56" t="s">
        <v>114</v>
      </c>
      <c r="E56" t="s">
        <v>52</v>
      </c>
      <c r="F56" s="2">
        <v>46218</v>
      </c>
      <c r="G56" s="2">
        <v>46218</v>
      </c>
      <c r="H56" s="3">
        <v>0</v>
      </c>
      <c r="J56" t="s">
        <v>196</v>
      </c>
      <c r="K56">
        <v>100</v>
      </c>
      <c r="M56" t="s">
        <v>197</v>
      </c>
      <c r="N56" s="2">
        <v>46203</v>
      </c>
      <c r="P56" t="s">
        <v>194</v>
      </c>
      <c r="Q56" t="s">
        <v>55</v>
      </c>
      <c r="R56" t="s">
        <v>157</v>
      </c>
      <c r="S56" s="2">
        <v>46195</v>
      </c>
      <c r="T56" s="2">
        <v>46195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102</v>
      </c>
      <c r="B57" t="s">
        <v>212</v>
      </c>
      <c r="C57" t="s">
        <v>159</v>
      </c>
      <c r="D57" t="s">
        <v>213</v>
      </c>
      <c r="E57" t="s">
        <v>185</v>
      </c>
      <c r="F57" s="2">
        <v>46203</v>
      </c>
      <c r="G57" s="2">
        <v>46218</v>
      </c>
      <c r="H57" s="3">
        <v>0.4</v>
      </c>
      <c r="J57" t="s">
        <v>41</v>
      </c>
      <c r="M57" t="s">
        <v>186</v>
      </c>
      <c r="N57" s="2">
        <v>46203</v>
      </c>
      <c r="P57" t="s">
        <v>67</v>
      </c>
      <c r="Q57" t="s">
        <v>55</v>
      </c>
      <c r="R57" t="s">
        <v>157</v>
      </c>
      <c r="S57" s="2">
        <v>46183</v>
      </c>
      <c r="T57" s="2">
        <v>46195</v>
      </c>
      <c r="AB57">
        <v>0.4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103</v>
      </c>
      <c r="B58" t="s">
        <v>214</v>
      </c>
      <c r="C58" t="s">
        <v>215</v>
      </c>
      <c r="D58" t="s">
        <v>100</v>
      </c>
      <c r="E58" t="s">
        <v>167</v>
      </c>
      <c r="F58" s="2">
        <v>46203</v>
      </c>
      <c r="G58" s="2">
        <v>46206</v>
      </c>
      <c r="H58" s="3">
        <v>1</v>
      </c>
      <c r="I58" s="2">
        <v>46206</v>
      </c>
      <c r="J58" t="s">
        <v>53</v>
      </c>
      <c r="K58">
        <v>245</v>
      </c>
      <c r="L58">
        <v>104</v>
      </c>
      <c r="M58" t="s">
        <v>186</v>
      </c>
      <c r="N58" s="2">
        <v>46197</v>
      </c>
      <c r="P58" t="s">
        <v>67</v>
      </c>
      <c r="Q58" t="s">
        <v>55</v>
      </c>
      <c r="R58" t="s">
        <v>157</v>
      </c>
      <c r="S58" s="2">
        <v>46183</v>
      </c>
      <c r="T58" s="2">
        <v>46189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</row>
    <row r="59" spans="1:39" x14ac:dyDescent="0.25">
      <c r="A59">
        <v>104</v>
      </c>
      <c r="B59" t="s">
        <v>216</v>
      </c>
      <c r="C59" t="s">
        <v>215</v>
      </c>
      <c r="D59" t="s">
        <v>104</v>
      </c>
      <c r="E59" t="s">
        <v>167</v>
      </c>
      <c r="F59" s="2">
        <v>46209</v>
      </c>
      <c r="G59" s="2">
        <v>46216</v>
      </c>
      <c r="H59" s="3">
        <v>0</v>
      </c>
      <c r="J59" t="s">
        <v>41</v>
      </c>
      <c r="K59">
        <v>103</v>
      </c>
      <c r="L59">
        <v>105</v>
      </c>
      <c r="M59" t="s">
        <v>190</v>
      </c>
      <c r="N59" s="2">
        <v>46198</v>
      </c>
      <c r="P59" t="s">
        <v>67</v>
      </c>
      <c r="Q59" t="s">
        <v>55</v>
      </c>
      <c r="R59" t="s">
        <v>157</v>
      </c>
      <c r="S59" s="2">
        <v>46190</v>
      </c>
      <c r="T59" s="2">
        <v>46190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105</v>
      </c>
      <c r="B60" t="s">
        <v>217</v>
      </c>
      <c r="C60" t="s">
        <v>215</v>
      </c>
      <c r="D60" t="s">
        <v>108</v>
      </c>
      <c r="E60" t="s">
        <v>52</v>
      </c>
      <c r="F60" s="2">
        <v>46217</v>
      </c>
      <c r="G60" s="2">
        <v>46217</v>
      </c>
      <c r="H60" s="3">
        <v>0</v>
      </c>
      <c r="J60" t="s">
        <v>192</v>
      </c>
      <c r="K60">
        <v>104</v>
      </c>
      <c r="L60">
        <v>106</v>
      </c>
      <c r="M60" t="s">
        <v>193</v>
      </c>
      <c r="N60" s="2">
        <v>46202</v>
      </c>
      <c r="P60" t="s">
        <v>194</v>
      </c>
      <c r="Q60" t="s">
        <v>55</v>
      </c>
      <c r="R60" t="s">
        <v>157</v>
      </c>
      <c r="S60" s="2">
        <v>46191</v>
      </c>
      <c r="T60" s="2">
        <v>46192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106</v>
      </c>
      <c r="B61" t="s">
        <v>218</v>
      </c>
      <c r="C61" t="s">
        <v>215</v>
      </c>
      <c r="D61" t="s">
        <v>114</v>
      </c>
      <c r="E61" t="s">
        <v>52</v>
      </c>
      <c r="F61" s="2">
        <v>46218</v>
      </c>
      <c r="G61" s="2">
        <v>46218</v>
      </c>
      <c r="H61" s="3">
        <v>0</v>
      </c>
      <c r="J61" t="s">
        <v>196</v>
      </c>
      <c r="K61">
        <v>105</v>
      </c>
      <c r="M61" t="s">
        <v>197</v>
      </c>
      <c r="N61" s="2">
        <v>46203</v>
      </c>
      <c r="P61" t="s">
        <v>194</v>
      </c>
      <c r="Q61" t="s">
        <v>55</v>
      </c>
      <c r="R61" t="s">
        <v>157</v>
      </c>
      <c r="S61" s="2">
        <v>46195</v>
      </c>
      <c r="T61" s="2">
        <v>46195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107</v>
      </c>
      <c r="B62" t="s">
        <v>219</v>
      </c>
      <c r="C62" t="s">
        <v>159</v>
      </c>
      <c r="D62" t="s">
        <v>220</v>
      </c>
      <c r="E62" t="s">
        <v>185</v>
      </c>
      <c r="F62" s="2">
        <v>46176</v>
      </c>
      <c r="G62" s="2">
        <v>46191</v>
      </c>
      <c r="H62" s="3">
        <v>1</v>
      </c>
      <c r="I62" s="2">
        <v>46191</v>
      </c>
      <c r="J62" t="s">
        <v>53</v>
      </c>
      <c r="M62" t="s">
        <v>221</v>
      </c>
      <c r="N62" s="2">
        <v>46191</v>
      </c>
      <c r="P62" t="s">
        <v>118</v>
      </c>
      <c r="Q62" t="s">
        <v>55</v>
      </c>
      <c r="R62" t="s">
        <v>157</v>
      </c>
      <c r="S62" s="2">
        <v>46163</v>
      </c>
      <c r="T62" s="2">
        <v>46178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108</v>
      </c>
      <c r="B63" t="s">
        <v>222</v>
      </c>
      <c r="C63" t="s">
        <v>223</v>
      </c>
      <c r="D63" t="s">
        <v>100</v>
      </c>
      <c r="E63" t="s">
        <v>224</v>
      </c>
      <c r="F63" s="2">
        <v>46176</v>
      </c>
      <c r="G63" s="2">
        <v>46185</v>
      </c>
      <c r="H63" s="3">
        <v>1</v>
      </c>
      <c r="I63" s="2">
        <v>46185</v>
      </c>
      <c r="J63" t="s">
        <v>53</v>
      </c>
      <c r="K63">
        <v>129</v>
      </c>
      <c r="L63">
        <v>109</v>
      </c>
      <c r="M63" t="s">
        <v>221</v>
      </c>
      <c r="N63" s="2">
        <v>46185</v>
      </c>
      <c r="P63" t="s">
        <v>118</v>
      </c>
      <c r="Q63" t="s">
        <v>55</v>
      </c>
      <c r="R63" t="s">
        <v>157</v>
      </c>
      <c r="S63" s="2">
        <v>46163</v>
      </c>
      <c r="T63" s="2">
        <v>46174</v>
      </c>
      <c r="AB63">
        <v>1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</row>
    <row r="64" spans="1:39" x14ac:dyDescent="0.25">
      <c r="A64">
        <v>109</v>
      </c>
      <c r="B64" t="s">
        <v>225</v>
      </c>
      <c r="C64" t="s">
        <v>223</v>
      </c>
      <c r="D64" t="s">
        <v>104</v>
      </c>
      <c r="E64" t="s">
        <v>52</v>
      </c>
      <c r="F64" s="2">
        <v>46188</v>
      </c>
      <c r="G64" s="2">
        <v>46188</v>
      </c>
      <c r="H64" s="3">
        <v>1</v>
      </c>
      <c r="I64" s="2">
        <v>46188</v>
      </c>
      <c r="J64" t="s">
        <v>53</v>
      </c>
      <c r="K64">
        <v>108</v>
      </c>
      <c r="L64">
        <v>110</v>
      </c>
      <c r="M64" t="s">
        <v>226</v>
      </c>
      <c r="N64" s="2">
        <v>46188</v>
      </c>
      <c r="P64" t="s">
        <v>73</v>
      </c>
      <c r="Q64" t="s">
        <v>55</v>
      </c>
      <c r="R64" t="s">
        <v>157</v>
      </c>
      <c r="S64" s="2">
        <v>46175</v>
      </c>
      <c r="T64" s="2">
        <v>46175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110</v>
      </c>
      <c r="B65" t="s">
        <v>227</v>
      </c>
      <c r="C65" t="s">
        <v>223</v>
      </c>
      <c r="D65" t="s">
        <v>108</v>
      </c>
      <c r="E65" t="s">
        <v>115</v>
      </c>
      <c r="F65" s="2">
        <v>46189</v>
      </c>
      <c r="G65" s="2">
        <v>46190</v>
      </c>
      <c r="H65" s="3">
        <v>1</v>
      </c>
      <c r="I65" s="2">
        <v>46190</v>
      </c>
      <c r="J65" t="s">
        <v>53</v>
      </c>
      <c r="K65">
        <v>109</v>
      </c>
      <c r="L65">
        <v>111</v>
      </c>
      <c r="M65" t="s">
        <v>228</v>
      </c>
      <c r="N65" s="2">
        <v>46190</v>
      </c>
      <c r="P65" t="s">
        <v>73</v>
      </c>
      <c r="Q65" t="s">
        <v>55</v>
      </c>
      <c r="R65" t="s">
        <v>157</v>
      </c>
      <c r="S65" s="2">
        <v>46176</v>
      </c>
      <c r="T65" s="2">
        <v>46177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111</v>
      </c>
      <c r="B66" t="s">
        <v>229</v>
      </c>
      <c r="C66" t="s">
        <v>223</v>
      </c>
      <c r="D66" t="s">
        <v>114</v>
      </c>
      <c r="E66" t="s">
        <v>52</v>
      </c>
      <c r="F66" s="2">
        <v>46191</v>
      </c>
      <c r="G66" s="2">
        <v>46191</v>
      </c>
      <c r="H66" s="3">
        <v>1</v>
      </c>
      <c r="I66" s="2">
        <v>46191</v>
      </c>
      <c r="J66" t="s">
        <v>53</v>
      </c>
      <c r="K66">
        <v>110</v>
      </c>
      <c r="M66" t="s">
        <v>186</v>
      </c>
      <c r="N66" s="2">
        <v>46191</v>
      </c>
      <c r="P66" t="s">
        <v>73</v>
      </c>
      <c r="Q66" t="s">
        <v>55</v>
      </c>
      <c r="R66" t="s">
        <v>157</v>
      </c>
      <c r="S66" s="2">
        <v>46178</v>
      </c>
      <c r="T66" s="2">
        <v>46178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</row>
    <row r="67" spans="1:39" x14ac:dyDescent="0.25">
      <c r="A67">
        <v>117</v>
      </c>
      <c r="B67" t="s">
        <v>230</v>
      </c>
      <c r="C67" t="s">
        <v>159</v>
      </c>
      <c r="D67" t="s">
        <v>231</v>
      </c>
      <c r="E67" t="s">
        <v>232</v>
      </c>
      <c r="F67" s="2">
        <v>46185</v>
      </c>
      <c r="G67" s="2">
        <v>46211</v>
      </c>
      <c r="H67" s="3">
        <v>0.67</v>
      </c>
      <c r="J67" t="s">
        <v>41</v>
      </c>
      <c r="M67" t="s">
        <v>221</v>
      </c>
      <c r="N67" s="2">
        <v>46188</v>
      </c>
      <c r="P67" t="s">
        <v>76</v>
      </c>
      <c r="Q67" t="s">
        <v>55</v>
      </c>
      <c r="R67" t="s">
        <v>157</v>
      </c>
      <c r="S67" s="2">
        <v>46163</v>
      </c>
      <c r="T67" s="2">
        <v>46175</v>
      </c>
      <c r="AB67">
        <v>0.67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118</v>
      </c>
      <c r="B68" t="s">
        <v>233</v>
      </c>
      <c r="C68" t="s">
        <v>234</v>
      </c>
      <c r="D68" t="s">
        <v>100</v>
      </c>
      <c r="E68" t="s">
        <v>115</v>
      </c>
      <c r="F68" s="2">
        <v>46185</v>
      </c>
      <c r="G68" s="2">
        <v>46188</v>
      </c>
      <c r="H68" s="3">
        <v>1</v>
      </c>
      <c r="I68" s="2">
        <v>46188</v>
      </c>
      <c r="J68" t="s">
        <v>53</v>
      </c>
      <c r="K68">
        <v>129</v>
      </c>
      <c r="L68" t="s">
        <v>235</v>
      </c>
      <c r="M68" t="s">
        <v>221</v>
      </c>
      <c r="N68" s="2">
        <v>46182</v>
      </c>
      <c r="P68" t="s">
        <v>76</v>
      </c>
      <c r="Q68" t="s">
        <v>55</v>
      </c>
      <c r="R68" t="s">
        <v>157</v>
      </c>
      <c r="S68" s="2">
        <v>46163</v>
      </c>
      <c r="T68" s="2">
        <v>46169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</row>
    <row r="69" spans="1:39" x14ac:dyDescent="0.25">
      <c r="A69">
        <v>119</v>
      </c>
      <c r="B69" t="s">
        <v>236</v>
      </c>
      <c r="C69" t="s">
        <v>234</v>
      </c>
      <c r="D69" t="s">
        <v>104</v>
      </c>
      <c r="E69" t="s">
        <v>52</v>
      </c>
      <c r="F69" s="2">
        <v>46189</v>
      </c>
      <c r="G69" s="2">
        <v>46190</v>
      </c>
      <c r="H69" s="3">
        <v>1</v>
      </c>
      <c r="I69" s="2">
        <v>46190</v>
      </c>
      <c r="J69" t="s">
        <v>53</v>
      </c>
      <c r="K69">
        <v>118</v>
      </c>
      <c r="L69" t="s">
        <v>237</v>
      </c>
      <c r="M69" t="s">
        <v>182</v>
      </c>
      <c r="N69" s="2">
        <v>46183</v>
      </c>
      <c r="P69" t="s">
        <v>73</v>
      </c>
      <c r="Q69" t="s">
        <v>55</v>
      </c>
      <c r="R69" t="s">
        <v>157</v>
      </c>
      <c r="S69" s="2">
        <v>46170</v>
      </c>
      <c r="T69" s="2">
        <v>46170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120</v>
      </c>
      <c r="B70" t="s">
        <v>238</v>
      </c>
      <c r="C70" t="s">
        <v>234</v>
      </c>
      <c r="D70" t="s">
        <v>108</v>
      </c>
      <c r="E70" t="s">
        <v>115</v>
      </c>
      <c r="F70" s="2">
        <v>46209</v>
      </c>
      <c r="G70" s="2">
        <v>46210</v>
      </c>
      <c r="H70" s="3">
        <v>0.5</v>
      </c>
      <c r="J70" t="s">
        <v>41</v>
      </c>
      <c r="K70">
        <v>119</v>
      </c>
      <c r="L70">
        <v>121</v>
      </c>
      <c r="M70" t="s">
        <v>152</v>
      </c>
      <c r="N70" s="2">
        <v>46185</v>
      </c>
      <c r="P70" t="s">
        <v>73</v>
      </c>
      <c r="Q70" t="s">
        <v>55</v>
      </c>
      <c r="R70" t="s">
        <v>157</v>
      </c>
      <c r="S70" s="2">
        <v>46171</v>
      </c>
      <c r="T70" s="2">
        <v>46174</v>
      </c>
      <c r="AB70">
        <v>0.5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</row>
    <row r="71" spans="1:39" x14ac:dyDescent="0.25">
      <c r="A71">
        <v>121</v>
      </c>
      <c r="B71" t="s">
        <v>239</v>
      </c>
      <c r="C71" t="s">
        <v>234</v>
      </c>
      <c r="D71" t="s">
        <v>114</v>
      </c>
      <c r="E71" t="s">
        <v>52</v>
      </c>
      <c r="F71" s="2">
        <v>46211</v>
      </c>
      <c r="G71" s="2">
        <v>46211</v>
      </c>
      <c r="H71" s="3">
        <v>0</v>
      </c>
      <c r="J71" t="s">
        <v>41</v>
      </c>
      <c r="K71">
        <v>120</v>
      </c>
      <c r="M71" t="s">
        <v>226</v>
      </c>
      <c r="N71" s="2">
        <v>46188</v>
      </c>
      <c r="P71" t="s">
        <v>179</v>
      </c>
      <c r="Q71" t="s">
        <v>55</v>
      </c>
      <c r="R71" t="s">
        <v>157</v>
      </c>
      <c r="S71" s="2">
        <v>46175</v>
      </c>
      <c r="T71" s="2">
        <v>46175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</row>
    <row r="72" spans="1:39" x14ac:dyDescent="0.25">
      <c r="A72">
        <v>122</v>
      </c>
      <c r="B72" t="s">
        <v>240</v>
      </c>
      <c r="C72" t="s">
        <v>159</v>
      </c>
      <c r="D72" t="s">
        <v>241</v>
      </c>
      <c r="E72" t="s">
        <v>232</v>
      </c>
      <c r="F72" s="2">
        <v>46185</v>
      </c>
      <c r="G72" s="2">
        <v>46211</v>
      </c>
      <c r="H72" s="3">
        <v>0.67</v>
      </c>
      <c r="J72" t="s">
        <v>41</v>
      </c>
      <c r="M72" t="s">
        <v>221</v>
      </c>
      <c r="N72" s="2">
        <v>46188</v>
      </c>
      <c r="P72" t="s">
        <v>76</v>
      </c>
      <c r="Q72" t="s">
        <v>55</v>
      </c>
      <c r="R72" t="s">
        <v>157</v>
      </c>
      <c r="S72" s="2">
        <v>46163</v>
      </c>
      <c r="T72" s="2">
        <v>46175</v>
      </c>
      <c r="U72" t="s">
        <v>77</v>
      </c>
      <c r="AB72">
        <v>0.67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123</v>
      </c>
      <c r="B73" t="s">
        <v>242</v>
      </c>
      <c r="C73" t="s">
        <v>243</v>
      </c>
      <c r="D73" t="s">
        <v>100</v>
      </c>
      <c r="E73" t="s">
        <v>115</v>
      </c>
      <c r="F73" s="2">
        <v>46185</v>
      </c>
      <c r="G73" s="2">
        <v>46188</v>
      </c>
      <c r="H73" s="3">
        <v>1</v>
      </c>
      <c r="I73" s="2">
        <v>46188</v>
      </c>
      <c r="J73" t="s">
        <v>53</v>
      </c>
      <c r="K73">
        <v>129</v>
      </c>
      <c r="L73" t="s">
        <v>244</v>
      </c>
      <c r="M73" t="s">
        <v>245</v>
      </c>
      <c r="N73" s="2">
        <v>46188</v>
      </c>
      <c r="P73" t="s">
        <v>76</v>
      </c>
      <c r="Q73" t="s">
        <v>55</v>
      </c>
      <c r="R73" t="s">
        <v>157</v>
      </c>
      <c r="S73" s="2">
        <v>46185</v>
      </c>
      <c r="T73" s="2">
        <v>46188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 x14ac:dyDescent="0.25">
      <c r="A74">
        <v>124</v>
      </c>
      <c r="B74" t="s">
        <v>246</v>
      </c>
      <c r="C74" t="s">
        <v>243</v>
      </c>
      <c r="D74" t="s">
        <v>104</v>
      </c>
      <c r="E74" t="s">
        <v>52</v>
      </c>
      <c r="F74" s="2">
        <v>46190</v>
      </c>
      <c r="G74" s="2">
        <v>46190</v>
      </c>
      <c r="H74" s="3">
        <v>1</v>
      </c>
      <c r="I74" s="2">
        <v>46190</v>
      </c>
      <c r="J74" t="s">
        <v>53</v>
      </c>
      <c r="K74">
        <v>123</v>
      </c>
      <c r="L74" t="s">
        <v>247</v>
      </c>
      <c r="M74" t="s">
        <v>248</v>
      </c>
      <c r="N74" s="2">
        <v>46190</v>
      </c>
      <c r="P74" t="s">
        <v>73</v>
      </c>
      <c r="Q74" t="s">
        <v>55</v>
      </c>
      <c r="R74" t="s">
        <v>157</v>
      </c>
      <c r="S74" s="2">
        <v>46190</v>
      </c>
      <c r="T74" s="2">
        <v>46190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>
        <v>125</v>
      </c>
      <c r="B75" t="s">
        <v>249</v>
      </c>
      <c r="C75" t="s">
        <v>243</v>
      </c>
      <c r="D75" t="s">
        <v>108</v>
      </c>
      <c r="E75" t="s">
        <v>115</v>
      </c>
      <c r="F75" s="2">
        <v>46209</v>
      </c>
      <c r="G75" s="2">
        <v>46210</v>
      </c>
      <c r="H75" s="3">
        <v>0.5</v>
      </c>
      <c r="J75" t="s">
        <v>41</v>
      </c>
      <c r="K75">
        <v>124</v>
      </c>
      <c r="L75">
        <v>126</v>
      </c>
      <c r="M75" t="s">
        <v>186</v>
      </c>
      <c r="N75" s="2">
        <v>46192</v>
      </c>
      <c r="P75" t="s">
        <v>73</v>
      </c>
      <c r="Q75" t="s">
        <v>55</v>
      </c>
      <c r="R75" t="s">
        <v>157</v>
      </c>
      <c r="S75" s="2">
        <v>46191</v>
      </c>
      <c r="T75" s="2">
        <v>46192</v>
      </c>
      <c r="AB75">
        <v>0.5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</row>
    <row r="76" spans="1:39" x14ac:dyDescent="0.25">
      <c r="A76">
        <v>126</v>
      </c>
      <c r="B76" t="s">
        <v>250</v>
      </c>
      <c r="C76" t="s">
        <v>243</v>
      </c>
      <c r="D76" t="s">
        <v>114</v>
      </c>
      <c r="E76" t="s">
        <v>52</v>
      </c>
      <c r="F76" s="2">
        <v>46211</v>
      </c>
      <c r="G76" s="2">
        <v>46211</v>
      </c>
      <c r="H76" s="3">
        <v>0</v>
      </c>
      <c r="J76" t="s">
        <v>41</v>
      </c>
      <c r="K76">
        <v>125</v>
      </c>
      <c r="M76" t="s">
        <v>251</v>
      </c>
      <c r="N76" s="2">
        <v>46196</v>
      </c>
      <c r="P76" t="s">
        <v>179</v>
      </c>
      <c r="Q76" t="s">
        <v>55</v>
      </c>
      <c r="R76" t="s">
        <v>157</v>
      </c>
      <c r="S76" s="2">
        <v>46196</v>
      </c>
      <c r="T76" s="2">
        <v>46196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</row>
    <row r="77" spans="1:39" x14ac:dyDescent="0.25">
      <c r="A77">
        <v>127</v>
      </c>
      <c r="B77" t="s">
        <v>252</v>
      </c>
      <c r="C77" t="s">
        <v>159</v>
      </c>
      <c r="D77" t="s">
        <v>253</v>
      </c>
      <c r="E77" t="s">
        <v>254</v>
      </c>
      <c r="F77" s="2">
        <v>46160</v>
      </c>
      <c r="G77" s="2">
        <v>46170</v>
      </c>
      <c r="H77" s="3">
        <v>1</v>
      </c>
      <c r="I77" s="2">
        <v>46170</v>
      </c>
      <c r="J77" t="s">
        <v>53</v>
      </c>
      <c r="M77" t="s">
        <v>156</v>
      </c>
      <c r="N77" s="2">
        <v>46178</v>
      </c>
      <c r="P77" t="s">
        <v>135</v>
      </c>
      <c r="Q77" t="s">
        <v>55</v>
      </c>
      <c r="R77" t="s">
        <v>157</v>
      </c>
      <c r="S77" s="2">
        <v>46156</v>
      </c>
      <c r="T77" s="2">
        <v>46167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128</v>
      </c>
      <c r="B78" t="s">
        <v>255</v>
      </c>
      <c r="C78" t="s">
        <v>256</v>
      </c>
      <c r="D78" t="s">
        <v>100</v>
      </c>
      <c r="E78" t="s">
        <v>257</v>
      </c>
      <c r="F78" s="2">
        <v>46160</v>
      </c>
      <c r="G78" s="2">
        <v>46164</v>
      </c>
      <c r="H78" s="3">
        <v>1</v>
      </c>
      <c r="I78" s="2">
        <v>46164</v>
      </c>
      <c r="J78" t="s">
        <v>53</v>
      </c>
      <c r="K78" t="s">
        <v>164</v>
      </c>
      <c r="L78" t="s">
        <v>258</v>
      </c>
      <c r="M78" t="s">
        <v>156</v>
      </c>
      <c r="N78" s="2">
        <v>46174</v>
      </c>
      <c r="P78" t="s">
        <v>135</v>
      </c>
      <c r="Q78" t="s">
        <v>55</v>
      </c>
      <c r="R78" t="s">
        <v>157</v>
      </c>
      <c r="S78" s="2">
        <v>46156</v>
      </c>
      <c r="T78" s="2">
        <v>46161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</row>
    <row r="79" spans="1:39" x14ac:dyDescent="0.25">
      <c r="A79">
        <v>129</v>
      </c>
      <c r="B79" t="s">
        <v>259</v>
      </c>
      <c r="C79" t="s">
        <v>256</v>
      </c>
      <c r="D79" t="s">
        <v>104</v>
      </c>
      <c r="E79" t="s">
        <v>52</v>
      </c>
      <c r="F79" s="2">
        <v>46167</v>
      </c>
      <c r="G79" s="2">
        <v>46167</v>
      </c>
      <c r="H79" s="3">
        <v>1</v>
      </c>
      <c r="I79" s="2">
        <v>46167</v>
      </c>
      <c r="J79" t="s">
        <v>53</v>
      </c>
      <c r="K79">
        <v>128</v>
      </c>
      <c r="L79" t="s">
        <v>260</v>
      </c>
      <c r="M79" t="s">
        <v>171</v>
      </c>
      <c r="N79" s="2">
        <v>46175</v>
      </c>
      <c r="P79" t="s">
        <v>118</v>
      </c>
      <c r="Q79" t="s">
        <v>55</v>
      </c>
      <c r="R79" t="s">
        <v>157</v>
      </c>
      <c r="S79" s="2">
        <v>46162</v>
      </c>
      <c r="T79" s="2">
        <v>46162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130</v>
      </c>
      <c r="B80" t="s">
        <v>261</v>
      </c>
      <c r="C80" t="s">
        <v>256</v>
      </c>
      <c r="D80" t="s">
        <v>108</v>
      </c>
      <c r="E80" t="s">
        <v>115</v>
      </c>
      <c r="F80" s="2">
        <v>46168</v>
      </c>
      <c r="G80" s="2">
        <v>46169</v>
      </c>
      <c r="H80" s="3">
        <v>1</v>
      </c>
      <c r="I80" s="2">
        <v>46169</v>
      </c>
      <c r="J80" t="s">
        <v>53</v>
      </c>
      <c r="K80">
        <v>129</v>
      </c>
      <c r="L80" t="s">
        <v>262</v>
      </c>
      <c r="M80" t="s">
        <v>221</v>
      </c>
      <c r="N80" s="2">
        <v>46177</v>
      </c>
      <c r="P80" t="s">
        <v>118</v>
      </c>
      <c r="Q80" t="s">
        <v>55</v>
      </c>
      <c r="R80" t="s">
        <v>157</v>
      </c>
      <c r="S80" s="2">
        <v>46163</v>
      </c>
      <c r="T80" s="2">
        <v>46164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131</v>
      </c>
      <c r="B81" t="s">
        <v>263</v>
      </c>
      <c r="C81" t="s">
        <v>256</v>
      </c>
      <c r="D81" t="s">
        <v>114</v>
      </c>
      <c r="E81" t="s">
        <v>52</v>
      </c>
      <c r="F81" s="2">
        <v>46170</v>
      </c>
      <c r="G81" s="2">
        <v>46170</v>
      </c>
      <c r="H81" s="3">
        <v>1</v>
      </c>
      <c r="I81" s="2">
        <v>46170</v>
      </c>
      <c r="J81" t="s">
        <v>53</v>
      </c>
      <c r="K81">
        <v>130</v>
      </c>
      <c r="M81" t="s">
        <v>66</v>
      </c>
      <c r="N81" s="2">
        <v>46178</v>
      </c>
      <c r="P81" t="s">
        <v>76</v>
      </c>
      <c r="Q81" t="s">
        <v>55</v>
      </c>
      <c r="R81" t="s">
        <v>157</v>
      </c>
      <c r="S81" s="2">
        <v>46167</v>
      </c>
      <c r="T81" s="2">
        <v>46167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</row>
    <row r="82" spans="1:39" x14ac:dyDescent="0.25">
      <c r="A82">
        <v>132</v>
      </c>
      <c r="B82" t="s">
        <v>264</v>
      </c>
      <c r="C82" t="s">
        <v>159</v>
      </c>
      <c r="D82" t="s">
        <v>265</v>
      </c>
      <c r="E82" t="s">
        <v>174</v>
      </c>
      <c r="F82" s="2">
        <v>46190</v>
      </c>
      <c r="G82" s="2">
        <v>46198</v>
      </c>
      <c r="H82" s="3">
        <v>0.5</v>
      </c>
      <c r="J82" t="s">
        <v>41</v>
      </c>
      <c r="M82" t="s">
        <v>182</v>
      </c>
      <c r="N82" s="2">
        <v>46191</v>
      </c>
      <c r="P82" t="s">
        <v>73</v>
      </c>
      <c r="Q82" t="s">
        <v>55</v>
      </c>
      <c r="R82" t="s">
        <v>157</v>
      </c>
      <c r="S82" s="2">
        <v>46170</v>
      </c>
      <c r="T82" s="2">
        <v>46178</v>
      </c>
      <c r="AB82">
        <v>0.5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133</v>
      </c>
      <c r="B83" t="s">
        <v>266</v>
      </c>
      <c r="C83" t="s">
        <v>267</v>
      </c>
      <c r="D83" t="s">
        <v>100</v>
      </c>
      <c r="E83" t="s">
        <v>101</v>
      </c>
      <c r="F83" s="2">
        <v>46190</v>
      </c>
      <c r="G83" s="2">
        <v>46192</v>
      </c>
      <c r="H83" s="3">
        <v>1</v>
      </c>
      <c r="I83" s="2">
        <v>46192</v>
      </c>
      <c r="J83" t="s">
        <v>53</v>
      </c>
      <c r="K83" t="s">
        <v>268</v>
      </c>
      <c r="L83">
        <v>134</v>
      </c>
      <c r="M83" t="s">
        <v>182</v>
      </c>
      <c r="N83" s="2">
        <v>46185</v>
      </c>
      <c r="P83" t="s">
        <v>73</v>
      </c>
      <c r="Q83" t="s">
        <v>55</v>
      </c>
      <c r="R83" t="s">
        <v>157</v>
      </c>
      <c r="S83" s="2">
        <v>46170</v>
      </c>
      <c r="T83" s="2">
        <v>46174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</row>
    <row r="84" spans="1:39" x14ac:dyDescent="0.25">
      <c r="A84">
        <v>134</v>
      </c>
      <c r="B84" t="s">
        <v>269</v>
      </c>
      <c r="C84" t="s">
        <v>267</v>
      </c>
      <c r="D84" t="s">
        <v>104</v>
      </c>
      <c r="E84" t="s">
        <v>52</v>
      </c>
      <c r="F84" s="2">
        <v>46195</v>
      </c>
      <c r="G84" s="2">
        <v>46195</v>
      </c>
      <c r="H84" s="3">
        <v>0.5</v>
      </c>
      <c r="J84" t="s">
        <v>41</v>
      </c>
      <c r="K84">
        <v>133</v>
      </c>
      <c r="L84">
        <v>135</v>
      </c>
      <c r="M84" t="s">
        <v>226</v>
      </c>
      <c r="N84" s="2">
        <v>46188</v>
      </c>
      <c r="P84" t="s">
        <v>179</v>
      </c>
      <c r="Q84" t="s">
        <v>55</v>
      </c>
      <c r="R84" t="s">
        <v>157</v>
      </c>
      <c r="S84" s="2">
        <v>46175</v>
      </c>
      <c r="T84" s="2">
        <v>46175</v>
      </c>
      <c r="AB84">
        <v>0.5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135</v>
      </c>
      <c r="B85" t="s">
        <v>270</v>
      </c>
      <c r="C85" t="s">
        <v>267</v>
      </c>
      <c r="D85" t="s">
        <v>108</v>
      </c>
      <c r="E85" t="s">
        <v>115</v>
      </c>
      <c r="F85" s="2">
        <v>46196</v>
      </c>
      <c r="G85" s="2">
        <v>46197</v>
      </c>
      <c r="H85" s="3">
        <v>0</v>
      </c>
      <c r="J85" t="s">
        <v>41</v>
      </c>
      <c r="K85">
        <v>134</v>
      </c>
      <c r="L85">
        <v>136</v>
      </c>
      <c r="M85" t="s">
        <v>228</v>
      </c>
      <c r="N85" s="2">
        <v>46190</v>
      </c>
      <c r="P85" t="s">
        <v>179</v>
      </c>
      <c r="Q85" t="s">
        <v>55</v>
      </c>
      <c r="R85" t="s">
        <v>157</v>
      </c>
      <c r="S85" s="2">
        <v>46176</v>
      </c>
      <c r="T85" s="2">
        <v>46177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</row>
    <row r="86" spans="1:39" x14ac:dyDescent="0.25">
      <c r="A86">
        <v>136</v>
      </c>
      <c r="B86" t="s">
        <v>271</v>
      </c>
      <c r="C86" t="s">
        <v>267</v>
      </c>
      <c r="D86" t="s">
        <v>114</v>
      </c>
      <c r="E86" t="s">
        <v>52</v>
      </c>
      <c r="F86" s="2">
        <v>46198</v>
      </c>
      <c r="G86" s="2">
        <v>46198</v>
      </c>
      <c r="H86" s="3">
        <v>0</v>
      </c>
      <c r="J86" t="s">
        <v>41</v>
      </c>
      <c r="K86">
        <v>135</v>
      </c>
      <c r="M86" t="s">
        <v>186</v>
      </c>
      <c r="N86" s="2">
        <v>46191</v>
      </c>
      <c r="P86" t="s">
        <v>179</v>
      </c>
      <c r="Q86" t="s">
        <v>55</v>
      </c>
      <c r="R86" t="s">
        <v>157</v>
      </c>
      <c r="S86" s="2">
        <v>46178</v>
      </c>
      <c r="T86" s="2">
        <v>46178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</row>
    <row r="87" spans="1:39" x14ac:dyDescent="0.25">
      <c r="A87">
        <v>137</v>
      </c>
      <c r="B87" t="s">
        <v>272</v>
      </c>
      <c r="C87" t="s">
        <v>159</v>
      </c>
      <c r="D87" t="s">
        <v>273</v>
      </c>
      <c r="E87" t="s">
        <v>174</v>
      </c>
      <c r="F87" s="2">
        <v>46190</v>
      </c>
      <c r="G87" s="2">
        <v>46198</v>
      </c>
      <c r="H87" s="3">
        <v>0.5</v>
      </c>
      <c r="J87" t="s">
        <v>41</v>
      </c>
      <c r="M87" t="s">
        <v>182</v>
      </c>
      <c r="N87" s="2">
        <v>46191</v>
      </c>
      <c r="P87" t="s">
        <v>73</v>
      </c>
      <c r="Q87" t="s">
        <v>55</v>
      </c>
      <c r="R87" t="s">
        <v>157</v>
      </c>
      <c r="S87" s="2">
        <v>46170</v>
      </c>
      <c r="T87" s="2">
        <v>46178</v>
      </c>
      <c r="AB87">
        <v>0.5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138</v>
      </c>
      <c r="B88" t="s">
        <v>274</v>
      </c>
      <c r="C88" t="s">
        <v>275</v>
      </c>
      <c r="D88" t="s">
        <v>100</v>
      </c>
      <c r="E88" t="s">
        <v>101</v>
      </c>
      <c r="F88" s="2">
        <v>46190</v>
      </c>
      <c r="G88" s="2">
        <v>46192</v>
      </c>
      <c r="H88" s="3">
        <v>1</v>
      </c>
      <c r="I88" s="2">
        <v>46192</v>
      </c>
      <c r="J88" t="s">
        <v>53</v>
      </c>
      <c r="K88" t="s">
        <v>268</v>
      </c>
      <c r="L88">
        <v>139</v>
      </c>
      <c r="M88" t="s">
        <v>182</v>
      </c>
      <c r="N88" s="2">
        <v>46185</v>
      </c>
      <c r="P88" t="s">
        <v>73</v>
      </c>
      <c r="Q88" t="s">
        <v>55</v>
      </c>
      <c r="R88" t="s">
        <v>157</v>
      </c>
      <c r="S88" s="2">
        <v>46170</v>
      </c>
      <c r="T88" s="2">
        <v>46174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25">
      <c r="A89">
        <v>139</v>
      </c>
      <c r="B89" t="s">
        <v>276</v>
      </c>
      <c r="C89" t="s">
        <v>275</v>
      </c>
      <c r="D89" t="s">
        <v>104</v>
      </c>
      <c r="E89" t="s">
        <v>52</v>
      </c>
      <c r="F89" s="2">
        <v>46195</v>
      </c>
      <c r="G89" s="2">
        <v>46195</v>
      </c>
      <c r="H89" s="3">
        <v>0.5</v>
      </c>
      <c r="J89" t="s">
        <v>41</v>
      </c>
      <c r="K89">
        <v>138</v>
      </c>
      <c r="L89">
        <v>140</v>
      </c>
      <c r="M89" t="s">
        <v>226</v>
      </c>
      <c r="N89" s="2">
        <v>46188</v>
      </c>
      <c r="P89" t="s">
        <v>179</v>
      </c>
      <c r="Q89" t="s">
        <v>55</v>
      </c>
      <c r="R89" t="s">
        <v>157</v>
      </c>
      <c r="S89" s="2">
        <v>46175</v>
      </c>
      <c r="T89" s="2">
        <v>46175</v>
      </c>
      <c r="AB89">
        <v>0.5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>
        <v>140</v>
      </c>
      <c r="B90" t="s">
        <v>277</v>
      </c>
      <c r="C90" t="s">
        <v>275</v>
      </c>
      <c r="D90" t="s">
        <v>108</v>
      </c>
      <c r="E90" t="s">
        <v>115</v>
      </c>
      <c r="F90" s="2">
        <v>46196</v>
      </c>
      <c r="G90" s="2">
        <v>46197</v>
      </c>
      <c r="H90" s="3">
        <v>0</v>
      </c>
      <c r="J90" t="s">
        <v>41</v>
      </c>
      <c r="K90">
        <v>139</v>
      </c>
      <c r="L90">
        <v>141</v>
      </c>
      <c r="M90" t="s">
        <v>228</v>
      </c>
      <c r="N90" s="2">
        <v>46190</v>
      </c>
      <c r="P90" t="s">
        <v>179</v>
      </c>
      <c r="Q90" t="s">
        <v>55</v>
      </c>
      <c r="R90" t="s">
        <v>157</v>
      </c>
      <c r="S90" s="2">
        <v>46176</v>
      </c>
      <c r="T90" s="2">
        <v>46177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</row>
    <row r="91" spans="1:39" x14ac:dyDescent="0.25">
      <c r="A91">
        <v>141</v>
      </c>
      <c r="B91" t="s">
        <v>278</v>
      </c>
      <c r="C91" t="s">
        <v>275</v>
      </c>
      <c r="D91" t="s">
        <v>114</v>
      </c>
      <c r="E91" t="s">
        <v>52</v>
      </c>
      <c r="F91" s="2">
        <v>46198</v>
      </c>
      <c r="G91" s="2">
        <v>46198</v>
      </c>
      <c r="H91" s="3">
        <v>0</v>
      </c>
      <c r="J91" t="s">
        <v>41</v>
      </c>
      <c r="K91">
        <v>140</v>
      </c>
      <c r="M91" t="s">
        <v>186</v>
      </c>
      <c r="N91" s="2">
        <v>46191</v>
      </c>
      <c r="P91" t="s">
        <v>179</v>
      </c>
      <c r="Q91" t="s">
        <v>55</v>
      </c>
      <c r="R91" t="s">
        <v>157</v>
      </c>
      <c r="S91" s="2">
        <v>46178</v>
      </c>
      <c r="T91" s="2">
        <v>46178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</row>
    <row r="92" spans="1:39" x14ac:dyDescent="0.25">
      <c r="A92">
        <v>142</v>
      </c>
      <c r="B92" t="s">
        <v>279</v>
      </c>
      <c r="C92" t="s">
        <v>159</v>
      </c>
      <c r="D92" t="s">
        <v>280</v>
      </c>
      <c r="E92" t="s">
        <v>174</v>
      </c>
      <c r="F92" s="2">
        <v>46190</v>
      </c>
      <c r="G92" s="2">
        <v>46198</v>
      </c>
      <c r="H92" s="3">
        <v>0.5</v>
      </c>
      <c r="J92" t="s">
        <v>41</v>
      </c>
      <c r="M92" t="s">
        <v>182</v>
      </c>
      <c r="N92" s="2">
        <v>46191</v>
      </c>
      <c r="P92" t="s">
        <v>73</v>
      </c>
      <c r="Q92" t="s">
        <v>55</v>
      </c>
      <c r="R92" t="s">
        <v>157</v>
      </c>
      <c r="S92" s="2">
        <v>46170</v>
      </c>
      <c r="T92" s="2">
        <v>46178</v>
      </c>
      <c r="U92" t="s">
        <v>77</v>
      </c>
      <c r="AB92">
        <v>0.5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143</v>
      </c>
      <c r="B93" t="s">
        <v>281</v>
      </c>
      <c r="C93" t="s">
        <v>282</v>
      </c>
      <c r="D93" t="s">
        <v>100</v>
      </c>
      <c r="E93" t="s">
        <v>101</v>
      </c>
      <c r="F93" s="2">
        <v>46190</v>
      </c>
      <c r="G93" s="2">
        <v>46192</v>
      </c>
      <c r="H93" s="3">
        <v>1</v>
      </c>
      <c r="I93" s="2">
        <v>46192</v>
      </c>
      <c r="J93" t="s">
        <v>53</v>
      </c>
      <c r="K93" t="s">
        <v>268</v>
      </c>
      <c r="L93">
        <v>144</v>
      </c>
      <c r="M93" t="s">
        <v>248</v>
      </c>
      <c r="N93" s="2">
        <v>46192</v>
      </c>
      <c r="P93" t="s">
        <v>73</v>
      </c>
      <c r="Q93" t="s">
        <v>55</v>
      </c>
      <c r="R93" t="s">
        <v>157</v>
      </c>
      <c r="S93" s="2">
        <v>46190</v>
      </c>
      <c r="T93" s="2">
        <v>46192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</row>
    <row r="94" spans="1:39" x14ac:dyDescent="0.25">
      <c r="A94">
        <v>144</v>
      </c>
      <c r="B94" t="s">
        <v>283</v>
      </c>
      <c r="C94" t="s">
        <v>282</v>
      </c>
      <c r="D94" t="s">
        <v>104</v>
      </c>
      <c r="E94" t="s">
        <v>52</v>
      </c>
      <c r="F94" s="2">
        <v>46195</v>
      </c>
      <c r="G94" s="2">
        <v>46195</v>
      </c>
      <c r="H94" s="3">
        <v>0.5</v>
      </c>
      <c r="J94" t="s">
        <v>41</v>
      </c>
      <c r="K94">
        <v>143</v>
      </c>
      <c r="L94">
        <v>145</v>
      </c>
      <c r="M94" t="s">
        <v>284</v>
      </c>
      <c r="N94" s="2">
        <v>46195</v>
      </c>
      <c r="P94" t="s">
        <v>179</v>
      </c>
      <c r="Q94" t="s">
        <v>55</v>
      </c>
      <c r="R94" t="s">
        <v>157</v>
      </c>
      <c r="S94" s="2">
        <v>46195</v>
      </c>
      <c r="T94" s="2">
        <v>46195</v>
      </c>
      <c r="AB94">
        <v>0.5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145</v>
      </c>
      <c r="B95" t="s">
        <v>285</v>
      </c>
      <c r="C95" t="s">
        <v>282</v>
      </c>
      <c r="D95" t="s">
        <v>108</v>
      </c>
      <c r="E95" t="s">
        <v>115</v>
      </c>
      <c r="F95" s="2">
        <v>46196</v>
      </c>
      <c r="G95" s="2">
        <v>46197</v>
      </c>
      <c r="H95" s="3">
        <v>0</v>
      </c>
      <c r="J95" t="s">
        <v>41</v>
      </c>
      <c r="K95">
        <v>144</v>
      </c>
      <c r="L95">
        <v>146</v>
      </c>
      <c r="M95" t="s">
        <v>251</v>
      </c>
      <c r="N95" s="2">
        <v>46197</v>
      </c>
      <c r="P95" t="s">
        <v>179</v>
      </c>
      <c r="Q95" t="s">
        <v>55</v>
      </c>
      <c r="R95" t="s">
        <v>157</v>
      </c>
      <c r="S95" s="2">
        <v>46196</v>
      </c>
      <c r="T95" s="2">
        <v>46197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</row>
    <row r="96" spans="1:39" x14ac:dyDescent="0.25">
      <c r="A96">
        <v>146</v>
      </c>
      <c r="B96" t="s">
        <v>286</v>
      </c>
      <c r="C96" t="s">
        <v>282</v>
      </c>
      <c r="D96" t="s">
        <v>114</v>
      </c>
      <c r="E96" t="s">
        <v>52</v>
      </c>
      <c r="F96" s="2">
        <v>46198</v>
      </c>
      <c r="G96" s="2">
        <v>46198</v>
      </c>
      <c r="H96" s="3">
        <v>0</v>
      </c>
      <c r="J96" t="s">
        <v>41</v>
      </c>
      <c r="K96">
        <v>145</v>
      </c>
      <c r="M96" t="s">
        <v>190</v>
      </c>
      <c r="N96" s="2">
        <v>46198</v>
      </c>
      <c r="P96" t="s">
        <v>179</v>
      </c>
      <c r="Q96" t="s">
        <v>55</v>
      </c>
      <c r="R96" t="s">
        <v>157</v>
      </c>
      <c r="S96" s="2">
        <v>46198</v>
      </c>
      <c r="T96" s="2">
        <v>46198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</row>
    <row r="97" spans="1:39" x14ac:dyDescent="0.25">
      <c r="A97">
        <v>147</v>
      </c>
      <c r="B97" t="s">
        <v>287</v>
      </c>
      <c r="C97" t="s">
        <v>50</v>
      </c>
      <c r="D97" t="s">
        <v>288</v>
      </c>
      <c r="E97" t="s">
        <v>289</v>
      </c>
      <c r="F97" s="2">
        <v>46181</v>
      </c>
      <c r="G97" s="2">
        <v>46210</v>
      </c>
      <c r="H97" s="3">
        <v>0.48</v>
      </c>
      <c r="J97" t="s">
        <v>41</v>
      </c>
      <c r="M97" t="s">
        <v>171</v>
      </c>
      <c r="N97" s="2">
        <v>46202</v>
      </c>
      <c r="P97" t="s">
        <v>76</v>
      </c>
      <c r="Q97" t="s">
        <v>55</v>
      </c>
      <c r="R97" t="s">
        <v>290</v>
      </c>
      <c r="S97" s="2">
        <v>46147</v>
      </c>
      <c r="T97" s="2">
        <v>46189</v>
      </c>
      <c r="AB97">
        <v>0.48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158</v>
      </c>
      <c r="B98" t="s">
        <v>291</v>
      </c>
      <c r="C98" t="s">
        <v>292</v>
      </c>
      <c r="D98" t="s">
        <v>293</v>
      </c>
      <c r="E98" t="s">
        <v>294</v>
      </c>
      <c r="F98" s="2">
        <v>46188</v>
      </c>
      <c r="G98" s="2">
        <v>46202</v>
      </c>
      <c r="H98" s="3">
        <v>0.64</v>
      </c>
      <c r="J98" t="s">
        <v>41</v>
      </c>
      <c r="M98" t="s">
        <v>171</v>
      </c>
      <c r="N98" s="2">
        <v>46183</v>
      </c>
      <c r="P98" t="s">
        <v>73</v>
      </c>
      <c r="Q98" t="s">
        <v>55</v>
      </c>
      <c r="R98" t="s">
        <v>290</v>
      </c>
      <c r="S98" s="2">
        <v>46162</v>
      </c>
      <c r="T98" s="2">
        <v>46170</v>
      </c>
      <c r="AB98">
        <v>0.64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159</v>
      </c>
      <c r="B99" t="s">
        <v>295</v>
      </c>
      <c r="C99" t="s">
        <v>296</v>
      </c>
      <c r="D99" t="s">
        <v>100</v>
      </c>
      <c r="E99" t="s">
        <v>297</v>
      </c>
      <c r="F99" s="2">
        <v>46188</v>
      </c>
      <c r="G99" s="2">
        <v>46196</v>
      </c>
      <c r="H99" s="3">
        <v>1</v>
      </c>
      <c r="I99" s="2">
        <v>46196</v>
      </c>
      <c r="J99" t="s">
        <v>53</v>
      </c>
      <c r="L99">
        <v>160</v>
      </c>
      <c r="M99" t="s">
        <v>171</v>
      </c>
      <c r="N99" s="2">
        <v>46177</v>
      </c>
      <c r="P99" t="s">
        <v>73</v>
      </c>
      <c r="Q99" t="s">
        <v>55</v>
      </c>
      <c r="R99" t="s">
        <v>290</v>
      </c>
      <c r="S99" s="2">
        <v>46162</v>
      </c>
      <c r="T99" s="2">
        <v>46164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</row>
    <row r="100" spans="1:39" x14ac:dyDescent="0.25">
      <c r="A100">
        <v>160</v>
      </c>
      <c r="B100" t="s">
        <v>298</v>
      </c>
      <c r="C100" t="s">
        <v>296</v>
      </c>
      <c r="D100" t="s">
        <v>104</v>
      </c>
      <c r="E100" t="s">
        <v>52</v>
      </c>
      <c r="F100" s="2">
        <v>46197</v>
      </c>
      <c r="G100" s="2">
        <v>46197</v>
      </c>
      <c r="H100" s="3">
        <v>0</v>
      </c>
      <c r="J100" t="s">
        <v>41</v>
      </c>
      <c r="K100">
        <v>159</v>
      </c>
      <c r="L100" t="s">
        <v>299</v>
      </c>
      <c r="M100" t="s">
        <v>66</v>
      </c>
      <c r="N100" s="2">
        <v>46178</v>
      </c>
      <c r="P100" t="s">
        <v>179</v>
      </c>
      <c r="Q100" t="s">
        <v>55</v>
      </c>
      <c r="R100" t="s">
        <v>290</v>
      </c>
      <c r="S100" s="2">
        <v>46167</v>
      </c>
      <c r="T100" s="2">
        <v>46167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161</v>
      </c>
      <c r="B101" t="s">
        <v>300</v>
      </c>
      <c r="C101" t="s">
        <v>296</v>
      </c>
      <c r="D101" t="s">
        <v>108</v>
      </c>
      <c r="E101" t="s">
        <v>115</v>
      </c>
      <c r="F101" s="2">
        <v>46198</v>
      </c>
      <c r="G101" s="2">
        <v>46199</v>
      </c>
      <c r="H101" s="3">
        <v>0</v>
      </c>
      <c r="J101" t="s">
        <v>41</v>
      </c>
      <c r="K101">
        <v>160</v>
      </c>
      <c r="L101">
        <v>162</v>
      </c>
      <c r="M101" t="s">
        <v>148</v>
      </c>
      <c r="N101" s="2">
        <v>46182</v>
      </c>
      <c r="P101" t="s">
        <v>179</v>
      </c>
      <c r="Q101" t="s">
        <v>55</v>
      </c>
      <c r="R101" t="s">
        <v>290</v>
      </c>
      <c r="S101" s="2">
        <v>46168</v>
      </c>
      <c r="T101" s="2">
        <v>46169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</row>
    <row r="102" spans="1:39" x14ac:dyDescent="0.25">
      <c r="A102">
        <v>162</v>
      </c>
      <c r="B102" t="s">
        <v>301</v>
      </c>
      <c r="C102" t="s">
        <v>296</v>
      </c>
      <c r="D102" t="s">
        <v>114</v>
      </c>
      <c r="E102" t="s">
        <v>52</v>
      </c>
      <c r="F102" s="2">
        <v>46202</v>
      </c>
      <c r="G102" s="2">
        <v>46202</v>
      </c>
      <c r="H102" s="3">
        <v>0</v>
      </c>
      <c r="J102" t="s">
        <v>41</v>
      </c>
      <c r="K102">
        <v>161</v>
      </c>
      <c r="M102" t="s">
        <v>182</v>
      </c>
      <c r="N102" s="2">
        <v>46183</v>
      </c>
      <c r="P102" t="s">
        <v>179</v>
      </c>
      <c r="Q102" t="s">
        <v>55</v>
      </c>
      <c r="R102" t="s">
        <v>290</v>
      </c>
      <c r="S102" s="2">
        <v>46170</v>
      </c>
      <c r="T102" s="2">
        <v>46170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</row>
    <row r="103" spans="1:39" x14ac:dyDescent="0.25">
      <c r="A103">
        <v>178</v>
      </c>
      <c r="B103" t="s">
        <v>302</v>
      </c>
      <c r="C103" t="s">
        <v>292</v>
      </c>
      <c r="D103" t="s">
        <v>303</v>
      </c>
      <c r="E103" t="s">
        <v>161</v>
      </c>
      <c r="F103" s="2">
        <v>46195</v>
      </c>
      <c r="G103" s="2">
        <v>46204</v>
      </c>
      <c r="H103" s="3">
        <v>0.33</v>
      </c>
      <c r="J103" t="s">
        <v>41</v>
      </c>
      <c r="M103" t="s">
        <v>304</v>
      </c>
      <c r="N103" s="2">
        <v>46202</v>
      </c>
      <c r="P103" t="s">
        <v>179</v>
      </c>
      <c r="Q103" t="s">
        <v>55</v>
      </c>
      <c r="R103" t="s">
        <v>290</v>
      </c>
      <c r="S103" s="2">
        <v>46181</v>
      </c>
      <c r="T103" s="2">
        <v>46189</v>
      </c>
      <c r="AB103">
        <v>0.33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179</v>
      </c>
      <c r="B104" t="s">
        <v>305</v>
      </c>
      <c r="C104" t="s">
        <v>306</v>
      </c>
      <c r="D104" t="s">
        <v>100</v>
      </c>
      <c r="E104" t="s">
        <v>115</v>
      </c>
      <c r="F104" s="2">
        <v>46195</v>
      </c>
      <c r="G104" s="2">
        <v>46198</v>
      </c>
      <c r="H104" s="3">
        <v>1</v>
      </c>
      <c r="I104" s="2">
        <v>46198</v>
      </c>
      <c r="J104" t="s">
        <v>53</v>
      </c>
      <c r="K104">
        <v>185</v>
      </c>
      <c r="L104">
        <v>180</v>
      </c>
      <c r="M104" t="s">
        <v>304</v>
      </c>
      <c r="N104" s="2">
        <v>46196</v>
      </c>
      <c r="P104" t="s">
        <v>179</v>
      </c>
      <c r="Q104" t="s">
        <v>55</v>
      </c>
      <c r="R104" t="s">
        <v>290</v>
      </c>
      <c r="S104" s="2">
        <v>46181</v>
      </c>
      <c r="T104" s="2">
        <v>46183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</row>
    <row r="105" spans="1:39" x14ac:dyDescent="0.25">
      <c r="A105">
        <v>180</v>
      </c>
      <c r="B105" t="s">
        <v>307</v>
      </c>
      <c r="C105" t="s">
        <v>306</v>
      </c>
      <c r="D105" t="s">
        <v>104</v>
      </c>
      <c r="E105" t="s">
        <v>52</v>
      </c>
      <c r="F105" s="2">
        <v>46199</v>
      </c>
      <c r="G105" s="2">
        <v>46199</v>
      </c>
      <c r="H105" s="3">
        <v>0</v>
      </c>
      <c r="J105" t="s">
        <v>41</v>
      </c>
      <c r="K105">
        <v>179</v>
      </c>
      <c r="L105">
        <v>181</v>
      </c>
      <c r="M105" t="s">
        <v>308</v>
      </c>
      <c r="N105" s="2">
        <v>46197</v>
      </c>
      <c r="P105" t="s">
        <v>179</v>
      </c>
      <c r="Q105" t="s">
        <v>55</v>
      </c>
      <c r="R105" t="s">
        <v>290</v>
      </c>
      <c r="S105" s="2">
        <v>46184</v>
      </c>
      <c r="T105" s="2">
        <v>46184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181</v>
      </c>
      <c r="B106" t="s">
        <v>309</v>
      </c>
      <c r="C106" t="s">
        <v>306</v>
      </c>
      <c r="D106" t="s">
        <v>108</v>
      </c>
      <c r="E106" t="s">
        <v>115</v>
      </c>
      <c r="F106" s="2">
        <v>46202</v>
      </c>
      <c r="G106" s="2">
        <v>46203</v>
      </c>
      <c r="H106" s="3">
        <v>0</v>
      </c>
      <c r="J106" t="s">
        <v>41</v>
      </c>
      <c r="K106">
        <v>180</v>
      </c>
      <c r="L106">
        <v>182</v>
      </c>
      <c r="M106" t="s">
        <v>190</v>
      </c>
      <c r="N106" s="2">
        <v>46199</v>
      </c>
      <c r="P106" t="s">
        <v>67</v>
      </c>
      <c r="Q106" t="s">
        <v>55</v>
      </c>
      <c r="R106" t="s">
        <v>290</v>
      </c>
      <c r="S106" s="2">
        <v>46185</v>
      </c>
      <c r="T106" s="2">
        <v>46188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>
        <v>182</v>
      </c>
      <c r="B107" t="s">
        <v>310</v>
      </c>
      <c r="C107" t="s">
        <v>306</v>
      </c>
      <c r="D107" t="s">
        <v>114</v>
      </c>
      <c r="E107" t="s">
        <v>52</v>
      </c>
      <c r="F107" s="2">
        <v>46204</v>
      </c>
      <c r="G107" s="2">
        <v>46204</v>
      </c>
      <c r="H107" s="3">
        <v>0</v>
      </c>
      <c r="J107" t="s">
        <v>41</v>
      </c>
      <c r="K107">
        <v>181</v>
      </c>
      <c r="M107" t="s">
        <v>311</v>
      </c>
      <c r="N107" s="2">
        <v>46202</v>
      </c>
      <c r="P107" t="s">
        <v>67</v>
      </c>
      <c r="Q107" t="s">
        <v>55</v>
      </c>
      <c r="R107" t="s">
        <v>290</v>
      </c>
      <c r="S107" s="2">
        <v>46189</v>
      </c>
      <c r="T107" s="2">
        <v>46189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</row>
    <row r="108" spans="1:39" x14ac:dyDescent="0.25">
      <c r="A108">
        <v>183</v>
      </c>
      <c r="B108" t="s">
        <v>312</v>
      </c>
      <c r="C108" t="s">
        <v>292</v>
      </c>
      <c r="D108" t="s">
        <v>313</v>
      </c>
      <c r="E108" t="s">
        <v>174</v>
      </c>
      <c r="F108" s="2">
        <v>46202</v>
      </c>
      <c r="G108" s="2">
        <v>46210</v>
      </c>
      <c r="H108" s="3">
        <v>0.43</v>
      </c>
      <c r="J108" t="s">
        <v>41</v>
      </c>
      <c r="M108" t="s">
        <v>171</v>
      </c>
      <c r="N108" s="2">
        <v>46183</v>
      </c>
      <c r="P108" t="s">
        <v>314</v>
      </c>
      <c r="Q108" t="s">
        <v>55</v>
      </c>
      <c r="R108" t="s">
        <v>290</v>
      </c>
      <c r="S108" s="2">
        <v>46162</v>
      </c>
      <c r="T108" s="2">
        <v>46170</v>
      </c>
      <c r="AB108">
        <v>0.43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184</v>
      </c>
      <c r="B109" t="s">
        <v>315</v>
      </c>
      <c r="C109" t="s">
        <v>316</v>
      </c>
      <c r="D109" t="s">
        <v>100</v>
      </c>
      <c r="E109" t="s">
        <v>101</v>
      </c>
      <c r="F109" s="2">
        <v>46202</v>
      </c>
      <c r="G109" s="2">
        <v>46204</v>
      </c>
      <c r="H109" s="3">
        <v>1</v>
      </c>
      <c r="I109" s="2">
        <v>46204</v>
      </c>
      <c r="J109" t="s">
        <v>53</v>
      </c>
      <c r="K109" t="s">
        <v>317</v>
      </c>
      <c r="L109" t="s">
        <v>318</v>
      </c>
      <c r="M109" t="s">
        <v>171</v>
      </c>
      <c r="N109" s="2">
        <v>46177</v>
      </c>
      <c r="P109" t="s">
        <v>314</v>
      </c>
      <c r="Q109" t="s">
        <v>55</v>
      </c>
      <c r="R109" t="s">
        <v>290</v>
      </c>
      <c r="S109" s="2">
        <v>46162</v>
      </c>
      <c r="T109" s="2">
        <v>46164</v>
      </c>
      <c r="AB109">
        <v>1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</row>
    <row r="110" spans="1:39" x14ac:dyDescent="0.25">
      <c r="A110">
        <v>185</v>
      </c>
      <c r="B110" t="s">
        <v>319</v>
      </c>
      <c r="C110" t="s">
        <v>316</v>
      </c>
      <c r="D110" t="s">
        <v>104</v>
      </c>
      <c r="E110" t="s">
        <v>52</v>
      </c>
      <c r="F110" s="2">
        <v>46205</v>
      </c>
      <c r="G110" s="2">
        <v>46205</v>
      </c>
      <c r="H110" s="3">
        <v>0</v>
      </c>
      <c r="J110" t="s">
        <v>41</v>
      </c>
      <c r="K110">
        <v>184</v>
      </c>
      <c r="L110" t="s">
        <v>320</v>
      </c>
      <c r="M110" t="s">
        <v>66</v>
      </c>
      <c r="N110" s="2">
        <v>46178</v>
      </c>
      <c r="P110" t="s">
        <v>314</v>
      </c>
      <c r="Q110" t="s">
        <v>55</v>
      </c>
      <c r="R110" t="s">
        <v>290</v>
      </c>
      <c r="S110" s="2">
        <v>46167</v>
      </c>
      <c r="T110" s="2">
        <v>46167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>
        <v>186</v>
      </c>
      <c r="B111" t="s">
        <v>321</v>
      </c>
      <c r="C111" t="s">
        <v>316</v>
      </c>
      <c r="D111" t="s">
        <v>108</v>
      </c>
      <c r="E111" t="s">
        <v>115</v>
      </c>
      <c r="F111" s="2">
        <v>46206</v>
      </c>
      <c r="G111" s="2">
        <v>46209</v>
      </c>
      <c r="H111" s="3">
        <v>0</v>
      </c>
      <c r="J111" t="s">
        <v>41</v>
      </c>
      <c r="K111">
        <v>185</v>
      </c>
      <c r="L111">
        <v>187</v>
      </c>
      <c r="M111" t="s">
        <v>148</v>
      </c>
      <c r="N111" s="2">
        <v>46182</v>
      </c>
      <c r="P111" t="s">
        <v>314</v>
      </c>
      <c r="Q111" t="s">
        <v>55</v>
      </c>
      <c r="R111" t="s">
        <v>290</v>
      </c>
      <c r="S111" s="2">
        <v>46168</v>
      </c>
      <c r="T111" s="2">
        <v>46169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</row>
    <row r="112" spans="1:39" x14ac:dyDescent="0.25">
      <c r="A112">
        <v>187</v>
      </c>
      <c r="B112" t="s">
        <v>322</v>
      </c>
      <c r="C112" t="s">
        <v>316</v>
      </c>
      <c r="D112" t="s">
        <v>114</v>
      </c>
      <c r="E112" t="s">
        <v>52</v>
      </c>
      <c r="F112" s="2">
        <v>46210</v>
      </c>
      <c r="G112" s="2">
        <v>46210</v>
      </c>
      <c r="H112" s="3">
        <v>0</v>
      </c>
      <c r="J112" t="s">
        <v>41</v>
      </c>
      <c r="K112">
        <v>186</v>
      </c>
      <c r="M112" t="s">
        <v>182</v>
      </c>
      <c r="N112" s="2">
        <v>46183</v>
      </c>
      <c r="P112" t="s">
        <v>314</v>
      </c>
      <c r="Q112" t="s">
        <v>55</v>
      </c>
      <c r="R112" t="s">
        <v>290</v>
      </c>
      <c r="S112" s="2">
        <v>46170</v>
      </c>
      <c r="T112" s="2">
        <v>46170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</row>
    <row r="113" spans="1:39" x14ac:dyDescent="0.25">
      <c r="A113">
        <v>188</v>
      </c>
      <c r="B113" t="s">
        <v>323</v>
      </c>
      <c r="C113" t="s">
        <v>292</v>
      </c>
      <c r="D113" t="s">
        <v>324</v>
      </c>
      <c r="E113" t="s">
        <v>185</v>
      </c>
      <c r="F113" s="2">
        <v>46181</v>
      </c>
      <c r="G113" s="2">
        <v>46192</v>
      </c>
      <c r="H113" s="3">
        <v>0.38</v>
      </c>
      <c r="J113" t="s">
        <v>41</v>
      </c>
      <c r="M113" t="s">
        <v>148</v>
      </c>
      <c r="N113" s="2">
        <v>46198</v>
      </c>
      <c r="P113" t="s">
        <v>76</v>
      </c>
      <c r="Q113" t="s">
        <v>55</v>
      </c>
      <c r="R113" t="s">
        <v>290</v>
      </c>
      <c r="S113" s="2">
        <v>46157</v>
      </c>
      <c r="T113" s="2">
        <v>46176</v>
      </c>
      <c r="AB113">
        <v>0.38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189</v>
      </c>
      <c r="B114" t="s">
        <v>325</v>
      </c>
      <c r="C114" t="s">
        <v>326</v>
      </c>
      <c r="D114" t="s">
        <v>100</v>
      </c>
      <c r="E114" t="s">
        <v>101</v>
      </c>
      <c r="F114" s="2">
        <v>46181</v>
      </c>
      <c r="G114" s="2">
        <v>46185</v>
      </c>
      <c r="H114" s="3">
        <v>1</v>
      </c>
      <c r="I114" s="2">
        <v>46185</v>
      </c>
      <c r="J114" t="s">
        <v>53</v>
      </c>
      <c r="K114" t="s">
        <v>327</v>
      </c>
      <c r="L114">
        <v>190</v>
      </c>
      <c r="M114" t="s">
        <v>148</v>
      </c>
      <c r="N114" s="2">
        <v>46192</v>
      </c>
      <c r="P114" t="s">
        <v>76</v>
      </c>
      <c r="Q114" t="s">
        <v>55</v>
      </c>
      <c r="R114" t="s">
        <v>290</v>
      </c>
      <c r="S114" s="2">
        <v>46157</v>
      </c>
      <c r="T114" s="2">
        <v>46170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</row>
    <row r="115" spans="1:39" x14ac:dyDescent="0.25">
      <c r="A115">
        <v>190</v>
      </c>
      <c r="B115" t="s">
        <v>328</v>
      </c>
      <c r="C115" t="s">
        <v>326</v>
      </c>
      <c r="D115" t="s">
        <v>104</v>
      </c>
      <c r="E115" t="s">
        <v>115</v>
      </c>
      <c r="F115" s="2">
        <v>46188</v>
      </c>
      <c r="G115" s="2">
        <v>46189</v>
      </c>
      <c r="H115" s="3">
        <v>0</v>
      </c>
      <c r="J115" t="s">
        <v>41</v>
      </c>
      <c r="K115">
        <v>189</v>
      </c>
      <c r="L115" t="s">
        <v>329</v>
      </c>
      <c r="M115" t="s">
        <v>284</v>
      </c>
      <c r="N115" s="2">
        <v>46195</v>
      </c>
      <c r="P115" t="s">
        <v>76</v>
      </c>
      <c r="Q115" t="s">
        <v>55</v>
      </c>
      <c r="R115" t="s">
        <v>290</v>
      </c>
      <c r="S115" s="2">
        <v>46171</v>
      </c>
      <c r="T115" s="2">
        <v>46171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191</v>
      </c>
      <c r="B116" t="s">
        <v>330</v>
      </c>
      <c r="C116" t="s">
        <v>326</v>
      </c>
      <c r="D116" t="s">
        <v>108</v>
      </c>
      <c r="E116" t="s">
        <v>115</v>
      </c>
      <c r="F116" s="2">
        <v>46190</v>
      </c>
      <c r="G116" s="2">
        <v>46191</v>
      </c>
      <c r="H116" s="3">
        <v>0</v>
      </c>
      <c r="J116" t="s">
        <v>41</v>
      </c>
      <c r="K116">
        <v>190</v>
      </c>
      <c r="L116">
        <v>192</v>
      </c>
      <c r="M116" t="s">
        <v>251</v>
      </c>
      <c r="N116" s="2">
        <v>46197</v>
      </c>
      <c r="P116" t="s">
        <v>76</v>
      </c>
      <c r="Q116" t="s">
        <v>55</v>
      </c>
      <c r="R116" t="s">
        <v>290</v>
      </c>
      <c r="S116" s="2">
        <v>46174</v>
      </c>
      <c r="T116" s="2">
        <v>46175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>
        <v>192</v>
      </c>
      <c r="B117" t="s">
        <v>331</v>
      </c>
      <c r="C117" t="s">
        <v>326</v>
      </c>
      <c r="D117" t="s">
        <v>114</v>
      </c>
      <c r="E117" t="s">
        <v>52</v>
      </c>
      <c r="F117" s="2">
        <v>46192</v>
      </c>
      <c r="G117" s="2">
        <v>46192</v>
      </c>
      <c r="H117" s="3">
        <v>0</v>
      </c>
      <c r="J117" t="s">
        <v>41</v>
      </c>
      <c r="K117">
        <v>191</v>
      </c>
      <c r="M117" t="s">
        <v>190</v>
      </c>
      <c r="N117" s="2">
        <v>46198</v>
      </c>
      <c r="P117" t="s">
        <v>76</v>
      </c>
      <c r="Q117" t="s">
        <v>55</v>
      </c>
      <c r="R117" t="s">
        <v>290</v>
      </c>
      <c r="S117" s="2">
        <v>46176</v>
      </c>
      <c r="T117" s="2">
        <v>46176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</row>
    <row r="118" spans="1:39" x14ac:dyDescent="0.25">
      <c r="A118">
        <v>198</v>
      </c>
      <c r="B118" t="s">
        <v>332</v>
      </c>
      <c r="C118" t="s">
        <v>292</v>
      </c>
      <c r="D118" t="s">
        <v>333</v>
      </c>
      <c r="E118" t="s">
        <v>334</v>
      </c>
      <c r="F118" s="2">
        <v>46196</v>
      </c>
      <c r="G118" s="2">
        <v>46205</v>
      </c>
      <c r="H118" s="3">
        <v>0.56000000000000005</v>
      </c>
      <c r="J118" t="s">
        <v>41</v>
      </c>
      <c r="L118">
        <v>154</v>
      </c>
      <c r="M118" t="s">
        <v>66</v>
      </c>
      <c r="N118" s="2">
        <v>46188</v>
      </c>
      <c r="P118" t="s">
        <v>179</v>
      </c>
      <c r="Q118" t="s">
        <v>55</v>
      </c>
      <c r="R118" t="s">
        <v>290</v>
      </c>
      <c r="S118" s="2">
        <v>46167</v>
      </c>
      <c r="T118" s="2">
        <v>46175</v>
      </c>
      <c r="AB118">
        <v>0.56000000000000005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199</v>
      </c>
      <c r="B119" t="s">
        <v>335</v>
      </c>
      <c r="C119" t="s">
        <v>336</v>
      </c>
      <c r="D119" t="s">
        <v>100</v>
      </c>
      <c r="E119" t="s">
        <v>167</v>
      </c>
      <c r="F119" s="2">
        <v>46196</v>
      </c>
      <c r="G119" s="2">
        <v>46199</v>
      </c>
      <c r="H119" s="3">
        <v>1</v>
      </c>
      <c r="I119" s="2">
        <v>46199</v>
      </c>
      <c r="J119" t="s">
        <v>53</v>
      </c>
      <c r="K119">
        <v>160</v>
      </c>
      <c r="L119">
        <v>200</v>
      </c>
      <c r="M119" t="s">
        <v>66</v>
      </c>
      <c r="N119" s="2">
        <v>46182</v>
      </c>
      <c r="P119" t="s">
        <v>179</v>
      </c>
      <c r="Q119" t="s">
        <v>55</v>
      </c>
      <c r="R119" t="s">
        <v>290</v>
      </c>
      <c r="S119" s="2">
        <v>46167</v>
      </c>
      <c r="T119" s="2">
        <v>46169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</row>
    <row r="120" spans="1:39" x14ac:dyDescent="0.25">
      <c r="A120">
        <v>200</v>
      </c>
      <c r="B120" t="s">
        <v>337</v>
      </c>
      <c r="C120" t="s">
        <v>336</v>
      </c>
      <c r="D120" t="s">
        <v>104</v>
      </c>
      <c r="E120" t="s">
        <v>52</v>
      </c>
      <c r="F120" s="2">
        <v>46199</v>
      </c>
      <c r="G120" s="2">
        <v>46202</v>
      </c>
      <c r="H120" s="3">
        <v>0.5</v>
      </c>
      <c r="J120" t="s">
        <v>41</v>
      </c>
      <c r="K120">
        <v>199</v>
      </c>
      <c r="L120">
        <v>201</v>
      </c>
      <c r="M120" t="s">
        <v>182</v>
      </c>
      <c r="N120" s="2">
        <v>46183</v>
      </c>
      <c r="P120" t="s">
        <v>179</v>
      </c>
      <c r="Q120" t="s">
        <v>55</v>
      </c>
      <c r="R120" t="s">
        <v>290</v>
      </c>
      <c r="S120" s="2">
        <v>46170</v>
      </c>
      <c r="T120" s="2">
        <v>46170</v>
      </c>
      <c r="AB120">
        <v>0.5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201</v>
      </c>
      <c r="B121" t="s">
        <v>338</v>
      </c>
      <c r="C121" t="s">
        <v>336</v>
      </c>
      <c r="D121" t="s">
        <v>108</v>
      </c>
      <c r="E121" t="s">
        <v>115</v>
      </c>
      <c r="F121" s="2">
        <v>46202</v>
      </c>
      <c r="G121" s="2">
        <v>46204</v>
      </c>
      <c r="H121" s="3">
        <v>0</v>
      </c>
      <c r="J121" t="s">
        <v>41</v>
      </c>
      <c r="K121">
        <v>200</v>
      </c>
      <c r="L121">
        <v>202</v>
      </c>
      <c r="M121" t="s">
        <v>152</v>
      </c>
      <c r="N121" s="2">
        <v>46185</v>
      </c>
      <c r="P121" t="s">
        <v>67</v>
      </c>
      <c r="Q121" t="s">
        <v>55</v>
      </c>
      <c r="R121" t="s">
        <v>290</v>
      </c>
      <c r="S121" s="2">
        <v>46171</v>
      </c>
      <c r="T121" s="2">
        <v>46174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</row>
    <row r="122" spans="1:39" x14ac:dyDescent="0.25">
      <c r="A122">
        <v>202</v>
      </c>
      <c r="B122" t="s">
        <v>339</v>
      </c>
      <c r="C122" t="s">
        <v>336</v>
      </c>
      <c r="D122" t="s">
        <v>114</v>
      </c>
      <c r="E122" t="s">
        <v>52</v>
      </c>
      <c r="F122" s="2">
        <v>46204</v>
      </c>
      <c r="G122" s="2">
        <v>46205</v>
      </c>
      <c r="H122" s="3">
        <v>0</v>
      </c>
      <c r="J122" t="s">
        <v>41</v>
      </c>
      <c r="K122">
        <v>201</v>
      </c>
      <c r="M122" t="s">
        <v>226</v>
      </c>
      <c r="N122" s="2">
        <v>46188</v>
      </c>
      <c r="P122" t="s">
        <v>67</v>
      </c>
      <c r="Q122" t="s">
        <v>55</v>
      </c>
      <c r="R122" t="s">
        <v>290</v>
      </c>
      <c r="S122" s="2">
        <v>46175</v>
      </c>
      <c r="T122" s="2">
        <v>46175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</row>
    <row r="123" spans="1:39" x14ac:dyDescent="0.25">
      <c r="A123">
        <v>203</v>
      </c>
      <c r="B123" t="s">
        <v>340</v>
      </c>
      <c r="C123" t="s">
        <v>292</v>
      </c>
      <c r="D123" t="s">
        <v>341</v>
      </c>
      <c r="E123" t="s">
        <v>334</v>
      </c>
      <c r="F123" s="2">
        <v>46196</v>
      </c>
      <c r="G123" s="2">
        <v>46205</v>
      </c>
      <c r="H123" s="3">
        <v>0.56000000000000005</v>
      </c>
      <c r="J123" t="s">
        <v>41</v>
      </c>
      <c r="M123" t="s">
        <v>66</v>
      </c>
      <c r="N123" s="2">
        <v>46188</v>
      </c>
      <c r="P123" t="s">
        <v>179</v>
      </c>
      <c r="Q123" t="s">
        <v>55</v>
      </c>
      <c r="R123" t="s">
        <v>290</v>
      </c>
      <c r="S123" s="2">
        <v>46167</v>
      </c>
      <c r="T123" s="2">
        <v>46175</v>
      </c>
      <c r="AB123">
        <v>0.56000000000000005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204</v>
      </c>
      <c r="B124" t="s">
        <v>342</v>
      </c>
      <c r="C124" t="s">
        <v>343</v>
      </c>
      <c r="D124" t="s">
        <v>100</v>
      </c>
      <c r="E124" t="s">
        <v>167</v>
      </c>
      <c r="F124" s="2">
        <v>46196</v>
      </c>
      <c r="G124" s="2">
        <v>46199</v>
      </c>
      <c r="H124" s="3">
        <v>1</v>
      </c>
      <c r="I124" s="2">
        <v>46199</v>
      </c>
      <c r="J124" t="s">
        <v>53</v>
      </c>
      <c r="K124">
        <v>160</v>
      </c>
      <c r="L124">
        <v>205</v>
      </c>
      <c r="M124" t="s">
        <v>66</v>
      </c>
      <c r="N124" s="2">
        <v>46182</v>
      </c>
      <c r="P124" t="s">
        <v>179</v>
      </c>
      <c r="Q124" t="s">
        <v>55</v>
      </c>
      <c r="R124" t="s">
        <v>290</v>
      </c>
      <c r="S124" s="2">
        <v>46167</v>
      </c>
      <c r="T124" s="2">
        <v>46169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</row>
    <row r="125" spans="1:39" x14ac:dyDescent="0.25">
      <c r="A125">
        <v>205</v>
      </c>
      <c r="B125" t="s">
        <v>344</v>
      </c>
      <c r="C125" t="s">
        <v>343</v>
      </c>
      <c r="D125" t="s">
        <v>104</v>
      </c>
      <c r="E125" t="s">
        <v>52</v>
      </c>
      <c r="F125" s="2">
        <v>46199</v>
      </c>
      <c r="G125" s="2">
        <v>46202</v>
      </c>
      <c r="H125" s="3">
        <v>0.5</v>
      </c>
      <c r="J125" t="s">
        <v>41</v>
      </c>
      <c r="K125">
        <v>204</v>
      </c>
      <c r="L125">
        <v>206</v>
      </c>
      <c r="M125" t="s">
        <v>182</v>
      </c>
      <c r="N125" s="2">
        <v>46183</v>
      </c>
      <c r="P125" t="s">
        <v>179</v>
      </c>
      <c r="Q125" t="s">
        <v>55</v>
      </c>
      <c r="R125" t="s">
        <v>290</v>
      </c>
      <c r="S125" s="2">
        <v>46170</v>
      </c>
      <c r="T125" s="2">
        <v>46170</v>
      </c>
      <c r="AB125">
        <v>0.5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206</v>
      </c>
      <c r="B126" t="s">
        <v>345</v>
      </c>
      <c r="C126" t="s">
        <v>343</v>
      </c>
      <c r="D126" t="s">
        <v>108</v>
      </c>
      <c r="E126" t="s">
        <v>115</v>
      </c>
      <c r="F126" s="2">
        <v>46202</v>
      </c>
      <c r="G126" s="2">
        <v>46204</v>
      </c>
      <c r="H126" s="3">
        <v>0</v>
      </c>
      <c r="J126" t="s">
        <v>41</v>
      </c>
      <c r="K126">
        <v>205</v>
      </c>
      <c r="L126">
        <v>207</v>
      </c>
      <c r="M126" t="s">
        <v>152</v>
      </c>
      <c r="N126" s="2">
        <v>46185</v>
      </c>
      <c r="P126" t="s">
        <v>67</v>
      </c>
      <c r="Q126" t="s">
        <v>55</v>
      </c>
      <c r="R126" t="s">
        <v>290</v>
      </c>
      <c r="S126" s="2">
        <v>46171</v>
      </c>
      <c r="T126" s="2">
        <v>46174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</row>
    <row r="127" spans="1:39" x14ac:dyDescent="0.25">
      <c r="A127">
        <v>207</v>
      </c>
      <c r="B127" t="s">
        <v>346</v>
      </c>
      <c r="C127" t="s">
        <v>343</v>
      </c>
      <c r="D127" t="s">
        <v>114</v>
      </c>
      <c r="E127" t="s">
        <v>52</v>
      </c>
      <c r="F127" s="2">
        <v>46204</v>
      </c>
      <c r="G127" s="2">
        <v>46205</v>
      </c>
      <c r="H127" s="3">
        <v>0</v>
      </c>
      <c r="J127" t="s">
        <v>41</v>
      </c>
      <c r="K127">
        <v>206</v>
      </c>
      <c r="M127" t="s">
        <v>226</v>
      </c>
      <c r="N127" s="2">
        <v>46188</v>
      </c>
      <c r="P127" t="s">
        <v>67</v>
      </c>
      <c r="Q127" t="s">
        <v>55</v>
      </c>
      <c r="R127" t="s">
        <v>290</v>
      </c>
      <c r="S127" s="2">
        <v>46175</v>
      </c>
      <c r="T127" s="2">
        <v>46175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</row>
    <row r="128" spans="1:39" x14ac:dyDescent="0.25">
      <c r="A128">
        <v>208</v>
      </c>
      <c r="B128" t="s">
        <v>347</v>
      </c>
      <c r="C128" t="s">
        <v>292</v>
      </c>
      <c r="D128" t="s">
        <v>348</v>
      </c>
      <c r="E128" t="s">
        <v>334</v>
      </c>
      <c r="F128" s="2">
        <v>46196</v>
      </c>
      <c r="G128" s="2">
        <v>46205</v>
      </c>
      <c r="H128" s="3">
        <v>0.44</v>
      </c>
      <c r="J128" t="s">
        <v>41</v>
      </c>
      <c r="M128" t="s">
        <v>66</v>
      </c>
      <c r="N128" s="2">
        <v>46188</v>
      </c>
      <c r="P128" t="s">
        <v>179</v>
      </c>
      <c r="Q128" t="s">
        <v>55</v>
      </c>
      <c r="R128" t="s">
        <v>290</v>
      </c>
      <c r="S128" s="2">
        <v>46167</v>
      </c>
      <c r="T128" s="2">
        <v>46175</v>
      </c>
      <c r="AB128">
        <v>0.44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209</v>
      </c>
      <c r="B129" t="s">
        <v>349</v>
      </c>
      <c r="C129" t="s">
        <v>350</v>
      </c>
      <c r="D129" t="s">
        <v>100</v>
      </c>
      <c r="E129" t="s">
        <v>167</v>
      </c>
      <c r="F129" s="2">
        <v>46196</v>
      </c>
      <c r="G129" s="2">
        <v>46199</v>
      </c>
      <c r="H129" s="3">
        <v>0.75</v>
      </c>
      <c r="J129" t="s">
        <v>41</v>
      </c>
      <c r="K129">
        <v>160</v>
      </c>
      <c r="L129">
        <v>210</v>
      </c>
      <c r="M129" t="s">
        <v>66</v>
      </c>
      <c r="N129" s="2">
        <v>46182</v>
      </c>
      <c r="P129" t="s">
        <v>179</v>
      </c>
      <c r="Q129" t="s">
        <v>44</v>
      </c>
      <c r="R129" t="s">
        <v>290</v>
      </c>
      <c r="S129" s="2">
        <v>46167</v>
      </c>
      <c r="T129" s="2">
        <v>46169</v>
      </c>
      <c r="AB129">
        <v>0.75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210</v>
      </c>
      <c r="B130" t="s">
        <v>351</v>
      </c>
      <c r="C130" t="s">
        <v>350</v>
      </c>
      <c r="D130" t="s">
        <v>104</v>
      </c>
      <c r="E130" t="s">
        <v>52</v>
      </c>
      <c r="F130" s="2">
        <v>46199</v>
      </c>
      <c r="G130" s="2">
        <v>46202</v>
      </c>
      <c r="H130" s="3">
        <v>0.5</v>
      </c>
      <c r="J130" t="s">
        <v>41</v>
      </c>
      <c r="K130">
        <v>209</v>
      </c>
      <c r="L130">
        <v>211</v>
      </c>
      <c r="M130" t="s">
        <v>182</v>
      </c>
      <c r="N130" s="2">
        <v>46183</v>
      </c>
      <c r="P130" t="s">
        <v>179</v>
      </c>
      <c r="Q130" t="s">
        <v>55</v>
      </c>
      <c r="R130" t="s">
        <v>290</v>
      </c>
      <c r="S130" s="2">
        <v>46170</v>
      </c>
      <c r="T130" s="2">
        <v>46170</v>
      </c>
      <c r="AB130">
        <v>0.5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211</v>
      </c>
      <c r="B131" t="s">
        <v>352</v>
      </c>
      <c r="C131" t="s">
        <v>350</v>
      </c>
      <c r="D131" t="s">
        <v>108</v>
      </c>
      <c r="E131" t="s">
        <v>115</v>
      </c>
      <c r="F131" s="2">
        <v>46202</v>
      </c>
      <c r="G131" s="2">
        <v>46204</v>
      </c>
      <c r="H131" s="3">
        <v>0</v>
      </c>
      <c r="J131" t="s">
        <v>41</v>
      </c>
      <c r="K131">
        <v>210</v>
      </c>
      <c r="L131">
        <v>212</v>
      </c>
      <c r="M131" t="s">
        <v>152</v>
      </c>
      <c r="N131" s="2">
        <v>46185</v>
      </c>
      <c r="P131" t="s">
        <v>67</v>
      </c>
      <c r="Q131" t="s">
        <v>55</v>
      </c>
      <c r="R131" t="s">
        <v>290</v>
      </c>
      <c r="S131" s="2">
        <v>46171</v>
      </c>
      <c r="T131" s="2">
        <v>46174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</row>
    <row r="132" spans="1:39" x14ac:dyDescent="0.25">
      <c r="A132">
        <v>212</v>
      </c>
      <c r="B132" t="s">
        <v>353</v>
      </c>
      <c r="C132" t="s">
        <v>350</v>
      </c>
      <c r="D132" t="s">
        <v>114</v>
      </c>
      <c r="E132" t="s">
        <v>52</v>
      </c>
      <c r="F132" s="2">
        <v>46204</v>
      </c>
      <c r="G132" s="2">
        <v>46205</v>
      </c>
      <c r="H132" s="3">
        <v>0</v>
      </c>
      <c r="J132" t="s">
        <v>41</v>
      </c>
      <c r="K132">
        <v>211</v>
      </c>
      <c r="M132" t="s">
        <v>226</v>
      </c>
      <c r="N132" s="2">
        <v>46188</v>
      </c>
      <c r="P132" t="s">
        <v>67</v>
      </c>
      <c r="Q132" t="s">
        <v>55</v>
      </c>
      <c r="R132" t="s">
        <v>290</v>
      </c>
      <c r="S132" s="2">
        <v>46175</v>
      </c>
      <c r="T132" s="2">
        <v>46175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</row>
    <row r="133" spans="1:39" x14ac:dyDescent="0.25">
      <c r="A133">
        <v>228</v>
      </c>
      <c r="B133" t="s">
        <v>354</v>
      </c>
      <c r="C133" t="s">
        <v>292</v>
      </c>
      <c r="D133" t="s">
        <v>355</v>
      </c>
      <c r="E133" t="s">
        <v>174</v>
      </c>
      <c r="F133" s="2">
        <v>46202</v>
      </c>
      <c r="G133" s="2">
        <v>46210</v>
      </c>
      <c r="H133" s="3">
        <v>0.43</v>
      </c>
      <c r="J133" t="s">
        <v>41</v>
      </c>
      <c r="M133" t="s">
        <v>66</v>
      </c>
      <c r="N133" s="2">
        <v>46188</v>
      </c>
      <c r="P133" t="s">
        <v>179</v>
      </c>
      <c r="Q133" t="s">
        <v>55</v>
      </c>
      <c r="R133" t="s">
        <v>290</v>
      </c>
      <c r="S133" s="2">
        <v>46167</v>
      </c>
      <c r="T133" s="2">
        <v>46175</v>
      </c>
      <c r="AB133">
        <v>0.43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229</v>
      </c>
      <c r="B134" t="s">
        <v>356</v>
      </c>
      <c r="C134" t="s">
        <v>357</v>
      </c>
      <c r="D134" t="s">
        <v>100</v>
      </c>
      <c r="E134" t="s">
        <v>101</v>
      </c>
      <c r="F134" s="2">
        <v>46202</v>
      </c>
      <c r="G134" s="2">
        <v>46204</v>
      </c>
      <c r="H134" s="3">
        <v>1</v>
      </c>
      <c r="I134" s="2">
        <v>46204</v>
      </c>
      <c r="J134" t="s">
        <v>53</v>
      </c>
      <c r="K134" t="s">
        <v>358</v>
      </c>
      <c r="L134">
        <v>230</v>
      </c>
      <c r="M134" t="s">
        <v>66</v>
      </c>
      <c r="N134" s="2">
        <v>46182</v>
      </c>
      <c r="P134" t="s">
        <v>179</v>
      </c>
      <c r="Q134" t="s">
        <v>55</v>
      </c>
      <c r="R134" t="s">
        <v>290</v>
      </c>
      <c r="S134" s="2">
        <v>46167</v>
      </c>
      <c r="T134" s="2">
        <v>46169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</row>
    <row r="135" spans="1:39" x14ac:dyDescent="0.25">
      <c r="A135">
        <v>230</v>
      </c>
      <c r="B135" t="s">
        <v>359</v>
      </c>
      <c r="C135" t="s">
        <v>357</v>
      </c>
      <c r="D135" t="s">
        <v>104</v>
      </c>
      <c r="E135" t="s">
        <v>52</v>
      </c>
      <c r="F135" s="2">
        <v>46205</v>
      </c>
      <c r="G135" s="2">
        <v>46205</v>
      </c>
      <c r="H135" s="3">
        <v>0</v>
      </c>
      <c r="J135" t="s">
        <v>41</v>
      </c>
      <c r="K135">
        <v>229</v>
      </c>
      <c r="L135">
        <v>231</v>
      </c>
      <c r="M135" t="s">
        <v>182</v>
      </c>
      <c r="N135" s="2">
        <v>46183</v>
      </c>
      <c r="P135" t="s">
        <v>67</v>
      </c>
      <c r="Q135" t="s">
        <v>55</v>
      </c>
      <c r="R135" t="s">
        <v>290</v>
      </c>
      <c r="S135" s="2">
        <v>46170</v>
      </c>
      <c r="T135" s="2">
        <v>46170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231</v>
      </c>
      <c r="B136" t="s">
        <v>360</v>
      </c>
      <c r="C136" t="s">
        <v>357</v>
      </c>
      <c r="D136" t="s">
        <v>108</v>
      </c>
      <c r="E136" t="s">
        <v>115</v>
      </c>
      <c r="F136" s="2">
        <v>46206</v>
      </c>
      <c r="G136" s="2">
        <v>46209</v>
      </c>
      <c r="H136" s="3">
        <v>0</v>
      </c>
      <c r="J136" t="s">
        <v>41</v>
      </c>
      <c r="K136">
        <v>230</v>
      </c>
      <c r="L136">
        <v>232</v>
      </c>
      <c r="M136" t="s">
        <v>152</v>
      </c>
      <c r="N136" s="2">
        <v>46185</v>
      </c>
      <c r="P136" t="s">
        <v>67</v>
      </c>
      <c r="Q136" t="s">
        <v>55</v>
      </c>
      <c r="R136" t="s">
        <v>290</v>
      </c>
      <c r="S136" s="2">
        <v>46171</v>
      </c>
      <c r="T136" s="2">
        <v>46174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</row>
    <row r="137" spans="1:39" x14ac:dyDescent="0.25">
      <c r="A137">
        <v>232</v>
      </c>
      <c r="B137" t="s">
        <v>361</v>
      </c>
      <c r="C137" t="s">
        <v>357</v>
      </c>
      <c r="D137" t="s">
        <v>114</v>
      </c>
      <c r="E137" t="s">
        <v>52</v>
      </c>
      <c r="F137" s="2">
        <v>46210</v>
      </c>
      <c r="G137" s="2">
        <v>46210</v>
      </c>
      <c r="H137" s="3">
        <v>0</v>
      </c>
      <c r="J137" t="s">
        <v>41</v>
      </c>
      <c r="K137">
        <v>231</v>
      </c>
      <c r="M137" t="s">
        <v>226</v>
      </c>
      <c r="N137" s="2">
        <v>46188</v>
      </c>
      <c r="P137" t="s">
        <v>67</v>
      </c>
      <c r="Q137" t="s">
        <v>55</v>
      </c>
      <c r="R137" t="s">
        <v>290</v>
      </c>
      <c r="S137" s="2">
        <v>46175</v>
      </c>
      <c r="T137" s="2">
        <v>46175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</row>
    <row r="138" spans="1:39" x14ac:dyDescent="0.25">
      <c r="A138">
        <v>238</v>
      </c>
      <c r="B138" t="s">
        <v>362</v>
      </c>
      <c r="C138" t="s">
        <v>50</v>
      </c>
      <c r="D138" t="s">
        <v>363</v>
      </c>
      <c r="E138" t="s">
        <v>364</v>
      </c>
      <c r="F138" s="2">
        <v>46191</v>
      </c>
      <c r="G138" s="2">
        <v>46218</v>
      </c>
      <c r="H138" s="3">
        <v>0.44</v>
      </c>
      <c r="J138" t="s">
        <v>41</v>
      </c>
      <c r="M138" t="s">
        <v>152</v>
      </c>
      <c r="N138" s="2">
        <v>46210</v>
      </c>
      <c r="P138" t="s">
        <v>73</v>
      </c>
      <c r="Q138" t="s">
        <v>55</v>
      </c>
      <c r="R138" t="s">
        <v>365</v>
      </c>
      <c r="S138" s="2">
        <v>46147</v>
      </c>
      <c r="T138" s="2">
        <v>46202</v>
      </c>
      <c r="AB138">
        <v>0.44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244</v>
      </c>
      <c r="B139" t="s">
        <v>366</v>
      </c>
      <c r="C139" t="s">
        <v>367</v>
      </c>
      <c r="D139" t="s">
        <v>368</v>
      </c>
      <c r="E139" t="s">
        <v>369</v>
      </c>
      <c r="F139" s="2">
        <v>46192</v>
      </c>
      <c r="G139" s="2">
        <v>46199</v>
      </c>
      <c r="H139" s="3">
        <v>0</v>
      </c>
      <c r="J139" t="s">
        <v>41</v>
      </c>
      <c r="M139" t="s">
        <v>152</v>
      </c>
      <c r="N139" s="2">
        <v>46196</v>
      </c>
      <c r="P139" t="s">
        <v>179</v>
      </c>
      <c r="Q139" t="s">
        <v>55</v>
      </c>
      <c r="R139" t="s">
        <v>365</v>
      </c>
      <c r="S139" s="2">
        <v>46176</v>
      </c>
      <c r="T139" s="2">
        <v>46188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245</v>
      </c>
      <c r="B140" t="s">
        <v>370</v>
      </c>
      <c r="C140" t="s">
        <v>371</v>
      </c>
      <c r="D140" t="s">
        <v>100</v>
      </c>
      <c r="E140" t="s">
        <v>101</v>
      </c>
      <c r="F140" s="2">
        <v>46192</v>
      </c>
      <c r="G140" s="2">
        <v>46196</v>
      </c>
      <c r="H140" s="3">
        <v>0</v>
      </c>
      <c r="J140" t="s">
        <v>41</v>
      </c>
      <c r="K140" t="s">
        <v>372</v>
      </c>
      <c r="L140" t="s">
        <v>373</v>
      </c>
      <c r="M140" t="s">
        <v>152</v>
      </c>
      <c r="N140" s="2">
        <v>46190</v>
      </c>
      <c r="P140" t="s">
        <v>179</v>
      </c>
      <c r="Q140" t="s">
        <v>55</v>
      </c>
      <c r="R140" t="s">
        <v>365</v>
      </c>
      <c r="S140" s="2">
        <v>46176</v>
      </c>
      <c r="T140" s="2">
        <v>46182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246</v>
      </c>
      <c r="B141" t="s">
        <v>374</v>
      </c>
      <c r="C141" t="s">
        <v>371</v>
      </c>
      <c r="D141" t="s">
        <v>104</v>
      </c>
      <c r="E141" t="s">
        <v>52</v>
      </c>
      <c r="F141" s="2">
        <v>46197</v>
      </c>
      <c r="G141" s="2">
        <v>46197</v>
      </c>
      <c r="H141" s="3">
        <v>0</v>
      </c>
      <c r="J141" t="s">
        <v>41</v>
      </c>
      <c r="K141">
        <v>245</v>
      </c>
      <c r="L141" t="s">
        <v>375</v>
      </c>
      <c r="M141" t="s">
        <v>186</v>
      </c>
      <c r="N141" s="2">
        <v>46191</v>
      </c>
      <c r="P141" t="s">
        <v>67</v>
      </c>
      <c r="Q141" t="s">
        <v>55</v>
      </c>
      <c r="R141" t="s">
        <v>365</v>
      </c>
      <c r="S141" s="2">
        <v>46183</v>
      </c>
      <c r="T141" s="2">
        <v>46183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247</v>
      </c>
      <c r="B142" t="s">
        <v>376</v>
      </c>
      <c r="C142" t="s">
        <v>371</v>
      </c>
      <c r="D142" t="s">
        <v>108</v>
      </c>
      <c r="E142" t="s">
        <v>52</v>
      </c>
      <c r="F142" s="2">
        <v>46198</v>
      </c>
      <c r="G142" s="2">
        <v>46198</v>
      </c>
      <c r="H142" s="3">
        <v>0</v>
      </c>
      <c r="J142" t="s">
        <v>41</v>
      </c>
      <c r="K142">
        <v>246</v>
      </c>
      <c r="L142">
        <v>248</v>
      </c>
      <c r="M142" t="s">
        <v>304</v>
      </c>
      <c r="N142" s="2">
        <v>46195</v>
      </c>
      <c r="P142" t="s">
        <v>67</v>
      </c>
      <c r="Q142" t="s">
        <v>55</v>
      </c>
      <c r="R142" t="s">
        <v>365</v>
      </c>
      <c r="S142" s="2">
        <v>46184</v>
      </c>
      <c r="T142" s="2">
        <v>46185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</row>
    <row r="143" spans="1:39" x14ac:dyDescent="0.25">
      <c r="A143">
        <v>248</v>
      </c>
      <c r="B143" t="s">
        <v>377</v>
      </c>
      <c r="C143" t="s">
        <v>371</v>
      </c>
      <c r="D143" t="s">
        <v>114</v>
      </c>
      <c r="E143" t="s">
        <v>52</v>
      </c>
      <c r="F143" s="2">
        <v>46199</v>
      </c>
      <c r="G143" s="2">
        <v>46199</v>
      </c>
      <c r="H143" s="3">
        <v>0</v>
      </c>
      <c r="J143" t="s">
        <v>41</v>
      </c>
      <c r="K143">
        <v>247</v>
      </c>
      <c r="M143" t="s">
        <v>251</v>
      </c>
      <c r="N143" s="2">
        <v>46196</v>
      </c>
      <c r="P143" t="s">
        <v>67</v>
      </c>
      <c r="Q143" t="s">
        <v>55</v>
      </c>
      <c r="R143" t="s">
        <v>365</v>
      </c>
      <c r="S143" s="2">
        <v>46188</v>
      </c>
      <c r="T143" s="2">
        <v>46188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</row>
    <row r="144" spans="1:39" x14ac:dyDescent="0.25">
      <c r="A144">
        <v>249</v>
      </c>
      <c r="B144" t="s">
        <v>378</v>
      </c>
      <c r="C144" t="s">
        <v>367</v>
      </c>
      <c r="D144" t="s">
        <v>379</v>
      </c>
      <c r="E144" t="s">
        <v>369</v>
      </c>
      <c r="F144" s="2">
        <v>46209</v>
      </c>
      <c r="G144" s="2">
        <v>46218</v>
      </c>
      <c r="H144" s="3">
        <v>0.5</v>
      </c>
      <c r="J144" t="s">
        <v>41</v>
      </c>
      <c r="M144" t="s">
        <v>311</v>
      </c>
      <c r="N144" s="2">
        <v>46210</v>
      </c>
      <c r="P144" t="s">
        <v>67</v>
      </c>
      <c r="Q144" t="s">
        <v>55</v>
      </c>
      <c r="R144" t="s">
        <v>365</v>
      </c>
      <c r="S144" s="2">
        <v>46192</v>
      </c>
      <c r="T144" s="2">
        <v>46202</v>
      </c>
      <c r="AB144">
        <v>0.5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250</v>
      </c>
      <c r="B145" t="s">
        <v>380</v>
      </c>
      <c r="C145" t="s">
        <v>381</v>
      </c>
      <c r="D145" t="s">
        <v>100</v>
      </c>
      <c r="E145" t="s">
        <v>101</v>
      </c>
      <c r="F145" s="2">
        <v>46209</v>
      </c>
      <c r="G145" s="2">
        <v>46211</v>
      </c>
      <c r="H145" s="3">
        <v>1</v>
      </c>
      <c r="I145" s="2">
        <v>46211</v>
      </c>
      <c r="J145" t="s">
        <v>53</v>
      </c>
      <c r="K145">
        <v>255</v>
      </c>
      <c r="L145">
        <v>251</v>
      </c>
      <c r="M145" t="s">
        <v>311</v>
      </c>
      <c r="N145" s="2">
        <v>46204</v>
      </c>
      <c r="P145" t="s">
        <v>67</v>
      </c>
      <c r="Q145" t="s">
        <v>55</v>
      </c>
      <c r="R145" t="s">
        <v>365</v>
      </c>
      <c r="S145" s="2">
        <v>46192</v>
      </c>
      <c r="T145" s="2">
        <v>46196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</row>
    <row r="146" spans="1:39" x14ac:dyDescent="0.25">
      <c r="A146">
        <v>251</v>
      </c>
      <c r="B146" t="s">
        <v>382</v>
      </c>
      <c r="C146" t="s">
        <v>381</v>
      </c>
      <c r="D146" t="s">
        <v>104</v>
      </c>
      <c r="E146" t="s">
        <v>52</v>
      </c>
      <c r="F146" s="2">
        <v>46216</v>
      </c>
      <c r="G146" s="2">
        <v>46216</v>
      </c>
      <c r="H146" s="3">
        <v>0</v>
      </c>
      <c r="J146" t="s">
        <v>41</v>
      </c>
      <c r="K146">
        <v>250</v>
      </c>
      <c r="L146">
        <v>252</v>
      </c>
      <c r="M146" t="s">
        <v>383</v>
      </c>
      <c r="N146" s="2">
        <v>46205</v>
      </c>
      <c r="P146" t="s">
        <v>194</v>
      </c>
      <c r="Q146" t="s">
        <v>55</v>
      </c>
      <c r="R146" t="s">
        <v>365</v>
      </c>
      <c r="S146" s="2">
        <v>46197</v>
      </c>
      <c r="T146" s="2">
        <v>46197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252</v>
      </c>
      <c r="B147" t="s">
        <v>384</v>
      </c>
      <c r="C147" t="s">
        <v>381</v>
      </c>
      <c r="D147" t="s">
        <v>108</v>
      </c>
      <c r="E147" t="s">
        <v>52</v>
      </c>
      <c r="F147" s="2">
        <v>46217</v>
      </c>
      <c r="G147" s="2">
        <v>46217</v>
      </c>
      <c r="H147" s="3">
        <v>0</v>
      </c>
      <c r="J147" t="s">
        <v>192</v>
      </c>
      <c r="K147">
        <v>251</v>
      </c>
      <c r="L147">
        <v>253</v>
      </c>
      <c r="M147" t="s">
        <v>385</v>
      </c>
      <c r="N147" s="2">
        <v>46209</v>
      </c>
      <c r="P147" t="s">
        <v>194</v>
      </c>
      <c r="Q147" t="s">
        <v>55</v>
      </c>
      <c r="R147" t="s">
        <v>365</v>
      </c>
      <c r="S147" s="2">
        <v>46198</v>
      </c>
      <c r="T147" s="2">
        <v>46199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253</v>
      </c>
      <c r="B148" t="s">
        <v>386</v>
      </c>
      <c r="C148" t="s">
        <v>381</v>
      </c>
      <c r="D148" t="s">
        <v>114</v>
      </c>
      <c r="E148" t="s">
        <v>52</v>
      </c>
      <c r="F148" s="2">
        <v>46218</v>
      </c>
      <c r="G148" s="2">
        <v>46218</v>
      </c>
      <c r="H148" s="3">
        <v>0</v>
      </c>
      <c r="J148" t="s">
        <v>196</v>
      </c>
      <c r="K148">
        <v>252</v>
      </c>
      <c r="M148" t="s">
        <v>387</v>
      </c>
      <c r="N148" s="2">
        <v>46210</v>
      </c>
      <c r="P148" t="s">
        <v>194</v>
      </c>
      <c r="Q148" t="s">
        <v>55</v>
      </c>
      <c r="R148" t="s">
        <v>365</v>
      </c>
      <c r="S148" s="2">
        <v>46202</v>
      </c>
      <c r="T148" s="2">
        <v>46202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259</v>
      </c>
      <c r="B149" t="s">
        <v>388</v>
      </c>
      <c r="C149" t="s">
        <v>367</v>
      </c>
      <c r="D149" t="s">
        <v>389</v>
      </c>
      <c r="E149" t="s">
        <v>390</v>
      </c>
      <c r="F149" s="2">
        <v>46191</v>
      </c>
      <c r="G149" s="2">
        <v>46197</v>
      </c>
      <c r="H149" s="3">
        <v>0.4</v>
      </c>
      <c r="J149" t="s">
        <v>41</v>
      </c>
      <c r="M149" t="s">
        <v>152</v>
      </c>
      <c r="N149" s="2">
        <v>46192</v>
      </c>
      <c r="P149" t="s">
        <v>73</v>
      </c>
      <c r="Q149" t="s">
        <v>55</v>
      </c>
      <c r="R149" t="s">
        <v>365</v>
      </c>
      <c r="S149" s="2">
        <v>46171</v>
      </c>
      <c r="T149" s="2">
        <v>46181</v>
      </c>
      <c r="AB149">
        <v>0.4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260</v>
      </c>
      <c r="B150" t="s">
        <v>391</v>
      </c>
      <c r="C150" t="s">
        <v>392</v>
      </c>
      <c r="D150" t="s">
        <v>100</v>
      </c>
      <c r="E150" t="s">
        <v>115</v>
      </c>
      <c r="F150" s="2">
        <v>46191</v>
      </c>
      <c r="G150" s="2">
        <v>46192</v>
      </c>
      <c r="H150" s="3">
        <v>1</v>
      </c>
      <c r="I150" s="2">
        <v>46192</v>
      </c>
      <c r="J150" t="s">
        <v>53</v>
      </c>
      <c r="K150" t="s">
        <v>393</v>
      </c>
      <c r="L150" t="s">
        <v>394</v>
      </c>
      <c r="M150" t="s">
        <v>152</v>
      </c>
      <c r="N150" s="2">
        <v>46188</v>
      </c>
      <c r="P150" t="s">
        <v>73</v>
      </c>
      <c r="Q150" t="s">
        <v>55</v>
      </c>
      <c r="R150" t="s">
        <v>365</v>
      </c>
      <c r="S150" s="2">
        <v>46171</v>
      </c>
      <c r="T150" s="2">
        <v>46175</v>
      </c>
      <c r="AB150">
        <v>1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</row>
    <row r="151" spans="1:39" x14ac:dyDescent="0.25">
      <c r="A151">
        <v>261</v>
      </c>
      <c r="B151" t="s">
        <v>395</v>
      </c>
      <c r="C151" t="s">
        <v>392</v>
      </c>
      <c r="D151" t="s">
        <v>104</v>
      </c>
      <c r="E151" t="s">
        <v>52</v>
      </c>
      <c r="F151" s="2">
        <v>46195</v>
      </c>
      <c r="G151" s="2">
        <v>46195</v>
      </c>
      <c r="H151" s="3">
        <v>0</v>
      </c>
      <c r="J151" t="s">
        <v>41</v>
      </c>
      <c r="K151">
        <v>260</v>
      </c>
      <c r="L151">
        <v>262</v>
      </c>
      <c r="M151" t="s">
        <v>228</v>
      </c>
      <c r="N151" s="2">
        <v>46189</v>
      </c>
      <c r="P151" t="s">
        <v>179</v>
      </c>
      <c r="Q151" t="s">
        <v>55</v>
      </c>
      <c r="R151" t="s">
        <v>365</v>
      </c>
      <c r="S151" s="2">
        <v>46176</v>
      </c>
      <c r="T151" s="2">
        <v>46176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262</v>
      </c>
      <c r="B152" t="s">
        <v>396</v>
      </c>
      <c r="C152" t="s">
        <v>392</v>
      </c>
      <c r="D152" t="s">
        <v>108</v>
      </c>
      <c r="E152" t="s">
        <v>52</v>
      </c>
      <c r="F152" s="2">
        <v>46196</v>
      </c>
      <c r="G152" s="2">
        <v>46196</v>
      </c>
      <c r="H152" s="3">
        <v>0</v>
      </c>
      <c r="J152" t="s">
        <v>41</v>
      </c>
      <c r="K152">
        <v>261</v>
      </c>
      <c r="L152">
        <v>263</v>
      </c>
      <c r="M152" t="s">
        <v>248</v>
      </c>
      <c r="N152" s="2">
        <v>46191</v>
      </c>
      <c r="P152" t="s">
        <v>179</v>
      </c>
      <c r="Q152" t="s">
        <v>55</v>
      </c>
      <c r="R152" t="s">
        <v>365</v>
      </c>
      <c r="S152" s="2">
        <v>46177</v>
      </c>
      <c r="T152" s="2">
        <v>46178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</row>
    <row r="153" spans="1:39" x14ac:dyDescent="0.25">
      <c r="A153">
        <v>263</v>
      </c>
      <c r="B153" t="s">
        <v>397</v>
      </c>
      <c r="C153" t="s">
        <v>392</v>
      </c>
      <c r="D153" t="s">
        <v>114</v>
      </c>
      <c r="E153" t="s">
        <v>52</v>
      </c>
      <c r="F153" s="2">
        <v>46197</v>
      </c>
      <c r="G153" s="2">
        <v>46197</v>
      </c>
      <c r="H153" s="3">
        <v>0</v>
      </c>
      <c r="J153" t="s">
        <v>41</v>
      </c>
      <c r="K153">
        <v>262</v>
      </c>
      <c r="M153" t="s">
        <v>304</v>
      </c>
      <c r="N153" s="2">
        <v>46192</v>
      </c>
      <c r="P153" t="s">
        <v>179</v>
      </c>
      <c r="Q153" t="s">
        <v>55</v>
      </c>
      <c r="R153" t="s">
        <v>365</v>
      </c>
      <c r="S153" s="2">
        <v>46181</v>
      </c>
      <c r="T153" s="2">
        <v>46181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</row>
    <row r="154" spans="1:39" x14ac:dyDescent="0.25">
      <c r="A154">
        <v>264</v>
      </c>
      <c r="B154" t="s">
        <v>398</v>
      </c>
      <c r="C154" t="s">
        <v>367</v>
      </c>
      <c r="D154" t="s">
        <v>399</v>
      </c>
      <c r="E154" t="s">
        <v>369</v>
      </c>
      <c r="F154" s="2">
        <v>46203</v>
      </c>
      <c r="G154" s="2">
        <v>46210</v>
      </c>
      <c r="H154" s="3">
        <v>0.5</v>
      </c>
      <c r="J154" t="s">
        <v>41</v>
      </c>
      <c r="M154" t="s">
        <v>251</v>
      </c>
      <c r="N154" s="2">
        <v>46206</v>
      </c>
      <c r="P154" t="s">
        <v>67</v>
      </c>
      <c r="Q154" t="s">
        <v>55</v>
      </c>
      <c r="R154" t="s">
        <v>365</v>
      </c>
      <c r="S154" s="2">
        <v>46188</v>
      </c>
      <c r="T154" s="2">
        <v>46198</v>
      </c>
      <c r="AB154">
        <v>0.5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265</v>
      </c>
      <c r="B155" t="s">
        <v>400</v>
      </c>
      <c r="C155" t="s">
        <v>401</v>
      </c>
      <c r="D155" t="s">
        <v>100</v>
      </c>
      <c r="E155" t="s">
        <v>101</v>
      </c>
      <c r="F155" s="2">
        <v>46203</v>
      </c>
      <c r="G155" s="2">
        <v>46205</v>
      </c>
      <c r="H155" s="3">
        <v>1</v>
      </c>
      <c r="I155" s="2">
        <v>46205</v>
      </c>
      <c r="J155" t="s">
        <v>53</v>
      </c>
      <c r="K155">
        <v>245</v>
      </c>
      <c r="L155">
        <v>266</v>
      </c>
      <c r="M155" t="s">
        <v>251</v>
      </c>
      <c r="N155" s="2">
        <v>46202</v>
      </c>
      <c r="P155" t="s">
        <v>67</v>
      </c>
      <c r="Q155" t="s">
        <v>55</v>
      </c>
      <c r="R155" t="s">
        <v>365</v>
      </c>
      <c r="S155" s="2">
        <v>46188</v>
      </c>
      <c r="T155" s="2">
        <v>46192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</row>
    <row r="156" spans="1:39" x14ac:dyDescent="0.25">
      <c r="A156">
        <v>266</v>
      </c>
      <c r="B156" t="s">
        <v>402</v>
      </c>
      <c r="C156" t="s">
        <v>401</v>
      </c>
      <c r="D156" t="s">
        <v>104</v>
      </c>
      <c r="E156" t="s">
        <v>52</v>
      </c>
      <c r="F156" s="2">
        <v>46206</v>
      </c>
      <c r="G156" s="2">
        <v>46206</v>
      </c>
      <c r="H156" s="3">
        <v>0</v>
      </c>
      <c r="J156" t="s">
        <v>41</v>
      </c>
      <c r="K156">
        <v>265</v>
      </c>
      <c r="L156">
        <v>267</v>
      </c>
      <c r="M156" t="s">
        <v>197</v>
      </c>
      <c r="N156" s="2">
        <v>46203</v>
      </c>
      <c r="P156" t="s">
        <v>67</v>
      </c>
      <c r="Q156" t="s">
        <v>55</v>
      </c>
      <c r="R156" t="s">
        <v>365</v>
      </c>
      <c r="S156" s="2">
        <v>46195</v>
      </c>
      <c r="T156" s="2">
        <v>46195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267</v>
      </c>
      <c r="B157" t="s">
        <v>403</v>
      </c>
      <c r="C157" t="s">
        <v>401</v>
      </c>
      <c r="D157" t="s">
        <v>108</v>
      </c>
      <c r="E157" t="s">
        <v>52</v>
      </c>
      <c r="F157" s="2">
        <v>46209</v>
      </c>
      <c r="G157" s="2">
        <v>46209</v>
      </c>
      <c r="H157" s="3">
        <v>0</v>
      </c>
      <c r="J157" t="s">
        <v>41</v>
      </c>
      <c r="K157">
        <v>266</v>
      </c>
      <c r="L157">
        <v>268</v>
      </c>
      <c r="M157" t="s">
        <v>404</v>
      </c>
      <c r="N157" s="2">
        <v>46205</v>
      </c>
      <c r="P157" t="s">
        <v>194</v>
      </c>
      <c r="Q157" t="s">
        <v>55</v>
      </c>
      <c r="R157" t="s">
        <v>365</v>
      </c>
      <c r="S157" s="2">
        <v>46196</v>
      </c>
      <c r="T157" s="2">
        <v>46197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</row>
    <row r="158" spans="1:39" x14ac:dyDescent="0.25">
      <c r="A158">
        <v>268</v>
      </c>
      <c r="B158" t="s">
        <v>405</v>
      </c>
      <c r="C158" t="s">
        <v>401</v>
      </c>
      <c r="D158" t="s">
        <v>114</v>
      </c>
      <c r="E158" t="s">
        <v>52</v>
      </c>
      <c r="F158" s="2">
        <v>46210</v>
      </c>
      <c r="G158" s="2">
        <v>46210</v>
      </c>
      <c r="H158" s="3">
        <v>0</v>
      </c>
      <c r="J158" t="s">
        <v>41</v>
      </c>
      <c r="K158">
        <v>267</v>
      </c>
      <c r="M158" t="s">
        <v>385</v>
      </c>
      <c r="N158" s="2">
        <v>46206</v>
      </c>
      <c r="P158" t="s">
        <v>194</v>
      </c>
      <c r="Q158" t="s">
        <v>55</v>
      </c>
      <c r="R158" t="s">
        <v>365</v>
      </c>
      <c r="S158" s="2">
        <v>46198</v>
      </c>
      <c r="T158" s="2">
        <v>46198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</row>
    <row r="159" spans="1:39" x14ac:dyDescent="0.25">
      <c r="A159">
        <v>269</v>
      </c>
      <c r="B159" t="s">
        <v>406</v>
      </c>
      <c r="C159" t="s">
        <v>367</v>
      </c>
      <c r="D159" t="s">
        <v>407</v>
      </c>
      <c r="E159" t="s">
        <v>369</v>
      </c>
      <c r="F159" s="2">
        <v>46209</v>
      </c>
      <c r="G159" s="2">
        <v>46218</v>
      </c>
      <c r="H159" s="3">
        <v>0.5</v>
      </c>
      <c r="J159" t="s">
        <v>41</v>
      </c>
      <c r="M159" t="s">
        <v>251</v>
      </c>
      <c r="N159" s="2">
        <v>46206</v>
      </c>
      <c r="P159" t="s">
        <v>67</v>
      </c>
      <c r="Q159" t="s">
        <v>55</v>
      </c>
      <c r="R159" t="s">
        <v>365</v>
      </c>
      <c r="S159" s="2">
        <v>46188</v>
      </c>
      <c r="T159" s="2">
        <v>46198</v>
      </c>
      <c r="AB159">
        <v>0.5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270</v>
      </c>
      <c r="B160" t="s">
        <v>408</v>
      </c>
      <c r="C160" t="s">
        <v>409</v>
      </c>
      <c r="D160" t="s">
        <v>100</v>
      </c>
      <c r="E160" t="s">
        <v>101</v>
      </c>
      <c r="F160" s="2">
        <v>46209</v>
      </c>
      <c r="G160" s="2">
        <v>46211</v>
      </c>
      <c r="H160" s="3">
        <v>1</v>
      </c>
      <c r="I160" s="2">
        <v>46211</v>
      </c>
      <c r="J160" t="s">
        <v>53</v>
      </c>
      <c r="K160">
        <v>245</v>
      </c>
      <c r="L160">
        <v>271</v>
      </c>
      <c r="M160" t="s">
        <v>251</v>
      </c>
      <c r="N160" s="2">
        <v>46202</v>
      </c>
      <c r="P160" t="s">
        <v>67</v>
      </c>
      <c r="Q160" t="s">
        <v>55</v>
      </c>
      <c r="R160" t="s">
        <v>365</v>
      </c>
      <c r="S160" s="2">
        <v>46188</v>
      </c>
      <c r="T160" s="2">
        <v>46192</v>
      </c>
      <c r="AB160">
        <v>1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</row>
    <row r="161" spans="1:39" x14ac:dyDescent="0.25">
      <c r="A161">
        <v>271</v>
      </c>
      <c r="B161" t="s">
        <v>410</v>
      </c>
      <c r="C161" t="s">
        <v>409</v>
      </c>
      <c r="D161" t="s">
        <v>104</v>
      </c>
      <c r="E161" t="s">
        <v>52</v>
      </c>
      <c r="F161" s="2">
        <v>46216</v>
      </c>
      <c r="G161" s="2">
        <v>46216</v>
      </c>
      <c r="H161" s="3">
        <v>0</v>
      </c>
      <c r="J161" t="s">
        <v>41</v>
      </c>
      <c r="K161">
        <v>270</v>
      </c>
      <c r="L161">
        <v>272</v>
      </c>
      <c r="M161" t="s">
        <v>197</v>
      </c>
      <c r="N161" s="2">
        <v>46203</v>
      </c>
      <c r="P161" t="s">
        <v>67</v>
      </c>
      <c r="Q161" t="s">
        <v>55</v>
      </c>
      <c r="R161" t="s">
        <v>365</v>
      </c>
      <c r="S161" s="2">
        <v>46195</v>
      </c>
      <c r="T161" s="2">
        <v>46195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272</v>
      </c>
      <c r="B162" t="s">
        <v>411</v>
      </c>
      <c r="C162" t="s">
        <v>409</v>
      </c>
      <c r="D162" t="s">
        <v>108</v>
      </c>
      <c r="E162" t="s">
        <v>52</v>
      </c>
      <c r="F162" s="2">
        <v>46217</v>
      </c>
      <c r="G162" s="2">
        <v>46217</v>
      </c>
      <c r="H162" s="3">
        <v>0</v>
      </c>
      <c r="J162" t="s">
        <v>192</v>
      </c>
      <c r="K162">
        <v>271</v>
      </c>
      <c r="L162">
        <v>273</v>
      </c>
      <c r="M162" t="s">
        <v>404</v>
      </c>
      <c r="N162" s="2">
        <v>46205</v>
      </c>
      <c r="P162" t="s">
        <v>194</v>
      </c>
      <c r="Q162" t="s">
        <v>55</v>
      </c>
      <c r="R162" t="s">
        <v>365</v>
      </c>
      <c r="S162" s="2">
        <v>46196</v>
      </c>
      <c r="T162" s="2">
        <v>46197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273</v>
      </c>
      <c r="B163" t="s">
        <v>412</v>
      </c>
      <c r="C163" t="s">
        <v>409</v>
      </c>
      <c r="D163" t="s">
        <v>114</v>
      </c>
      <c r="E163" t="s">
        <v>52</v>
      </c>
      <c r="F163" s="2">
        <v>46218</v>
      </c>
      <c r="G163" s="2">
        <v>46218</v>
      </c>
      <c r="H163" s="3">
        <v>0</v>
      </c>
      <c r="J163" t="s">
        <v>196</v>
      </c>
      <c r="K163">
        <v>272</v>
      </c>
      <c r="M163" t="s">
        <v>385</v>
      </c>
      <c r="N163" s="2">
        <v>46206</v>
      </c>
      <c r="P163" t="s">
        <v>194</v>
      </c>
      <c r="Q163" t="s">
        <v>55</v>
      </c>
      <c r="R163" t="s">
        <v>365</v>
      </c>
      <c r="S163" s="2">
        <v>46198</v>
      </c>
      <c r="T163" s="2">
        <v>46198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274</v>
      </c>
      <c r="B164" t="s">
        <v>413</v>
      </c>
      <c r="C164" t="s">
        <v>367</v>
      </c>
      <c r="D164" t="s">
        <v>414</v>
      </c>
      <c r="E164" t="s">
        <v>369</v>
      </c>
      <c r="F164" s="2">
        <v>46209</v>
      </c>
      <c r="G164" s="2">
        <v>46218</v>
      </c>
      <c r="H164" s="3">
        <v>0.5</v>
      </c>
      <c r="J164" t="s">
        <v>41</v>
      </c>
      <c r="M164" t="s">
        <v>251</v>
      </c>
      <c r="N164" s="2">
        <v>46206</v>
      </c>
      <c r="P164" t="s">
        <v>67</v>
      </c>
      <c r="Q164" t="s">
        <v>55</v>
      </c>
      <c r="R164" t="s">
        <v>365</v>
      </c>
      <c r="S164" s="2">
        <v>46188</v>
      </c>
      <c r="T164" s="2">
        <v>46198</v>
      </c>
      <c r="AB164">
        <v>0.5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275</v>
      </c>
      <c r="B165" t="s">
        <v>415</v>
      </c>
      <c r="C165" t="s">
        <v>416</v>
      </c>
      <c r="D165" t="s">
        <v>100</v>
      </c>
      <c r="E165" t="s">
        <v>101</v>
      </c>
      <c r="F165" s="2">
        <v>46209</v>
      </c>
      <c r="G165" s="2">
        <v>46211</v>
      </c>
      <c r="H165" s="3">
        <v>1</v>
      </c>
      <c r="I165" s="2">
        <v>46211</v>
      </c>
      <c r="J165" t="s">
        <v>53</v>
      </c>
      <c r="K165">
        <v>245</v>
      </c>
      <c r="L165">
        <v>276</v>
      </c>
      <c r="M165" t="s">
        <v>251</v>
      </c>
      <c r="N165" s="2">
        <v>46202</v>
      </c>
      <c r="P165" t="s">
        <v>67</v>
      </c>
      <c r="Q165" t="s">
        <v>55</v>
      </c>
      <c r="R165" t="s">
        <v>365</v>
      </c>
      <c r="S165" s="2">
        <v>46188</v>
      </c>
      <c r="T165" s="2">
        <v>46192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</row>
    <row r="166" spans="1:39" x14ac:dyDescent="0.25">
      <c r="A166">
        <v>276</v>
      </c>
      <c r="B166" t="s">
        <v>417</v>
      </c>
      <c r="C166" t="s">
        <v>416</v>
      </c>
      <c r="D166" t="s">
        <v>104</v>
      </c>
      <c r="E166" t="s">
        <v>52</v>
      </c>
      <c r="F166" s="2">
        <v>46216</v>
      </c>
      <c r="G166" s="2">
        <v>46216</v>
      </c>
      <c r="H166" s="3">
        <v>0</v>
      </c>
      <c r="J166" t="s">
        <v>41</v>
      </c>
      <c r="K166">
        <v>275</v>
      </c>
      <c r="L166">
        <v>277</v>
      </c>
      <c r="M166" t="s">
        <v>197</v>
      </c>
      <c r="N166" s="2">
        <v>46203</v>
      </c>
      <c r="P166" t="s">
        <v>67</v>
      </c>
      <c r="Q166" t="s">
        <v>55</v>
      </c>
      <c r="R166" t="s">
        <v>365</v>
      </c>
      <c r="S166" s="2">
        <v>46195</v>
      </c>
      <c r="T166" s="2">
        <v>46195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277</v>
      </c>
      <c r="B167" t="s">
        <v>418</v>
      </c>
      <c r="C167" t="s">
        <v>416</v>
      </c>
      <c r="D167" t="s">
        <v>108</v>
      </c>
      <c r="E167" t="s">
        <v>52</v>
      </c>
      <c r="F167" s="2">
        <v>46217</v>
      </c>
      <c r="G167" s="2">
        <v>46217</v>
      </c>
      <c r="H167" s="3">
        <v>0</v>
      </c>
      <c r="J167" t="s">
        <v>192</v>
      </c>
      <c r="K167">
        <v>276</v>
      </c>
      <c r="L167">
        <v>278</v>
      </c>
      <c r="M167" t="s">
        <v>404</v>
      </c>
      <c r="N167" s="2">
        <v>46205</v>
      </c>
      <c r="P167" t="s">
        <v>194</v>
      </c>
      <c r="Q167" t="s">
        <v>55</v>
      </c>
      <c r="R167" t="s">
        <v>365</v>
      </c>
      <c r="S167" s="2">
        <v>46196</v>
      </c>
      <c r="T167" s="2">
        <v>46197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278</v>
      </c>
      <c r="B168" t="s">
        <v>419</v>
      </c>
      <c r="C168" t="s">
        <v>416</v>
      </c>
      <c r="D168" t="s">
        <v>114</v>
      </c>
      <c r="E168" t="s">
        <v>52</v>
      </c>
      <c r="F168" s="2">
        <v>46218</v>
      </c>
      <c r="G168" s="2">
        <v>46218</v>
      </c>
      <c r="H168" s="3">
        <v>0</v>
      </c>
      <c r="J168" t="s">
        <v>196</v>
      </c>
      <c r="K168">
        <v>277</v>
      </c>
      <c r="M168" t="s">
        <v>385</v>
      </c>
      <c r="N168" s="2">
        <v>46206</v>
      </c>
      <c r="P168" t="s">
        <v>194</v>
      </c>
      <c r="Q168" t="s">
        <v>55</v>
      </c>
      <c r="R168" t="s">
        <v>365</v>
      </c>
      <c r="S168" s="2">
        <v>46198</v>
      </c>
      <c r="T168" s="2">
        <v>46198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279</v>
      </c>
      <c r="B169" t="s">
        <v>420</v>
      </c>
      <c r="C169" t="s">
        <v>367</v>
      </c>
      <c r="D169" t="s">
        <v>421</v>
      </c>
      <c r="E169" t="s">
        <v>369</v>
      </c>
      <c r="F169" s="2">
        <v>46209</v>
      </c>
      <c r="G169" s="2">
        <v>46218</v>
      </c>
      <c r="H169" s="3">
        <v>0.5</v>
      </c>
      <c r="J169" t="s">
        <v>41</v>
      </c>
      <c r="M169" t="s">
        <v>251</v>
      </c>
      <c r="N169" s="2">
        <v>46206</v>
      </c>
      <c r="P169" t="s">
        <v>67</v>
      </c>
      <c r="Q169" t="s">
        <v>55</v>
      </c>
      <c r="R169" t="s">
        <v>365</v>
      </c>
      <c r="S169" s="2">
        <v>46188</v>
      </c>
      <c r="T169" s="2">
        <v>46198</v>
      </c>
      <c r="AB169">
        <v>0.5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280</v>
      </c>
      <c r="B170" t="s">
        <v>422</v>
      </c>
      <c r="C170" t="s">
        <v>423</v>
      </c>
      <c r="D170" t="s">
        <v>100</v>
      </c>
      <c r="E170" t="s">
        <v>101</v>
      </c>
      <c r="F170" s="2">
        <v>46209</v>
      </c>
      <c r="G170" s="2">
        <v>46211</v>
      </c>
      <c r="H170" s="3">
        <v>1</v>
      </c>
      <c r="I170" s="2">
        <v>46211</v>
      </c>
      <c r="J170" t="s">
        <v>53</v>
      </c>
      <c r="K170">
        <v>245</v>
      </c>
      <c r="L170">
        <v>281</v>
      </c>
      <c r="M170" t="s">
        <v>251</v>
      </c>
      <c r="N170" s="2">
        <v>46202</v>
      </c>
      <c r="P170" t="s">
        <v>67</v>
      </c>
      <c r="Q170" t="s">
        <v>55</v>
      </c>
      <c r="R170" t="s">
        <v>365</v>
      </c>
      <c r="S170" s="2">
        <v>46188</v>
      </c>
      <c r="T170" s="2">
        <v>46192</v>
      </c>
      <c r="AB170">
        <v>1</v>
      </c>
      <c r="AC170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</row>
    <row r="171" spans="1:39" x14ac:dyDescent="0.25">
      <c r="A171">
        <v>281</v>
      </c>
      <c r="B171" t="s">
        <v>424</v>
      </c>
      <c r="C171" t="s">
        <v>423</v>
      </c>
      <c r="D171" t="s">
        <v>104</v>
      </c>
      <c r="E171" t="s">
        <v>52</v>
      </c>
      <c r="F171" s="2">
        <v>46216</v>
      </c>
      <c r="G171" s="2">
        <v>46216</v>
      </c>
      <c r="H171" s="3">
        <v>0</v>
      </c>
      <c r="J171" t="s">
        <v>41</v>
      </c>
      <c r="K171">
        <v>280</v>
      </c>
      <c r="L171">
        <v>282</v>
      </c>
      <c r="M171" t="s">
        <v>197</v>
      </c>
      <c r="N171" s="2">
        <v>46203</v>
      </c>
      <c r="P171" t="s">
        <v>67</v>
      </c>
      <c r="Q171" t="s">
        <v>55</v>
      </c>
      <c r="R171" t="s">
        <v>365</v>
      </c>
      <c r="S171" s="2">
        <v>46195</v>
      </c>
      <c r="T171" s="2">
        <v>46195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282</v>
      </c>
      <c r="B172" t="s">
        <v>425</v>
      </c>
      <c r="C172" t="s">
        <v>423</v>
      </c>
      <c r="D172" t="s">
        <v>108</v>
      </c>
      <c r="E172" t="s">
        <v>52</v>
      </c>
      <c r="F172" s="2">
        <v>46217</v>
      </c>
      <c r="G172" s="2">
        <v>46217</v>
      </c>
      <c r="H172" s="3">
        <v>0</v>
      </c>
      <c r="J172" t="s">
        <v>192</v>
      </c>
      <c r="K172">
        <v>281</v>
      </c>
      <c r="L172">
        <v>283</v>
      </c>
      <c r="M172" t="s">
        <v>404</v>
      </c>
      <c r="N172" s="2">
        <v>46205</v>
      </c>
      <c r="P172" t="s">
        <v>194</v>
      </c>
      <c r="Q172" t="s">
        <v>55</v>
      </c>
      <c r="R172" t="s">
        <v>365</v>
      </c>
      <c r="S172" s="2">
        <v>46196</v>
      </c>
      <c r="T172" s="2">
        <v>46197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>
        <v>283</v>
      </c>
      <c r="B173" t="s">
        <v>426</v>
      </c>
      <c r="C173" t="s">
        <v>423</v>
      </c>
      <c r="D173" t="s">
        <v>114</v>
      </c>
      <c r="E173" t="s">
        <v>52</v>
      </c>
      <c r="F173" s="2">
        <v>46218</v>
      </c>
      <c r="G173" s="2">
        <v>46218</v>
      </c>
      <c r="H173" s="3">
        <v>0</v>
      </c>
      <c r="J173" t="s">
        <v>196</v>
      </c>
      <c r="K173">
        <v>282</v>
      </c>
      <c r="M173" t="s">
        <v>385</v>
      </c>
      <c r="N173" s="2">
        <v>46206</v>
      </c>
      <c r="P173" t="s">
        <v>194</v>
      </c>
      <c r="Q173" t="s">
        <v>55</v>
      </c>
      <c r="R173" t="s">
        <v>365</v>
      </c>
      <c r="S173" s="2">
        <v>46198</v>
      </c>
      <c r="T173" s="2">
        <v>46198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289</v>
      </c>
      <c r="B174" t="s">
        <v>427</v>
      </c>
      <c r="C174" t="s">
        <v>367</v>
      </c>
      <c r="D174" t="s">
        <v>428</v>
      </c>
      <c r="E174" t="s">
        <v>174</v>
      </c>
      <c r="F174" s="2">
        <v>46206</v>
      </c>
      <c r="G174" s="2">
        <v>46218</v>
      </c>
      <c r="H174" s="3">
        <v>0.56999999999999995</v>
      </c>
      <c r="J174" t="s">
        <v>41</v>
      </c>
      <c r="M174" t="s">
        <v>251</v>
      </c>
      <c r="N174" s="2">
        <v>46206</v>
      </c>
      <c r="P174" t="s">
        <v>67</v>
      </c>
      <c r="Q174" t="s">
        <v>55</v>
      </c>
      <c r="R174" t="s">
        <v>365</v>
      </c>
      <c r="S174" s="2">
        <v>46188</v>
      </c>
      <c r="T174" s="2">
        <v>46198</v>
      </c>
      <c r="AB174">
        <v>0.56999999999999995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290</v>
      </c>
      <c r="B175" t="s">
        <v>429</v>
      </c>
      <c r="C175" t="s">
        <v>430</v>
      </c>
      <c r="D175" t="s">
        <v>100</v>
      </c>
      <c r="E175" t="s">
        <v>167</v>
      </c>
      <c r="F175" s="2">
        <v>46206</v>
      </c>
      <c r="G175" s="2">
        <v>46211</v>
      </c>
      <c r="H175" s="3">
        <v>1</v>
      </c>
      <c r="I175" s="2">
        <v>46211</v>
      </c>
      <c r="J175" t="s">
        <v>53</v>
      </c>
      <c r="K175" t="s">
        <v>431</v>
      </c>
      <c r="L175">
        <v>291</v>
      </c>
      <c r="M175" t="s">
        <v>251</v>
      </c>
      <c r="N175" s="2">
        <v>46202</v>
      </c>
      <c r="P175" t="s">
        <v>67</v>
      </c>
      <c r="Q175" t="s">
        <v>55</v>
      </c>
      <c r="R175" t="s">
        <v>365</v>
      </c>
      <c r="S175" s="2">
        <v>46188</v>
      </c>
      <c r="T175" s="2">
        <v>46192</v>
      </c>
      <c r="AB175">
        <v>1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</row>
    <row r="176" spans="1:39" x14ac:dyDescent="0.25">
      <c r="A176">
        <v>291</v>
      </c>
      <c r="B176" t="s">
        <v>432</v>
      </c>
      <c r="C176" t="s">
        <v>430</v>
      </c>
      <c r="D176" t="s">
        <v>104</v>
      </c>
      <c r="E176" t="s">
        <v>52</v>
      </c>
      <c r="F176" s="2">
        <v>46216</v>
      </c>
      <c r="G176" s="2">
        <v>46216</v>
      </c>
      <c r="H176" s="3">
        <v>0</v>
      </c>
      <c r="J176" t="s">
        <v>41</v>
      </c>
      <c r="K176">
        <v>290</v>
      </c>
      <c r="L176">
        <v>292</v>
      </c>
      <c r="M176" t="s">
        <v>197</v>
      </c>
      <c r="N176" s="2">
        <v>46203</v>
      </c>
      <c r="P176" t="s">
        <v>67</v>
      </c>
      <c r="Q176" t="s">
        <v>55</v>
      </c>
      <c r="R176" t="s">
        <v>365</v>
      </c>
      <c r="S176" s="2">
        <v>46195</v>
      </c>
      <c r="T176" s="2">
        <v>46195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292</v>
      </c>
      <c r="B177" t="s">
        <v>433</v>
      </c>
      <c r="C177" t="s">
        <v>430</v>
      </c>
      <c r="D177" t="s">
        <v>108</v>
      </c>
      <c r="E177" t="s">
        <v>52</v>
      </c>
      <c r="F177" s="2">
        <v>46217</v>
      </c>
      <c r="G177" s="2">
        <v>46217</v>
      </c>
      <c r="H177" s="3">
        <v>0</v>
      </c>
      <c r="J177" t="s">
        <v>192</v>
      </c>
      <c r="K177">
        <v>291</v>
      </c>
      <c r="L177">
        <v>293</v>
      </c>
      <c r="M177" t="s">
        <v>404</v>
      </c>
      <c r="N177" s="2">
        <v>46205</v>
      </c>
      <c r="P177" t="s">
        <v>194</v>
      </c>
      <c r="Q177" t="s">
        <v>55</v>
      </c>
      <c r="R177" t="s">
        <v>365</v>
      </c>
      <c r="S177" s="2">
        <v>46196</v>
      </c>
      <c r="T177" s="2">
        <v>46197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293</v>
      </c>
      <c r="B178" t="s">
        <v>434</v>
      </c>
      <c r="C178" t="s">
        <v>430</v>
      </c>
      <c r="D178" t="s">
        <v>114</v>
      </c>
      <c r="E178" t="s">
        <v>52</v>
      </c>
      <c r="F178" s="2">
        <v>46218</v>
      </c>
      <c r="G178" s="2">
        <v>46218</v>
      </c>
      <c r="H178" s="3">
        <v>0</v>
      </c>
      <c r="J178" t="s">
        <v>196</v>
      </c>
      <c r="K178">
        <v>292</v>
      </c>
      <c r="M178" t="s">
        <v>385</v>
      </c>
      <c r="N178" s="2">
        <v>46206</v>
      </c>
      <c r="P178" t="s">
        <v>194</v>
      </c>
      <c r="Q178" t="s">
        <v>55</v>
      </c>
      <c r="R178" t="s">
        <v>365</v>
      </c>
      <c r="S178" s="2">
        <v>46198</v>
      </c>
      <c r="T178" s="2">
        <v>46198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294</v>
      </c>
      <c r="B179" t="s">
        <v>435</v>
      </c>
      <c r="C179" t="s">
        <v>50</v>
      </c>
      <c r="D179" t="s">
        <v>436</v>
      </c>
      <c r="E179" t="s">
        <v>437</v>
      </c>
      <c r="F179" s="2">
        <v>46170</v>
      </c>
      <c r="G179" s="2">
        <v>46218</v>
      </c>
      <c r="H179" s="3">
        <v>0.57999999999999996</v>
      </c>
      <c r="J179" t="s">
        <v>41</v>
      </c>
      <c r="M179" t="s">
        <v>134</v>
      </c>
      <c r="N179" s="2">
        <v>46210</v>
      </c>
      <c r="P179" t="s">
        <v>135</v>
      </c>
      <c r="Q179" t="s">
        <v>55</v>
      </c>
      <c r="R179" t="s">
        <v>438</v>
      </c>
      <c r="S179" s="2">
        <v>46147</v>
      </c>
      <c r="T179" s="2">
        <v>46210</v>
      </c>
      <c r="AB179">
        <v>0.57999999999999996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300</v>
      </c>
      <c r="B180" t="s">
        <v>439</v>
      </c>
      <c r="C180" t="s">
        <v>440</v>
      </c>
      <c r="D180" t="s">
        <v>441</v>
      </c>
      <c r="E180" t="s">
        <v>369</v>
      </c>
      <c r="F180" s="2">
        <v>46209</v>
      </c>
      <c r="G180" s="2">
        <v>46218</v>
      </c>
      <c r="H180" s="3">
        <v>0</v>
      </c>
      <c r="J180" t="s">
        <v>41</v>
      </c>
      <c r="M180" t="s">
        <v>245</v>
      </c>
      <c r="N180" s="2">
        <v>46197</v>
      </c>
      <c r="P180" t="s">
        <v>179</v>
      </c>
      <c r="Q180" t="s">
        <v>55</v>
      </c>
      <c r="R180" t="s">
        <v>438</v>
      </c>
      <c r="S180" s="2">
        <v>46185</v>
      </c>
      <c r="T180" s="2">
        <v>46197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301</v>
      </c>
      <c r="B181" t="s">
        <v>442</v>
      </c>
      <c r="C181" t="s">
        <v>443</v>
      </c>
      <c r="D181" t="s">
        <v>100</v>
      </c>
      <c r="E181" t="s">
        <v>101</v>
      </c>
      <c r="F181" s="2">
        <v>46209</v>
      </c>
      <c r="G181" s="2">
        <v>46211</v>
      </c>
      <c r="H181" s="3">
        <v>0</v>
      </c>
      <c r="J181" t="s">
        <v>41</v>
      </c>
      <c r="K181" t="s">
        <v>444</v>
      </c>
      <c r="L181">
        <v>302</v>
      </c>
      <c r="M181" t="s">
        <v>245</v>
      </c>
      <c r="N181" s="2">
        <v>46191</v>
      </c>
      <c r="P181" t="s">
        <v>179</v>
      </c>
      <c r="Q181" t="s">
        <v>55</v>
      </c>
      <c r="R181" t="s">
        <v>438</v>
      </c>
      <c r="S181" s="2">
        <v>46185</v>
      </c>
      <c r="T181" s="2">
        <v>46191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302</v>
      </c>
      <c r="B182" t="s">
        <v>445</v>
      </c>
      <c r="C182" t="s">
        <v>443</v>
      </c>
      <c r="D182" t="s">
        <v>104</v>
      </c>
      <c r="E182" t="s">
        <v>52</v>
      </c>
      <c r="F182" s="2">
        <v>46216</v>
      </c>
      <c r="G182" s="2">
        <v>46216</v>
      </c>
      <c r="H182" s="3">
        <v>0</v>
      </c>
      <c r="J182" t="s">
        <v>41</v>
      </c>
      <c r="K182">
        <v>301</v>
      </c>
      <c r="L182">
        <v>303</v>
      </c>
      <c r="M182" t="s">
        <v>304</v>
      </c>
      <c r="N182" s="2">
        <v>46192</v>
      </c>
      <c r="P182" t="s">
        <v>67</v>
      </c>
      <c r="Q182" t="s">
        <v>55</v>
      </c>
      <c r="R182" t="s">
        <v>438</v>
      </c>
      <c r="S182" s="2">
        <v>46192</v>
      </c>
      <c r="T182" s="2">
        <v>46192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303</v>
      </c>
      <c r="B183" t="s">
        <v>446</v>
      </c>
      <c r="C183" t="s">
        <v>443</v>
      </c>
      <c r="D183" t="s">
        <v>108</v>
      </c>
      <c r="E183" t="s">
        <v>52</v>
      </c>
      <c r="F183" s="2">
        <v>46217</v>
      </c>
      <c r="G183" s="2">
        <v>46217</v>
      </c>
      <c r="H183" s="3">
        <v>0</v>
      </c>
      <c r="J183" t="s">
        <v>192</v>
      </c>
      <c r="K183">
        <v>302</v>
      </c>
      <c r="L183">
        <v>304</v>
      </c>
      <c r="M183" t="s">
        <v>284</v>
      </c>
      <c r="N183" s="2">
        <v>46196</v>
      </c>
      <c r="P183" t="s">
        <v>67</v>
      </c>
      <c r="Q183" t="s">
        <v>55</v>
      </c>
      <c r="R183" t="s">
        <v>438</v>
      </c>
      <c r="S183" s="2">
        <v>46195</v>
      </c>
      <c r="T183" s="2">
        <v>46196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304</v>
      </c>
      <c r="B184" t="s">
        <v>447</v>
      </c>
      <c r="C184" t="s">
        <v>443</v>
      </c>
      <c r="D184" t="s">
        <v>114</v>
      </c>
      <c r="E184" t="s">
        <v>52</v>
      </c>
      <c r="F184" s="2">
        <v>46218</v>
      </c>
      <c r="G184" s="2">
        <v>46218</v>
      </c>
      <c r="H184" s="3">
        <v>0</v>
      </c>
      <c r="J184" t="s">
        <v>196</v>
      </c>
      <c r="K184">
        <v>303</v>
      </c>
      <c r="M184" t="s">
        <v>308</v>
      </c>
      <c r="N184" s="2">
        <v>46197</v>
      </c>
      <c r="P184" t="s">
        <v>194</v>
      </c>
      <c r="Q184" t="s">
        <v>55</v>
      </c>
      <c r="R184" t="s">
        <v>438</v>
      </c>
      <c r="S184" s="2">
        <v>46197</v>
      </c>
      <c r="T184" s="2">
        <v>46197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305</v>
      </c>
      <c r="B185" t="s">
        <v>448</v>
      </c>
      <c r="C185" t="s">
        <v>440</v>
      </c>
      <c r="D185" t="s">
        <v>449</v>
      </c>
      <c r="E185" t="s">
        <v>450</v>
      </c>
      <c r="F185" s="2">
        <v>46175</v>
      </c>
      <c r="G185" s="2">
        <v>46210</v>
      </c>
      <c r="H185" s="3">
        <v>0.79</v>
      </c>
      <c r="J185" t="s">
        <v>41</v>
      </c>
      <c r="M185" t="s">
        <v>171</v>
      </c>
      <c r="N185" s="2">
        <v>46183</v>
      </c>
      <c r="P185" t="s">
        <v>118</v>
      </c>
      <c r="Q185" t="s">
        <v>55</v>
      </c>
      <c r="R185" t="s">
        <v>438</v>
      </c>
      <c r="S185" s="2">
        <v>46163</v>
      </c>
      <c r="T185" s="2">
        <v>46171</v>
      </c>
      <c r="AB185">
        <v>0.79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306</v>
      </c>
      <c r="B186" t="s">
        <v>451</v>
      </c>
      <c r="C186" t="s">
        <v>452</v>
      </c>
      <c r="D186" t="s">
        <v>100</v>
      </c>
      <c r="E186" t="s">
        <v>101</v>
      </c>
      <c r="F186" s="2">
        <v>46175</v>
      </c>
      <c r="G186" s="2">
        <v>46181</v>
      </c>
      <c r="H186" s="3">
        <v>1</v>
      </c>
      <c r="I186" s="2">
        <v>46181</v>
      </c>
      <c r="J186" t="s">
        <v>53</v>
      </c>
      <c r="K186" t="s">
        <v>453</v>
      </c>
      <c r="L186" t="s">
        <v>454</v>
      </c>
      <c r="M186" t="s">
        <v>171</v>
      </c>
      <c r="N186" s="2">
        <v>46177</v>
      </c>
      <c r="P186" t="s">
        <v>118</v>
      </c>
      <c r="Q186" t="s">
        <v>55</v>
      </c>
      <c r="R186" t="s">
        <v>438</v>
      </c>
      <c r="S186" s="2">
        <v>46163</v>
      </c>
      <c r="T186" s="2">
        <v>46167</v>
      </c>
      <c r="AB186">
        <v>1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</row>
    <row r="187" spans="1:39" x14ac:dyDescent="0.25">
      <c r="A187">
        <v>307</v>
      </c>
      <c r="B187" t="s">
        <v>455</v>
      </c>
      <c r="C187" t="s">
        <v>452</v>
      </c>
      <c r="D187" t="s">
        <v>104</v>
      </c>
      <c r="E187" t="s">
        <v>115</v>
      </c>
      <c r="F187" s="2">
        <v>46182</v>
      </c>
      <c r="G187" s="2">
        <v>46183</v>
      </c>
      <c r="H187" s="3">
        <v>1</v>
      </c>
      <c r="I187" s="2">
        <v>46183</v>
      </c>
      <c r="J187" t="s">
        <v>53</v>
      </c>
      <c r="K187">
        <v>306</v>
      </c>
      <c r="L187">
        <v>308</v>
      </c>
      <c r="M187" t="s">
        <v>66</v>
      </c>
      <c r="N187" s="2">
        <v>46178</v>
      </c>
      <c r="P187" t="s">
        <v>76</v>
      </c>
      <c r="Q187" t="s">
        <v>55</v>
      </c>
      <c r="R187" t="s">
        <v>438</v>
      </c>
      <c r="S187" s="2">
        <v>46168</v>
      </c>
      <c r="T187" s="2">
        <v>46168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308</v>
      </c>
      <c r="B188" t="s">
        <v>456</v>
      </c>
      <c r="C188" t="s">
        <v>452</v>
      </c>
      <c r="D188" t="s">
        <v>108</v>
      </c>
      <c r="E188" t="s">
        <v>52</v>
      </c>
      <c r="F188" s="2">
        <v>46209</v>
      </c>
      <c r="G188" s="2">
        <v>46210</v>
      </c>
      <c r="H188" s="3">
        <v>0.5</v>
      </c>
      <c r="J188" t="s">
        <v>41</v>
      </c>
      <c r="K188">
        <v>307</v>
      </c>
      <c r="L188" t="s">
        <v>457</v>
      </c>
      <c r="M188" t="s">
        <v>148</v>
      </c>
      <c r="N188" s="2">
        <v>46182</v>
      </c>
      <c r="P188" t="s">
        <v>76</v>
      </c>
      <c r="Q188" t="s">
        <v>55</v>
      </c>
      <c r="R188" t="s">
        <v>438</v>
      </c>
      <c r="S188" s="2">
        <v>46169</v>
      </c>
      <c r="T188" s="2">
        <v>46170</v>
      </c>
      <c r="AB188">
        <v>0.5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</row>
    <row r="189" spans="1:39" x14ac:dyDescent="0.25">
      <c r="A189">
        <v>309</v>
      </c>
      <c r="B189" t="s">
        <v>458</v>
      </c>
      <c r="C189" t="s">
        <v>452</v>
      </c>
      <c r="D189" t="s">
        <v>114</v>
      </c>
      <c r="E189" t="s">
        <v>52</v>
      </c>
      <c r="F189" s="2">
        <v>46209</v>
      </c>
      <c r="G189" s="2">
        <v>46210</v>
      </c>
      <c r="H189" s="3">
        <v>0</v>
      </c>
      <c r="J189" t="s">
        <v>41</v>
      </c>
      <c r="K189" t="s">
        <v>459</v>
      </c>
      <c r="M189" t="s">
        <v>182</v>
      </c>
      <c r="N189" s="2">
        <v>46183</v>
      </c>
      <c r="P189" t="s">
        <v>76</v>
      </c>
      <c r="Q189" t="s">
        <v>55</v>
      </c>
      <c r="R189" t="s">
        <v>438</v>
      </c>
      <c r="S189" s="2">
        <v>46171</v>
      </c>
      <c r="T189" s="2">
        <v>46171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</row>
    <row r="190" spans="1:39" x14ac:dyDescent="0.25">
      <c r="A190">
        <v>315</v>
      </c>
      <c r="B190" t="s">
        <v>460</v>
      </c>
      <c r="C190" t="s">
        <v>440</v>
      </c>
      <c r="D190" t="s">
        <v>461</v>
      </c>
      <c r="E190" t="s">
        <v>390</v>
      </c>
      <c r="F190" s="2">
        <v>46170</v>
      </c>
      <c r="G190" s="2">
        <v>46176</v>
      </c>
      <c r="H190" s="3">
        <v>0.75</v>
      </c>
      <c r="J190" t="s">
        <v>41</v>
      </c>
      <c r="M190" t="s">
        <v>134</v>
      </c>
      <c r="N190" s="2">
        <v>46178</v>
      </c>
      <c r="P190" t="s">
        <v>135</v>
      </c>
      <c r="Q190" t="s">
        <v>55</v>
      </c>
      <c r="R190" t="s">
        <v>438</v>
      </c>
      <c r="S190" s="2">
        <v>46160</v>
      </c>
      <c r="T190" s="2">
        <v>46168</v>
      </c>
      <c r="AB190">
        <v>0.75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316</v>
      </c>
      <c r="B191" t="s">
        <v>462</v>
      </c>
      <c r="C191" t="s">
        <v>463</v>
      </c>
      <c r="D191" t="s">
        <v>100</v>
      </c>
      <c r="E191" t="s">
        <v>101</v>
      </c>
      <c r="F191" s="2">
        <v>46170</v>
      </c>
      <c r="G191" s="2">
        <v>46174</v>
      </c>
      <c r="H191" s="3">
        <v>1</v>
      </c>
      <c r="I191" s="2">
        <v>46174</v>
      </c>
      <c r="J191" t="s">
        <v>53</v>
      </c>
      <c r="K191">
        <v>78</v>
      </c>
      <c r="L191" t="s">
        <v>464</v>
      </c>
      <c r="M191" t="s">
        <v>134</v>
      </c>
      <c r="N191" s="2">
        <v>46174</v>
      </c>
      <c r="P191" t="s">
        <v>135</v>
      </c>
      <c r="Q191" t="s">
        <v>55</v>
      </c>
      <c r="R191" t="s">
        <v>438</v>
      </c>
      <c r="S191" s="2">
        <v>46160</v>
      </c>
      <c r="T191" s="2">
        <v>46162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</row>
    <row r="192" spans="1:39" x14ac:dyDescent="0.25">
      <c r="A192">
        <v>317</v>
      </c>
      <c r="B192" t="s">
        <v>465</v>
      </c>
      <c r="C192" t="s">
        <v>463</v>
      </c>
      <c r="D192" t="s">
        <v>104</v>
      </c>
      <c r="E192" t="s">
        <v>52</v>
      </c>
      <c r="F192" s="2">
        <v>46175</v>
      </c>
      <c r="G192" s="2">
        <v>46175</v>
      </c>
      <c r="H192" s="3">
        <v>1</v>
      </c>
      <c r="I192" s="2">
        <v>46175</v>
      </c>
      <c r="J192" t="s">
        <v>53</v>
      </c>
      <c r="K192">
        <v>316</v>
      </c>
      <c r="L192">
        <v>318</v>
      </c>
      <c r="M192" t="s">
        <v>171</v>
      </c>
      <c r="N192" s="2">
        <v>46175</v>
      </c>
      <c r="P192" t="s">
        <v>118</v>
      </c>
      <c r="Q192" t="s">
        <v>55</v>
      </c>
      <c r="R192" t="s">
        <v>438</v>
      </c>
      <c r="S192" s="2">
        <v>46163</v>
      </c>
      <c r="T192" s="2">
        <v>46163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318</v>
      </c>
      <c r="B193" t="s">
        <v>466</v>
      </c>
      <c r="C193" t="s">
        <v>463</v>
      </c>
      <c r="D193" t="s">
        <v>108</v>
      </c>
      <c r="E193" t="s">
        <v>52</v>
      </c>
      <c r="F193" s="2">
        <v>46176</v>
      </c>
      <c r="G193" s="2">
        <v>46176</v>
      </c>
      <c r="H193" s="3">
        <v>0.5</v>
      </c>
      <c r="J193" t="s">
        <v>41</v>
      </c>
      <c r="K193">
        <v>317</v>
      </c>
      <c r="L193" t="s">
        <v>467</v>
      </c>
      <c r="M193" t="s">
        <v>221</v>
      </c>
      <c r="N193" s="2">
        <v>46177</v>
      </c>
      <c r="P193" t="s">
        <v>118</v>
      </c>
      <c r="Q193" t="s">
        <v>55</v>
      </c>
      <c r="R193" t="s">
        <v>438</v>
      </c>
      <c r="S193" s="2">
        <v>46164</v>
      </c>
      <c r="T193" s="2">
        <v>46167</v>
      </c>
      <c r="AB193">
        <v>0.5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</row>
    <row r="194" spans="1:39" x14ac:dyDescent="0.25">
      <c r="A194">
        <v>319</v>
      </c>
      <c r="B194" t="s">
        <v>468</v>
      </c>
      <c r="C194" t="s">
        <v>463</v>
      </c>
      <c r="D194" t="s">
        <v>114</v>
      </c>
      <c r="E194" t="s">
        <v>52</v>
      </c>
      <c r="F194" s="2">
        <v>46176</v>
      </c>
      <c r="G194" s="2">
        <v>46176</v>
      </c>
      <c r="H194" s="3">
        <v>0</v>
      </c>
      <c r="J194" t="s">
        <v>41</v>
      </c>
      <c r="K194" t="s">
        <v>469</v>
      </c>
      <c r="M194" t="s">
        <v>66</v>
      </c>
      <c r="N194" s="2">
        <v>46178</v>
      </c>
      <c r="P194" t="s">
        <v>118</v>
      </c>
      <c r="Q194" t="s">
        <v>55</v>
      </c>
      <c r="R194" t="s">
        <v>438</v>
      </c>
      <c r="S194" s="2">
        <v>46168</v>
      </c>
      <c r="T194" s="2">
        <v>46168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</row>
    <row r="195" spans="1:39" x14ac:dyDescent="0.25">
      <c r="A195">
        <v>320</v>
      </c>
      <c r="B195" t="s">
        <v>470</v>
      </c>
      <c r="C195" t="s">
        <v>440</v>
      </c>
      <c r="D195" t="s">
        <v>471</v>
      </c>
      <c r="E195" t="s">
        <v>138</v>
      </c>
      <c r="F195" s="2">
        <v>46210</v>
      </c>
      <c r="G195" s="2">
        <v>46217</v>
      </c>
      <c r="H195" s="3">
        <v>0.4</v>
      </c>
      <c r="J195" t="s">
        <v>41</v>
      </c>
      <c r="M195" t="s">
        <v>193</v>
      </c>
      <c r="N195" s="2">
        <v>46205</v>
      </c>
      <c r="P195" t="s">
        <v>194</v>
      </c>
      <c r="Q195" t="s">
        <v>55</v>
      </c>
      <c r="R195" t="s">
        <v>438</v>
      </c>
      <c r="S195" s="2">
        <v>46199</v>
      </c>
      <c r="T195" s="2">
        <v>46205</v>
      </c>
      <c r="AB195">
        <v>0.4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321</v>
      </c>
      <c r="B196" t="s">
        <v>472</v>
      </c>
      <c r="C196" t="s">
        <v>473</v>
      </c>
      <c r="D196" t="s">
        <v>100</v>
      </c>
      <c r="E196" t="s">
        <v>115</v>
      </c>
      <c r="F196" s="2">
        <v>46210</v>
      </c>
      <c r="G196" s="2">
        <v>46211</v>
      </c>
      <c r="H196" s="3">
        <v>1</v>
      </c>
      <c r="I196" s="2">
        <v>46211</v>
      </c>
      <c r="J196" t="s">
        <v>53</v>
      </c>
      <c r="K196">
        <v>347</v>
      </c>
      <c r="L196" t="s">
        <v>474</v>
      </c>
      <c r="M196" t="s">
        <v>193</v>
      </c>
      <c r="N196" s="2">
        <v>46199</v>
      </c>
      <c r="P196" t="s">
        <v>194</v>
      </c>
      <c r="Q196" t="s">
        <v>55</v>
      </c>
      <c r="R196" t="s">
        <v>438</v>
      </c>
      <c r="S196" s="2">
        <v>46199</v>
      </c>
      <c r="T196" s="2">
        <v>46199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</row>
    <row r="197" spans="1:39" x14ac:dyDescent="0.25">
      <c r="A197">
        <v>322</v>
      </c>
      <c r="B197" t="s">
        <v>475</v>
      </c>
      <c r="C197" t="s">
        <v>473</v>
      </c>
      <c r="D197" t="s">
        <v>104</v>
      </c>
      <c r="E197" t="s">
        <v>52</v>
      </c>
      <c r="F197" s="2">
        <v>46216</v>
      </c>
      <c r="G197" s="2">
        <v>46216</v>
      </c>
      <c r="H197" s="3">
        <v>0</v>
      </c>
      <c r="J197" t="s">
        <v>41</v>
      </c>
      <c r="K197">
        <v>321</v>
      </c>
      <c r="L197">
        <v>323</v>
      </c>
      <c r="M197" t="s">
        <v>311</v>
      </c>
      <c r="N197" s="2">
        <v>46202</v>
      </c>
      <c r="P197" t="s">
        <v>194</v>
      </c>
      <c r="Q197" t="s">
        <v>55</v>
      </c>
      <c r="R197" t="s">
        <v>438</v>
      </c>
      <c r="S197" s="2">
        <v>46202</v>
      </c>
      <c r="T197" s="2">
        <v>46202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323</v>
      </c>
      <c r="B198" t="s">
        <v>476</v>
      </c>
      <c r="C198" t="s">
        <v>473</v>
      </c>
      <c r="D198" t="s">
        <v>108</v>
      </c>
      <c r="E198" t="s">
        <v>52</v>
      </c>
      <c r="F198" s="2">
        <v>46217</v>
      </c>
      <c r="G198" s="2">
        <v>46217</v>
      </c>
      <c r="H198" s="3">
        <v>0</v>
      </c>
      <c r="J198" t="s">
        <v>192</v>
      </c>
      <c r="K198">
        <v>322</v>
      </c>
      <c r="L198" t="s">
        <v>477</v>
      </c>
      <c r="M198" t="s">
        <v>197</v>
      </c>
      <c r="N198" s="2">
        <v>46204</v>
      </c>
      <c r="P198" t="s">
        <v>478</v>
      </c>
      <c r="Q198" t="s">
        <v>55</v>
      </c>
      <c r="R198" t="s">
        <v>438</v>
      </c>
      <c r="S198" s="2">
        <v>46203</v>
      </c>
      <c r="T198" s="2">
        <v>46204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324</v>
      </c>
      <c r="B199" t="s">
        <v>479</v>
      </c>
      <c r="C199" t="s">
        <v>473</v>
      </c>
      <c r="D199" t="s">
        <v>114</v>
      </c>
      <c r="E199" t="s">
        <v>52</v>
      </c>
      <c r="F199" s="2">
        <v>46217</v>
      </c>
      <c r="G199" s="2">
        <v>46217</v>
      </c>
      <c r="H199" s="3">
        <v>0</v>
      </c>
      <c r="J199" t="s">
        <v>192</v>
      </c>
      <c r="K199" t="s">
        <v>480</v>
      </c>
      <c r="M199" t="s">
        <v>383</v>
      </c>
      <c r="N199" s="2">
        <v>46205</v>
      </c>
      <c r="P199" t="s">
        <v>478</v>
      </c>
      <c r="Q199" t="s">
        <v>55</v>
      </c>
      <c r="R199" t="s">
        <v>438</v>
      </c>
      <c r="S199" s="2">
        <v>46205</v>
      </c>
      <c r="T199" s="2">
        <v>46205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325</v>
      </c>
      <c r="B200" t="s">
        <v>481</v>
      </c>
      <c r="C200" t="s">
        <v>440</v>
      </c>
      <c r="D200" t="s">
        <v>482</v>
      </c>
      <c r="E200" t="s">
        <v>390</v>
      </c>
      <c r="F200" s="2">
        <v>46209</v>
      </c>
      <c r="G200" s="2">
        <v>46217</v>
      </c>
      <c r="H200" s="3">
        <v>0.5</v>
      </c>
      <c r="J200" t="s">
        <v>41</v>
      </c>
      <c r="M200" t="s">
        <v>311</v>
      </c>
      <c r="N200" s="2">
        <v>46210</v>
      </c>
      <c r="P200" t="s">
        <v>194</v>
      </c>
      <c r="Q200" t="s">
        <v>55</v>
      </c>
      <c r="R200" t="s">
        <v>438</v>
      </c>
      <c r="S200" s="2">
        <v>46202</v>
      </c>
      <c r="T200" s="2">
        <v>46210</v>
      </c>
      <c r="AB200">
        <v>0.5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326</v>
      </c>
      <c r="B201" t="s">
        <v>483</v>
      </c>
      <c r="C201" t="s">
        <v>484</v>
      </c>
      <c r="D201" t="s">
        <v>100</v>
      </c>
      <c r="E201" t="s">
        <v>101</v>
      </c>
      <c r="F201" s="2">
        <v>46209</v>
      </c>
      <c r="G201" s="2">
        <v>46211</v>
      </c>
      <c r="H201" s="3">
        <v>1</v>
      </c>
      <c r="I201" s="2">
        <v>46211</v>
      </c>
      <c r="J201" t="s">
        <v>53</v>
      </c>
      <c r="K201" t="s">
        <v>485</v>
      </c>
      <c r="L201">
        <v>327</v>
      </c>
      <c r="M201" t="s">
        <v>311</v>
      </c>
      <c r="N201" s="2">
        <v>46204</v>
      </c>
      <c r="P201" t="s">
        <v>194</v>
      </c>
      <c r="Q201" t="s">
        <v>55</v>
      </c>
      <c r="R201" t="s">
        <v>438</v>
      </c>
      <c r="S201" s="2">
        <v>46202</v>
      </c>
      <c r="T201" s="2">
        <v>46204</v>
      </c>
      <c r="AB201">
        <v>1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</row>
    <row r="202" spans="1:39" x14ac:dyDescent="0.25">
      <c r="A202">
        <v>327</v>
      </c>
      <c r="B202" t="s">
        <v>486</v>
      </c>
      <c r="C202" t="s">
        <v>484</v>
      </c>
      <c r="D202" t="s">
        <v>104</v>
      </c>
      <c r="E202" t="s">
        <v>52</v>
      </c>
      <c r="F202" s="2">
        <v>46216</v>
      </c>
      <c r="G202" s="2">
        <v>46216</v>
      </c>
      <c r="H202" s="3">
        <v>0</v>
      </c>
      <c r="J202" t="s">
        <v>41</v>
      </c>
      <c r="K202">
        <v>326</v>
      </c>
      <c r="L202">
        <v>328</v>
      </c>
      <c r="M202" t="s">
        <v>383</v>
      </c>
      <c r="N202" s="2">
        <v>46205</v>
      </c>
      <c r="P202" t="s">
        <v>478</v>
      </c>
      <c r="Q202" t="s">
        <v>55</v>
      </c>
      <c r="R202" t="s">
        <v>438</v>
      </c>
      <c r="S202" s="2">
        <v>46205</v>
      </c>
      <c r="T202" s="2">
        <v>46205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328</v>
      </c>
      <c r="B203" t="s">
        <v>487</v>
      </c>
      <c r="C203" t="s">
        <v>484</v>
      </c>
      <c r="D203" t="s">
        <v>108</v>
      </c>
      <c r="E203" t="s">
        <v>52</v>
      </c>
      <c r="F203" s="2">
        <v>46217</v>
      </c>
      <c r="G203" s="2">
        <v>46217</v>
      </c>
      <c r="H203" s="3">
        <v>0</v>
      </c>
      <c r="J203" t="s">
        <v>192</v>
      </c>
      <c r="K203">
        <v>327</v>
      </c>
      <c r="L203" t="s">
        <v>488</v>
      </c>
      <c r="M203" t="s">
        <v>385</v>
      </c>
      <c r="N203" s="2">
        <v>46209</v>
      </c>
      <c r="P203" t="s">
        <v>478</v>
      </c>
      <c r="Q203" t="s">
        <v>55</v>
      </c>
      <c r="R203" t="s">
        <v>438</v>
      </c>
      <c r="S203" s="2">
        <v>46206</v>
      </c>
      <c r="T203" s="2">
        <v>46209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329</v>
      </c>
      <c r="B204" t="s">
        <v>489</v>
      </c>
      <c r="C204" t="s">
        <v>484</v>
      </c>
      <c r="D204" t="s">
        <v>114</v>
      </c>
      <c r="E204" t="s">
        <v>52</v>
      </c>
      <c r="F204" s="2">
        <v>46217</v>
      </c>
      <c r="G204" s="2">
        <v>46217</v>
      </c>
      <c r="H204" s="3">
        <v>0</v>
      </c>
      <c r="J204" t="s">
        <v>192</v>
      </c>
      <c r="K204" t="s">
        <v>490</v>
      </c>
      <c r="M204" t="s">
        <v>387</v>
      </c>
      <c r="N204" s="2">
        <v>46210</v>
      </c>
      <c r="P204" t="s">
        <v>478</v>
      </c>
      <c r="Q204" t="s">
        <v>55</v>
      </c>
      <c r="R204" t="s">
        <v>438</v>
      </c>
      <c r="S204" s="2">
        <v>46210</v>
      </c>
      <c r="T204" s="2">
        <v>46210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335</v>
      </c>
      <c r="B205" t="s">
        <v>491</v>
      </c>
      <c r="C205" t="s">
        <v>440</v>
      </c>
      <c r="D205" t="s">
        <v>492</v>
      </c>
      <c r="E205" t="s">
        <v>390</v>
      </c>
      <c r="F205" s="2">
        <v>46204</v>
      </c>
      <c r="G205" s="2">
        <v>46210</v>
      </c>
      <c r="H205" s="3">
        <v>0.5</v>
      </c>
      <c r="J205" t="s">
        <v>41</v>
      </c>
      <c r="M205" t="s">
        <v>248</v>
      </c>
      <c r="N205" s="2">
        <v>46199</v>
      </c>
      <c r="P205" t="s">
        <v>179</v>
      </c>
      <c r="Q205" t="s">
        <v>55</v>
      </c>
      <c r="R205" t="s">
        <v>438</v>
      </c>
      <c r="S205" s="2">
        <v>46178</v>
      </c>
      <c r="T205" s="2">
        <v>46190</v>
      </c>
      <c r="AB205">
        <v>0.5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336</v>
      </c>
      <c r="B206" t="s">
        <v>493</v>
      </c>
      <c r="C206" t="s">
        <v>494</v>
      </c>
      <c r="D206" t="s">
        <v>100</v>
      </c>
      <c r="E206" t="s">
        <v>101</v>
      </c>
      <c r="F206" s="2">
        <v>46204</v>
      </c>
      <c r="G206" s="2">
        <v>46206</v>
      </c>
      <c r="H206" s="3">
        <v>1</v>
      </c>
      <c r="I206" s="2">
        <v>46206</v>
      </c>
      <c r="J206" t="s">
        <v>53</v>
      </c>
      <c r="L206" t="s">
        <v>495</v>
      </c>
      <c r="M206" t="s">
        <v>248</v>
      </c>
      <c r="N206" s="2">
        <v>46195</v>
      </c>
      <c r="P206" t="s">
        <v>179</v>
      </c>
      <c r="Q206" t="s">
        <v>55</v>
      </c>
      <c r="R206" t="s">
        <v>438</v>
      </c>
      <c r="S206" s="2">
        <v>46178</v>
      </c>
      <c r="T206" s="2">
        <v>46184</v>
      </c>
      <c r="AB206">
        <v>1</v>
      </c>
      <c r="AC206">
        <v>1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</row>
    <row r="207" spans="1:39" x14ac:dyDescent="0.25">
      <c r="A207">
        <v>337</v>
      </c>
      <c r="B207" t="s">
        <v>496</v>
      </c>
      <c r="C207" t="s">
        <v>494</v>
      </c>
      <c r="D207" t="s">
        <v>104</v>
      </c>
      <c r="E207" t="s">
        <v>52</v>
      </c>
      <c r="F207" s="2">
        <v>46209</v>
      </c>
      <c r="G207" s="2">
        <v>46209</v>
      </c>
      <c r="H207" s="3">
        <v>0</v>
      </c>
      <c r="J207" t="s">
        <v>41</v>
      </c>
      <c r="K207">
        <v>336</v>
      </c>
      <c r="L207">
        <v>338</v>
      </c>
      <c r="M207" t="s">
        <v>251</v>
      </c>
      <c r="N207" s="2">
        <v>46196</v>
      </c>
      <c r="P207" t="s">
        <v>179</v>
      </c>
      <c r="Q207" t="s">
        <v>55</v>
      </c>
      <c r="R207" t="s">
        <v>438</v>
      </c>
      <c r="S207" s="2">
        <v>46185</v>
      </c>
      <c r="T207" s="2">
        <v>46185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338</v>
      </c>
      <c r="B208" t="s">
        <v>497</v>
      </c>
      <c r="C208" t="s">
        <v>494</v>
      </c>
      <c r="D208" t="s">
        <v>108</v>
      </c>
      <c r="E208" t="s">
        <v>52</v>
      </c>
      <c r="F208" s="2">
        <v>46210</v>
      </c>
      <c r="G208" s="2">
        <v>46210</v>
      </c>
      <c r="H208" s="3">
        <v>0</v>
      </c>
      <c r="J208" t="s">
        <v>41</v>
      </c>
      <c r="K208">
        <v>337</v>
      </c>
      <c r="L208" t="s">
        <v>498</v>
      </c>
      <c r="M208" t="s">
        <v>308</v>
      </c>
      <c r="N208" s="2">
        <v>46198</v>
      </c>
      <c r="P208" t="s">
        <v>179</v>
      </c>
      <c r="Q208" t="s">
        <v>55</v>
      </c>
      <c r="R208" t="s">
        <v>438</v>
      </c>
      <c r="S208" s="2">
        <v>46188</v>
      </c>
      <c r="T208" s="2">
        <v>46189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</row>
    <row r="209" spans="1:39" x14ac:dyDescent="0.25">
      <c r="A209">
        <v>339</v>
      </c>
      <c r="B209" t="s">
        <v>499</v>
      </c>
      <c r="C209" t="s">
        <v>494</v>
      </c>
      <c r="D209" t="s">
        <v>114</v>
      </c>
      <c r="E209" t="s">
        <v>52</v>
      </c>
      <c r="F209" s="2">
        <v>46210</v>
      </c>
      <c r="G209" s="2">
        <v>46210</v>
      </c>
      <c r="H209" s="3">
        <v>0</v>
      </c>
      <c r="J209" t="s">
        <v>41</v>
      </c>
      <c r="K209" t="s">
        <v>500</v>
      </c>
      <c r="M209" t="s">
        <v>193</v>
      </c>
      <c r="N209" s="2">
        <v>46199</v>
      </c>
      <c r="P209" t="s">
        <v>179</v>
      </c>
      <c r="Q209" t="s">
        <v>55</v>
      </c>
      <c r="R209" t="s">
        <v>438</v>
      </c>
      <c r="S209" s="2">
        <v>46190</v>
      </c>
      <c r="T209" s="2">
        <v>46190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</row>
    <row r="210" spans="1:39" x14ac:dyDescent="0.25">
      <c r="A210">
        <v>340</v>
      </c>
      <c r="B210" t="s">
        <v>501</v>
      </c>
      <c r="C210" t="s">
        <v>440</v>
      </c>
      <c r="D210" t="s">
        <v>502</v>
      </c>
      <c r="E210" t="s">
        <v>390</v>
      </c>
      <c r="F210" s="2">
        <v>46204</v>
      </c>
      <c r="G210" s="2">
        <v>46210</v>
      </c>
      <c r="H210" s="3">
        <v>0.5</v>
      </c>
      <c r="J210" t="s">
        <v>41</v>
      </c>
      <c r="M210" t="s">
        <v>248</v>
      </c>
      <c r="N210" s="2">
        <v>46202</v>
      </c>
      <c r="P210" t="s">
        <v>179</v>
      </c>
      <c r="Q210" t="s">
        <v>55</v>
      </c>
      <c r="R210" t="s">
        <v>438</v>
      </c>
      <c r="S210" s="2">
        <v>46178</v>
      </c>
      <c r="T210" s="2">
        <v>46190</v>
      </c>
      <c r="AB210">
        <v>0.5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341</v>
      </c>
      <c r="B211" t="s">
        <v>503</v>
      </c>
      <c r="C211" t="s">
        <v>504</v>
      </c>
      <c r="D211" t="s">
        <v>100</v>
      </c>
      <c r="E211" t="s">
        <v>101</v>
      </c>
      <c r="F211" s="2">
        <v>46204</v>
      </c>
      <c r="G211" s="2">
        <v>46206</v>
      </c>
      <c r="H211" s="3">
        <v>1</v>
      </c>
      <c r="I211" s="2">
        <v>46206</v>
      </c>
      <c r="J211" t="s">
        <v>53</v>
      </c>
      <c r="L211" t="s">
        <v>505</v>
      </c>
      <c r="M211" t="s">
        <v>248</v>
      </c>
      <c r="N211" s="2">
        <v>46196</v>
      </c>
      <c r="P211" t="s">
        <v>179</v>
      </c>
      <c r="Q211" t="s">
        <v>55</v>
      </c>
      <c r="R211" t="s">
        <v>438</v>
      </c>
      <c r="S211" s="2">
        <v>46178</v>
      </c>
      <c r="T211" s="2">
        <v>46184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</row>
    <row r="212" spans="1:39" x14ac:dyDescent="0.25">
      <c r="A212">
        <v>342</v>
      </c>
      <c r="B212" t="s">
        <v>506</v>
      </c>
      <c r="C212" t="s">
        <v>504</v>
      </c>
      <c r="D212" t="s">
        <v>104</v>
      </c>
      <c r="E212" t="s">
        <v>52</v>
      </c>
      <c r="F212" s="2">
        <v>46209</v>
      </c>
      <c r="G212" s="2">
        <v>46209</v>
      </c>
      <c r="H212" s="3">
        <v>0</v>
      </c>
      <c r="J212" t="s">
        <v>41</v>
      </c>
      <c r="K212">
        <v>341</v>
      </c>
      <c r="L212">
        <v>343</v>
      </c>
      <c r="M212" t="s">
        <v>308</v>
      </c>
      <c r="N212" s="2">
        <v>46197</v>
      </c>
      <c r="P212" t="s">
        <v>179</v>
      </c>
      <c r="Q212" t="s">
        <v>55</v>
      </c>
      <c r="R212" t="s">
        <v>438</v>
      </c>
      <c r="S212" s="2">
        <v>46185</v>
      </c>
      <c r="T212" s="2">
        <v>46185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343</v>
      </c>
      <c r="B213" t="s">
        <v>507</v>
      </c>
      <c r="C213" t="s">
        <v>504</v>
      </c>
      <c r="D213" t="s">
        <v>108</v>
      </c>
      <c r="E213" t="s">
        <v>52</v>
      </c>
      <c r="F213" s="2">
        <v>46210</v>
      </c>
      <c r="G213" s="2">
        <v>46210</v>
      </c>
      <c r="H213" s="3">
        <v>0</v>
      </c>
      <c r="J213" t="s">
        <v>41</v>
      </c>
      <c r="K213">
        <v>342</v>
      </c>
      <c r="L213" t="s">
        <v>508</v>
      </c>
      <c r="M213" t="s">
        <v>190</v>
      </c>
      <c r="N213" s="2">
        <v>46199</v>
      </c>
      <c r="P213" t="s">
        <v>179</v>
      </c>
      <c r="Q213" t="s">
        <v>55</v>
      </c>
      <c r="R213" t="s">
        <v>438</v>
      </c>
      <c r="S213" s="2">
        <v>46188</v>
      </c>
      <c r="T213" s="2">
        <v>46189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</row>
    <row r="214" spans="1:39" x14ac:dyDescent="0.25">
      <c r="A214">
        <v>344</v>
      </c>
      <c r="B214" t="s">
        <v>509</v>
      </c>
      <c r="C214" t="s">
        <v>504</v>
      </c>
      <c r="D214" t="s">
        <v>114</v>
      </c>
      <c r="E214" t="s">
        <v>52</v>
      </c>
      <c r="F214" s="2">
        <v>46210</v>
      </c>
      <c r="G214" s="2">
        <v>46210</v>
      </c>
      <c r="H214" s="3">
        <v>0</v>
      </c>
      <c r="J214" t="s">
        <v>41</v>
      </c>
      <c r="K214" t="s">
        <v>510</v>
      </c>
      <c r="M214" t="s">
        <v>311</v>
      </c>
      <c r="N214" s="2">
        <v>46202</v>
      </c>
      <c r="P214" t="s">
        <v>179</v>
      </c>
      <c r="Q214" t="s">
        <v>55</v>
      </c>
      <c r="R214" t="s">
        <v>438</v>
      </c>
      <c r="S214" s="2">
        <v>46190</v>
      </c>
      <c r="T214" s="2">
        <v>46190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</row>
    <row r="215" spans="1:39" x14ac:dyDescent="0.25">
      <c r="A215">
        <v>345</v>
      </c>
      <c r="B215" t="s">
        <v>511</v>
      </c>
      <c r="C215" t="s">
        <v>440</v>
      </c>
      <c r="D215" t="s">
        <v>512</v>
      </c>
      <c r="E215" t="s">
        <v>185</v>
      </c>
      <c r="F215" s="2">
        <v>46202</v>
      </c>
      <c r="G215" s="2">
        <v>46217</v>
      </c>
      <c r="H215" s="3">
        <v>0.73</v>
      </c>
      <c r="J215" t="s">
        <v>41</v>
      </c>
      <c r="M215" t="s">
        <v>304</v>
      </c>
      <c r="N215" s="2">
        <v>46203</v>
      </c>
      <c r="P215" t="s">
        <v>67</v>
      </c>
      <c r="Q215" t="s">
        <v>55</v>
      </c>
      <c r="R215" t="s">
        <v>438</v>
      </c>
      <c r="S215" s="2">
        <v>46192</v>
      </c>
      <c r="T215" s="2">
        <v>46203</v>
      </c>
      <c r="AB215">
        <v>0.73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346</v>
      </c>
      <c r="B216" t="s">
        <v>513</v>
      </c>
      <c r="C216" t="s">
        <v>514</v>
      </c>
      <c r="D216" t="s">
        <v>100</v>
      </c>
      <c r="E216" t="s">
        <v>515</v>
      </c>
      <c r="F216" s="2">
        <v>46202</v>
      </c>
      <c r="G216" s="2">
        <v>46211</v>
      </c>
      <c r="H216" s="3">
        <v>1</v>
      </c>
      <c r="I216" s="2">
        <v>46211</v>
      </c>
      <c r="J216" t="s">
        <v>53</v>
      </c>
      <c r="L216">
        <v>347</v>
      </c>
      <c r="M216" t="s">
        <v>304</v>
      </c>
      <c r="N216" s="2">
        <v>46197</v>
      </c>
      <c r="P216" t="s">
        <v>67</v>
      </c>
      <c r="Q216" t="s">
        <v>55</v>
      </c>
      <c r="R216" t="s">
        <v>438</v>
      </c>
      <c r="S216" s="2">
        <v>46192</v>
      </c>
      <c r="T216" s="2">
        <v>46197</v>
      </c>
      <c r="AB216">
        <v>1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</row>
    <row r="217" spans="1:39" x14ac:dyDescent="0.25">
      <c r="A217">
        <v>347</v>
      </c>
      <c r="B217" t="s">
        <v>516</v>
      </c>
      <c r="C217" t="s">
        <v>514</v>
      </c>
      <c r="D217" t="s">
        <v>104</v>
      </c>
      <c r="E217" t="s">
        <v>52</v>
      </c>
      <c r="F217" s="2">
        <v>46216</v>
      </c>
      <c r="G217" s="2">
        <v>46216</v>
      </c>
      <c r="H217" s="3">
        <v>0</v>
      </c>
      <c r="J217" t="s">
        <v>41</v>
      </c>
      <c r="K217">
        <v>346</v>
      </c>
      <c r="L217" t="s">
        <v>517</v>
      </c>
      <c r="M217" t="s">
        <v>190</v>
      </c>
      <c r="N217" s="2">
        <v>46198</v>
      </c>
      <c r="P217" t="s">
        <v>194</v>
      </c>
      <c r="Q217" t="s">
        <v>55</v>
      </c>
      <c r="R217" t="s">
        <v>438</v>
      </c>
      <c r="S217" s="2">
        <v>46198</v>
      </c>
      <c r="T217" s="2">
        <v>46198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>
        <v>348</v>
      </c>
      <c r="B218" t="s">
        <v>518</v>
      </c>
      <c r="C218" t="s">
        <v>514</v>
      </c>
      <c r="D218" t="s">
        <v>108</v>
      </c>
      <c r="E218" t="s">
        <v>52</v>
      </c>
      <c r="F218" s="2">
        <v>46217</v>
      </c>
      <c r="G218" s="2">
        <v>46217</v>
      </c>
      <c r="H218" s="3">
        <v>0</v>
      </c>
      <c r="J218" t="s">
        <v>192</v>
      </c>
      <c r="K218">
        <v>347</v>
      </c>
      <c r="L218" t="s">
        <v>519</v>
      </c>
      <c r="M218" t="s">
        <v>193</v>
      </c>
      <c r="N218" s="2">
        <v>46202</v>
      </c>
      <c r="P218" t="s">
        <v>194</v>
      </c>
      <c r="Q218" t="s">
        <v>55</v>
      </c>
      <c r="R218" t="s">
        <v>438</v>
      </c>
      <c r="S218" s="2">
        <v>46199</v>
      </c>
      <c r="T218" s="2">
        <v>46202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349</v>
      </c>
      <c r="B219" t="s">
        <v>520</v>
      </c>
      <c r="C219" t="s">
        <v>514</v>
      </c>
      <c r="D219" t="s">
        <v>114</v>
      </c>
      <c r="E219" t="s">
        <v>52</v>
      </c>
      <c r="F219" s="2">
        <v>46217</v>
      </c>
      <c r="G219" s="2">
        <v>46217</v>
      </c>
      <c r="H219" s="3">
        <v>0</v>
      </c>
      <c r="J219" t="s">
        <v>192</v>
      </c>
      <c r="K219" t="s">
        <v>521</v>
      </c>
      <c r="M219" t="s">
        <v>197</v>
      </c>
      <c r="N219" s="2">
        <v>46203</v>
      </c>
      <c r="P219" t="s">
        <v>194</v>
      </c>
      <c r="Q219" t="s">
        <v>55</v>
      </c>
      <c r="R219" t="s">
        <v>438</v>
      </c>
      <c r="S219" s="2">
        <v>46203</v>
      </c>
      <c r="T219" s="2">
        <v>46203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350</v>
      </c>
      <c r="B220" t="s">
        <v>522</v>
      </c>
      <c r="C220" t="s">
        <v>440</v>
      </c>
      <c r="D220" t="s">
        <v>523</v>
      </c>
      <c r="E220" t="s">
        <v>185</v>
      </c>
      <c r="F220" s="2">
        <v>46202</v>
      </c>
      <c r="G220" s="2">
        <v>46217</v>
      </c>
      <c r="H220" s="3">
        <v>0.73</v>
      </c>
      <c r="J220" t="s">
        <v>41</v>
      </c>
      <c r="M220" t="s">
        <v>304</v>
      </c>
      <c r="N220" s="2">
        <v>46203</v>
      </c>
      <c r="P220" t="s">
        <v>73</v>
      </c>
      <c r="Q220" t="s">
        <v>55</v>
      </c>
      <c r="R220" t="s">
        <v>438</v>
      </c>
      <c r="S220" s="2">
        <v>46192</v>
      </c>
      <c r="T220" s="2">
        <v>46203</v>
      </c>
      <c r="AB220">
        <v>0.73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5">
      <c r="A221">
        <v>351</v>
      </c>
      <c r="B221" t="s">
        <v>524</v>
      </c>
      <c r="C221" t="s">
        <v>525</v>
      </c>
      <c r="D221" t="s">
        <v>100</v>
      </c>
      <c r="E221" t="s">
        <v>515</v>
      </c>
      <c r="F221" s="2">
        <v>46202</v>
      </c>
      <c r="G221" s="2">
        <v>46211</v>
      </c>
      <c r="H221" s="3">
        <v>1</v>
      </c>
      <c r="I221" s="2">
        <v>46211</v>
      </c>
      <c r="J221" t="s">
        <v>53</v>
      </c>
      <c r="K221" t="s">
        <v>526</v>
      </c>
      <c r="L221">
        <v>352</v>
      </c>
      <c r="M221" t="s">
        <v>304</v>
      </c>
      <c r="N221" s="2">
        <v>46197</v>
      </c>
      <c r="P221" t="s">
        <v>73</v>
      </c>
      <c r="Q221" t="s">
        <v>55</v>
      </c>
      <c r="R221" t="s">
        <v>438</v>
      </c>
      <c r="S221" s="2">
        <v>46192</v>
      </c>
      <c r="T221" s="2">
        <v>46197</v>
      </c>
      <c r="AB221">
        <v>1</v>
      </c>
      <c r="AC221">
        <v>1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</row>
    <row r="222" spans="1:39" x14ac:dyDescent="0.25">
      <c r="A222">
        <v>352</v>
      </c>
      <c r="B222" t="s">
        <v>527</v>
      </c>
      <c r="C222" t="s">
        <v>525</v>
      </c>
      <c r="D222" t="s">
        <v>104</v>
      </c>
      <c r="E222" t="s">
        <v>52</v>
      </c>
      <c r="F222" s="2">
        <v>46216</v>
      </c>
      <c r="G222" s="2">
        <v>46216</v>
      </c>
      <c r="H222" s="3">
        <v>0</v>
      </c>
      <c r="J222" t="s">
        <v>41</v>
      </c>
      <c r="K222">
        <v>351</v>
      </c>
      <c r="L222">
        <v>353</v>
      </c>
      <c r="M222" t="s">
        <v>190</v>
      </c>
      <c r="N222" s="2">
        <v>46198</v>
      </c>
      <c r="P222" t="s">
        <v>179</v>
      </c>
      <c r="Q222" t="s">
        <v>55</v>
      </c>
      <c r="R222" t="s">
        <v>438</v>
      </c>
      <c r="S222" s="2">
        <v>46198</v>
      </c>
      <c r="T222" s="2">
        <v>46198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353</v>
      </c>
      <c r="B223" t="s">
        <v>528</v>
      </c>
      <c r="C223" t="s">
        <v>525</v>
      </c>
      <c r="D223" t="s">
        <v>108</v>
      </c>
      <c r="E223" t="s">
        <v>52</v>
      </c>
      <c r="F223" s="2">
        <v>46217</v>
      </c>
      <c r="G223" s="2">
        <v>46217</v>
      </c>
      <c r="H223" s="3">
        <v>0</v>
      </c>
      <c r="J223" t="s">
        <v>192</v>
      </c>
      <c r="K223">
        <v>352</v>
      </c>
      <c r="L223" t="s">
        <v>529</v>
      </c>
      <c r="M223" t="s">
        <v>193</v>
      </c>
      <c r="N223" s="2">
        <v>46202</v>
      </c>
      <c r="P223" t="s">
        <v>179</v>
      </c>
      <c r="Q223" t="s">
        <v>55</v>
      </c>
      <c r="R223" t="s">
        <v>438</v>
      </c>
      <c r="S223" s="2">
        <v>46199</v>
      </c>
      <c r="T223" s="2">
        <v>46202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5">
      <c r="A224">
        <v>354</v>
      </c>
      <c r="B224" t="s">
        <v>530</v>
      </c>
      <c r="C224" t="s">
        <v>525</v>
      </c>
      <c r="D224" t="s">
        <v>114</v>
      </c>
      <c r="E224" t="s">
        <v>52</v>
      </c>
      <c r="F224" s="2">
        <v>46217</v>
      </c>
      <c r="G224" s="2">
        <v>46217</v>
      </c>
      <c r="H224" s="3">
        <v>0</v>
      </c>
      <c r="J224" t="s">
        <v>192</v>
      </c>
      <c r="K224" t="s">
        <v>531</v>
      </c>
      <c r="M224" t="s">
        <v>197</v>
      </c>
      <c r="N224" s="2">
        <v>46203</v>
      </c>
      <c r="P224" t="s">
        <v>179</v>
      </c>
      <c r="Q224" t="s">
        <v>55</v>
      </c>
      <c r="R224" t="s">
        <v>438</v>
      </c>
      <c r="S224" s="2">
        <v>46203</v>
      </c>
      <c r="T224" s="2">
        <v>46203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355</v>
      </c>
      <c r="B225" t="s">
        <v>532</v>
      </c>
      <c r="C225" t="s">
        <v>440</v>
      </c>
      <c r="D225" t="s">
        <v>533</v>
      </c>
      <c r="E225" t="s">
        <v>369</v>
      </c>
      <c r="F225" s="2">
        <v>46202</v>
      </c>
      <c r="G225" s="2">
        <v>46209</v>
      </c>
      <c r="H225" s="3">
        <v>0.56999999999999995</v>
      </c>
      <c r="J225" t="s">
        <v>41</v>
      </c>
      <c r="M225" t="s">
        <v>304</v>
      </c>
      <c r="N225" s="2">
        <v>46203</v>
      </c>
      <c r="P225" t="s">
        <v>73</v>
      </c>
      <c r="Q225" t="s">
        <v>55</v>
      </c>
      <c r="R225" t="s">
        <v>438</v>
      </c>
      <c r="S225" s="2">
        <v>46192</v>
      </c>
      <c r="T225" s="2">
        <v>46203</v>
      </c>
      <c r="AB225">
        <v>0.56999999999999995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356</v>
      </c>
      <c r="B226" t="s">
        <v>534</v>
      </c>
      <c r="C226" t="s">
        <v>535</v>
      </c>
      <c r="D226" t="s">
        <v>100</v>
      </c>
      <c r="E226" t="s">
        <v>167</v>
      </c>
      <c r="F226" s="2">
        <v>46202</v>
      </c>
      <c r="G226" s="2">
        <v>46205</v>
      </c>
      <c r="H226" s="3">
        <v>1</v>
      </c>
      <c r="I226" s="2">
        <v>46205</v>
      </c>
      <c r="J226" t="s">
        <v>53</v>
      </c>
      <c r="K226" t="s">
        <v>526</v>
      </c>
      <c r="L226">
        <v>357</v>
      </c>
      <c r="M226" t="s">
        <v>304</v>
      </c>
      <c r="N226" s="2">
        <v>46197</v>
      </c>
      <c r="P226" t="s">
        <v>73</v>
      </c>
      <c r="Q226" t="s">
        <v>55</v>
      </c>
      <c r="R226" t="s">
        <v>438</v>
      </c>
      <c r="S226" s="2">
        <v>46192</v>
      </c>
      <c r="T226" s="2">
        <v>46197</v>
      </c>
      <c r="AB226">
        <v>1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</row>
    <row r="227" spans="1:39" x14ac:dyDescent="0.25">
      <c r="A227">
        <v>357</v>
      </c>
      <c r="B227" t="s">
        <v>536</v>
      </c>
      <c r="C227" t="s">
        <v>535</v>
      </c>
      <c r="D227" t="s">
        <v>104</v>
      </c>
      <c r="E227" t="s">
        <v>52</v>
      </c>
      <c r="F227" s="2">
        <v>46206</v>
      </c>
      <c r="G227" s="2">
        <v>46206</v>
      </c>
      <c r="H227" s="3">
        <v>0</v>
      </c>
      <c r="J227" t="s">
        <v>41</v>
      </c>
      <c r="K227">
        <v>356</v>
      </c>
      <c r="L227">
        <v>358</v>
      </c>
      <c r="M227" t="s">
        <v>190</v>
      </c>
      <c r="N227" s="2">
        <v>46198</v>
      </c>
      <c r="P227" t="s">
        <v>179</v>
      </c>
      <c r="Q227" t="s">
        <v>55</v>
      </c>
      <c r="R227" t="s">
        <v>438</v>
      </c>
      <c r="S227" s="2">
        <v>46198</v>
      </c>
      <c r="T227" s="2">
        <v>46198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358</v>
      </c>
      <c r="B228" t="s">
        <v>537</v>
      </c>
      <c r="C228" t="s">
        <v>535</v>
      </c>
      <c r="D228" t="s">
        <v>108</v>
      </c>
      <c r="E228" t="s">
        <v>52</v>
      </c>
      <c r="F228" s="2">
        <v>46209</v>
      </c>
      <c r="G228" s="2">
        <v>46209</v>
      </c>
      <c r="H228" s="3">
        <v>0</v>
      </c>
      <c r="J228" t="s">
        <v>41</v>
      </c>
      <c r="K228">
        <v>357</v>
      </c>
      <c r="L228" t="s">
        <v>538</v>
      </c>
      <c r="M228" t="s">
        <v>193</v>
      </c>
      <c r="N228" s="2">
        <v>46202</v>
      </c>
      <c r="P228" t="s">
        <v>179</v>
      </c>
      <c r="Q228" t="s">
        <v>55</v>
      </c>
      <c r="R228" t="s">
        <v>438</v>
      </c>
      <c r="S228" s="2">
        <v>46199</v>
      </c>
      <c r="T228" s="2">
        <v>46202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</row>
    <row r="229" spans="1:39" x14ac:dyDescent="0.25">
      <c r="A229">
        <v>359</v>
      </c>
      <c r="B229" t="s">
        <v>539</v>
      </c>
      <c r="C229" t="s">
        <v>535</v>
      </c>
      <c r="D229" t="s">
        <v>114</v>
      </c>
      <c r="E229" t="s">
        <v>52</v>
      </c>
      <c r="F229" s="2">
        <v>46209</v>
      </c>
      <c r="G229" s="2">
        <v>46209</v>
      </c>
      <c r="H229" s="3">
        <v>0</v>
      </c>
      <c r="J229" t="s">
        <v>41</v>
      </c>
      <c r="K229" t="s">
        <v>540</v>
      </c>
      <c r="M229" t="s">
        <v>197</v>
      </c>
      <c r="N229" s="2">
        <v>46203</v>
      </c>
      <c r="P229" t="s">
        <v>179</v>
      </c>
      <c r="Q229" t="s">
        <v>55</v>
      </c>
      <c r="R229" t="s">
        <v>438</v>
      </c>
      <c r="S229" s="2">
        <v>46203</v>
      </c>
      <c r="T229" s="2">
        <v>46203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</row>
    <row r="230" spans="1:39" x14ac:dyDescent="0.25">
      <c r="A230">
        <v>360</v>
      </c>
      <c r="B230" t="s">
        <v>541</v>
      </c>
      <c r="C230" t="s">
        <v>440</v>
      </c>
      <c r="D230" t="s">
        <v>542</v>
      </c>
      <c r="E230" t="s">
        <v>369</v>
      </c>
      <c r="F230" s="2">
        <v>46202</v>
      </c>
      <c r="G230" s="2">
        <v>46209</v>
      </c>
      <c r="H230" s="3">
        <v>0.56999999999999995</v>
      </c>
      <c r="J230" t="s">
        <v>41</v>
      </c>
      <c r="M230" t="s">
        <v>304</v>
      </c>
      <c r="N230" s="2">
        <v>46203</v>
      </c>
      <c r="P230" t="s">
        <v>73</v>
      </c>
      <c r="Q230" t="s">
        <v>55</v>
      </c>
      <c r="R230" t="s">
        <v>438</v>
      </c>
      <c r="S230" s="2">
        <v>46192</v>
      </c>
      <c r="T230" s="2">
        <v>46203</v>
      </c>
      <c r="U230" t="s">
        <v>77</v>
      </c>
      <c r="AB230">
        <v>0.56999999999999995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361</v>
      </c>
      <c r="B231" t="s">
        <v>543</v>
      </c>
      <c r="C231" t="s">
        <v>544</v>
      </c>
      <c r="D231" t="s">
        <v>100</v>
      </c>
      <c r="E231" t="s">
        <v>167</v>
      </c>
      <c r="F231" s="2">
        <v>46202</v>
      </c>
      <c r="G231" s="2">
        <v>46205</v>
      </c>
      <c r="H231" s="3">
        <v>1</v>
      </c>
      <c r="I231" s="2">
        <v>46205</v>
      </c>
      <c r="J231" t="s">
        <v>53</v>
      </c>
      <c r="K231" t="s">
        <v>526</v>
      </c>
      <c r="L231">
        <v>362</v>
      </c>
      <c r="M231" t="s">
        <v>304</v>
      </c>
      <c r="N231" s="2">
        <v>46197</v>
      </c>
      <c r="P231" t="s">
        <v>73</v>
      </c>
      <c r="Q231" t="s">
        <v>55</v>
      </c>
      <c r="R231" t="s">
        <v>438</v>
      </c>
      <c r="S231" s="2">
        <v>46192</v>
      </c>
      <c r="T231" s="2">
        <v>46197</v>
      </c>
      <c r="AB231">
        <v>1</v>
      </c>
      <c r="AC231">
        <v>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</row>
    <row r="232" spans="1:39" x14ac:dyDescent="0.25">
      <c r="A232">
        <v>362</v>
      </c>
      <c r="B232" t="s">
        <v>545</v>
      </c>
      <c r="C232" t="s">
        <v>544</v>
      </c>
      <c r="D232" t="s">
        <v>104</v>
      </c>
      <c r="E232" t="s">
        <v>52</v>
      </c>
      <c r="F232" s="2">
        <v>46206</v>
      </c>
      <c r="G232" s="2">
        <v>46206</v>
      </c>
      <c r="H232" s="3">
        <v>0</v>
      </c>
      <c r="J232" t="s">
        <v>41</v>
      </c>
      <c r="K232">
        <v>361</v>
      </c>
      <c r="L232">
        <v>363</v>
      </c>
      <c r="M232" t="s">
        <v>190</v>
      </c>
      <c r="N232" s="2">
        <v>46198</v>
      </c>
      <c r="P232" t="s">
        <v>179</v>
      </c>
      <c r="Q232" t="s">
        <v>55</v>
      </c>
      <c r="R232" t="s">
        <v>438</v>
      </c>
      <c r="S232" s="2">
        <v>46198</v>
      </c>
      <c r="T232" s="2">
        <v>46198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363</v>
      </c>
      <c r="B233" t="s">
        <v>546</v>
      </c>
      <c r="C233" t="s">
        <v>544</v>
      </c>
      <c r="D233" t="s">
        <v>108</v>
      </c>
      <c r="E233" t="s">
        <v>52</v>
      </c>
      <c r="F233" s="2">
        <v>46209</v>
      </c>
      <c r="G233" s="2">
        <v>46209</v>
      </c>
      <c r="H233" s="3">
        <v>0</v>
      </c>
      <c r="J233" t="s">
        <v>41</v>
      </c>
      <c r="K233">
        <v>362</v>
      </c>
      <c r="L233" t="s">
        <v>547</v>
      </c>
      <c r="M233" t="s">
        <v>193</v>
      </c>
      <c r="N233" s="2">
        <v>46202</v>
      </c>
      <c r="P233" t="s">
        <v>179</v>
      </c>
      <c r="Q233" t="s">
        <v>55</v>
      </c>
      <c r="R233" t="s">
        <v>438</v>
      </c>
      <c r="S233" s="2">
        <v>46199</v>
      </c>
      <c r="T233" s="2">
        <v>46202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</row>
    <row r="234" spans="1:39" x14ac:dyDescent="0.25">
      <c r="A234">
        <v>364</v>
      </c>
      <c r="B234" t="s">
        <v>548</v>
      </c>
      <c r="C234" t="s">
        <v>544</v>
      </c>
      <c r="D234" t="s">
        <v>114</v>
      </c>
      <c r="E234" t="s">
        <v>52</v>
      </c>
      <c r="F234" s="2">
        <v>46209</v>
      </c>
      <c r="G234" s="2">
        <v>46209</v>
      </c>
      <c r="H234" s="3">
        <v>0</v>
      </c>
      <c r="J234" t="s">
        <v>41</v>
      </c>
      <c r="K234" t="s">
        <v>549</v>
      </c>
      <c r="M234" t="s">
        <v>197</v>
      </c>
      <c r="N234" s="2">
        <v>46203</v>
      </c>
      <c r="P234" t="s">
        <v>179</v>
      </c>
      <c r="Q234" t="s">
        <v>55</v>
      </c>
      <c r="R234" t="s">
        <v>438</v>
      </c>
      <c r="S234" s="2">
        <v>46203</v>
      </c>
      <c r="T234" s="2">
        <v>46203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</row>
    <row r="235" spans="1:39" x14ac:dyDescent="0.25">
      <c r="A235">
        <v>365</v>
      </c>
      <c r="B235" t="s">
        <v>550</v>
      </c>
      <c r="C235" t="s">
        <v>440</v>
      </c>
      <c r="D235" t="s">
        <v>551</v>
      </c>
      <c r="E235" t="s">
        <v>369</v>
      </c>
      <c r="F235" s="2">
        <v>46196</v>
      </c>
      <c r="G235" s="2">
        <v>46203</v>
      </c>
      <c r="H235" s="3">
        <v>0.57999999999999996</v>
      </c>
      <c r="J235" t="s">
        <v>41</v>
      </c>
      <c r="M235" t="s">
        <v>66</v>
      </c>
      <c r="N235" s="2">
        <v>46188</v>
      </c>
      <c r="P235" t="s">
        <v>73</v>
      </c>
      <c r="Q235" t="s">
        <v>55</v>
      </c>
      <c r="R235" t="s">
        <v>438</v>
      </c>
      <c r="S235" s="2">
        <v>46168</v>
      </c>
      <c r="T235" s="2">
        <v>46176</v>
      </c>
      <c r="AB235">
        <v>0.57999999999999996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366</v>
      </c>
      <c r="B236" t="s">
        <v>552</v>
      </c>
      <c r="C236" t="s">
        <v>553</v>
      </c>
      <c r="D236" t="s">
        <v>100</v>
      </c>
      <c r="E236" t="s">
        <v>101</v>
      </c>
      <c r="F236" s="2">
        <v>46196</v>
      </c>
      <c r="G236" s="2">
        <v>46198</v>
      </c>
      <c r="H236" s="3">
        <v>1</v>
      </c>
      <c r="I236" s="2">
        <v>46198</v>
      </c>
      <c r="J236" t="s">
        <v>53</v>
      </c>
      <c r="K236">
        <v>306</v>
      </c>
      <c r="L236" t="s">
        <v>554</v>
      </c>
      <c r="M236" t="s">
        <v>66</v>
      </c>
      <c r="N236" s="2">
        <v>46182</v>
      </c>
      <c r="P236" t="s">
        <v>73</v>
      </c>
      <c r="Q236" t="s">
        <v>55</v>
      </c>
      <c r="R236" t="s">
        <v>438</v>
      </c>
      <c r="S236" s="2">
        <v>46168</v>
      </c>
      <c r="T236" s="2">
        <v>46170</v>
      </c>
      <c r="AB236">
        <v>1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</row>
    <row r="237" spans="1:39" x14ac:dyDescent="0.25">
      <c r="A237">
        <v>367</v>
      </c>
      <c r="B237" t="s">
        <v>555</v>
      </c>
      <c r="C237" t="s">
        <v>553</v>
      </c>
      <c r="D237" t="s">
        <v>104</v>
      </c>
      <c r="E237" t="s">
        <v>52</v>
      </c>
      <c r="F237" s="2">
        <v>46199</v>
      </c>
      <c r="G237" s="2">
        <v>46199</v>
      </c>
      <c r="H237" s="3">
        <v>0.5</v>
      </c>
      <c r="J237" t="s">
        <v>41</v>
      </c>
      <c r="K237">
        <v>366</v>
      </c>
      <c r="L237">
        <v>368</v>
      </c>
      <c r="M237" t="s">
        <v>182</v>
      </c>
      <c r="N237" s="2">
        <v>46183</v>
      </c>
      <c r="P237" t="s">
        <v>179</v>
      </c>
      <c r="Q237" t="s">
        <v>55</v>
      </c>
      <c r="R237" t="s">
        <v>438</v>
      </c>
      <c r="S237" s="2">
        <v>46171</v>
      </c>
      <c r="T237" s="2">
        <v>46171</v>
      </c>
      <c r="AB237">
        <v>0.5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368</v>
      </c>
      <c r="B238" t="s">
        <v>556</v>
      </c>
      <c r="C238" t="s">
        <v>553</v>
      </c>
      <c r="D238" t="s">
        <v>108</v>
      </c>
      <c r="E238" t="s">
        <v>52</v>
      </c>
      <c r="F238" s="2">
        <v>46202</v>
      </c>
      <c r="G238" s="2">
        <v>46202</v>
      </c>
      <c r="H238" s="3">
        <v>0</v>
      </c>
      <c r="J238" t="s">
        <v>41</v>
      </c>
      <c r="K238">
        <v>367</v>
      </c>
      <c r="L238">
        <v>369</v>
      </c>
      <c r="M238" t="s">
        <v>152</v>
      </c>
      <c r="N238" s="2">
        <v>46185</v>
      </c>
      <c r="P238" t="s">
        <v>179</v>
      </c>
      <c r="Q238" t="s">
        <v>55</v>
      </c>
      <c r="R238" t="s">
        <v>438</v>
      </c>
      <c r="S238" s="2">
        <v>46174</v>
      </c>
      <c r="T238" s="2">
        <v>46175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</row>
    <row r="239" spans="1:39" x14ac:dyDescent="0.25">
      <c r="A239">
        <v>369</v>
      </c>
      <c r="B239" t="s">
        <v>557</v>
      </c>
      <c r="C239" t="s">
        <v>553</v>
      </c>
      <c r="D239" t="s">
        <v>114</v>
      </c>
      <c r="E239" t="s">
        <v>52</v>
      </c>
      <c r="F239" s="2">
        <v>46203</v>
      </c>
      <c r="G239" s="2">
        <v>46203</v>
      </c>
      <c r="H239" s="3">
        <v>0</v>
      </c>
      <c r="J239" t="s">
        <v>41</v>
      </c>
      <c r="K239">
        <v>368</v>
      </c>
      <c r="M239" t="s">
        <v>226</v>
      </c>
      <c r="N239" s="2">
        <v>46188</v>
      </c>
      <c r="P239" t="s">
        <v>179</v>
      </c>
      <c r="Q239" t="s">
        <v>55</v>
      </c>
      <c r="R239" t="s">
        <v>438</v>
      </c>
      <c r="S239" s="2">
        <v>46176</v>
      </c>
      <c r="T239" s="2">
        <v>46176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</row>
    <row r="240" spans="1:39" x14ac:dyDescent="0.25">
      <c r="A240">
        <v>385</v>
      </c>
      <c r="B240" t="s">
        <v>558</v>
      </c>
      <c r="C240" t="s">
        <v>440</v>
      </c>
      <c r="D240" t="s">
        <v>559</v>
      </c>
      <c r="E240" t="s">
        <v>369</v>
      </c>
      <c r="F240" s="2">
        <v>46195</v>
      </c>
      <c r="G240" s="2">
        <v>46202</v>
      </c>
      <c r="H240" s="3">
        <v>0.64</v>
      </c>
      <c r="J240" t="s">
        <v>41</v>
      </c>
      <c r="M240" t="s">
        <v>182</v>
      </c>
      <c r="N240" s="2">
        <v>46195</v>
      </c>
      <c r="P240" t="s">
        <v>179</v>
      </c>
      <c r="Q240" t="s">
        <v>55</v>
      </c>
      <c r="R240" t="s">
        <v>438</v>
      </c>
      <c r="S240" s="2">
        <v>46171</v>
      </c>
      <c r="T240" s="2">
        <v>46183</v>
      </c>
      <c r="AB240">
        <v>0.64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386</v>
      </c>
      <c r="B241" t="s">
        <v>560</v>
      </c>
      <c r="C241" t="s">
        <v>561</v>
      </c>
      <c r="D241" t="s">
        <v>100</v>
      </c>
      <c r="E241" t="s">
        <v>167</v>
      </c>
      <c r="F241" s="2">
        <v>46195</v>
      </c>
      <c r="G241" s="2">
        <v>46198</v>
      </c>
      <c r="H241" s="3">
        <v>1</v>
      </c>
      <c r="I241" s="2">
        <v>46198</v>
      </c>
      <c r="J241" t="s">
        <v>53</v>
      </c>
      <c r="K241" t="s">
        <v>526</v>
      </c>
      <c r="L241">
        <v>387</v>
      </c>
      <c r="M241" t="s">
        <v>182</v>
      </c>
      <c r="N241" s="2">
        <v>46189</v>
      </c>
      <c r="P241" t="s">
        <v>179</v>
      </c>
      <c r="Q241" t="s">
        <v>55</v>
      </c>
      <c r="R241" t="s">
        <v>438</v>
      </c>
      <c r="S241" s="2">
        <v>46171</v>
      </c>
      <c r="T241" s="2">
        <v>46177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</row>
    <row r="242" spans="1:39" x14ac:dyDescent="0.25">
      <c r="A242">
        <v>387</v>
      </c>
      <c r="B242" t="s">
        <v>562</v>
      </c>
      <c r="C242" t="s">
        <v>561</v>
      </c>
      <c r="D242" t="s">
        <v>104</v>
      </c>
      <c r="E242" t="s">
        <v>52</v>
      </c>
      <c r="F242" s="2">
        <v>46199</v>
      </c>
      <c r="G242" s="2">
        <v>46199</v>
      </c>
      <c r="H242" s="3">
        <v>0.5</v>
      </c>
      <c r="J242" t="s">
        <v>41</v>
      </c>
      <c r="K242">
        <v>386</v>
      </c>
      <c r="L242">
        <v>388</v>
      </c>
      <c r="M242" t="s">
        <v>248</v>
      </c>
      <c r="N242" s="2">
        <v>46190</v>
      </c>
      <c r="P242" t="s">
        <v>179</v>
      </c>
      <c r="Q242" t="s">
        <v>55</v>
      </c>
      <c r="R242" t="s">
        <v>438</v>
      </c>
      <c r="S242" s="2">
        <v>46178</v>
      </c>
      <c r="T242" s="2">
        <v>46178</v>
      </c>
      <c r="AB242">
        <v>0.5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388</v>
      </c>
      <c r="B243" t="s">
        <v>563</v>
      </c>
      <c r="C243" t="s">
        <v>561</v>
      </c>
      <c r="D243" t="s">
        <v>108</v>
      </c>
      <c r="E243" t="s">
        <v>52</v>
      </c>
      <c r="F243" s="2">
        <v>46202</v>
      </c>
      <c r="G243" s="2">
        <v>46202</v>
      </c>
      <c r="H243" s="3">
        <v>0</v>
      </c>
      <c r="J243" t="s">
        <v>41</v>
      </c>
      <c r="K243">
        <v>387</v>
      </c>
      <c r="L243" t="s">
        <v>564</v>
      </c>
      <c r="M243" t="s">
        <v>186</v>
      </c>
      <c r="N243" s="2">
        <v>46192</v>
      </c>
      <c r="P243" t="s">
        <v>67</v>
      </c>
      <c r="Q243" t="s">
        <v>55</v>
      </c>
      <c r="R243" t="s">
        <v>438</v>
      </c>
      <c r="S243" s="2">
        <v>46181</v>
      </c>
      <c r="T243" s="2">
        <v>46182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</row>
    <row r="244" spans="1:39" x14ac:dyDescent="0.25">
      <c r="A244">
        <v>389</v>
      </c>
      <c r="B244" t="s">
        <v>565</v>
      </c>
      <c r="C244" t="s">
        <v>561</v>
      </c>
      <c r="D244" t="s">
        <v>114</v>
      </c>
      <c r="E244" t="s">
        <v>52</v>
      </c>
      <c r="F244" s="2">
        <v>46202</v>
      </c>
      <c r="G244" s="2">
        <v>46202</v>
      </c>
      <c r="H244" s="3">
        <v>0</v>
      </c>
      <c r="J244" t="s">
        <v>41</v>
      </c>
      <c r="K244" t="s">
        <v>566</v>
      </c>
      <c r="M244" t="s">
        <v>284</v>
      </c>
      <c r="N244" s="2">
        <v>46195</v>
      </c>
      <c r="P244" t="s">
        <v>67</v>
      </c>
      <c r="Q244" t="s">
        <v>55</v>
      </c>
      <c r="R244" t="s">
        <v>438</v>
      </c>
      <c r="S244" s="2">
        <v>46183</v>
      </c>
      <c r="T244" s="2">
        <v>46183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</row>
    <row r="245" spans="1:39" x14ac:dyDescent="0.25">
      <c r="A245">
        <v>410</v>
      </c>
      <c r="B245" t="s">
        <v>567</v>
      </c>
      <c r="C245" t="s">
        <v>50</v>
      </c>
      <c r="D245" t="s">
        <v>568</v>
      </c>
      <c r="E245" t="s">
        <v>437</v>
      </c>
      <c r="F245" s="2">
        <v>46171</v>
      </c>
      <c r="G245" s="2">
        <v>46219</v>
      </c>
      <c r="H245" s="3">
        <v>0.73</v>
      </c>
      <c r="J245" t="s">
        <v>41</v>
      </c>
      <c r="M245" t="s">
        <v>171</v>
      </c>
      <c r="N245" s="2">
        <v>46211</v>
      </c>
      <c r="P245" t="s">
        <v>135</v>
      </c>
      <c r="Q245" t="s">
        <v>44</v>
      </c>
      <c r="R245" t="s">
        <v>569</v>
      </c>
      <c r="S245" s="2">
        <v>46147</v>
      </c>
      <c r="T245" s="2">
        <v>46210</v>
      </c>
      <c r="AB245">
        <v>0.73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416</v>
      </c>
      <c r="B246" t="s">
        <v>570</v>
      </c>
      <c r="C246" t="s">
        <v>571</v>
      </c>
      <c r="D246" t="s">
        <v>572</v>
      </c>
      <c r="E246" t="s">
        <v>573</v>
      </c>
      <c r="F246" s="2">
        <v>46189</v>
      </c>
      <c r="G246" s="2">
        <v>46205</v>
      </c>
      <c r="H246" s="3">
        <v>0.88</v>
      </c>
      <c r="J246" t="s">
        <v>41</v>
      </c>
      <c r="M246" t="s">
        <v>66</v>
      </c>
      <c r="N246" s="2">
        <v>46188</v>
      </c>
      <c r="P246" t="s">
        <v>73</v>
      </c>
      <c r="Q246" t="s">
        <v>55</v>
      </c>
      <c r="R246" t="s">
        <v>569</v>
      </c>
      <c r="S246" s="2">
        <v>46162</v>
      </c>
      <c r="T246" s="2">
        <v>46170</v>
      </c>
      <c r="AB246">
        <v>0.88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417</v>
      </c>
      <c r="B247" t="s">
        <v>574</v>
      </c>
      <c r="C247" t="s">
        <v>575</v>
      </c>
      <c r="D247" t="s">
        <v>100</v>
      </c>
      <c r="E247" t="s">
        <v>167</v>
      </c>
      <c r="F247" s="2">
        <v>46189</v>
      </c>
      <c r="G247" s="2">
        <v>46192</v>
      </c>
      <c r="H247" s="3">
        <v>1</v>
      </c>
      <c r="I247" s="2">
        <v>46192</v>
      </c>
      <c r="J247" t="s">
        <v>53</v>
      </c>
      <c r="K247">
        <v>452</v>
      </c>
      <c r="L247" t="s">
        <v>576</v>
      </c>
      <c r="M247" t="s">
        <v>66</v>
      </c>
      <c r="N247" s="2">
        <v>46182</v>
      </c>
      <c r="P247" t="s">
        <v>73</v>
      </c>
      <c r="Q247" t="s">
        <v>55</v>
      </c>
      <c r="R247" t="s">
        <v>569</v>
      </c>
      <c r="S247" s="2">
        <v>46162</v>
      </c>
      <c r="T247" s="2">
        <v>46164</v>
      </c>
      <c r="AB247">
        <v>1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</row>
    <row r="248" spans="1:39" x14ac:dyDescent="0.25">
      <c r="A248">
        <v>418</v>
      </c>
      <c r="B248" t="s">
        <v>577</v>
      </c>
      <c r="C248" t="s">
        <v>575</v>
      </c>
      <c r="D248" t="s">
        <v>104</v>
      </c>
      <c r="E248" t="s">
        <v>224</v>
      </c>
      <c r="F248" s="2">
        <v>46197</v>
      </c>
      <c r="G248" s="2">
        <v>46204</v>
      </c>
      <c r="H248" s="3">
        <v>1</v>
      </c>
      <c r="I248" s="2">
        <v>46204</v>
      </c>
      <c r="J248" t="s">
        <v>53</v>
      </c>
      <c r="K248">
        <v>417</v>
      </c>
      <c r="L248" t="s">
        <v>578</v>
      </c>
      <c r="M248" t="s">
        <v>182</v>
      </c>
      <c r="N248" s="2">
        <v>46183</v>
      </c>
      <c r="P248" t="s">
        <v>179</v>
      </c>
      <c r="Q248" t="s">
        <v>55</v>
      </c>
      <c r="R248" t="s">
        <v>569</v>
      </c>
      <c r="S248" s="2">
        <v>46167</v>
      </c>
      <c r="T248" s="2">
        <v>46167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419</v>
      </c>
      <c r="B249" t="s">
        <v>579</v>
      </c>
      <c r="C249" t="s">
        <v>575</v>
      </c>
      <c r="D249" t="s">
        <v>108</v>
      </c>
      <c r="E249" t="s">
        <v>52</v>
      </c>
      <c r="F249" s="2">
        <v>46204</v>
      </c>
      <c r="G249" s="2">
        <v>46204</v>
      </c>
      <c r="H249" s="3">
        <v>0.5</v>
      </c>
      <c r="J249" t="s">
        <v>41</v>
      </c>
      <c r="K249" t="s">
        <v>580</v>
      </c>
      <c r="L249">
        <v>420</v>
      </c>
      <c r="M249" t="s">
        <v>152</v>
      </c>
      <c r="N249" s="2">
        <v>46185</v>
      </c>
      <c r="P249" t="s">
        <v>179</v>
      </c>
      <c r="Q249" t="s">
        <v>55</v>
      </c>
      <c r="R249" t="s">
        <v>569</v>
      </c>
      <c r="S249" s="2">
        <v>46168</v>
      </c>
      <c r="T249" s="2">
        <v>46169</v>
      </c>
      <c r="AB249">
        <v>0.5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</row>
    <row r="250" spans="1:39" x14ac:dyDescent="0.25">
      <c r="A250">
        <v>420</v>
      </c>
      <c r="B250" t="s">
        <v>581</v>
      </c>
      <c r="C250" t="s">
        <v>575</v>
      </c>
      <c r="D250" t="s">
        <v>114</v>
      </c>
      <c r="E250" t="s">
        <v>52</v>
      </c>
      <c r="F250" s="2">
        <v>46205</v>
      </c>
      <c r="G250" s="2">
        <v>46205</v>
      </c>
      <c r="H250" s="3">
        <v>0</v>
      </c>
      <c r="J250" t="s">
        <v>41</v>
      </c>
      <c r="K250">
        <v>419</v>
      </c>
      <c r="M250" t="s">
        <v>226</v>
      </c>
      <c r="N250" s="2">
        <v>46188</v>
      </c>
      <c r="P250" t="s">
        <v>179</v>
      </c>
      <c r="Q250" t="s">
        <v>55</v>
      </c>
      <c r="R250" t="s">
        <v>569</v>
      </c>
      <c r="S250" s="2">
        <v>46170</v>
      </c>
      <c r="T250" s="2">
        <v>46170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</row>
    <row r="251" spans="1:39" x14ac:dyDescent="0.25">
      <c r="A251">
        <v>421</v>
      </c>
      <c r="B251" t="s">
        <v>582</v>
      </c>
      <c r="C251" t="s">
        <v>571</v>
      </c>
      <c r="D251" t="s">
        <v>583</v>
      </c>
      <c r="E251" t="s">
        <v>161</v>
      </c>
      <c r="F251" s="2">
        <v>46188</v>
      </c>
      <c r="G251" s="2">
        <v>46197</v>
      </c>
      <c r="H251" s="3">
        <v>0.5</v>
      </c>
      <c r="J251" t="s">
        <v>41</v>
      </c>
      <c r="M251" t="s">
        <v>193</v>
      </c>
      <c r="N251" s="2">
        <v>46206</v>
      </c>
      <c r="P251" t="s">
        <v>73</v>
      </c>
      <c r="Q251" t="s">
        <v>55</v>
      </c>
      <c r="R251" t="s">
        <v>569</v>
      </c>
      <c r="S251" s="2">
        <v>46192</v>
      </c>
      <c r="T251" s="2">
        <v>46202</v>
      </c>
      <c r="AB251">
        <v>0.5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422</v>
      </c>
      <c r="B252" t="s">
        <v>584</v>
      </c>
      <c r="C252" t="s">
        <v>585</v>
      </c>
      <c r="D252" t="s">
        <v>100</v>
      </c>
      <c r="E252" t="s">
        <v>167</v>
      </c>
      <c r="F252" s="2">
        <v>46188</v>
      </c>
      <c r="G252" s="2">
        <v>46191</v>
      </c>
      <c r="H252" s="3">
        <v>1</v>
      </c>
      <c r="I252" s="2">
        <v>46191</v>
      </c>
      <c r="J252" t="s">
        <v>53</v>
      </c>
      <c r="L252">
        <v>423</v>
      </c>
      <c r="M252" t="s">
        <v>193</v>
      </c>
      <c r="N252" s="2">
        <v>46202</v>
      </c>
      <c r="P252" t="s">
        <v>73</v>
      </c>
      <c r="Q252" t="s">
        <v>55</v>
      </c>
      <c r="R252" t="s">
        <v>569</v>
      </c>
      <c r="S252" s="2">
        <v>46192</v>
      </c>
      <c r="T252" s="2">
        <v>46196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</row>
    <row r="253" spans="1:39" x14ac:dyDescent="0.25">
      <c r="A253">
        <v>423</v>
      </c>
      <c r="B253" t="s">
        <v>586</v>
      </c>
      <c r="C253" t="s">
        <v>585</v>
      </c>
      <c r="D253" t="s">
        <v>104</v>
      </c>
      <c r="E253" t="s">
        <v>52</v>
      </c>
      <c r="F253" s="2">
        <v>46192</v>
      </c>
      <c r="G253" s="2">
        <v>46192</v>
      </c>
      <c r="H253" s="3">
        <v>0</v>
      </c>
      <c r="J253" t="s">
        <v>41</v>
      </c>
      <c r="K253">
        <v>422</v>
      </c>
      <c r="L253">
        <v>424</v>
      </c>
      <c r="M253" t="s">
        <v>197</v>
      </c>
      <c r="N253" s="2">
        <v>46203</v>
      </c>
      <c r="P253" t="s">
        <v>73</v>
      </c>
      <c r="Q253" t="s">
        <v>55</v>
      </c>
      <c r="R253" t="s">
        <v>569</v>
      </c>
      <c r="S253" s="2">
        <v>46197</v>
      </c>
      <c r="T253" s="2">
        <v>46197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424</v>
      </c>
      <c r="B254" t="s">
        <v>587</v>
      </c>
      <c r="C254" t="s">
        <v>585</v>
      </c>
      <c r="D254" t="s">
        <v>108</v>
      </c>
      <c r="E254" t="s">
        <v>115</v>
      </c>
      <c r="F254" s="2">
        <v>46195</v>
      </c>
      <c r="G254" s="2">
        <v>46196</v>
      </c>
      <c r="H254" s="3">
        <v>0</v>
      </c>
      <c r="J254" t="s">
        <v>41</v>
      </c>
      <c r="K254">
        <v>423</v>
      </c>
      <c r="L254">
        <v>425</v>
      </c>
      <c r="M254" t="s">
        <v>404</v>
      </c>
      <c r="N254" s="2">
        <v>46205</v>
      </c>
      <c r="P254" t="s">
        <v>179</v>
      </c>
      <c r="Q254" t="s">
        <v>55</v>
      </c>
      <c r="R254" t="s">
        <v>569</v>
      </c>
      <c r="S254" s="2">
        <v>46198</v>
      </c>
      <c r="T254" s="2">
        <v>46199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</row>
    <row r="255" spans="1:39" x14ac:dyDescent="0.25">
      <c r="A255">
        <v>425</v>
      </c>
      <c r="B255" t="s">
        <v>588</v>
      </c>
      <c r="C255" t="s">
        <v>585</v>
      </c>
      <c r="D255" t="s">
        <v>114</v>
      </c>
      <c r="E255" t="s">
        <v>52</v>
      </c>
      <c r="F255" s="2">
        <v>46197</v>
      </c>
      <c r="G255" s="2">
        <v>46197</v>
      </c>
      <c r="H255" s="3">
        <v>0</v>
      </c>
      <c r="J255" t="s">
        <v>41</v>
      </c>
      <c r="K255">
        <v>424</v>
      </c>
      <c r="M255" t="s">
        <v>385</v>
      </c>
      <c r="N255" s="2">
        <v>46206</v>
      </c>
      <c r="P255" t="s">
        <v>179</v>
      </c>
      <c r="Q255" t="s">
        <v>55</v>
      </c>
      <c r="R255" t="s">
        <v>569</v>
      </c>
      <c r="S255" s="2">
        <v>46202</v>
      </c>
      <c r="T255" s="2">
        <v>46202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</row>
    <row r="256" spans="1:39" x14ac:dyDescent="0.25">
      <c r="A256">
        <v>426</v>
      </c>
      <c r="B256" t="s">
        <v>589</v>
      </c>
      <c r="C256" t="s">
        <v>571</v>
      </c>
      <c r="D256" t="s">
        <v>590</v>
      </c>
      <c r="E256" t="s">
        <v>161</v>
      </c>
      <c r="F256" s="2">
        <v>46199</v>
      </c>
      <c r="G256" s="2">
        <v>46210</v>
      </c>
      <c r="H256" s="3">
        <v>0.5</v>
      </c>
      <c r="J256" t="s">
        <v>41</v>
      </c>
      <c r="M256" t="s">
        <v>284</v>
      </c>
      <c r="N256" s="2">
        <v>46202</v>
      </c>
      <c r="P256" t="s">
        <v>76</v>
      </c>
      <c r="Q256" t="s">
        <v>55</v>
      </c>
      <c r="R256" t="s">
        <v>569</v>
      </c>
      <c r="S256" s="2">
        <v>46184</v>
      </c>
      <c r="T256" s="2">
        <v>46192</v>
      </c>
      <c r="U256" t="s">
        <v>77</v>
      </c>
      <c r="AB256">
        <v>0.5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427</v>
      </c>
      <c r="B257" t="s">
        <v>591</v>
      </c>
      <c r="C257" t="s">
        <v>592</v>
      </c>
      <c r="D257" t="s">
        <v>100</v>
      </c>
      <c r="E257" t="s">
        <v>167</v>
      </c>
      <c r="F257" s="2">
        <v>46199</v>
      </c>
      <c r="G257" s="2">
        <v>46204</v>
      </c>
      <c r="H257" s="3">
        <v>1</v>
      </c>
      <c r="I257" s="2">
        <v>46204</v>
      </c>
      <c r="J257" t="s">
        <v>53</v>
      </c>
      <c r="K257" t="s">
        <v>593</v>
      </c>
      <c r="L257" t="s">
        <v>594</v>
      </c>
      <c r="M257" t="s">
        <v>193</v>
      </c>
      <c r="N257" s="2">
        <v>46204</v>
      </c>
      <c r="P257" t="s">
        <v>76</v>
      </c>
      <c r="Q257" t="s">
        <v>55</v>
      </c>
      <c r="R257" t="s">
        <v>569</v>
      </c>
      <c r="S257" s="2">
        <v>46199</v>
      </c>
      <c r="T257" s="2">
        <v>46204</v>
      </c>
      <c r="AB257">
        <v>1</v>
      </c>
      <c r="AC257">
        <v>1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</row>
    <row r="258" spans="1:39" x14ac:dyDescent="0.25">
      <c r="A258">
        <v>428</v>
      </c>
      <c r="B258" t="s">
        <v>595</v>
      </c>
      <c r="C258" t="s">
        <v>592</v>
      </c>
      <c r="D258" t="s">
        <v>104</v>
      </c>
      <c r="E258" t="s">
        <v>52</v>
      </c>
      <c r="F258" s="2">
        <v>46205</v>
      </c>
      <c r="G258" s="2">
        <v>46205</v>
      </c>
      <c r="H258" s="3">
        <v>0</v>
      </c>
      <c r="J258" t="s">
        <v>41</v>
      </c>
      <c r="K258">
        <v>427</v>
      </c>
      <c r="L258">
        <v>429</v>
      </c>
      <c r="M258" t="s">
        <v>383</v>
      </c>
      <c r="N258" s="2">
        <v>46205</v>
      </c>
      <c r="P258" t="s">
        <v>73</v>
      </c>
      <c r="Q258" t="s">
        <v>55</v>
      </c>
      <c r="R258" t="s">
        <v>569</v>
      </c>
      <c r="S258" s="2">
        <v>46205</v>
      </c>
      <c r="T258" s="2">
        <v>46205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429</v>
      </c>
      <c r="B259" t="s">
        <v>596</v>
      </c>
      <c r="C259" t="s">
        <v>592</v>
      </c>
      <c r="D259" t="s">
        <v>108</v>
      </c>
      <c r="E259" t="s">
        <v>115</v>
      </c>
      <c r="F259" s="2">
        <v>46206</v>
      </c>
      <c r="G259" s="2">
        <v>46209</v>
      </c>
      <c r="H259" s="3">
        <v>0</v>
      </c>
      <c r="J259" t="s">
        <v>41</v>
      </c>
      <c r="K259">
        <v>428</v>
      </c>
      <c r="L259">
        <v>430</v>
      </c>
      <c r="M259" t="s">
        <v>385</v>
      </c>
      <c r="N259" s="2">
        <v>46209</v>
      </c>
      <c r="P259" t="s">
        <v>73</v>
      </c>
      <c r="Q259" t="s">
        <v>55</v>
      </c>
      <c r="R259" t="s">
        <v>569</v>
      </c>
      <c r="S259" s="2">
        <v>46206</v>
      </c>
      <c r="T259" s="2">
        <v>46209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</row>
    <row r="260" spans="1:39" x14ac:dyDescent="0.25">
      <c r="A260">
        <v>430</v>
      </c>
      <c r="B260" t="s">
        <v>597</v>
      </c>
      <c r="C260" t="s">
        <v>592</v>
      </c>
      <c r="D260" t="s">
        <v>114</v>
      </c>
      <c r="E260" t="s">
        <v>52</v>
      </c>
      <c r="F260" s="2">
        <v>46210</v>
      </c>
      <c r="G260" s="2">
        <v>46210</v>
      </c>
      <c r="H260" s="3">
        <v>0</v>
      </c>
      <c r="J260" t="s">
        <v>41</v>
      </c>
      <c r="K260">
        <v>429</v>
      </c>
      <c r="M260" t="s">
        <v>387</v>
      </c>
      <c r="N260" s="2">
        <v>46210</v>
      </c>
      <c r="P260" t="s">
        <v>73</v>
      </c>
      <c r="Q260" t="s">
        <v>55</v>
      </c>
      <c r="R260" t="s">
        <v>569</v>
      </c>
      <c r="S260" s="2">
        <v>46210</v>
      </c>
      <c r="T260" s="2">
        <v>46210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</row>
    <row r="261" spans="1:39" x14ac:dyDescent="0.25">
      <c r="A261">
        <v>441</v>
      </c>
      <c r="B261" t="s">
        <v>598</v>
      </c>
      <c r="C261" t="s">
        <v>571</v>
      </c>
      <c r="D261" t="s">
        <v>599</v>
      </c>
      <c r="E261" t="s">
        <v>294</v>
      </c>
      <c r="F261" s="2">
        <v>46199</v>
      </c>
      <c r="G261" s="2">
        <v>46217</v>
      </c>
      <c r="H261" s="3">
        <v>0.73</v>
      </c>
      <c r="J261" t="s">
        <v>41</v>
      </c>
      <c r="M261" t="s">
        <v>251</v>
      </c>
      <c r="N261" s="2">
        <v>46202</v>
      </c>
      <c r="P261" t="s">
        <v>179</v>
      </c>
      <c r="Q261" t="s">
        <v>55</v>
      </c>
      <c r="R261" t="s">
        <v>569</v>
      </c>
      <c r="S261" s="2">
        <v>46204</v>
      </c>
      <c r="T261" s="2">
        <v>46210</v>
      </c>
      <c r="AB261">
        <v>0.73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442</v>
      </c>
      <c r="B262" t="s">
        <v>600</v>
      </c>
      <c r="C262" t="s">
        <v>601</v>
      </c>
      <c r="D262" t="s">
        <v>100</v>
      </c>
      <c r="E262" t="s">
        <v>515</v>
      </c>
      <c r="F262" s="2">
        <v>46199</v>
      </c>
      <c r="G262" s="2">
        <v>46210</v>
      </c>
      <c r="H262" s="3">
        <v>1</v>
      </c>
      <c r="I262" s="2">
        <v>46210</v>
      </c>
      <c r="J262" t="s">
        <v>53</v>
      </c>
      <c r="K262" t="s">
        <v>602</v>
      </c>
      <c r="L262">
        <v>443</v>
      </c>
      <c r="M262" t="s">
        <v>251</v>
      </c>
      <c r="N262" s="2">
        <v>46196</v>
      </c>
      <c r="P262" t="s">
        <v>179</v>
      </c>
      <c r="Q262" t="s">
        <v>55</v>
      </c>
      <c r="R262" t="s">
        <v>569</v>
      </c>
      <c r="S262" s="2">
        <v>46204</v>
      </c>
      <c r="T262" s="2">
        <v>46204</v>
      </c>
      <c r="AB262">
        <v>1</v>
      </c>
      <c r="AC262">
        <v>1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</row>
    <row r="263" spans="1:39" x14ac:dyDescent="0.25">
      <c r="A263">
        <v>443</v>
      </c>
      <c r="B263" t="s">
        <v>603</v>
      </c>
      <c r="C263" t="s">
        <v>601</v>
      </c>
      <c r="D263" t="s">
        <v>104</v>
      </c>
      <c r="E263" t="s">
        <v>52</v>
      </c>
      <c r="F263" s="2">
        <v>46211</v>
      </c>
      <c r="G263" s="2">
        <v>46211</v>
      </c>
      <c r="H263" s="3">
        <v>0</v>
      </c>
      <c r="J263" t="s">
        <v>41</v>
      </c>
      <c r="K263">
        <v>442</v>
      </c>
      <c r="L263">
        <v>444</v>
      </c>
      <c r="M263" t="s">
        <v>308</v>
      </c>
      <c r="N263" s="2">
        <v>46197</v>
      </c>
      <c r="P263" t="s">
        <v>67</v>
      </c>
      <c r="Q263" t="s">
        <v>55</v>
      </c>
      <c r="R263" t="s">
        <v>569</v>
      </c>
      <c r="S263" s="2">
        <v>46205</v>
      </c>
      <c r="T263" s="2">
        <v>46205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444</v>
      </c>
      <c r="B264" t="s">
        <v>604</v>
      </c>
      <c r="C264" t="s">
        <v>601</v>
      </c>
      <c r="D264" t="s">
        <v>108</v>
      </c>
      <c r="E264" t="s">
        <v>52</v>
      </c>
      <c r="F264" s="2">
        <v>46216</v>
      </c>
      <c r="G264" s="2">
        <v>46216</v>
      </c>
      <c r="H264" s="3">
        <v>0</v>
      </c>
      <c r="J264" t="s">
        <v>41</v>
      </c>
      <c r="K264">
        <v>443</v>
      </c>
      <c r="L264">
        <v>445</v>
      </c>
      <c r="M264" t="s">
        <v>190</v>
      </c>
      <c r="N264" s="2">
        <v>46199</v>
      </c>
      <c r="P264" t="s">
        <v>194</v>
      </c>
      <c r="Q264" t="s">
        <v>55</v>
      </c>
      <c r="R264" t="s">
        <v>569</v>
      </c>
      <c r="S264" s="2">
        <v>46206</v>
      </c>
      <c r="T264" s="2">
        <v>46209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</row>
    <row r="265" spans="1:39" x14ac:dyDescent="0.25">
      <c r="A265">
        <v>445</v>
      </c>
      <c r="B265" t="s">
        <v>605</v>
      </c>
      <c r="C265" t="s">
        <v>601</v>
      </c>
      <c r="D265" t="s">
        <v>114</v>
      </c>
      <c r="E265" t="s">
        <v>52</v>
      </c>
      <c r="F265" s="2">
        <v>46217</v>
      </c>
      <c r="G265" s="2">
        <v>46217</v>
      </c>
      <c r="H265" s="3">
        <v>0</v>
      </c>
      <c r="J265" t="s">
        <v>192</v>
      </c>
      <c r="K265">
        <v>444</v>
      </c>
      <c r="M265" t="s">
        <v>311</v>
      </c>
      <c r="N265" s="2">
        <v>46202</v>
      </c>
      <c r="P265" t="s">
        <v>194</v>
      </c>
      <c r="Q265" t="s">
        <v>55</v>
      </c>
      <c r="R265" t="s">
        <v>569</v>
      </c>
      <c r="S265" s="2">
        <v>46210</v>
      </c>
      <c r="T265" s="2">
        <v>46210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446</v>
      </c>
      <c r="B266" t="s">
        <v>606</v>
      </c>
      <c r="C266" t="s">
        <v>571</v>
      </c>
      <c r="D266" t="s">
        <v>607</v>
      </c>
      <c r="E266" t="s">
        <v>608</v>
      </c>
      <c r="F266" s="2">
        <v>46189</v>
      </c>
      <c r="G266" s="2">
        <v>46204</v>
      </c>
      <c r="H266" s="3">
        <v>0.46</v>
      </c>
      <c r="J266" t="s">
        <v>41</v>
      </c>
      <c r="M266" t="s">
        <v>171</v>
      </c>
      <c r="N266" s="2">
        <v>46185</v>
      </c>
      <c r="P266" t="s">
        <v>73</v>
      </c>
      <c r="Q266" t="s">
        <v>55</v>
      </c>
      <c r="R266" t="s">
        <v>569</v>
      </c>
      <c r="S266" s="2">
        <v>46157</v>
      </c>
      <c r="T266" s="2">
        <v>46169</v>
      </c>
      <c r="AB266">
        <v>0.46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447</v>
      </c>
      <c r="B267" t="s">
        <v>609</v>
      </c>
      <c r="C267" t="s">
        <v>610</v>
      </c>
      <c r="D267" t="s">
        <v>100</v>
      </c>
      <c r="E267" t="s">
        <v>224</v>
      </c>
      <c r="F267" s="2">
        <v>46189</v>
      </c>
      <c r="G267" s="2">
        <v>46196</v>
      </c>
      <c r="H267" s="3">
        <v>1</v>
      </c>
      <c r="I267" s="2">
        <v>46196</v>
      </c>
      <c r="J267" t="s">
        <v>53</v>
      </c>
      <c r="K267" t="s">
        <v>611</v>
      </c>
      <c r="L267">
        <v>448</v>
      </c>
      <c r="M267" t="s">
        <v>171</v>
      </c>
      <c r="N267" s="2">
        <v>46181</v>
      </c>
      <c r="P267" t="s">
        <v>73</v>
      </c>
      <c r="Q267" t="s">
        <v>55</v>
      </c>
      <c r="R267" t="s">
        <v>569</v>
      </c>
      <c r="S267" s="2">
        <v>46157</v>
      </c>
      <c r="T267" s="2">
        <v>46163</v>
      </c>
      <c r="AB267">
        <v>1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</row>
    <row r="268" spans="1:39" x14ac:dyDescent="0.25">
      <c r="A268">
        <v>448</v>
      </c>
      <c r="B268" t="s">
        <v>612</v>
      </c>
      <c r="C268" t="s">
        <v>610</v>
      </c>
      <c r="D268" t="s">
        <v>104</v>
      </c>
      <c r="E268" t="s">
        <v>167</v>
      </c>
      <c r="F268" s="2">
        <v>46197</v>
      </c>
      <c r="G268" s="2">
        <v>46202</v>
      </c>
      <c r="H268" s="3">
        <v>0</v>
      </c>
      <c r="J268" t="s">
        <v>41</v>
      </c>
      <c r="K268">
        <v>447</v>
      </c>
      <c r="L268">
        <v>449</v>
      </c>
      <c r="M268" t="s">
        <v>150</v>
      </c>
      <c r="N268" s="2">
        <v>46182</v>
      </c>
      <c r="P268" t="s">
        <v>179</v>
      </c>
      <c r="Q268" t="s">
        <v>55</v>
      </c>
      <c r="R268" t="s">
        <v>569</v>
      </c>
      <c r="S268" s="2">
        <v>46164</v>
      </c>
      <c r="T268" s="2">
        <v>46164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449</v>
      </c>
      <c r="B269" t="s">
        <v>613</v>
      </c>
      <c r="C269" t="s">
        <v>610</v>
      </c>
      <c r="D269" t="s">
        <v>108</v>
      </c>
      <c r="E269" t="s">
        <v>115</v>
      </c>
      <c r="F269" s="2">
        <v>46203</v>
      </c>
      <c r="G269" s="2">
        <v>46204</v>
      </c>
      <c r="H269" s="3">
        <v>0</v>
      </c>
      <c r="J269" t="s">
        <v>41</v>
      </c>
      <c r="K269">
        <v>448</v>
      </c>
      <c r="L269" t="s">
        <v>614</v>
      </c>
      <c r="M269" t="s">
        <v>182</v>
      </c>
      <c r="N269" s="2">
        <v>46184</v>
      </c>
      <c r="P269" t="s">
        <v>179</v>
      </c>
      <c r="Q269" t="s">
        <v>55</v>
      </c>
      <c r="R269" t="s">
        <v>569</v>
      </c>
      <c r="S269" s="2">
        <v>46167</v>
      </c>
      <c r="T269" s="2">
        <v>46168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</row>
    <row r="270" spans="1:39" x14ac:dyDescent="0.25">
      <c r="A270">
        <v>450</v>
      </c>
      <c r="B270" t="s">
        <v>615</v>
      </c>
      <c r="C270" t="s">
        <v>610</v>
      </c>
      <c r="D270" t="s">
        <v>114</v>
      </c>
      <c r="E270" t="s">
        <v>52</v>
      </c>
      <c r="F270" s="2">
        <v>46204</v>
      </c>
      <c r="G270" s="2">
        <v>46204</v>
      </c>
      <c r="H270" s="3">
        <v>0</v>
      </c>
      <c r="J270" t="s">
        <v>41</v>
      </c>
      <c r="K270" t="s">
        <v>616</v>
      </c>
      <c r="M270" t="s">
        <v>245</v>
      </c>
      <c r="N270" s="2">
        <v>46185</v>
      </c>
      <c r="P270" t="s">
        <v>179</v>
      </c>
      <c r="Q270" t="s">
        <v>55</v>
      </c>
      <c r="R270" t="s">
        <v>569</v>
      </c>
      <c r="S270" s="2">
        <v>46169</v>
      </c>
      <c r="T270" s="2">
        <v>46169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</row>
    <row r="271" spans="1:39" x14ac:dyDescent="0.25">
      <c r="A271">
        <v>451</v>
      </c>
      <c r="B271" t="s">
        <v>617</v>
      </c>
      <c r="C271" t="s">
        <v>571</v>
      </c>
      <c r="D271" t="s">
        <v>618</v>
      </c>
      <c r="E271" t="s">
        <v>185</v>
      </c>
      <c r="F271" s="2">
        <v>46171</v>
      </c>
      <c r="G271" s="2">
        <v>46188</v>
      </c>
      <c r="H271" s="3">
        <v>0.6</v>
      </c>
      <c r="J271" t="s">
        <v>41</v>
      </c>
      <c r="M271" t="s">
        <v>171</v>
      </c>
      <c r="N271" s="2">
        <v>46183</v>
      </c>
      <c r="P271" t="s">
        <v>135</v>
      </c>
      <c r="Q271" t="s">
        <v>55</v>
      </c>
      <c r="R271" t="s">
        <v>569</v>
      </c>
      <c r="S271" s="2">
        <v>46157</v>
      </c>
      <c r="T271" s="2">
        <v>46167</v>
      </c>
      <c r="AB271">
        <v>0.6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452</v>
      </c>
      <c r="B272" t="s">
        <v>619</v>
      </c>
      <c r="C272" t="s">
        <v>620</v>
      </c>
      <c r="D272" t="s">
        <v>100</v>
      </c>
      <c r="E272" t="s">
        <v>224</v>
      </c>
      <c r="F272" s="2">
        <v>46171</v>
      </c>
      <c r="G272" s="2">
        <v>46182</v>
      </c>
      <c r="H272" s="3">
        <v>1</v>
      </c>
      <c r="I272" s="2">
        <v>46182</v>
      </c>
      <c r="J272" t="s">
        <v>53</v>
      </c>
      <c r="K272" t="s">
        <v>611</v>
      </c>
      <c r="L272" t="s">
        <v>621</v>
      </c>
      <c r="M272" t="s">
        <v>171</v>
      </c>
      <c r="N272" s="2">
        <v>46177</v>
      </c>
      <c r="P272" t="s">
        <v>135</v>
      </c>
      <c r="Q272" t="s">
        <v>55</v>
      </c>
      <c r="R272" t="s">
        <v>569</v>
      </c>
      <c r="S272" s="2">
        <v>46157</v>
      </c>
      <c r="T272" s="2">
        <v>46161</v>
      </c>
      <c r="AB272">
        <v>1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</row>
    <row r="273" spans="1:39" x14ac:dyDescent="0.25">
      <c r="A273">
        <v>453</v>
      </c>
      <c r="B273" t="s">
        <v>622</v>
      </c>
      <c r="C273" t="s">
        <v>620</v>
      </c>
      <c r="D273" t="s">
        <v>104</v>
      </c>
      <c r="E273" t="s">
        <v>52</v>
      </c>
      <c r="F273" s="2">
        <v>46183</v>
      </c>
      <c r="G273" s="2">
        <v>46183</v>
      </c>
      <c r="H273" s="3">
        <v>0</v>
      </c>
      <c r="J273" t="s">
        <v>41</v>
      </c>
      <c r="K273">
        <v>452</v>
      </c>
      <c r="L273">
        <v>454</v>
      </c>
      <c r="M273" t="s">
        <v>66</v>
      </c>
      <c r="N273" s="2">
        <v>46178</v>
      </c>
      <c r="P273" t="s">
        <v>76</v>
      </c>
      <c r="Q273" t="s">
        <v>55</v>
      </c>
      <c r="R273" t="s">
        <v>569</v>
      </c>
      <c r="S273" s="2">
        <v>46162</v>
      </c>
      <c r="T273" s="2">
        <v>46162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454</v>
      </c>
      <c r="B274" t="s">
        <v>623</v>
      </c>
      <c r="C274" t="s">
        <v>620</v>
      </c>
      <c r="D274" t="s">
        <v>108</v>
      </c>
      <c r="E274" t="s">
        <v>115</v>
      </c>
      <c r="F274" s="2">
        <v>46184</v>
      </c>
      <c r="G274" s="2">
        <v>46185</v>
      </c>
      <c r="H274" s="3">
        <v>0</v>
      </c>
      <c r="J274" t="s">
        <v>41</v>
      </c>
      <c r="K274">
        <v>453</v>
      </c>
      <c r="L274">
        <v>455</v>
      </c>
      <c r="M274" t="s">
        <v>148</v>
      </c>
      <c r="N274" s="2">
        <v>46182</v>
      </c>
      <c r="P274" t="s">
        <v>76</v>
      </c>
      <c r="Q274" t="s">
        <v>55</v>
      </c>
      <c r="R274" t="s">
        <v>569</v>
      </c>
      <c r="S274" s="2">
        <v>46163</v>
      </c>
      <c r="T274" s="2">
        <v>46164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</row>
    <row r="275" spans="1:39" x14ac:dyDescent="0.25">
      <c r="A275">
        <v>455</v>
      </c>
      <c r="B275" t="s">
        <v>624</v>
      </c>
      <c r="C275" t="s">
        <v>620</v>
      </c>
      <c r="D275" t="s">
        <v>114</v>
      </c>
      <c r="E275" t="s">
        <v>52</v>
      </c>
      <c r="F275" s="2">
        <v>46188</v>
      </c>
      <c r="G275" s="2">
        <v>46188</v>
      </c>
      <c r="H275" s="3">
        <v>0</v>
      </c>
      <c r="J275" t="s">
        <v>41</v>
      </c>
      <c r="K275">
        <v>454</v>
      </c>
      <c r="M275" t="s">
        <v>182</v>
      </c>
      <c r="N275" s="2">
        <v>46183</v>
      </c>
      <c r="P275" t="s">
        <v>73</v>
      </c>
      <c r="Q275" t="s">
        <v>55</v>
      </c>
      <c r="R275" t="s">
        <v>569</v>
      </c>
      <c r="S275" s="2">
        <v>46167</v>
      </c>
      <c r="T275" s="2">
        <v>46167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</row>
    <row r="276" spans="1:39" x14ac:dyDescent="0.25">
      <c r="A276">
        <v>456</v>
      </c>
      <c r="B276" t="s">
        <v>625</v>
      </c>
      <c r="C276" t="s">
        <v>571</v>
      </c>
      <c r="D276" t="s">
        <v>626</v>
      </c>
      <c r="E276" t="s">
        <v>185</v>
      </c>
      <c r="F276" s="2">
        <v>46176</v>
      </c>
      <c r="G276" s="2">
        <v>46191</v>
      </c>
      <c r="H276" s="3">
        <v>0.6</v>
      </c>
      <c r="J276" t="s">
        <v>41</v>
      </c>
      <c r="M276" t="s">
        <v>171</v>
      </c>
      <c r="N276" s="2">
        <v>46185</v>
      </c>
      <c r="P276" t="s">
        <v>118</v>
      </c>
      <c r="Q276" t="s">
        <v>55</v>
      </c>
      <c r="R276" t="s">
        <v>569</v>
      </c>
      <c r="S276" s="2">
        <v>46157</v>
      </c>
      <c r="T276" s="2">
        <v>46169</v>
      </c>
      <c r="AB276">
        <v>0.6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457</v>
      </c>
      <c r="B277" t="s">
        <v>627</v>
      </c>
      <c r="C277" t="s">
        <v>628</v>
      </c>
      <c r="D277" t="s">
        <v>100</v>
      </c>
      <c r="E277" t="s">
        <v>224</v>
      </c>
      <c r="F277" s="2">
        <v>46176</v>
      </c>
      <c r="G277" s="2">
        <v>46185</v>
      </c>
      <c r="H277" s="3">
        <v>1</v>
      </c>
      <c r="I277" s="2">
        <v>46185</v>
      </c>
      <c r="J277" t="s">
        <v>53</v>
      </c>
      <c r="K277" t="s">
        <v>611</v>
      </c>
      <c r="L277">
        <v>458</v>
      </c>
      <c r="M277" t="s">
        <v>171</v>
      </c>
      <c r="N277" s="2">
        <v>46181</v>
      </c>
      <c r="P277" t="s">
        <v>118</v>
      </c>
      <c r="Q277" t="s">
        <v>55</v>
      </c>
      <c r="R277" t="s">
        <v>569</v>
      </c>
      <c r="S277" s="2">
        <v>46157</v>
      </c>
      <c r="T277" s="2">
        <v>46163</v>
      </c>
      <c r="AB277">
        <v>1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</row>
    <row r="278" spans="1:39" x14ac:dyDescent="0.25">
      <c r="A278">
        <v>458</v>
      </c>
      <c r="B278" t="s">
        <v>629</v>
      </c>
      <c r="C278" t="s">
        <v>628</v>
      </c>
      <c r="D278" t="s">
        <v>104</v>
      </c>
      <c r="E278" t="s">
        <v>52</v>
      </c>
      <c r="F278" s="2">
        <v>46188</v>
      </c>
      <c r="G278" s="2">
        <v>46188</v>
      </c>
      <c r="H278" s="3">
        <v>0</v>
      </c>
      <c r="J278" t="s">
        <v>41</v>
      </c>
      <c r="K278">
        <v>457</v>
      </c>
      <c r="L278">
        <v>459</v>
      </c>
      <c r="M278" t="s">
        <v>150</v>
      </c>
      <c r="N278" s="2">
        <v>46182</v>
      </c>
      <c r="P278" t="s">
        <v>73</v>
      </c>
      <c r="Q278" t="s">
        <v>55</v>
      </c>
      <c r="R278" t="s">
        <v>569</v>
      </c>
      <c r="S278" s="2">
        <v>46164</v>
      </c>
      <c r="T278" s="2">
        <v>46164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459</v>
      </c>
      <c r="B279" t="s">
        <v>630</v>
      </c>
      <c r="C279" t="s">
        <v>628</v>
      </c>
      <c r="D279" t="s">
        <v>108</v>
      </c>
      <c r="E279" t="s">
        <v>115</v>
      </c>
      <c r="F279" s="2">
        <v>46189</v>
      </c>
      <c r="G279" s="2">
        <v>46190</v>
      </c>
      <c r="H279" s="3">
        <v>0</v>
      </c>
      <c r="J279" t="s">
        <v>41</v>
      </c>
      <c r="K279">
        <v>458</v>
      </c>
      <c r="L279">
        <v>460</v>
      </c>
      <c r="M279" t="s">
        <v>182</v>
      </c>
      <c r="N279" s="2">
        <v>46184</v>
      </c>
      <c r="P279" t="s">
        <v>73</v>
      </c>
      <c r="Q279" t="s">
        <v>55</v>
      </c>
      <c r="R279" t="s">
        <v>569</v>
      </c>
      <c r="S279" s="2">
        <v>46167</v>
      </c>
      <c r="T279" s="2">
        <v>46168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</row>
    <row r="280" spans="1:39" x14ac:dyDescent="0.25">
      <c r="A280">
        <v>460</v>
      </c>
      <c r="B280" t="s">
        <v>631</v>
      </c>
      <c r="C280" t="s">
        <v>628</v>
      </c>
      <c r="D280" t="s">
        <v>114</v>
      </c>
      <c r="E280" t="s">
        <v>52</v>
      </c>
      <c r="F280" s="2">
        <v>46191</v>
      </c>
      <c r="G280" s="2">
        <v>46191</v>
      </c>
      <c r="H280" s="3">
        <v>0</v>
      </c>
      <c r="J280" t="s">
        <v>41</v>
      </c>
      <c r="K280">
        <v>459</v>
      </c>
      <c r="M280" t="s">
        <v>245</v>
      </c>
      <c r="N280" s="2">
        <v>46185</v>
      </c>
      <c r="P280" t="s">
        <v>73</v>
      </c>
      <c r="Q280" t="s">
        <v>55</v>
      </c>
      <c r="R280" t="s">
        <v>569</v>
      </c>
      <c r="S280" s="2">
        <v>46169</v>
      </c>
      <c r="T280" s="2">
        <v>46169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</row>
    <row r="281" spans="1:39" x14ac:dyDescent="0.25">
      <c r="A281">
        <v>461</v>
      </c>
      <c r="B281" t="s">
        <v>632</v>
      </c>
      <c r="C281" t="s">
        <v>571</v>
      </c>
      <c r="D281" t="s">
        <v>633</v>
      </c>
      <c r="E281" t="s">
        <v>294</v>
      </c>
      <c r="F281" s="2">
        <v>46196</v>
      </c>
      <c r="G281" s="2">
        <v>46210</v>
      </c>
      <c r="H281" s="3">
        <v>0.82</v>
      </c>
      <c r="J281" t="s">
        <v>41</v>
      </c>
      <c r="M281" t="s">
        <v>182</v>
      </c>
      <c r="N281" s="2">
        <v>46202</v>
      </c>
      <c r="P281" t="s">
        <v>179</v>
      </c>
      <c r="Q281" t="s">
        <v>55</v>
      </c>
      <c r="R281" t="s">
        <v>569</v>
      </c>
      <c r="S281" s="2">
        <v>46167</v>
      </c>
      <c r="T281" s="2">
        <v>46184</v>
      </c>
      <c r="AB281">
        <v>0.82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5">
      <c r="A282">
        <v>462</v>
      </c>
      <c r="B282" t="s">
        <v>634</v>
      </c>
      <c r="C282" t="s">
        <v>635</v>
      </c>
      <c r="D282" t="s">
        <v>100</v>
      </c>
      <c r="E282" t="s">
        <v>167</v>
      </c>
      <c r="F282" s="2">
        <v>46196</v>
      </c>
      <c r="G282" s="2">
        <v>46199</v>
      </c>
      <c r="H282" s="3">
        <v>1</v>
      </c>
      <c r="I282" s="2">
        <v>46199</v>
      </c>
      <c r="J282" t="s">
        <v>53</v>
      </c>
      <c r="K282">
        <v>417</v>
      </c>
      <c r="L282">
        <v>463</v>
      </c>
      <c r="M282" t="s">
        <v>182</v>
      </c>
      <c r="N282" s="2">
        <v>46196</v>
      </c>
      <c r="P282" t="s">
        <v>179</v>
      </c>
      <c r="Q282" t="s">
        <v>55</v>
      </c>
      <c r="R282" t="s">
        <v>569</v>
      </c>
      <c r="S282" s="2">
        <v>46167</v>
      </c>
      <c r="T282" s="2">
        <v>46178</v>
      </c>
      <c r="AB282">
        <v>1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</row>
    <row r="283" spans="1:39" x14ac:dyDescent="0.25">
      <c r="A283">
        <v>463</v>
      </c>
      <c r="B283" t="s">
        <v>636</v>
      </c>
      <c r="C283" t="s">
        <v>635</v>
      </c>
      <c r="D283" t="s">
        <v>104</v>
      </c>
      <c r="E283" t="s">
        <v>167</v>
      </c>
      <c r="F283" s="2">
        <v>46202</v>
      </c>
      <c r="G283" s="2">
        <v>46205</v>
      </c>
      <c r="H283" s="3">
        <v>1</v>
      </c>
      <c r="I283" s="2">
        <v>46205</v>
      </c>
      <c r="J283" t="s">
        <v>53</v>
      </c>
      <c r="K283">
        <v>462</v>
      </c>
      <c r="L283">
        <v>464</v>
      </c>
      <c r="M283" t="s">
        <v>308</v>
      </c>
      <c r="N283" s="2">
        <v>46197</v>
      </c>
      <c r="P283" t="s">
        <v>179</v>
      </c>
      <c r="Q283" t="s">
        <v>55</v>
      </c>
      <c r="R283" t="s">
        <v>569</v>
      </c>
      <c r="S283" s="2">
        <v>46181</v>
      </c>
      <c r="T283" s="2">
        <v>46181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464</v>
      </c>
      <c r="B284" t="s">
        <v>637</v>
      </c>
      <c r="C284" t="s">
        <v>635</v>
      </c>
      <c r="D284" t="s">
        <v>108</v>
      </c>
      <c r="E284" t="s">
        <v>115</v>
      </c>
      <c r="F284" s="2">
        <v>46206</v>
      </c>
      <c r="G284" s="2">
        <v>46209</v>
      </c>
      <c r="H284" s="3">
        <v>0.5</v>
      </c>
      <c r="J284" t="s">
        <v>41</v>
      </c>
      <c r="K284">
        <v>463</v>
      </c>
      <c r="L284">
        <v>465</v>
      </c>
      <c r="M284" t="s">
        <v>190</v>
      </c>
      <c r="N284" s="2">
        <v>46199</v>
      </c>
      <c r="P284" t="s">
        <v>67</v>
      </c>
      <c r="Q284" t="s">
        <v>55</v>
      </c>
      <c r="R284" t="s">
        <v>569</v>
      </c>
      <c r="S284" s="2">
        <v>46182</v>
      </c>
      <c r="T284" s="2">
        <v>46183</v>
      </c>
      <c r="AB284">
        <v>0.5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</row>
    <row r="285" spans="1:39" x14ac:dyDescent="0.25">
      <c r="A285">
        <v>465</v>
      </c>
      <c r="B285" t="s">
        <v>638</v>
      </c>
      <c r="C285" t="s">
        <v>635</v>
      </c>
      <c r="D285" t="s">
        <v>114</v>
      </c>
      <c r="E285" t="s">
        <v>52</v>
      </c>
      <c r="F285" s="2">
        <v>46210</v>
      </c>
      <c r="G285" s="2">
        <v>46210</v>
      </c>
      <c r="H285" s="3">
        <v>0</v>
      </c>
      <c r="J285" t="s">
        <v>41</v>
      </c>
      <c r="K285">
        <v>464</v>
      </c>
      <c r="M285" t="s">
        <v>311</v>
      </c>
      <c r="N285" s="2">
        <v>46202</v>
      </c>
      <c r="P285" t="s">
        <v>67</v>
      </c>
      <c r="Q285" t="s">
        <v>55</v>
      </c>
      <c r="R285" t="s">
        <v>569</v>
      </c>
      <c r="S285" s="2">
        <v>46184</v>
      </c>
      <c r="T285" s="2">
        <v>46184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</row>
    <row r="286" spans="1:39" x14ac:dyDescent="0.25">
      <c r="A286">
        <v>466</v>
      </c>
      <c r="B286" t="s">
        <v>639</v>
      </c>
      <c r="C286" t="s">
        <v>571</v>
      </c>
      <c r="D286" t="s">
        <v>640</v>
      </c>
      <c r="E286" t="s">
        <v>161</v>
      </c>
      <c r="F286" s="2">
        <v>46196</v>
      </c>
      <c r="G286" s="2">
        <v>46205</v>
      </c>
      <c r="H286" s="3">
        <v>0.5</v>
      </c>
      <c r="J286" t="s">
        <v>41</v>
      </c>
      <c r="M286" t="s">
        <v>182</v>
      </c>
      <c r="N286" s="2">
        <v>46202</v>
      </c>
      <c r="P286" t="s">
        <v>179</v>
      </c>
      <c r="Q286" t="s">
        <v>55</v>
      </c>
      <c r="R286" t="s">
        <v>569</v>
      </c>
      <c r="S286" s="2">
        <v>46167</v>
      </c>
      <c r="T286" s="2">
        <v>46184</v>
      </c>
      <c r="AB286">
        <v>0.5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467</v>
      </c>
      <c r="B287" t="s">
        <v>641</v>
      </c>
      <c r="C287" t="s">
        <v>642</v>
      </c>
      <c r="D287" t="s">
        <v>100</v>
      </c>
      <c r="E287" t="s">
        <v>167</v>
      </c>
      <c r="F287" s="2">
        <v>46196</v>
      </c>
      <c r="G287" s="2">
        <v>46199</v>
      </c>
      <c r="H287" s="3">
        <v>1</v>
      </c>
      <c r="I287" s="2">
        <v>46199</v>
      </c>
      <c r="J287" t="s">
        <v>53</v>
      </c>
      <c r="K287">
        <v>417</v>
      </c>
      <c r="L287">
        <v>468</v>
      </c>
      <c r="M287" t="s">
        <v>182</v>
      </c>
      <c r="N287" s="2">
        <v>46196</v>
      </c>
      <c r="P287" t="s">
        <v>179</v>
      </c>
      <c r="Q287" t="s">
        <v>55</v>
      </c>
      <c r="R287" t="s">
        <v>569</v>
      </c>
      <c r="S287" s="2">
        <v>46167</v>
      </c>
      <c r="T287" s="2">
        <v>46178</v>
      </c>
      <c r="AB287">
        <v>1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</row>
    <row r="288" spans="1:39" x14ac:dyDescent="0.25">
      <c r="A288">
        <v>468</v>
      </c>
      <c r="B288" t="s">
        <v>643</v>
      </c>
      <c r="C288" t="s">
        <v>642</v>
      </c>
      <c r="D288" t="s">
        <v>104</v>
      </c>
      <c r="E288" t="s">
        <v>52</v>
      </c>
      <c r="F288" s="2">
        <v>46202</v>
      </c>
      <c r="G288" s="2">
        <v>46202</v>
      </c>
      <c r="H288" s="3">
        <v>0</v>
      </c>
      <c r="J288" t="s">
        <v>41</v>
      </c>
      <c r="K288">
        <v>467</v>
      </c>
      <c r="L288">
        <v>469</v>
      </c>
      <c r="M288" t="s">
        <v>308</v>
      </c>
      <c r="N288" s="2">
        <v>46197</v>
      </c>
      <c r="P288" t="s">
        <v>179</v>
      </c>
      <c r="Q288" t="s">
        <v>55</v>
      </c>
      <c r="R288" t="s">
        <v>569</v>
      </c>
      <c r="S288" s="2">
        <v>46181</v>
      </c>
      <c r="T288" s="2">
        <v>46181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469</v>
      </c>
      <c r="B289" t="s">
        <v>644</v>
      </c>
      <c r="C289" t="s">
        <v>642</v>
      </c>
      <c r="D289" t="s">
        <v>108</v>
      </c>
      <c r="E289" t="s">
        <v>115</v>
      </c>
      <c r="F289" s="2">
        <v>46203</v>
      </c>
      <c r="G289" s="2">
        <v>46204</v>
      </c>
      <c r="H289" s="3">
        <v>0</v>
      </c>
      <c r="J289" t="s">
        <v>41</v>
      </c>
      <c r="K289">
        <v>468</v>
      </c>
      <c r="L289">
        <v>470</v>
      </c>
      <c r="M289" t="s">
        <v>190</v>
      </c>
      <c r="N289" s="2">
        <v>46199</v>
      </c>
      <c r="P289" t="s">
        <v>179</v>
      </c>
      <c r="Q289" t="s">
        <v>55</v>
      </c>
      <c r="R289" t="s">
        <v>569</v>
      </c>
      <c r="S289" s="2">
        <v>46182</v>
      </c>
      <c r="T289" s="2">
        <v>46183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</row>
    <row r="290" spans="1:39" x14ac:dyDescent="0.25">
      <c r="A290">
        <v>470</v>
      </c>
      <c r="B290" t="s">
        <v>645</v>
      </c>
      <c r="C290" t="s">
        <v>642</v>
      </c>
      <c r="D290" t="s">
        <v>114</v>
      </c>
      <c r="E290" t="s">
        <v>52</v>
      </c>
      <c r="F290" s="2">
        <v>46205</v>
      </c>
      <c r="G290" s="2">
        <v>46205</v>
      </c>
      <c r="H290" s="3">
        <v>0</v>
      </c>
      <c r="J290" t="s">
        <v>41</v>
      </c>
      <c r="K290">
        <v>469</v>
      </c>
      <c r="M290" t="s">
        <v>311</v>
      </c>
      <c r="N290" s="2">
        <v>46202</v>
      </c>
      <c r="P290" t="s">
        <v>67</v>
      </c>
      <c r="Q290" t="s">
        <v>55</v>
      </c>
      <c r="R290" t="s">
        <v>569</v>
      </c>
      <c r="S290" s="2">
        <v>46184</v>
      </c>
      <c r="T290" s="2">
        <v>46184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</row>
    <row r="291" spans="1:39" x14ac:dyDescent="0.25">
      <c r="A291">
        <v>471</v>
      </c>
      <c r="B291" t="s">
        <v>646</v>
      </c>
      <c r="C291" t="s">
        <v>571</v>
      </c>
      <c r="D291" t="s">
        <v>647</v>
      </c>
      <c r="E291" t="s">
        <v>161</v>
      </c>
      <c r="F291" s="2">
        <v>46196</v>
      </c>
      <c r="G291" s="2">
        <v>46205</v>
      </c>
      <c r="H291" s="3">
        <v>0.5</v>
      </c>
      <c r="J291" t="s">
        <v>41</v>
      </c>
      <c r="M291" t="s">
        <v>182</v>
      </c>
      <c r="N291" s="2">
        <v>46202</v>
      </c>
      <c r="P291" t="s">
        <v>179</v>
      </c>
      <c r="Q291" t="s">
        <v>55</v>
      </c>
      <c r="R291" t="s">
        <v>569</v>
      </c>
      <c r="S291" s="2">
        <v>46167</v>
      </c>
      <c r="T291" s="2">
        <v>46184</v>
      </c>
      <c r="AB291">
        <v>0.5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472</v>
      </c>
      <c r="B292" t="s">
        <v>648</v>
      </c>
      <c r="C292" t="s">
        <v>649</v>
      </c>
      <c r="D292" t="s">
        <v>100</v>
      </c>
      <c r="E292" t="s">
        <v>167</v>
      </c>
      <c r="F292" s="2">
        <v>46196</v>
      </c>
      <c r="G292" s="2">
        <v>46199</v>
      </c>
      <c r="H292" s="3">
        <v>1</v>
      </c>
      <c r="I292" s="2">
        <v>46199</v>
      </c>
      <c r="J292" t="s">
        <v>53</v>
      </c>
      <c r="K292">
        <v>417</v>
      </c>
      <c r="L292">
        <v>473</v>
      </c>
      <c r="M292" t="s">
        <v>182</v>
      </c>
      <c r="N292" s="2">
        <v>46196</v>
      </c>
      <c r="P292" t="s">
        <v>179</v>
      </c>
      <c r="Q292" t="s">
        <v>55</v>
      </c>
      <c r="R292" t="s">
        <v>569</v>
      </c>
      <c r="S292" s="2">
        <v>46167</v>
      </c>
      <c r="T292" s="2">
        <v>46178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</row>
    <row r="293" spans="1:39" x14ac:dyDescent="0.25">
      <c r="A293">
        <v>473</v>
      </c>
      <c r="B293" t="s">
        <v>650</v>
      </c>
      <c r="C293" t="s">
        <v>649</v>
      </c>
      <c r="D293" t="s">
        <v>104</v>
      </c>
      <c r="E293" t="s">
        <v>52</v>
      </c>
      <c r="F293" s="2">
        <v>46202</v>
      </c>
      <c r="G293" s="2">
        <v>46202</v>
      </c>
      <c r="H293" s="3">
        <v>0</v>
      </c>
      <c r="J293" t="s">
        <v>41</v>
      </c>
      <c r="K293">
        <v>472</v>
      </c>
      <c r="L293">
        <v>474</v>
      </c>
      <c r="M293" t="s">
        <v>308</v>
      </c>
      <c r="N293" s="2">
        <v>46197</v>
      </c>
      <c r="P293" t="s">
        <v>179</v>
      </c>
      <c r="Q293" t="s">
        <v>55</v>
      </c>
      <c r="R293" t="s">
        <v>569</v>
      </c>
      <c r="S293" s="2">
        <v>46181</v>
      </c>
      <c r="T293" s="2">
        <v>46181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474</v>
      </c>
      <c r="B294" t="s">
        <v>651</v>
      </c>
      <c r="C294" t="s">
        <v>649</v>
      </c>
      <c r="D294" t="s">
        <v>108</v>
      </c>
      <c r="E294" t="s">
        <v>115</v>
      </c>
      <c r="F294" s="2">
        <v>46203</v>
      </c>
      <c r="G294" s="2">
        <v>46204</v>
      </c>
      <c r="H294" s="3">
        <v>0</v>
      </c>
      <c r="J294" t="s">
        <v>41</v>
      </c>
      <c r="K294">
        <v>473</v>
      </c>
      <c r="L294">
        <v>475</v>
      </c>
      <c r="M294" t="s">
        <v>190</v>
      </c>
      <c r="N294" s="2">
        <v>46199</v>
      </c>
      <c r="P294" t="s">
        <v>179</v>
      </c>
      <c r="Q294" t="s">
        <v>55</v>
      </c>
      <c r="R294" t="s">
        <v>569</v>
      </c>
      <c r="S294" s="2">
        <v>46182</v>
      </c>
      <c r="T294" s="2">
        <v>46183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</row>
    <row r="295" spans="1:39" x14ac:dyDescent="0.25">
      <c r="A295">
        <v>475</v>
      </c>
      <c r="B295" t="s">
        <v>652</v>
      </c>
      <c r="C295" t="s">
        <v>649</v>
      </c>
      <c r="D295" t="s">
        <v>114</v>
      </c>
      <c r="E295" t="s">
        <v>52</v>
      </c>
      <c r="F295" s="2">
        <v>46205</v>
      </c>
      <c r="G295" s="2">
        <v>46205</v>
      </c>
      <c r="H295" s="3">
        <v>0</v>
      </c>
      <c r="J295" t="s">
        <v>41</v>
      </c>
      <c r="K295">
        <v>474</v>
      </c>
      <c r="M295" t="s">
        <v>311</v>
      </c>
      <c r="N295" s="2">
        <v>46202</v>
      </c>
      <c r="P295" t="s">
        <v>67</v>
      </c>
      <c r="Q295" t="s">
        <v>55</v>
      </c>
      <c r="R295" t="s">
        <v>569</v>
      </c>
      <c r="S295" s="2">
        <v>46184</v>
      </c>
      <c r="T295" s="2">
        <v>46184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</row>
    <row r="296" spans="1:39" x14ac:dyDescent="0.25">
      <c r="A296">
        <v>481</v>
      </c>
      <c r="B296" t="s">
        <v>653</v>
      </c>
      <c r="C296" t="s">
        <v>571</v>
      </c>
      <c r="D296" t="s">
        <v>654</v>
      </c>
      <c r="E296" t="s">
        <v>161</v>
      </c>
      <c r="F296" s="2">
        <v>46204</v>
      </c>
      <c r="G296" s="2">
        <v>46217</v>
      </c>
      <c r="H296" s="3">
        <v>0.5</v>
      </c>
      <c r="J296" t="s">
        <v>41</v>
      </c>
      <c r="M296" t="s">
        <v>308</v>
      </c>
      <c r="N296" s="2">
        <v>46205</v>
      </c>
      <c r="P296" t="s">
        <v>73</v>
      </c>
      <c r="Q296" t="s">
        <v>55</v>
      </c>
      <c r="R296" t="s">
        <v>569</v>
      </c>
      <c r="S296" s="2">
        <v>46181</v>
      </c>
      <c r="T296" s="2">
        <v>46189</v>
      </c>
      <c r="AB296">
        <v>0.5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482</v>
      </c>
      <c r="B297" t="s">
        <v>655</v>
      </c>
      <c r="C297" t="s">
        <v>656</v>
      </c>
      <c r="D297" t="s">
        <v>100</v>
      </c>
      <c r="E297" t="s">
        <v>167</v>
      </c>
      <c r="F297" s="2">
        <v>46204</v>
      </c>
      <c r="G297" s="2">
        <v>46209</v>
      </c>
      <c r="H297" s="3">
        <v>1</v>
      </c>
      <c r="I297" s="2">
        <v>46209</v>
      </c>
      <c r="J297" t="s">
        <v>53</v>
      </c>
      <c r="L297" t="s">
        <v>657</v>
      </c>
      <c r="M297" t="s">
        <v>308</v>
      </c>
      <c r="N297" s="2">
        <v>46199</v>
      </c>
      <c r="P297" t="s">
        <v>73</v>
      </c>
      <c r="Q297" t="s">
        <v>55</v>
      </c>
      <c r="R297" t="s">
        <v>569</v>
      </c>
      <c r="S297" s="2">
        <v>46181</v>
      </c>
      <c r="T297" s="2">
        <v>46183</v>
      </c>
      <c r="AB297">
        <v>1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</row>
    <row r="298" spans="1:39" x14ac:dyDescent="0.25">
      <c r="A298">
        <v>483</v>
      </c>
      <c r="B298" t="s">
        <v>658</v>
      </c>
      <c r="C298" t="s">
        <v>656</v>
      </c>
      <c r="D298" t="s">
        <v>104</v>
      </c>
      <c r="E298" t="s">
        <v>52</v>
      </c>
      <c r="F298" s="2">
        <v>46210</v>
      </c>
      <c r="G298" s="2">
        <v>46210</v>
      </c>
      <c r="H298" s="3">
        <v>0</v>
      </c>
      <c r="J298" t="s">
        <v>41</v>
      </c>
      <c r="K298">
        <v>482</v>
      </c>
      <c r="L298">
        <v>484</v>
      </c>
      <c r="M298" t="s">
        <v>311</v>
      </c>
      <c r="N298" s="2">
        <v>46202</v>
      </c>
      <c r="P298" t="s">
        <v>179</v>
      </c>
      <c r="Q298" t="s">
        <v>55</v>
      </c>
      <c r="R298" t="s">
        <v>569</v>
      </c>
      <c r="S298" s="2">
        <v>46184</v>
      </c>
      <c r="T298" s="2">
        <v>46184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484</v>
      </c>
      <c r="B299" t="s">
        <v>659</v>
      </c>
      <c r="C299" t="s">
        <v>656</v>
      </c>
      <c r="D299" t="s">
        <v>108</v>
      </c>
      <c r="E299" t="s">
        <v>115</v>
      </c>
      <c r="F299" s="2">
        <v>46211</v>
      </c>
      <c r="G299" s="2">
        <v>46216</v>
      </c>
      <c r="H299" s="3">
        <v>0</v>
      </c>
      <c r="J299" t="s">
        <v>41</v>
      </c>
      <c r="K299">
        <v>483</v>
      </c>
      <c r="L299">
        <v>485</v>
      </c>
      <c r="M299" t="s">
        <v>197</v>
      </c>
      <c r="N299" s="2">
        <v>46204</v>
      </c>
      <c r="P299" t="s">
        <v>179</v>
      </c>
      <c r="Q299" t="s">
        <v>55</v>
      </c>
      <c r="R299" t="s">
        <v>569</v>
      </c>
      <c r="S299" s="2">
        <v>46185</v>
      </c>
      <c r="T299" s="2">
        <v>46188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</row>
    <row r="300" spans="1:39" x14ac:dyDescent="0.25">
      <c r="A300">
        <v>485</v>
      </c>
      <c r="B300" t="s">
        <v>660</v>
      </c>
      <c r="C300" t="s">
        <v>656</v>
      </c>
      <c r="D300" t="s">
        <v>114</v>
      </c>
      <c r="E300" t="s">
        <v>52</v>
      </c>
      <c r="F300" s="2">
        <v>46217</v>
      </c>
      <c r="G300" s="2">
        <v>46217</v>
      </c>
      <c r="H300" s="3">
        <v>0</v>
      </c>
      <c r="J300" t="s">
        <v>192</v>
      </c>
      <c r="K300">
        <v>484</v>
      </c>
      <c r="M300" t="s">
        <v>383</v>
      </c>
      <c r="N300" s="2">
        <v>46205</v>
      </c>
      <c r="P300" t="s">
        <v>179</v>
      </c>
      <c r="Q300" t="s">
        <v>55</v>
      </c>
      <c r="R300" t="s">
        <v>569</v>
      </c>
      <c r="S300" s="2">
        <v>46189</v>
      </c>
      <c r="T300" s="2">
        <v>46189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>
        <v>496</v>
      </c>
      <c r="B301" t="s">
        <v>661</v>
      </c>
      <c r="C301" t="s">
        <v>571</v>
      </c>
      <c r="D301" t="s">
        <v>662</v>
      </c>
      <c r="E301" t="s">
        <v>254</v>
      </c>
      <c r="F301" s="2">
        <v>46203</v>
      </c>
      <c r="G301" s="2">
        <v>46217</v>
      </c>
      <c r="H301" s="3">
        <v>0.67</v>
      </c>
      <c r="J301" t="s">
        <v>41</v>
      </c>
      <c r="M301" t="s">
        <v>193</v>
      </c>
      <c r="N301" s="2">
        <v>46206</v>
      </c>
      <c r="P301" t="s">
        <v>179</v>
      </c>
      <c r="Q301" t="s">
        <v>55</v>
      </c>
      <c r="R301" t="s">
        <v>569</v>
      </c>
      <c r="S301" s="2">
        <v>46202</v>
      </c>
      <c r="T301" s="2">
        <v>46209</v>
      </c>
      <c r="AB301">
        <v>0.67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497</v>
      </c>
      <c r="B302" t="s">
        <v>663</v>
      </c>
      <c r="C302" t="s">
        <v>664</v>
      </c>
      <c r="D302" t="s">
        <v>100</v>
      </c>
      <c r="E302" t="s">
        <v>224</v>
      </c>
      <c r="F302" s="2">
        <v>46203</v>
      </c>
      <c r="G302" s="2">
        <v>46210</v>
      </c>
      <c r="H302" s="3">
        <v>1</v>
      </c>
      <c r="I302" s="2">
        <v>46210</v>
      </c>
      <c r="J302" t="s">
        <v>53</v>
      </c>
      <c r="K302" t="s">
        <v>665</v>
      </c>
      <c r="L302" t="s">
        <v>666</v>
      </c>
      <c r="M302" t="s">
        <v>193</v>
      </c>
      <c r="N302" s="2">
        <v>46202</v>
      </c>
      <c r="P302" t="s">
        <v>179</v>
      </c>
      <c r="Q302" t="s">
        <v>55</v>
      </c>
      <c r="R302" t="s">
        <v>569</v>
      </c>
      <c r="S302" s="2">
        <v>46202</v>
      </c>
      <c r="T302" s="2">
        <v>46203</v>
      </c>
      <c r="AB302">
        <v>1</v>
      </c>
      <c r="AC302">
        <v>1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</row>
    <row r="303" spans="1:39" x14ac:dyDescent="0.25">
      <c r="A303">
        <v>498</v>
      </c>
      <c r="B303" t="s">
        <v>667</v>
      </c>
      <c r="C303" t="s">
        <v>664</v>
      </c>
      <c r="D303" t="s">
        <v>104</v>
      </c>
      <c r="E303" t="s">
        <v>52</v>
      </c>
      <c r="F303" s="2">
        <v>46211</v>
      </c>
      <c r="G303" s="2">
        <v>46211</v>
      </c>
      <c r="H303" s="3">
        <v>0</v>
      </c>
      <c r="J303" t="s">
        <v>41</v>
      </c>
      <c r="K303">
        <v>497</v>
      </c>
      <c r="L303">
        <v>499</v>
      </c>
      <c r="M303" t="s">
        <v>197</v>
      </c>
      <c r="N303" s="2">
        <v>46203</v>
      </c>
      <c r="P303" t="s">
        <v>67</v>
      </c>
      <c r="Q303" t="s">
        <v>55</v>
      </c>
      <c r="R303" t="s">
        <v>569</v>
      </c>
      <c r="S303" s="2">
        <v>46204</v>
      </c>
      <c r="T303" s="2">
        <v>46204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499</v>
      </c>
      <c r="B304" t="s">
        <v>668</v>
      </c>
      <c r="C304" t="s">
        <v>664</v>
      </c>
      <c r="D304" t="s">
        <v>108</v>
      </c>
      <c r="E304" t="s">
        <v>52</v>
      </c>
      <c r="F304" s="2">
        <v>46216</v>
      </c>
      <c r="G304" s="2">
        <v>46216</v>
      </c>
      <c r="H304" s="3">
        <v>0</v>
      </c>
      <c r="J304" t="s">
        <v>41</v>
      </c>
      <c r="K304">
        <v>498</v>
      </c>
      <c r="L304">
        <v>500</v>
      </c>
      <c r="M304" t="s">
        <v>404</v>
      </c>
      <c r="N304" s="2">
        <v>46205</v>
      </c>
      <c r="P304" t="s">
        <v>67</v>
      </c>
      <c r="Q304" t="s">
        <v>55</v>
      </c>
      <c r="R304" t="s">
        <v>569</v>
      </c>
      <c r="S304" s="2">
        <v>46205</v>
      </c>
      <c r="T304" s="2">
        <v>46206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</row>
    <row r="305" spans="1:39" x14ac:dyDescent="0.25">
      <c r="A305">
        <v>500</v>
      </c>
      <c r="B305" t="s">
        <v>669</v>
      </c>
      <c r="C305" t="s">
        <v>664</v>
      </c>
      <c r="D305" t="s">
        <v>114</v>
      </c>
      <c r="E305" t="s">
        <v>52</v>
      </c>
      <c r="F305" s="2">
        <v>46217</v>
      </c>
      <c r="G305" s="2">
        <v>46217</v>
      </c>
      <c r="H305" s="3">
        <v>0</v>
      </c>
      <c r="J305" t="s">
        <v>192</v>
      </c>
      <c r="K305">
        <v>499</v>
      </c>
      <c r="M305" t="s">
        <v>385</v>
      </c>
      <c r="N305" s="2">
        <v>46206</v>
      </c>
      <c r="P305" t="s">
        <v>194</v>
      </c>
      <c r="Q305" t="s">
        <v>55</v>
      </c>
      <c r="R305" t="s">
        <v>569</v>
      </c>
      <c r="S305" s="2">
        <v>46209</v>
      </c>
      <c r="T305" s="2">
        <v>46209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501</v>
      </c>
      <c r="B306" t="s">
        <v>670</v>
      </c>
      <c r="C306" t="s">
        <v>571</v>
      </c>
      <c r="D306" t="s">
        <v>671</v>
      </c>
      <c r="E306" t="s">
        <v>174</v>
      </c>
      <c r="F306" s="2">
        <v>46203</v>
      </c>
      <c r="G306" s="2">
        <v>46211</v>
      </c>
      <c r="H306" s="3">
        <v>0</v>
      </c>
      <c r="J306" t="s">
        <v>41</v>
      </c>
      <c r="M306" t="s">
        <v>308</v>
      </c>
      <c r="N306" s="2">
        <v>46204</v>
      </c>
      <c r="P306" t="s">
        <v>73</v>
      </c>
      <c r="Q306" t="s">
        <v>55</v>
      </c>
      <c r="R306" t="s">
        <v>569</v>
      </c>
      <c r="S306" s="2">
        <v>46189</v>
      </c>
      <c r="T306" s="2">
        <v>46197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502</v>
      </c>
      <c r="B307" t="s">
        <v>672</v>
      </c>
      <c r="C307" t="s">
        <v>673</v>
      </c>
      <c r="D307" t="s">
        <v>100</v>
      </c>
      <c r="E307" t="s">
        <v>167</v>
      </c>
      <c r="F307" s="2">
        <v>46203</v>
      </c>
      <c r="G307" s="2">
        <v>46206</v>
      </c>
      <c r="H307" s="3">
        <v>0</v>
      </c>
      <c r="J307" t="s">
        <v>41</v>
      </c>
      <c r="K307" t="s">
        <v>665</v>
      </c>
      <c r="L307">
        <v>503</v>
      </c>
      <c r="M307" t="s">
        <v>308</v>
      </c>
      <c r="N307" s="2">
        <v>46198</v>
      </c>
      <c r="P307" t="s">
        <v>73</v>
      </c>
      <c r="Q307" t="s">
        <v>55</v>
      </c>
      <c r="R307" t="s">
        <v>569</v>
      </c>
      <c r="S307" s="2">
        <v>46189</v>
      </c>
      <c r="T307" s="2">
        <v>46191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503</v>
      </c>
      <c r="B308" t="s">
        <v>674</v>
      </c>
      <c r="C308" t="s">
        <v>673</v>
      </c>
      <c r="D308" t="s">
        <v>104</v>
      </c>
      <c r="E308" t="s">
        <v>52</v>
      </c>
      <c r="F308" s="2">
        <v>46209</v>
      </c>
      <c r="G308" s="2">
        <v>46209</v>
      </c>
      <c r="H308" s="3">
        <v>0</v>
      </c>
      <c r="J308" t="s">
        <v>41</v>
      </c>
      <c r="K308">
        <v>502</v>
      </c>
      <c r="L308">
        <v>504</v>
      </c>
      <c r="M308" t="s">
        <v>193</v>
      </c>
      <c r="N308" s="2">
        <v>46199</v>
      </c>
      <c r="P308" t="s">
        <v>179</v>
      </c>
      <c r="Q308" t="s">
        <v>55</v>
      </c>
      <c r="R308" t="s">
        <v>569</v>
      </c>
      <c r="S308" s="2">
        <v>46192</v>
      </c>
      <c r="T308" s="2">
        <v>46192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504</v>
      </c>
      <c r="B309" t="s">
        <v>675</v>
      </c>
      <c r="C309" t="s">
        <v>673</v>
      </c>
      <c r="D309" t="s">
        <v>108</v>
      </c>
      <c r="E309" t="s">
        <v>52</v>
      </c>
      <c r="F309" s="2">
        <v>46210</v>
      </c>
      <c r="G309" s="2">
        <v>46210</v>
      </c>
      <c r="H309" s="3">
        <v>0</v>
      </c>
      <c r="J309" t="s">
        <v>41</v>
      </c>
      <c r="K309">
        <v>503</v>
      </c>
      <c r="L309">
        <v>505</v>
      </c>
      <c r="M309" t="s">
        <v>311</v>
      </c>
      <c r="N309" s="2">
        <v>46203</v>
      </c>
      <c r="P309" t="s">
        <v>179</v>
      </c>
      <c r="Q309" t="s">
        <v>55</v>
      </c>
      <c r="R309" t="s">
        <v>569</v>
      </c>
      <c r="S309" s="2">
        <v>46195</v>
      </c>
      <c r="T309" s="2">
        <v>46196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</row>
    <row r="310" spans="1:39" x14ac:dyDescent="0.25">
      <c r="A310">
        <v>505</v>
      </c>
      <c r="B310" t="s">
        <v>676</v>
      </c>
      <c r="C310" t="s">
        <v>673</v>
      </c>
      <c r="D310" t="s">
        <v>114</v>
      </c>
      <c r="E310" t="s">
        <v>52</v>
      </c>
      <c r="F310" s="2">
        <v>46211</v>
      </c>
      <c r="G310" s="2">
        <v>46211</v>
      </c>
      <c r="H310" s="3">
        <v>0</v>
      </c>
      <c r="J310" t="s">
        <v>41</v>
      </c>
      <c r="K310">
        <v>504</v>
      </c>
      <c r="M310" t="s">
        <v>404</v>
      </c>
      <c r="N310" s="2">
        <v>46204</v>
      </c>
      <c r="P310" t="s">
        <v>179</v>
      </c>
      <c r="Q310" t="s">
        <v>55</v>
      </c>
      <c r="R310" t="s">
        <v>569</v>
      </c>
      <c r="S310" s="2">
        <v>46197</v>
      </c>
      <c r="T310" s="2">
        <v>46197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</row>
    <row r="311" spans="1:39" x14ac:dyDescent="0.25">
      <c r="A311">
        <v>506</v>
      </c>
      <c r="B311" t="s">
        <v>677</v>
      </c>
      <c r="C311" t="s">
        <v>571</v>
      </c>
      <c r="D311" t="s">
        <v>678</v>
      </c>
      <c r="E311" t="s">
        <v>679</v>
      </c>
      <c r="F311" s="2">
        <v>46191</v>
      </c>
      <c r="G311" s="2">
        <v>46211</v>
      </c>
      <c r="H311" s="3">
        <v>0.8</v>
      </c>
      <c r="J311" t="s">
        <v>41</v>
      </c>
      <c r="M311" t="s">
        <v>308</v>
      </c>
      <c r="N311" s="2">
        <v>46211</v>
      </c>
      <c r="P311" t="s">
        <v>73</v>
      </c>
      <c r="Q311" t="s">
        <v>55</v>
      </c>
      <c r="R311" t="s">
        <v>569</v>
      </c>
      <c r="S311" s="2">
        <v>46189</v>
      </c>
      <c r="T311" s="2">
        <v>46206</v>
      </c>
      <c r="AB311">
        <v>0.8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507</v>
      </c>
      <c r="B312" t="s">
        <v>680</v>
      </c>
      <c r="C312" t="s">
        <v>681</v>
      </c>
      <c r="D312" t="s">
        <v>100</v>
      </c>
      <c r="E312" t="s">
        <v>682</v>
      </c>
      <c r="F312" s="2">
        <v>46191</v>
      </c>
      <c r="G312" s="2">
        <v>46203</v>
      </c>
      <c r="H312" s="3">
        <v>1</v>
      </c>
      <c r="I312" s="2">
        <v>46203</v>
      </c>
      <c r="J312" t="s">
        <v>53</v>
      </c>
      <c r="L312" t="s">
        <v>683</v>
      </c>
      <c r="M312" t="s">
        <v>308</v>
      </c>
      <c r="N312" s="2">
        <v>46205</v>
      </c>
      <c r="P312" t="s">
        <v>73</v>
      </c>
      <c r="Q312" t="s">
        <v>55</v>
      </c>
      <c r="R312" t="s">
        <v>569</v>
      </c>
      <c r="S312" s="2">
        <v>46189</v>
      </c>
      <c r="T312" s="2">
        <v>46202</v>
      </c>
      <c r="AB312">
        <v>1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</row>
    <row r="313" spans="1:39" x14ac:dyDescent="0.25">
      <c r="A313">
        <v>508</v>
      </c>
      <c r="B313" t="s">
        <v>684</v>
      </c>
      <c r="C313" t="s">
        <v>681</v>
      </c>
      <c r="D313" t="s">
        <v>104</v>
      </c>
      <c r="E313" t="s">
        <v>101</v>
      </c>
      <c r="F313" s="2">
        <v>46204</v>
      </c>
      <c r="G313" s="2">
        <v>46206</v>
      </c>
      <c r="H313" s="3">
        <v>1</v>
      </c>
      <c r="I313" s="2">
        <v>46206</v>
      </c>
      <c r="J313" t="s">
        <v>53</v>
      </c>
      <c r="K313">
        <v>507</v>
      </c>
      <c r="L313">
        <v>509</v>
      </c>
      <c r="M313" t="s">
        <v>385</v>
      </c>
      <c r="N313" s="2">
        <v>46206</v>
      </c>
      <c r="P313" t="s">
        <v>179</v>
      </c>
      <c r="Q313" t="s">
        <v>55</v>
      </c>
      <c r="R313" t="s">
        <v>569</v>
      </c>
      <c r="S313" s="2">
        <v>46203</v>
      </c>
      <c r="T313" s="2">
        <v>46203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509</v>
      </c>
      <c r="B314" t="s">
        <v>685</v>
      </c>
      <c r="C314" t="s">
        <v>681</v>
      </c>
      <c r="D314" t="s">
        <v>108</v>
      </c>
      <c r="E314" t="s">
        <v>115</v>
      </c>
      <c r="F314" s="2">
        <v>46209</v>
      </c>
      <c r="G314" s="2">
        <v>46210</v>
      </c>
      <c r="H314" s="3">
        <v>0</v>
      </c>
      <c r="J314" t="s">
        <v>41</v>
      </c>
      <c r="K314">
        <v>508</v>
      </c>
      <c r="L314">
        <v>510</v>
      </c>
      <c r="M314" t="s">
        <v>686</v>
      </c>
      <c r="N314" s="2">
        <v>46210</v>
      </c>
      <c r="P314" t="s">
        <v>67</v>
      </c>
      <c r="Q314" t="s">
        <v>55</v>
      </c>
      <c r="R314" t="s">
        <v>569</v>
      </c>
      <c r="S314" s="2">
        <v>46204</v>
      </c>
      <c r="T314" s="2">
        <v>46205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</row>
    <row r="315" spans="1:39" x14ac:dyDescent="0.25">
      <c r="A315">
        <v>510</v>
      </c>
      <c r="B315" t="s">
        <v>687</v>
      </c>
      <c r="C315" t="s">
        <v>681</v>
      </c>
      <c r="D315" t="s">
        <v>114</v>
      </c>
      <c r="E315" t="s">
        <v>52</v>
      </c>
      <c r="F315" s="2">
        <v>46211</v>
      </c>
      <c r="G315" s="2">
        <v>46211</v>
      </c>
      <c r="H315" s="3">
        <v>0</v>
      </c>
      <c r="J315" t="s">
        <v>41</v>
      </c>
      <c r="K315">
        <v>509</v>
      </c>
      <c r="M315" t="s">
        <v>688</v>
      </c>
      <c r="N315" s="2">
        <v>46211</v>
      </c>
      <c r="P315" t="s">
        <v>67</v>
      </c>
      <c r="Q315" t="s">
        <v>55</v>
      </c>
      <c r="R315" t="s">
        <v>569</v>
      </c>
      <c r="S315" s="2">
        <v>46206</v>
      </c>
      <c r="T315" s="2">
        <v>46206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</row>
    <row r="316" spans="1:39" x14ac:dyDescent="0.25">
      <c r="A316">
        <v>511</v>
      </c>
      <c r="B316" t="s">
        <v>689</v>
      </c>
      <c r="C316" t="s">
        <v>571</v>
      </c>
      <c r="D316" t="s">
        <v>690</v>
      </c>
      <c r="E316" t="s">
        <v>679</v>
      </c>
      <c r="F316" s="2">
        <v>46191</v>
      </c>
      <c r="G316" s="2">
        <v>46211</v>
      </c>
      <c r="H316" s="3">
        <v>0.8</v>
      </c>
      <c r="J316" t="s">
        <v>41</v>
      </c>
      <c r="M316" t="s">
        <v>308</v>
      </c>
      <c r="N316" s="2">
        <v>46211</v>
      </c>
      <c r="P316" t="s">
        <v>73</v>
      </c>
      <c r="Q316" t="s">
        <v>55</v>
      </c>
      <c r="R316" t="s">
        <v>569</v>
      </c>
      <c r="S316" s="2">
        <v>46189</v>
      </c>
      <c r="T316" s="2">
        <v>46206</v>
      </c>
      <c r="AB316">
        <v>0.8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512</v>
      </c>
      <c r="B317" t="s">
        <v>691</v>
      </c>
      <c r="C317" t="s">
        <v>692</v>
      </c>
      <c r="D317" t="s">
        <v>100</v>
      </c>
      <c r="E317" t="s">
        <v>682</v>
      </c>
      <c r="F317" s="2">
        <v>46191</v>
      </c>
      <c r="G317" s="2">
        <v>46203</v>
      </c>
      <c r="H317" s="3">
        <v>1</v>
      </c>
      <c r="I317" s="2">
        <v>46203</v>
      </c>
      <c r="J317" t="s">
        <v>53</v>
      </c>
      <c r="K317" t="s">
        <v>693</v>
      </c>
      <c r="L317">
        <v>513</v>
      </c>
      <c r="M317" t="s">
        <v>308</v>
      </c>
      <c r="N317" s="2">
        <v>46205</v>
      </c>
      <c r="P317" t="s">
        <v>73</v>
      </c>
      <c r="Q317" t="s">
        <v>55</v>
      </c>
      <c r="R317" t="s">
        <v>569</v>
      </c>
      <c r="S317" s="2">
        <v>46189</v>
      </c>
      <c r="T317" s="2">
        <v>46202</v>
      </c>
      <c r="AB317">
        <v>1</v>
      </c>
      <c r="AC317">
        <v>1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</row>
    <row r="318" spans="1:39" x14ac:dyDescent="0.25">
      <c r="A318">
        <v>513</v>
      </c>
      <c r="B318" t="s">
        <v>694</v>
      </c>
      <c r="C318" t="s">
        <v>692</v>
      </c>
      <c r="D318" t="s">
        <v>104</v>
      </c>
      <c r="E318" t="s">
        <v>101</v>
      </c>
      <c r="F318" s="2">
        <v>46204</v>
      </c>
      <c r="G318" s="2">
        <v>46206</v>
      </c>
      <c r="H318" s="3">
        <v>1</v>
      </c>
      <c r="I318" s="2">
        <v>46206</v>
      </c>
      <c r="J318" t="s">
        <v>53</v>
      </c>
      <c r="K318">
        <v>512</v>
      </c>
      <c r="L318">
        <v>514</v>
      </c>
      <c r="M318" t="s">
        <v>385</v>
      </c>
      <c r="N318" s="2">
        <v>46206</v>
      </c>
      <c r="P318" t="s">
        <v>179</v>
      </c>
      <c r="Q318" t="s">
        <v>55</v>
      </c>
      <c r="R318" t="s">
        <v>569</v>
      </c>
      <c r="S318" s="2">
        <v>46203</v>
      </c>
      <c r="T318" s="2">
        <v>46203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514</v>
      </c>
      <c r="B319" t="s">
        <v>695</v>
      </c>
      <c r="C319" t="s">
        <v>692</v>
      </c>
      <c r="D319" t="s">
        <v>108</v>
      </c>
      <c r="E319" t="s">
        <v>115</v>
      </c>
      <c r="F319" s="2">
        <v>46209</v>
      </c>
      <c r="G319" s="2">
        <v>46210</v>
      </c>
      <c r="H319" s="3">
        <v>0</v>
      </c>
      <c r="J319" t="s">
        <v>41</v>
      </c>
      <c r="K319">
        <v>513</v>
      </c>
      <c r="L319">
        <v>515</v>
      </c>
      <c r="M319" t="s">
        <v>686</v>
      </c>
      <c r="N319" s="2">
        <v>46210</v>
      </c>
      <c r="P319" t="s">
        <v>67</v>
      </c>
      <c r="Q319" t="s">
        <v>55</v>
      </c>
      <c r="R319" t="s">
        <v>569</v>
      </c>
      <c r="S319" s="2">
        <v>46204</v>
      </c>
      <c r="T319" s="2">
        <v>46205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</row>
    <row r="320" spans="1:39" x14ac:dyDescent="0.25">
      <c r="A320">
        <v>515</v>
      </c>
      <c r="B320" t="s">
        <v>696</v>
      </c>
      <c r="C320" t="s">
        <v>692</v>
      </c>
      <c r="D320" t="s">
        <v>114</v>
      </c>
      <c r="E320" t="s">
        <v>52</v>
      </c>
      <c r="F320" s="2">
        <v>46211</v>
      </c>
      <c r="G320" s="2">
        <v>46211</v>
      </c>
      <c r="H320" s="3">
        <v>0</v>
      </c>
      <c r="J320" t="s">
        <v>41</v>
      </c>
      <c r="K320">
        <v>514</v>
      </c>
      <c r="M320" t="s">
        <v>688</v>
      </c>
      <c r="N320" s="2">
        <v>46211</v>
      </c>
      <c r="P320" t="s">
        <v>67</v>
      </c>
      <c r="Q320" t="s">
        <v>55</v>
      </c>
      <c r="R320" t="s">
        <v>569</v>
      </c>
      <c r="S320" s="2">
        <v>46206</v>
      </c>
      <c r="T320" s="2">
        <v>46206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</row>
    <row r="321" spans="1:39" x14ac:dyDescent="0.25">
      <c r="A321">
        <v>516</v>
      </c>
      <c r="B321" t="s">
        <v>697</v>
      </c>
      <c r="C321" t="s">
        <v>571</v>
      </c>
      <c r="D321" t="s">
        <v>698</v>
      </c>
      <c r="E321" t="s">
        <v>679</v>
      </c>
      <c r="F321" s="2">
        <v>46191</v>
      </c>
      <c r="G321" s="2">
        <v>46211</v>
      </c>
      <c r="H321" s="3">
        <v>0.8</v>
      </c>
      <c r="J321" t="s">
        <v>41</v>
      </c>
      <c r="M321" t="s">
        <v>308</v>
      </c>
      <c r="N321" s="2">
        <v>46211</v>
      </c>
      <c r="P321" t="s">
        <v>73</v>
      </c>
      <c r="Q321" t="s">
        <v>55</v>
      </c>
      <c r="R321" t="s">
        <v>569</v>
      </c>
      <c r="S321" s="2">
        <v>46189</v>
      </c>
      <c r="T321" s="2">
        <v>46206</v>
      </c>
      <c r="AB321">
        <v>0.8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517</v>
      </c>
      <c r="B322" t="s">
        <v>699</v>
      </c>
      <c r="C322" t="s">
        <v>700</v>
      </c>
      <c r="D322" t="s">
        <v>100</v>
      </c>
      <c r="E322" t="s">
        <v>682</v>
      </c>
      <c r="F322" s="2">
        <v>46191</v>
      </c>
      <c r="G322" s="2">
        <v>46203</v>
      </c>
      <c r="H322" s="3">
        <v>1</v>
      </c>
      <c r="I322" s="2">
        <v>46203</v>
      </c>
      <c r="J322" t="s">
        <v>53</v>
      </c>
      <c r="K322" t="s">
        <v>693</v>
      </c>
      <c r="L322">
        <v>518</v>
      </c>
      <c r="M322" t="s">
        <v>308</v>
      </c>
      <c r="N322" s="2">
        <v>46205</v>
      </c>
      <c r="P322" t="s">
        <v>73</v>
      </c>
      <c r="Q322" t="s">
        <v>55</v>
      </c>
      <c r="R322" t="s">
        <v>569</v>
      </c>
      <c r="S322" s="2">
        <v>46189</v>
      </c>
      <c r="T322" s="2">
        <v>46202</v>
      </c>
      <c r="AB322">
        <v>1</v>
      </c>
      <c r="AC322">
        <v>1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</row>
    <row r="323" spans="1:39" x14ac:dyDescent="0.25">
      <c r="A323">
        <v>518</v>
      </c>
      <c r="B323" t="s">
        <v>701</v>
      </c>
      <c r="C323" t="s">
        <v>700</v>
      </c>
      <c r="D323" t="s">
        <v>104</v>
      </c>
      <c r="E323" t="s">
        <v>101</v>
      </c>
      <c r="F323" s="2">
        <v>46204</v>
      </c>
      <c r="G323" s="2">
        <v>46206</v>
      </c>
      <c r="H323" s="3">
        <v>1</v>
      </c>
      <c r="I323" s="2">
        <v>46206</v>
      </c>
      <c r="J323" t="s">
        <v>53</v>
      </c>
      <c r="K323">
        <v>517</v>
      </c>
      <c r="L323">
        <v>519</v>
      </c>
      <c r="M323" t="s">
        <v>385</v>
      </c>
      <c r="N323" s="2">
        <v>46206</v>
      </c>
      <c r="P323" t="s">
        <v>179</v>
      </c>
      <c r="Q323" t="s">
        <v>55</v>
      </c>
      <c r="R323" t="s">
        <v>569</v>
      </c>
      <c r="S323" s="2">
        <v>46203</v>
      </c>
      <c r="T323" s="2">
        <v>46203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519</v>
      </c>
      <c r="B324" t="s">
        <v>702</v>
      </c>
      <c r="C324" t="s">
        <v>700</v>
      </c>
      <c r="D324" t="s">
        <v>108</v>
      </c>
      <c r="E324" t="s">
        <v>115</v>
      </c>
      <c r="F324" s="2">
        <v>46209</v>
      </c>
      <c r="G324" s="2">
        <v>46210</v>
      </c>
      <c r="H324" s="3">
        <v>0</v>
      </c>
      <c r="J324" t="s">
        <v>41</v>
      </c>
      <c r="K324">
        <v>518</v>
      </c>
      <c r="L324">
        <v>520</v>
      </c>
      <c r="M324" t="s">
        <v>686</v>
      </c>
      <c r="N324" s="2">
        <v>46210</v>
      </c>
      <c r="P324" t="s">
        <v>179</v>
      </c>
      <c r="Q324" t="s">
        <v>55</v>
      </c>
      <c r="R324" t="s">
        <v>569</v>
      </c>
      <c r="S324" s="2">
        <v>46204</v>
      </c>
      <c r="T324" s="2">
        <v>46205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</row>
    <row r="325" spans="1:39" x14ac:dyDescent="0.25">
      <c r="A325">
        <v>520</v>
      </c>
      <c r="B325" t="s">
        <v>703</v>
      </c>
      <c r="C325" t="s">
        <v>700</v>
      </c>
      <c r="D325" t="s">
        <v>114</v>
      </c>
      <c r="E325" t="s">
        <v>52</v>
      </c>
      <c r="F325" s="2">
        <v>46211</v>
      </c>
      <c r="G325" s="2">
        <v>46211</v>
      </c>
      <c r="H325" s="3">
        <v>0</v>
      </c>
      <c r="J325" t="s">
        <v>41</v>
      </c>
      <c r="K325">
        <v>519</v>
      </c>
      <c r="M325" t="s">
        <v>688</v>
      </c>
      <c r="N325" s="2">
        <v>46211</v>
      </c>
      <c r="P325" t="s">
        <v>67</v>
      </c>
      <c r="Q325" t="s">
        <v>55</v>
      </c>
      <c r="R325" t="s">
        <v>569</v>
      </c>
      <c r="S325" s="2">
        <v>46206</v>
      </c>
      <c r="T325" s="2">
        <v>46206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</row>
    <row r="326" spans="1:39" x14ac:dyDescent="0.25">
      <c r="A326">
        <v>521</v>
      </c>
      <c r="B326" t="s">
        <v>704</v>
      </c>
      <c r="C326" t="s">
        <v>571</v>
      </c>
      <c r="D326" t="s">
        <v>705</v>
      </c>
      <c r="E326" t="s">
        <v>679</v>
      </c>
      <c r="F326" s="2">
        <v>46191</v>
      </c>
      <c r="G326" s="2">
        <v>46211</v>
      </c>
      <c r="H326" s="3">
        <v>0.8</v>
      </c>
      <c r="J326" t="s">
        <v>41</v>
      </c>
      <c r="M326" t="s">
        <v>308</v>
      </c>
      <c r="N326" s="2">
        <v>46211</v>
      </c>
      <c r="P326" t="s">
        <v>73</v>
      </c>
      <c r="Q326" t="s">
        <v>55</v>
      </c>
      <c r="R326" t="s">
        <v>569</v>
      </c>
      <c r="S326" s="2">
        <v>46189</v>
      </c>
      <c r="T326" s="2">
        <v>46206</v>
      </c>
      <c r="AB326">
        <v>0.8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522</v>
      </c>
      <c r="B327" t="s">
        <v>706</v>
      </c>
      <c r="C327" t="s">
        <v>707</v>
      </c>
      <c r="D327" t="s">
        <v>100</v>
      </c>
      <c r="E327" t="s">
        <v>682</v>
      </c>
      <c r="F327" s="2">
        <v>46191</v>
      </c>
      <c r="G327" s="2">
        <v>46203</v>
      </c>
      <c r="H327" s="3">
        <v>1</v>
      </c>
      <c r="I327" s="2">
        <v>46203</v>
      </c>
      <c r="J327" t="s">
        <v>53</v>
      </c>
      <c r="K327" t="s">
        <v>693</v>
      </c>
      <c r="L327">
        <v>523</v>
      </c>
      <c r="M327" t="s">
        <v>308</v>
      </c>
      <c r="N327" s="2">
        <v>46205</v>
      </c>
      <c r="P327" t="s">
        <v>73</v>
      </c>
      <c r="Q327" t="s">
        <v>55</v>
      </c>
      <c r="R327" t="s">
        <v>569</v>
      </c>
      <c r="S327" s="2">
        <v>46189</v>
      </c>
      <c r="T327" s="2">
        <v>46202</v>
      </c>
      <c r="AB327">
        <v>1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</row>
    <row r="328" spans="1:39" x14ac:dyDescent="0.25">
      <c r="A328">
        <v>523</v>
      </c>
      <c r="B328" t="s">
        <v>708</v>
      </c>
      <c r="C328" t="s">
        <v>707</v>
      </c>
      <c r="D328" t="s">
        <v>104</v>
      </c>
      <c r="E328" t="s">
        <v>101</v>
      </c>
      <c r="F328" s="2">
        <v>46204</v>
      </c>
      <c r="G328" s="2">
        <v>46206</v>
      </c>
      <c r="H328" s="3">
        <v>1</v>
      </c>
      <c r="I328" s="2">
        <v>46206</v>
      </c>
      <c r="J328" t="s">
        <v>53</v>
      </c>
      <c r="K328">
        <v>522</v>
      </c>
      <c r="L328">
        <v>524</v>
      </c>
      <c r="M328" t="s">
        <v>385</v>
      </c>
      <c r="N328" s="2">
        <v>46206</v>
      </c>
      <c r="P328" t="s">
        <v>179</v>
      </c>
      <c r="Q328" t="s">
        <v>55</v>
      </c>
      <c r="R328" t="s">
        <v>569</v>
      </c>
      <c r="S328" s="2">
        <v>46203</v>
      </c>
      <c r="T328" s="2">
        <v>46203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524</v>
      </c>
      <c r="B329" t="s">
        <v>709</v>
      </c>
      <c r="C329" t="s">
        <v>707</v>
      </c>
      <c r="D329" t="s">
        <v>108</v>
      </c>
      <c r="E329" t="s">
        <v>115</v>
      </c>
      <c r="F329" s="2">
        <v>46209</v>
      </c>
      <c r="G329" s="2">
        <v>46210</v>
      </c>
      <c r="H329" s="3">
        <v>0</v>
      </c>
      <c r="J329" t="s">
        <v>41</v>
      </c>
      <c r="K329">
        <v>523</v>
      </c>
      <c r="L329">
        <v>525</v>
      </c>
      <c r="M329" t="s">
        <v>686</v>
      </c>
      <c r="N329" s="2">
        <v>46210</v>
      </c>
      <c r="P329" t="s">
        <v>67</v>
      </c>
      <c r="Q329" t="s">
        <v>55</v>
      </c>
      <c r="R329" t="s">
        <v>569</v>
      </c>
      <c r="S329" s="2">
        <v>46204</v>
      </c>
      <c r="T329" s="2">
        <v>46205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>
        <v>525</v>
      </c>
      <c r="B330" t="s">
        <v>710</v>
      </c>
      <c r="C330" t="s">
        <v>707</v>
      </c>
      <c r="D330" t="s">
        <v>114</v>
      </c>
      <c r="E330" t="s">
        <v>52</v>
      </c>
      <c r="F330" s="2">
        <v>46211</v>
      </c>
      <c r="G330" s="2">
        <v>46211</v>
      </c>
      <c r="H330" s="3">
        <v>0</v>
      </c>
      <c r="J330" t="s">
        <v>41</v>
      </c>
      <c r="K330">
        <v>524</v>
      </c>
      <c r="M330" t="s">
        <v>688</v>
      </c>
      <c r="N330" s="2">
        <v>46211</v>
      </c>
      <c r="P330" t="s">
        <v>67</v>
      </c>
      <c r="Q330" t="s">
        <v>55</v>
      </c>
      <c r="R330" t="s">
        <v>569</v>
      </c>
      <c r="S330" s="2">
        <v>46206</v>
      </c>
      <c r="T330" s="2">
        <v>46206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</row>
    <row r="331" spans="1:39" x14ac:dyDescent="0.25">
      <c r="A331">
        <v>526</v>
      </c>
      <c r="B331" t="s">
        <v>711</v>
      </c>
      <c r="C331" t="s">
        <v>571</v>
      </c>
      <c r="D331" t="s">
        <v>712</v>
      </c>
      <c r="E331" t="s">
        <v>679</v>
      </c>
      <c r="F331" s="2">
        <v>46191</v>
      </c>
      <c r="G331" s="2">
        <v>46211</v>
      </c>
      <c r="H331" s="3">
        <v>0.8</v>
      </c>
      <c r="J331" t="s">
        <v>41</v>
      </c>
      <c r="M331" t="s">
        <v>308</v>
      </c>
      <c r="N331" s="2">
        <v>46211</v>
      </c>
      <c r="P331" t="s">
        <v>73</v>
      </c>
      <c r="Q331" t="s">
        <v>55</v>
      </c>
      <c r="R331" t="s">
        <v>569</v>
      </c>
      <c r="S331" s="2">
        <v>46189</v>
      </c>
      <c r="T331" s="2">
        <v>46206</v>
      </c>
      <c r="AB331">
        <v>0.8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527</v>
      </c>
      <c r="B332" t="s">
        <v>713</v>
      </c>
      <c r="C332" t="s">
        <v>714</v>
      </c>
      <c r="D332" t="s">
        <v>100</v>
      </c>
      <c r="E332" t="s">
        <v>682</v>
      </c>
      <c r="F332" s="2">
        <v>46191</v>
      </c>
      <c r="G332" s="2">
        <v>46203</v>
      </c>
      <c r="H332" s="3">
        <v>1</v>
      </c>
      <c r="I332" s="2">
        <v>46203</v>
      </c>
      <c r="J332" t="s">
        <v>53</v>
      </c>
      <c r="K332" t="s">
        <v>693</v>
      </c>
      <c r="L332">
        <v>528</v>
      </c>
      <c r="M332" t="s">
        <v>308</v>
      </c>
      <c r="N332" s="2">
        <v>46205</v>
      </c>
      <c r="P332" t="s">
        <v>73</v>
      </c>
      <c r="Q332" t="s">
        <v>55</v>
      </c>
      <c r="R332" t="s">
        <v>569</v>
      </c>
      <c r="S332" s="2">
        <v>46189</v>
      </c>
      <c r="T332" s="2">
        <v>46202</v>
      </c>
      <c r="AB332">
        <v>1</v>
      </c>
      <c r="AC332">
        <v>1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</row>
    <row r="333" spans="1:39" x14ac:dyDescent="0.25">
      <c r="A333">
        <v>528</v>
      </c>
      <c r="B333" t="s">
        <v>715</v>
      </c>
      <c r="C333" t="s">
        <v>714</v>
      </c>
      <c r="D333" t="s">
        <v>104</v>
      </c>
      <c r="E333" t="s">
        <v>101</v>
      </c>
      <c r="F333" s="2">
        <v>46204</v>
      </c>
      <c r="G333" s="2">
        <v>46206</v>
      </c>
      <c r="H333" s="3">
        <v>1</v>
      </c>
      <c r="I333" s="2">
        <v>46206</v>
      </c>
      <c r="J333" t="s">
        <v>53</v>
      </c>
      <c r="K333">
        <v>527</v>
      </c>
      <c r="L333">
        <v>529</v>
      </c>
      <c r="M333" t="s">
        <v>385</v>
      </c>
      <c r="N333" s="2">
        <v>46206</v>
      </c>
      <c r="P333" t="s">
        <v>179</v>
      </c>
      <c r="Q333" t="s">
        <v>55</v>
      </c>
      <c r="R333" t="s">
        <v>569</v>
      </c>
      <c r="S333" s="2">
        <v>46203</v>
      </c>
      <c r="T333" s="2">
        <v>46203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529</v>
      </c>
      <c r="B334" t="s">
        <v>716</v>
      </c>
      <c r="C334" t="s">
        <v>714</v>
      </c>
      <c r="D334" t="s">
        <v>108</v>
      </c>
      <c r="E334" t="s">
        <v>115</v>
      </c>
      <c r="F334" s="2">
        <v>46209</v>
      </c>
      <c r="G334" s="2">
        <v>46210</v>
      </c>
      <c r="H334" s="3">
        <v>0</v>
      </c>
      <c r="J334" t="s">
        <v>41</v>
      </c>
      <c r="K334">
        <v>528</v>
      </c>
      <c r="L334">
        <v>530</v>
      </c>
      <c r="M334" t="s">
        <v>686</v>
      </c>
      <c r="N334" s="2">
        <v>46210</v>
      </c>
      <c r="P334" t="s">
        <v>67</v>
      </c>
      <c r="Q334" t="s">
        <v>55</v>
      </c>
      <c r="R334" t="s">
        <v>569</v>
      </c>
      <c r="S334" s="2">
        <v>46204</v>
      </c>
      <c r="T334" s="2">
        <v>46205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</row>
    <row r="335" spans="1:39" x14ac:dyDescent="0.25">
      <c r="A335">
        <v>530</v>
      </c>
      <c r="B335" t="s">
        <v>717</v>
      </c>
      <c r="C335" t="s">
        <v>714</v>
      </c>
      <c r="D335" t="s">
        <v>114</v>
      </c>
      <c r="E335" t="s">
        <v>52</v>
      </c>
      <c r="F335" s="2">
        <v>46211</v>
      </c>
      <c r="G335" s="2">
        <v>46211</v>
      </c>
      <c r="H335" s="3">
        <v>0</v>
      </c>
      <c r="J335" t="s">
        <v>41</v>
      </c>
      <c r="K335">
        <v>529</v>
      </c>
      <c r="M335" t="s">
        <v>688</v>
      </c>
      <c r="N335" s="2">
        <v>46211</v>
      </c>
      <c r="P335" t="s">
        <v>67</v>
      </c>
      <c r="Q335" t="s">
        <v>55</v>
      </c>
      <c r="R335" t="s">
        <v>569</v>
      </c>
      <c r="S335" s="2">
        <v>46206</v>
      </c>
      <c r="T335" s="2">
        <v>46206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</row>
    <row r="336" spans="1:39" x14ac:dyDescent="0.25">
      <c r="A336">
        <v>531</v>
      </c>
      <c r="B336" t="s">
        <v>718</v>
      </c>
      <c r="C336" t="s">
        <v>571</v>
      </c>
      <c r="D336" t="s">
        <v>719</v>
      </c>
      <c r="E336" t="s">
        <v>679</v>
      </c>
      <c r="F336" s="2">
        <v>46191</v>
      </c>
      <c r="G336" s="2">
        <v>46211</v>
      </c>
      <c r="H336" s="3">
        <v>0.8</v>
      </c>
      <c r="J336" t="s">
        <v>41</v>
      </c>
      <c r="M336" t="s">
        <v>308</v>
      </c>
      <c r="N336" s="2">
        <v>46211</v>
      </c>
      <c r="P336" t="s">
        <v>73</v>
      </c>
      <c r="Q336" t="s">
        <v>55</v>
      </c>
      <c r="R336" t="s">
        <v>569</v>
      </c>
      <c r="S336" s="2">
        <v>46189</v>
      </c>
      <c r="T336" s="2">
        <v>46206</v>
      </c>
      <c r="AB336">
        <v>0.8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532</v>
      </c>
      <c r="B337" t="s">
        <v>720</v>
      </c>
      <c r="C337" t="s">
        <v>721</v>
      </c>
      <c r="D337" t="s">
        <v>100</v>
      </c>
      <c r="E337" t="s">
        <v>682</v>
      </c>
      <c r="F337" s="2">
        <v>46191</v>
      </c>
      <c r="G337" s="2">
        <v>46203</v>
      </c>
      <c r="H337" s="3">
        <v>1</v>
      </c>
      <c r="I337" s="2">
        <v>46203</v>
      </c>
      <c r="J337" t="s">
        <v>53</v>
      </c>
      <c r="K337" t="s">
        <v>693</v>
      </c>
      <c r="L337">
        <v>533</v>
      </c>
      <c r="M337" t="s">
        <v>308</v>
      </c>
      <c r="N337" s="2">
        <v>46205</v>
      </c>
      <c r="P337" t="s">
        <v>73</v>
      </c>
      <c r="Q337" t="s">
        <v>55</v>
      </c>
      <c r="R337" t="s">
        <v>569</v>
      </c>
      <c r="S337" s="2">
        <v>46189</v>
      </c>
      <c r="T337" s="2">
        <v>46202</v>
      </c>
      <c r="AB337">
        <v>1</v>
      </c>
      <c r="AC337">
        <v>1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</row>
    <row r="338" spans="1:39" x14ac:dyDescent="0.25">
      <c r="A338">
        <v>533</v>
      </c>
      <c r="B338" t="s">
        <v>722</v>
      </c>
      <c r="C338" t="s">
        <v>721</v>
      </c>
      <c r="D338" t="s">
        <v>104</v>
      </c>
      <c r="E338" t="s">
        <v>101</v>
      </c>
      <c r="F338" s="2">
        <v>46204</v>
      </c>
      <c r="G338" s="2">
        <v>46206</v>
      </c>
      <c r="H338" s="3">
        <v>1</v>
      </c>
      <c r="I338" s="2">
        <v>46206</v>
      </c>
      <c r="J338" t="s">
        <v>53</v>
      </c>
      <c r="K338">
        <v>532</v>
      </c>
      <c r="L338">
        <v>534</v>
      </c>
      <c r="M338" t="s">
        <v>385</v>
      </c>
      <c r="N338" s="2">
        <v>46206</v>
      </c>
      <c r="P338" t="s">
        <v>179</v>
      </c>
      <c r="Q338" t="s">
        <v>55</v>
      </c>
      <c r="R338" t="s">
        <v>569</v>
      </c>
      <c r="S338" s="2">
        <v>46203</v>
      </c>
      <c r="T338" s="2">
        <v>46203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25">
      <c r="A339">
        <v>534</v>
      </c>
      <c r="B339" t="s">
        <v>723</v>
      </c>
      <c r="C339" t="s">
        <v>721</v>
      </c>
      <c r="D339" t="s">
        <v>108</v>
      </c>
      <c r="E339" t="s">
        <v>115</v>
      </c>
      <c r="F339" s="2">
        <v>46209</v>
      </c>
      <c r="G339" s="2">
        <v>46210</v>
      </c>
      <c r="H339" s="3">
        <v>0</v>
      </c>
      <c r="J339" t="s">
        <v>41</v>
      </c>
      <c r="K339">
        <v>533</v>
      </c>
      <c r="L339">
        <v>535</v>
      </c>
      <c r="M339" t="s">
        <v>686</v>
      </c>
      <c r="N339" s="2">
        <v>46210</v>
      </c>
      <c r="P339" t="s">
        <v>67</v>
      </c>
      <c r="Q339" t="s">
        <v>55</v>
      </c>
      <c r="R339" t="s">
        <v>569</v>
      </c>
      <c r="S339" s="2">
        <v>46204</v>
      </c>
      <c r="T339" s="2">
        <v>46205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</row>
    <row r="340" spans="1:39" x14ac:dyDescent="0.25">
      <c r="A340">
        <v>535</v>
      </c>
      <c r="B340" t="s">
        <v>724</v>
      </c>
      <c r="C340" t="s">
        <v>721</v>
      </c>
      <c r="D340" t="s">
        <v>114</v>
      </c>
      <c r="E340" t="s">
        <v>52</v>
      </c>
      <c r="F340" s="2">
        <v>46211</v>
      </c>
      <c r="G340" s="2">
        <v>46211</v>
      </c>
      <c r="H340" s="3">
        <v>0</v>
      </c>
      <c r="J340" t="s">
        <v>41</v>
      </c>
      <c r="K340">
        <v>534</v>
      </c>
      <c r="M340" t="s">
        <v>688</v>
      </c>
      <c r="N340" s="2">
        <v>46211</v>
      </c>
      <c r="P340" t="s">
        <v>67</v>
      </c>
      <c r="Q340" t="s">
        <v>55</v>
      </c>
      <c r="R340" t="s">
        <v>569</v>
      </c>
      <c r="S340" s="2">
        <v>46206</v>
      </c>
      <c r="T340" s="2">
        <v>46206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</row>
    <row r="341" spans="1:39" x14ac:dyDescent="0.25">
      <c r="A341">
        <v>536</v>
      </c>
      <c r="B341" t="s">
        <v>725</v>
      </c>
      <c r="C341" t="s">
        <v>571</v>
      </c>
      <c r="D341" t="s">
        <v>726</v>
      </c>
      <c r="E341" t="s">
        <v>679</v>
      </c>
      <c r="F341" s="2">
        <v>46191</v>
      </c>
      <c r="G341" s="2">
        <v>46211</v>
      </c>
      <c r="H341" s="3">
        <v>0.8</v>
      </c>
      <c r="J341" t="s">
        <v>41</v>
      </c>
      <c r="M341" t="s">
        <v>308</v>
      </c>
      <c r="N341" s="2">
        <v>46211</v>
      </c>
      <c r="P341" t="s">
        <v>73</v>
      </c>
      <c r="Q341" t="s">
        <v>55</v>
      </c>
      <c r="R341" t="s">
        <v>569</v>
      </c>
      <c r="S341" s="2">
        <v>46189</v>
      </c>
      <c r="T341" s="2">
        <v>46206</v>
      </c>
      <c r="AB341">
        <v>0.8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5">
      <c r="A342">
        <v>537</v>
      </c>
      <c r="B342" t="s">
        <v>727</v>
      </c>
      <c r="C342" t="s">
        <v>728</v>
      </c>
      <c r="D342" t="s">
        <v>100</v>
      </c>
      <c r="E342" t="s">
        <v>682</v>
      </c>
      <c r="F342" s="2">
        <v>46191</v>
      </c>
      <c r="G342" s="2">
        <v>46203</v>
      </c>
      <c r="H342" s="3">
        <v>1</v>
      </c>
      <c r="I342" s="2">
        <v>46203</v>
      </c>
      <c r="J342" t="s">
        <v>53</v>
      </c>
      <c r="K342" t="s">
        <v>693</v>
      </c>
      <c r="L342">
        <v>538</v>
      </c>
      <c r="M342" t="s">
        <v>308</v>
      </c>
      <c r="N342" s="2">
        <v>46205</v>
      </c>
      <c r="P342" t="s">
        <v>73</v>
      </c>
      <c r="Q342" t="s">
        <v>55</v>
      </c>
      <c r="R342" t="s">
        <v>569</v>
      </c>
      <c r="S342" s="2">
        <v>46189</v>
      </c>
      <c r="T342" s="2">
        <v>46202</v>
      </c>
      <c r="AB342">
        <v>1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</row>
    <row r="343" spans="1:39" x14ac:dyDescent="0.25">
      <c r="A343">
        <v>538</v>
      </c>
      <c r="B343" t="s">
        <v>729</v>
      </c>
      <c r="C343" t="s">
        <v>728</v>
      </c>
      <c r="D343" t="s">
        <v>104</v>
      </c>
      <c r="E343" t="s">
        <v>101</v>
      </c>
      <c r="F343" s="2">
        <v>46204</v>
      </c>
      <c r="G343" s="2">
        <v>46206</v>
      </c>
      <c r="H343" s="3">
        <v>1</v>
      </c>
      <c r="I343" s="2">
        <v>46206</v>
      </c>
      <c r="J343" t="s">
        <v>53</v>
      </c>
      <c r="K343">
        <v>537</v>
      </c>
      <c r="L343">
        <v>539</v>
      </c>
      <c r="M343" t="s">
        <v>385</v>
      </c>
      <c r="N343" s="2">
        <v>46206</v>
      </c>
      <c r="P343" t="s">
        <v>179</v>
      </c>
      <c r="Q343" t="s">
        <v>55</v>
      </c>
      <c r="R343" t="s">
        <v>569</v>
      </c>
      <c r="S343" s="2">
        <v>46203</v>
      </c>
      <c r="T343" s="2">
        <v>46203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>
        <v>539</v>
      </c>
      <c r="B344" t="s">
        <v>730</v>
      </c>
      <c r="C344" t="s">
        <v>728</v>
      </c>
      <c r="D344" t="s">
        <v>108</v>
      </c>
      <c r="E344" t="s">
        <v>115</v>
      </c>
      <c r="F344" s="2">
        <v>46209</v>
      </c>
      <c r="G344" s="2">
        <v>46210</v>
      </c>
      <c r="H344" s="3">
        <v>0</v>
      </c>
      <c r="J344" t="s">
        <v>41</v>
      </c>
      <c r="K344">
        <v>538</v>
      </c>
      <c r="L344">
        <v>540</v>
      </c>
      <c r="M344" t="s">
        <v>686</v>
      </c>
      <c r="N344" s="2">
        <v>46210</v>
      </c>
      <c r="P344" t="s">
        <v>67</v>
      </c>
      <c r="Q344" t="s">
        <v>55</v>
      </c>
      <c r="R344" t="s">
        <v>569</v>
      </c>
      <c r="S344" s="2">
        <v>46204</v>
      </c>
      <c r="T344" s="2">
        <v>46205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</row>
    <row r="345" spans="1:39" x14ac:dyDescent="0.25">
      <c r="A345">
        <v>540</v>
      </c>
      <c r="B345" t="s">
        <v>731</v>
      </c>
      <c r="C345" t="s">
        <v>728</v>
      </c>
      <c r="D345" t="s">
        <v>114</v>
      </c>
      <c r="E345" t="s">
        <v>52</v>
      </c>
      <c r="F345" s="2">
        <v>46211</v>
      </c>
      <c r="G345" s="2">
        <v>46211</v>
      </c>
      <c r="H345" s="3">
        <v>0</v>
      </c>
      <c r="J345" t="s">
        <v>41</v>
      </c>
      <c r="K345">
        <v>539</v>
      </c>
      <c r="M345" t="s">
        <v>688</v>
      </c>
      <c r="N345" s="2">
        <v>46211</v>
      </c>
      <c r="P345" t="s">
        <v>67</v>
      </c>
      <c r="Q345" t="s">
        <v>55</v>
      </c>
      <c r="R345" t="s">
        <v>569</v>
      </c>
      <c r="S345" s="2">
        <v>46206</v>
      </c>
      <c r="T345" s="2">
        <v>46206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</row>
    <row r="346" spans="1:39" x14ac:dyDescent="0.25">
      <c r="A346">
        <v>541</v>
      </c>
      <c r="B346" t="s">
        <v>732</v>
      </c>
      <c r="C346" t="s">
        <v>571</v>
      </c>
      <c r="D346" t="s">
        <v>733</v>
      </c>
      <c r="E346" t="s">
        <v>679</v>
      </c>
      <c r="F346" s="2">
        <v>46191</v>
      </c>
      <c r="G346" s="2">
        <v>46211</v>
      </c>
      <c r="H346" s="3">
        <v>0.8</v>
      </c>
      <c r="J346" t="s">
        <v>41</v>
      </c>
      <c r="M346" t="s">
        <v>308</v>
      </c>
      <c r="N346" s="2">
        <v>46211</v>
      </c>
      <c r="P346" t="s">
        <v>73</v>
      </c>
      <c r="Q346" t="s">
        <v>55</v>
      </c>
      <c r="R346" t="s">
        <v>569</v>
      </c>
      <c r="S346" s="2">
        <v>46189</v>
      </c>
      <c r="T346" s="2">
        <v>46206</v>
      </c>
      <c r="AB346">
        <v>0.8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542</v>
      </c>
      <c r="B347" t="s">
        <v>734</v>
      </c>
      <c r="C347" t="s">
        <v>735</v>
      </c>
      <c r="D347" t="s">
        <v>100</v>
      </c>
      <c r="E347" t="s">
        <v>682</v>
      </c>
      <c r="F347" s="2">
        <v>46191</v>
      </c>
      <c r="G347" s="2">
        <v>46203</v>
      </c>
      <c r="H347" s="3">
        <v>1</v>
      </c>
      <c r="I347" s="2">
        <v>46203</v>
      </c>
      <c r="J347" t="s">
        <v>53</v>
      </c>
      <c r="K347" t="s">
        <v>693</v>
      </c>
      <c r="L347">
        <v>543</v>
      </c>
      <c r="M347" t="s">
        <v>308</v>
      </c>
      <c r="N347" s="2">
        <v>46205</v>
      </c>
      <c r="P347" t="s">
        <v>73</v>
      </c>
      <c r="Q347" t="s">
        <v>55</v>
      </c>
      <c r="R347" t="s">
        <v>569</v>
      </c>
      <c r="S347" s="2">
        <v>46189</v>
      </c>
      <c r="T347" s="2">
        <v>46202</v>
      </c>
      <c r="AB347">
        <v>1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</row>
    <row r="348" spans="1:39" x14ac:dyDescent="0.25">
      <c r="A348">
        <v>543</v>
      </c>
      <c r="B348" t="s">
        <v>736</v>
      </c>
      <c r="C348" t="s">
        <v>735</v>
      </c>
      <c r="D348" t="s">
        <v>104</v>
      </c>
      <c r="E348" t="s">
        <v>101</v>
      </c>
      <c r="F348" s="2">
        <v>46204</v>
      </c>
      <c r="G348" s="2">
        <v>46206</v>
      </c>
      <c r="H348" s="3">
        <v>1</v>
      </c>
      <c r="I348" s="2">
        <v>46206</v>
      </c>
      <c r="J348" t="s">
        <v>53</v>
      </c>
      <c r="K348">
        <v>542</v>
      </c>
      <c r="L348">
        <v>544</v>
      </c>
      <c r="M348" t="s">
        <v>385</v>
      </c>
      <c r="N348" s="2">
        <v>46206</v>
      </c>
      <c r="P348" t="s">
        <v>179</v>
      </c>
      <c r="Q348" t="s">
        <v>55</v>
      </c>
      <c r="R348" t="s">
        <v>569</v>
      </c>
      <c r="S348" s="2">
        <v>46203</v>
      </c>
      <c r="T348" s="2">
        <v>46203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5">
      <c r="A349">
        <v>544</v>
      </c>
      <c r="B349" t="s">
        <v>737</v>
      </c>
      <c r="C349" t="s">
        <v>735</v>
      </c>
      <c r="D349" t="s">
        <v>108</v>
      </c>
      <c r="E349" t="s">
        <v>115</v>
      </c>
      <c r="F349" s="2">
        <v>46209</v>
      </c>
      <c r="G349" s="2">
        <v>46210</v>
      </c>
      <c r="H349" s="3">
        <v>0</v>
      </c>
      <c r="J349" t="s">
        <v>41</v>
      </c>
      <c r="K349">
        <v>543</v>
      </c>
      <c r="L349">
        <v>545</v>
      </c>
      <c r="M349" t="s">
        <v>686</v>
      </c>
      <c r="N349" s="2">
        <v>46210</v>
      </c>
      <c r="P349" t="s">
        <v>67</v>
      </c>
      <c r="Q349" t="s">
        <v>55</v>
      </c>
      <c r="R349" t="s">
        <v>569</v>
      </c>
      <c r="S349" s="2">
        <v>46204</v>
      </c>
      <c r="T349" s="2">
        <v>46205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</row>
    <row r="350" spans="1:39" x14ac:dyDescent="0.25">
      <c r="A350">
        <v>545</v>
      </c>
      <c r="B350" t="s">
        <v>738</v>
      </c>
      <c r="C350" t="s">
        <v>735</v>
      </c>
      <c r="D350" t="s">
        <v>114</v>
      </c>
      <c r="E350" t="s">
        <v>52</v>
      </c>
      <c r="F350" s="2">
        <v>46211</v>
      </c>
      <c r="G350" s="2">
        <v>46211</v>
      </c>
      <c r="H350" s="3">
        <v>0</v>
      </c>
      <c r="J350" t="s">
        <v>41</v>
      </c>
      <c r="K350">
        <v>544</v>
      </c>
      <c r="M350" t="s">
        <v>688</v>
      </c>
      <c r="N350" s="2">
        <v>46211</v>
      </c>
      <c r="P350" t="s">
        <v>67</v>
      </c>
      <c r="Q350" t="s">
        <v>55</v>
      </c>
      <c r="R350" t="s">
        <v>569</v>
      </c>
      <c r="S350" s="2">
        <v>46206</v>
      </c>
      <c r="T350" s="2">
        <v>46206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</row>
    <row r="351" spans="1:39" x14ac:dyDescent="0.25">
      <c r="A351">
        <v>546</v>
      </c>
      <c r="B351" t="s">
        <v>739</v>
      </c>
      <c r="C351" t="s">
        <v>571</v>
      </c>
      <c r="D351" t="s">
        <v>740</v>
      </c>
      <c r="E351" t="s">
        <v>679</v>
      </c>
      <c r="F351" s="2">
        <v>46191</v>
      </c>
      <c r="G351" s="2">
        <v>46211</v>
      </c>
      <c r="H351" s="3">
        <v>0.8</v>
      </c>
      <c r="J351" t="s">
        <v>41</v>
      </c>
      <c r="M351" t="s">
        <v>308</v>
      </c>
      <c r="N351" s="2">
        <v>46211</v>
      </c>
      <c r="P351" t="s">
        <v>73</v>
      </c>
      <c r="Q351" t="s">
        <v>55</v>
      </c>
      <c r="R351" t="s">
        <v>569</v>
      </c>
      <c r="S351" s="2">
        <v>46189</v>
      </c>
      <c r="T351" s="2">
        <v>46206</v>
      </c>
      <c r="AB351">
        <v>0.8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547</v>
      </c>
      <c r="B352" t="s">
        <v>741</v>
      </c>
      <c r="C352" t="s">
        <v>742</v>
      </c>
      <c r="D352" t="s">
        <v>100</v>
      </c>
      <c r="E352" t="s">
        <v>682</v>
      </c>
      <c r="F352" s="2">
        <v>46191</v>
      </c>
      <c r="G352" s="2">
        <v>46203</v>
      </c>
      <c r="H352" s="3">
        <v>1</v>
      </c>
      <c r="I352" s="2">
        <v>46203</v>
      </c>
      <c r="J352" t="s">
        <v>53</v>
      </c>
      <c r="K352" t="s">
        <v>693</v>
      </c>
      <c r="L352">
        <v>548</v>
      </c>
      <c r="M352" t="s">
        <v>308</v>
      </c>
      <c r="N352" s="2">
        <v>46205</v>
      </c>
      <c r="P352" t="s">
        <v>73</v>
      </c>
      <c r="Q352" t="s">
        <v>55</v>
      </c>
      <c r="R352" t="s">
        <v>569</v>
      </c>
      <c r="S352" s="2">
        <v>46189</v>
      </c>
      <c r="T352" s="2">
        <v>46202</v>
      </c>
      <c r="AB352">
        <v>1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</row>
    <row r="353" spans="1:39" x14ac:dyDescent="0.25">
      <c r="A353">
        <v>548</v>
      </c>
      <c r="B353" t="s">
        <v>743</v>
      </c>
      <c r="C353" t="s">
        <v>742</v>
      </c>
      <c r="D353" t="s">
        <v>104</v>
      </c>
      <c r="E353" t="s">
        <v>101</v>
      </c>
      <c r="F353" s="2">
        <v>46204</v>
      </c>
      <c r="G353" s="2">
        <v>46206</v>
      </c>
      <c r="H353" s="3">
        <v>1</v>
      </c>
      <c r="I353" s="2">
        <v>46206</v>
      </c>
      <c r="J353" t="s">
        <v>53</v>
      </c>
      <c r="K353">
        <v>547</v>
      </c>
      <c r="L353">
        <v>549</v>
      </c>
      <c r="M353" t="s">
        <v>385</v>
      </c>
      <c r="N353" s="2">
        <v>46206</v>
      </c>
      <c r="P353" t="s">
        <v>179</v>
      </c>
      <c r="Q353" t="s">
        <v>55</v>
      </c>
      <c r="R353" t="s">
        <v>569</v>
      </c>
      <c r="S353" s="2">
        <v>46203</v>
      </c>
      <c r="T353" s="2">
        <v>46203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5">
      <c r="A354">
        <v>549</v>
      </c>
      <c r="B354" t="s">
        <v>744</v>
      </c>
      <c r="C354" t="s">
        <v>742</v>
      </c>
      <c r="D354" t="s">
        <v>108</v>
      </c>
      <c r="E354" t="s">
        <v>115</v>
      </c>
      <c r="F354" s="2">
        <v>46209</v>
      </c>
      <c r="G354" s="2">
        <v>46210</v>
      </c>
      <c r="H354" s="3">
        <v>0</v>
      </c>
      <c r="J354" t="s">
        <v>41</v>
      </c>
      <c r="K354">
        <v>548</v>
      </c>
      <c r="L354">
        <v>550</v>
      </c>
      <c r="M354" t="s">
        <v>686</v>
      </c>
      <c r="N354" s="2">
        <v>46210</v>
      </c>
      <c r="P354" t="s">
        <v>67</v>
      </c>
      <c r="Q354" t="s">
        <v>55</v>
      </c>
      <c r="R354" t="s">
        <v>569</v>
      </c>
      <c r="S354" s="2">
        <v>46204</v>
      </c>
      <c r="T354" s="2">
        <v>46205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</row>
    <row r="355" spans="1:39" x14ac:dyDescent="0.25">
      <c r="A355">
        <v>550</v>
      </c>
      <c r="B355" t="s">
        <v>745</v>
      </c>
      <c r="C355" t="s">
        <v>742</v>
      </c>
      <c r="D355" t="s">
        <v>114</v>
      </c>
      <c r="E355" t="s">
        <v>52</v>
      </c>
      <c r="F355" s="2">
        <v>46211</v>
      </c>
      <c r="G355" s="2">
        <v>46211</v>
      </c>
      <c r="H355" s="3">
        <v>0</v>
      </c>
      <c r="J355" t="s">
        <v>41</v>
      </c>
      <c r="K355">
        <v>549</v>
      </c>
      <c r="M355" t="s">
        <v>688</v>
      </c>
      <c r="N355" s="2">
        <v>46211</v>
      </c>
      <c r="P355" t="s">
        <v>67</v>
      </c>
      <c r="Q355" t="s">
        <v>55</v>
      </c>
      <c r="R355" t="s">
        <v>569</v>
      </c>
      <c r="S355" s="2">
        <v>46206</v>
      </c>
      <c r="T355" s="2">
        <v>46206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</row>
    <row r="356" spans="1:39" x14ac:dyDescent="0.25">
      <c r="A356">
        <v>551</v>
      </c>
      <c r="B356" t="s">
        <v>746</v>
      </c>
      <c r="C356" t="s">
        <v>571</v>
      </c>
      <c r="D356" t="s">
        <v>747</v>
      </c>
      <c r="E356" t="s">
        <v>679</v>
      </c>
      <c r="F356" s="2">
        <v>46191</v>
      </c>
      <c r="G356" s="2">
        <v>46211</v>
      </c>
      <c r="H356" s="3">
        <v>0.8</v>
      </c>
      <c r="J356" t="s">
        <v>41</v>
      </c>
      <c r="M356" t="s">
        <v>308</v>
      </c>
      <c r="N356" s="2">
        <v>46211</v>
      </c>
      <c r="P356" t="s">
        <v>73</v>
      </c>
      <c r="Q356" t="s">
        <v>55</v>
      </c>
      <c r="R356" t="s">
        <v>569</v>
      </c>
      <c r="S356" s="2">
        <v>46189</v>
      </c>
      <c r="T356" s="2">
        <v>46206</v>
      </c>
      <c r="AB356">
        <v>0.8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552</v>
      </c>
      <c r="B357" t="s">
        <v>748</v>
      </c>
      <c r="C357" t="s">
        <v>749</v>
      </c>
      <c r="D357" t="s">
        <v>100</v>
      </c>
      <c r="E357" t="s">
        <v>682</v>
      </c>
      <c r="F357" s="2">
        <v>46191</v>
      </c>
      <c r="G357" s="2">
        <v>46203</v>
      </c>
      <c r="H357" s="3">
        <v>1</v>
      </c>
      <c r="I357" s="2">
        <v>46203</v>
      </c>
      <c r="J357" t="s">
        <v>53</v>
      </c>
      <c r="K357" t="s">
        <v>693</v>
      </c>
      <c r="L357">
        <v>553</v>
      </c>
      <c r="M357" t="s">
        <v>308</v>
      </c>
      <c r="N357" s="2">
        <v>46205</v>
      </c>
      <c r="P357" t="s">
        <v>73</v>
      </c>
      <c r="Q357" t="s">
        <v>55</v>
      </c>
      <c r="R357" t="s">
        <v>569</v>
      </c>
      <c r="S357" s="2">
        <v>46189</v>
      </c>
      <c r="T357" s="2">
        <v>46202</v>
      </c>
      <c r="AB357">
        <v>1</v>
      </c>
      <c r="AC357">
        <v>1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</row>
    <row r="358" spans="1:39" x14ac:dyDescent="0.25">
      <c r="A358">
        <v>553</v>
      </c>
      <c r="B358" t="s">
        <v>750</v>
      </c>
      <c r="C358" t="s">
        <v>749</v>
      </c>
      <c r="D358" t="s">
        <v>104</v>
      </c>
      <c r="E358" t="s">
        <v>101</v>
      </c>
      <c r="F358" s="2">
        <v>46204</v>
      </c>
      <c r="G358" s="2">
        <v>46206</v>
      </c>
      <c r="H358" s="3">
        <v>1</v>
      </c>
      <c r="I358" s="2">
        <v>46206</v>
      </c>
      <c r="J358" t="s">
        <v>53</v>
      </c>
      <c r="K358">
        <v>552</v>
      </c>
      <c r="L358">
        <v>554</v>
      </c>
      <c r="M358" t="s">
        <v>385</v>
      </c>
      <c r="N358" s="2">
        <v>46206</v>
      </c>
      <c r="P358" t="s">
        <v>179</v>
      </c>
      <c r="Q358" t="s">
        <v>55</v>
      </c>
      <c r="R358" t="s">
        <v>569</v>
      </c>
      <c r="S358" s="2">
        <v>46203</v>
      </c>
      <c r="T358" s="2">
        <v>46203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554</v>
      </c>
      <c r="B359" t="s">
        <v>751</v>
      </c>
      <c r="C359" t="s">
        <v>749</v>
      </c>
      <c r="D359" t="s">
        <v>108</v>
      </c>
      <c r="E359" t="s">
        <v>115</v>
      </c>
      <c r="F359" s="2">
        <v>46209</v>
      </c>
      <c r="G359" s="2">
        <v>46210</v>
      </c>
      <c r="H359" s="3">
        <v>0</v>
      </c>
      <c r="J359" t="s">
        <v>41</v>
      </c>
      <c r="K359">
        <v>553</v>
      </c>
      <c r="L359">
        <v>555</v>
      </c>
      <c r="M359" t="s">
        <v>686</v>
      </c>
      <c r="N359" s="2">
        <v>46210</v>
      </c>
      <c r="P359" t="s">
        <v>67</v>
      </c>
      <c r="Q359" t="s">
        <v>55</v>
      </c>
      <c r="R359" t="s">
        <v>569</v>
      </c>
      <c r="S359" s="2">
        <v>46204</v>
      </c>
      <c r="T359" s="2">
        <v>46205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</row>
    <row r="360" spans="1:39" x14ac:dyDescent="0.25">
      <c r="A360">
        <v>555</v>
      </c>
      <c r="B360" t="s">
        <v>752</v>
      </c>
      <c r="C360" t="s">
        <v>749</v>
      </c>
      <c r="D360" t="s">
        <v>114</v>
      </c>
      <c r="E360" t="s">
        <v>52</v>
      </c>
      <c r="F360" s="2">
        <v>46211</v>
      </c>
      <c r="G360" s="2">
        <v>46211</v>
      </c>
      <c r="H360" s="3">
        <v>0</v>
      </c>
      <c r="J360" t="s">
        <v>41</v>
      </c>
      <c r="K360">
        <v>554</v>
      </c>
      <c r="M360" t="s">
        <v>688</v>
      </c>
      <c r="N360" s="2">
        <v>46211</v>
      </c>
      <c r="P360" t="s">
        <v>67</v>
      </c>
      <c r="Q360" t="s">
        <v>55</v>
      </c>
      <c r="R360" t="s">
        <v>569</v>
      </c>
      <c r="S360" s="2">
        <v>46206</v>
      </c>
      <c r="T360" s="2">
        <v>46206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</row>
    <row r="361" spans="1:39" x14ac:dyDescent="0.25">
      <c r="A361">
        <v>556</v>
      </c>
      <c r="B361" t="s">
        <v>753</v>
      </c>
      <c r="C361" t="s">
        <v>571</v>
      </c>
      <c r="D361" t="s">
        <v>754</v>
      </c>
      <c r="E361" t="s">
        <v>679</v>
      </c>
      <c r="F361" s="2">
        <v>46191</v>
      </c>
      <c r="G361" s="2">
        <v>46211</v>
      </c>
      <c r="H361" s="3">
        <v>0.8</v>
      </c>
      <c r="J361" t="s">
        <v>41</v>
      </c>
      <c r="M361" t="s">
        <v>308</v>
      </c>
      <c r="N361" s="2">
        <v>46211</v>
      </c>
      <c r="P361" t="s">
        <v>73</v>
      </c>
      <c r="Q361" t="s">
        <v>55</v>
      </c>
      <c r="R361" t="s">
        <v>569</v>
      </c>
      <c r="S361" s="2">
        <v>46189</v>
      </c>
      <c r="T361" s="2">
        <v>46206</v>
      </c>
      <c r="AB361">
        <v>0.8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557</v>
      </c>
      <c r="B362" t="s">
        <v>755</v>
      </c>
      <c r="C362" t="s">
        <v>756</v>
      </c>
      <c r="D362" t="s">
        <v>100</v>
      </c>
      <c r="E362" t="s">
        <v>682</v>
      </c>
      <c r="F362" s="2">
        <v>46191</v>
      </c>
      <c r="G362" s="2">
        <v>46203</v>
      </c>
      <c r="H362" s="3">
        <v>1</v>
      </c>
      <c r="I362" s="2">
        <v>46203</v>
      </c>
      <c r="J362" t="s">
        <v>53</v>
      </c>
      <c r="K362" t="s">
        <v>693</v>
      </c>
      <c r="L362">
        <v>558</v>
      </c>
      <c r="M362" t="s">
        <v>308</v>
      </c>
      <c r="N362" s="2">
        <v>46205</v>
      </c>
      <c r="P362" t="s">
        <v>73</v>
      </c>
      <c r="Q362" t="s">
        <v>55</v>
      </c>
      <c r="R362" t="s">
        <v>569</v>
      </c>
      <c r="S362" s="2">
        <v>46189</v>
      </c>
      <c r="T362" s="2">
        <v>46202</v>
      </c>
      <c r="AB362">
        <v>1</v>
      </c>
      <c r="AC362">
        <v>1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</row>
    <row r="363" spans="1:39" x14ac:dyDescent="0.25">
      <c r="A363">
        <v>558</v>
      </c>
      <c r="B363" t="s">
        <v>757</v>
      </c>
      <c r="C363" t="s">
        <v>756</v>
      </c>
      <c r="D363" t="s">
        <v>104</v>
      </c>
      <c r="E363" t="s">
        <v>101</v>
      </c>
      <c r="F363" s="2">
        <v>46204</v>
      </c>
      <c r="G363" s="2">
        <v>46206</v>
      </c>
      <c r="H363" s="3">
        <v>1</v>
      </c>
      <c r="I363" s="2">
        <v>46206</v>
      </c>
      <c r="J363" t="s">
        <v>53</v>
      </c>
      <c r="K363">
        <v>557</v>
      </c>
      <c r="L363">
        <v>559</v>
      </c>
      <c r="M363" t="s">
        <v>385</v>
      </c>
      <c r="N363" s="2">
        <v>46206</v>
      </c>
      <c r="P363" t="s">
        <v>179</v>
      </c>
      <c r="Q363" t="s">
        <v>55</v>
      </c>
      <c r="R363" t="s">
        <v>569</v>
      </c>
      <c r="S363" s="2">
        <v>46203</v>
      </c>
      <c r="T363" s="2">
        <v>46203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559</v>
      </c>
      <c r="B364" t="s">
        <v>758</v>
      </c>
      <c r="C364" t="s">
        <v>756</v>
      </c>
      <c r="D364" t="s">
        <v>108</v>
      </c>
      <c r="E364" t="s">
        <v>115</v>
      </c>
      <c r="F364" s="2">
        <v>46209</v>
      </c>
      <c r="G364" s="2">
        <v>46210</v>
      </c>
      <c r="H364" s="3">
        <v>0</v>
      </c>
      <c r="J364" t="s">
        <v>41</v>
      </c>
      <c r="K364">
        <v>558</v>
      </c>
      <c r="L364">
        <v>560</v>
      </c>
      <c r="M364" t="s">
        <v>686</v>
      </c>
      <c r="N364" s="2">
        <v>46210</v>
      </c>
      <c r="P364" t="s">
        <v>67</v>
      </c>
      <c r="Q364" t="s">
        <v>55</v>
      </c>
      <c r="R364" t="s">
        <v>569</v>
      </c>
      <c r="S364" s="2">
        <v>46204</v>
      </c>
      <c r="T364" s="2">
        <v>46205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</row>
    <row r="365" spans="1:39" x14ac:dyDescent="0.25">
      <c r="A365">
        <v>560</v>
      </c>
      <c r="B365" t="s">
        <v>759</v>
      </c>
      <c r="C365" t="s">
        <v>756</v>
      </c>
      <c r="D365" t="s">
        <v>114</v>
      </c>
      <c r="E365" t="s">
        <v>52</v>
      </c>
      <c r="F365" s="2">
        <v>46211</v>
      </c>
      <c r="G365" s="2">
        <v>46211</v>
      </c>
      <c r="H365" s="3">
        <v>0</v>
      </c>
      <c r="J365" t="s">
        <v>41</v>
      </c>
      <c r="K365">
        <v>559</v>
      </c>
      <c r="M365" t="s">
        <v>688</v>
      </c>
      <c r="N365" s="2">
        <v>46211</v>
      </c>
      <c r="P365" t="s">
        <v>67</v>
      </c>
      <c r="Q365" t="s">
        <v>55</v>
      </c>
      <c r="R365" t="s">
        <v>569</v>
      </c>
      <c r="S365" s="2">
        <v>46206</v>
      </c>
      <c r="T365" s="2">
        <v>46206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</row>
    <row r="366" spans="1:39" x14ac:dyDescent="0.25">
      <c r="A366">
        <v>561</v>
      </c>
      <c r="B366" t="s">
        <v>760</v>
      </c>
      <c r="C366" t="s">
        <v>571</v>
      </c>
      <c r="D366" t="s">
        <v>761</v>
      </c>
      <c r="E366" t="s">
        <v>679</v>
      </c>
      <c r="F366" s="2">
        <v>46191</v>
      </c>
      <c r="G366" s="2">
        <v>46211</v>
      </c>
      <c r="H366" s="3">
        <v>0.8</v>
      </c>
      <c r="J366" t="s">
        <v>41</v>
      </c>
      <c r="M366" t="s">
        <v>308</v>
      </c>
      <c r="N366" s="2">
        <v>46211</v>
      </c>
      <c r="P366" t="s">
        <v>73</v>
      </c>
      <c r="Q366" t="s">
        <v>55</v>
      </c>
      <c r="R366" t="s">
        <v>569</v>
      </c>
      <c r="S366" s="2">
        <v>46189</v>
      </c>
      <c r="T366" s="2">
        <v>46206</v>
      </c>
      <c r="AB366">
        <v>0.8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562</v>
      </c>
      <c r="B367" t="s">
        <v>762</v>
      </c>
      <c r="C367" t="s">
        <v>763</v>
      </c>
      <c r="D367" t="s">
        <v>100</v>
      </c>
      <c r="E367" t="s">
        <v>682</v>
      </c>
      <c r="F367" s="2">
        <v>46191</v>
      </c>
      <c r="G367" s="2">
        <v>46203</v>
      </c>
      <c r="H367" s="3">
        <v>1</v>
      </c>
      <c r="I367" s="2">
        <v>46203</v>
      </c>
      <c r="J367" t="s">
        <v>53</v>
      </c>
      <c r="K367" t="s">
        <v>693</v>
      </c>
      <c r="L367">
        <v>563</v>
      </c>
      <c r="M367" t="s">
        <v>308</v>
      </c>
      <c r="N367" s="2">
        <v>46205</v>
      </c>
      <c r="P367" t="s">
        <v>73</v>
      </c>
      <c r="Q367" t="s">
        <v>55</v>
      </c>
      <c r="R367" t="s">
        <v>569</v>
      </c>
      <c r="S367" s="2">
        <v>46189</v>
      </c>
      <c r="T367" s="2">
        <v>46202</v>
      </c>
      <c r="AB367">
        <v>1</v>
      </c>
      <c r="AC367">
        <v>1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</row>
    <row r="368" spans="1:39" x14ac:dyDescent="0.25">
      <c r="A368">
        <v>563</v>
      </c>
      <c r="B368" t="s">
        <v>764</v>
      </c>
      <c r="C368" t="s">
        <v>763</v>
      </c>
      <c r="D368" t="s">
        <v>104</v>
      </c>
      <c r="E368" t="s">
        <v>101</v>
      </c>
      <c r="F368" s="2">
        <v>46204</v>
      </c>
      <c r="G368" s="2">
        <v>46206</v>
      </c>
      <c r="H368" s="3">
        <v>1</v>
      </c>
      <c r="I368" s="2">
        <v>46206</v>
      </c>
      <c r="J368" t="s">
        <v>53</v>
      </c>
      <c r="K368">
        <v>562</v>
      </c>
      <c r="L368">
        <v>564</v>
      </c>
      <c r="M368" t="s">
        <v>385</v>
      </c>
      <c r="N368" s="2">
        <v>46206</v>
      </c>
      <c r="P368" t="s">
        <v>179</v>
      </c>
      <c r="Q368" t="s">
        <v>55</v>
      </c>
      <c r="R368" t="s">
        <v>569</v>
      </c>
      <c r="S368" s="2">
        <v>46203</v>
      </c>
      <c r="T368" s="2">
        <v>46203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564</v>
      </c>
      <c r="B369" t="s">
        <v>765</v>
      </c>
      <c r="C369" t="s">
        <v>763</v>
      </c>
      <c r="D369" t="s">
        <v>108</v>
      </c>
      <c r="E369" t="s">
        <v>115</v>
      </c>
      <c r="F369" s="2">
        <v>46209</v>
      </c>
      <c r="G369" s="2">
        <v>46210</v>
      </c>
      <c r="H369" s="3">
        <v>0</v>
      </c>
      <c r="J369" t="s">
        <v>41</v>
      </c>
      <c r="K369">
        <v>563</v>
      </c>
      <c r="L369">
        <v>565</v>
      </c>
      <c r="M369" t="s">
        <v>686</v>
      </c>
      <c r="N369" s="2">
        <v>46210</v>
      </c>
      <c r="P369" t="s">
        <v>67</v>
      </c>
      <c r="Q369" t="s">
        <v>55</v>
      </c>
      <c r="R369" t="s">
        <v>569</v>
      </c>
      <c r="S369" s="2">
        <v>46204</v>
      </c>
      <c r="T369" s="2">
        <v>46205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</row>
    <row r="370" spans="1:39" x14ac:dyDescent="0.25">
      <c r="A370">
        <v>565</v>
      </c>
      <c r="B370" t="s">
        <v>766</v>
      </c>
      <c r="C370" t="s">
        <v>763</v>
      </c>
      <c r="D370" t="s">
        <v>114</v>
      </c>
      <c r="E370" t="s">
        <v>52</v>
      </c>
      <c r="F370" s="2">
        <v>46211</v>
      </c>
      <c r="G370" s="2">
        <v>46211</v>
      </c>
      <c r="H370" s="3">
        <v>0</v>
      </c>
      <c r="J370" t="s">
        <v>41</v>
      </c>
      <c r="K370">
        <v>564</v>
      </c>
      <c r="M370" t="s">
        <v>688</v>
      </c>
      <c r="N370" s="2">
        <v>46211</v>
      </c>
      <c r="P370" t="s">
        <v>67</v>
      </c>
      <c r="Q370" t="s">
        <v>55</v>
      </c>
      <c r="R370" t="s">
        <v>569</v>
      </c>
      <c r="S370" s="2">
        <v>46206</v>
      </c>
      <c r="T370" s="2">
        <v>46206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</row>
    <row r="371" spans="1:39" x14ac:dyDescent="0.25">
      <c r="A371">
        <v>566</v>
      </c>
      <c r="B371" t="s">
        <v>767</v>
      </c>
      <c r="C371" t="s">
        <v>571</v>
      </c>
      <c r="D371" t="s">
        <v>768</v>
      </c>
      <c r="E371" t="s">
        <v>679</v>
      </c>
      <c r="F371" s="2">
        <v>46191</v>
      </c>
      <c r="G371" s="2">
        <v>46211</v>
      </c>
      <c r="H371" s="3">
        <v>0.8</v>
      </c>
      <c r="J371" t="s">
        <v>41</v>
      </c>
      <c r="M371" t="s">
        <v>308</v>
      </c>
      <c r="N371" s="2">
        <v>46211</v>
      </c>
      <c r="P371" t="s">
        <v>73</v>
      </c>
      <c r="Q371" t="s">
        <v>55</v>
      </c>
      <c r="R371" t="s">
        <v>569</v>
      </c>
      <c r="S371" s="2">
        <v>46189</v>
      </c>
      <c r="T371" s="2">
        <v>46206</v>
      </c>
      <c r="AB371">
        <v>0.8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567</v>
      </c>
      <c r="B372" t="s">
        <v>769</v>
      </c>
      <c r="C372" t="s">
        <v>770</v>
      </c>
      <c r="D372" t="s">
        <v>100</v>
      </c>
      <c r="E372" t="s">
        <v>682</v>
      </c>
      <c r="F372" s="2">
        <v>46191</v>
      </c>
      <c r="G372" s="2">
        <v>46203</v>
      </c>
      <c r="H372" s="3">
        <v>1</v>
      </c>
      <c r="I372" s="2">
        <v>46203</v>
      </c>
      <c r="J372" t="s">
        <v>53</v>
      </c>
      <c r="K372" t="s">
        <v>693</v>
      </c>
      <c r="L372">
        <v>568</v>
      </c>
      <c r="M372" t="s">
        <v>308</v>
      </c>
      <c r="N372" s="2">
        <v>46205</v>
      </c>
      <c r="P372" t="s">
        <v>73</v>
      </c>
      <c r="Q372" t="s">
        <v>55</v>
      </c>
      <c r="R372" t="s">
        <v>569</v>
      </c>
      <c r="S372" s="2">
        <v>46189</v>
      </c>
      <c r="T372" s="2">
        <v>46202</v>
      </c>
      <c r="AB372">
        <v>1</v>
      </c>
      <c r="AC372">
        <v>1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</row>
    <row r="373" spans="1:39" x14ac:dyDescent="0.25">
      <c r="A373">
        <v>568</v>
      </c>
      <c r="B373" t="s">
        <v>771</v>
      </c>
      <c r="C373" t="s">
        <v>770</v>
      </c>
      <c r="D373" t="s">
        <v>104</v>
      </c>
      <c r="E373" t="s">
        <v>101</v>
      </c>
      <c r="F373" s="2">
        <v>46204</v>
      </c>
      <c r="G373" s="2">
        <v>46206</v>
      </c>
      <c r="H373" s="3">
        <v>1</v>
      </c>
      <c r="I373" s="2">
        <v>46206</v>
      </c>
      <c r="J373" t="s">
        <v>53</v>
      </c>
      <c r="K373">
        <v>567</v>
      </c>
      <c r="L373">
        <v>569</v>
      </c>
      <c r="M373" t="s">
        <v>385</v>
      </c>
      <c r="N373" s="2">
        <v>46206</v>
      </c>
      <c r="P373" t="s">
        <v>179</v>
      </c>
      <c r="Q373" t="s">
        <v>55</v>
      </c>
      <c r="R373" t="s">
        <v>569</v>
      </c>
      <c r="S373" s="2">
        <v>46203</v>
      </c>
      <c r="T373" s="2">
        <v>46203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569</v>
      </c>
      <c r="B374" t="s">
        <v>772</v>
      </c>
      <c r="C374" t="s">
        <v>770</v>
      </c>
      <c r="D374" t="s">
        <v>108</v>
      </c>
      <c r="E374" t="s">
        <v>115</v>
      </c>
      <c r="F374" s="2">
        <v>46209</v>
      </c>
      <c r="G374" s="2">
        <v>46210</v>
      </c>
      <c r="H374" s="3">
        <v>0</v>
      </c>
      <c r="J374" t="s">
        <v>41</v>
      </c>
      <c r="K374">
        <v>568</v>
      </c>
      <c r="L374">
        <v>570</v>
      </c>
      <c r="M374" t="s">
        <v>686</v>
      </c>
      <c r="N374" s="2">
        <v>46210</v>
      </c>
      <c r="P374" t="s">
        <v>67</v>
      </c>
      <c r="Q374" t="s">
        <v>55</v>
      </c>
      <c r="R374" t="s">
        <v>569</v>
      </c>
      <c r="S374" s="2">
        <v>46204</v>
      </c>
      <c r="T374" s="2">
        <v>46205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</row>
    <row r="375" spans="1:39" x14ac:dyDescent="0.25">
      <c r="A375">
        <v>570</v>
      </c>
      <c r="B375" t="s">
        <v>773</v>
      </c>
      <c r="C375" t="s">
        <v>770</v>
      </c>
      <c r="D375" t="s">
        <v>114</v>
      </c>
      <c r="E375" t="s">
        <v>52</v>
      </c>
      <c r="F375" s="2">
        <v>46211</v>
      </c>
      <c r="G375" s="2">
        <v>46211</v>
      </c>
      <c r="H375" s="3">
        <v>0</v>
      </c>
      <c r="J375" t="s">
        <v>41</v>
      </c>
      <c r="K375">
        <v>569</v>
      </c>
      <c r="M375" t="s">
        <v>688</v>
      </c>
      <c r="N375" s="2">
        <v>46211</v>
      </c>
      <c r="P375" t="s">
        <v>67</v>
      </c>
      <c r="Q375" t="s">
        <v>55</v>
      </c>
      <c r="R375" t="s">
        <v>569</v>
      </c>
      <c r="S375" s="2">
        <v>46206</v>
      </c>
      <c r="T375" s="2">
        <v>46206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</row>
    <row r="376" spans="1:39" x14ac:dyDescent="0.25">
      <c r="A376">
        <v>571</v>
      </c>
      <c r="B376" t="s">
        <v>774</v>
      </c>
      <c r="C376" t="s">
        <v>571</v>
      </c>
      <c r="D376" t="s">
        <v>775</v>
      </c>
      <c r="E376" t="s">
        <v>679</v>
      </c>
      <c r="F376" s="2">
        <v>46191</v>
      </c>
      <c r="G376" s="2">
        <v>46211</v>
      </c>
      <c r="H376" s="3">
        <v>0.8</v>
      </c>
      <c r="J376" t="s">
        <v>41</v>
      </c>
      <c r="M376" t="s">
        <v>308</v>
      </c>
      <c r="N376" s="2">
        <v>46211</v>
      </c>
      <c r="P376" t="s">
        <v>73</v>
      </c>
      <c r="Q376" t="s">
        <v>55</v>
      </c>
      <c r="R376" t="s">
        <v>569</v>
      </c>
      <c r="S376" s="2">
        <v>46189</v>
      </c>
      <c r="T376" s="2">
        <v>46206</v>
      </c>
      <c r="AB376">
        <v>0.8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572</v>
      </c>
      <c r="B377" t="s">
        <v>776</v>
      </c>
      <c r="C377" t="s">
        <v>777</v>
      </c>
      <c r="D377" t="s">
        <v>100</v>
      </c>
      <c r="E377" t="s">
        <v>682</v>
      </c>
      <c r="F377" s="2">
        <v>46191</v>
      </c>
      <c r="G377" s="2">
        <v>46203</v>
      </c>
      <c r="H377" s="3">
        <v>1</v>
      </c>
      <c r="I377" s="2">
        <v>46203</v>
      </c>
      <c r="J377" t="s">
        <v>53</v>
      </c>
      <c r="K377" t="s">
        <v>693</v>
      </c>
      <c r="L377">
        <v>573</v>
      </c>
      <c r="M377" t="s">
        <v>308</v>
      </c>
      <c r="N377" s="2">
        <v>46205</v>
      </c>
      <c r="P377" t="s">
        <v>73</v>
      </c>
      <c r="Q377" t="s">
        <v>55</v>
      </c>
      <c r="R377" t="s">
        <v>569</v>
      </c>
      <c r="S377" s="2">
        <v>46189</v>
      </c>
      <c r="T377" s="2">
        <v>46202</v>
      </c>
      <c r="AB377">
        <v>1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</row>
    <row r="378" spans="1:39" x14ac:dyDescent="0.25">
      <c r="A378">
        <v>573</v>
      </c>
      <c r="B378" t="s">
        <v>778</v>
      </c>
      <c r="C378" t="s">
        <v>777</v>
      </c>
      <c r="D378" t="s">
        <v>104</v>
      </c>
      <c r="E378" t="s">
        <v>101</v>
      </c>
      <c r="F378" s="2">
        <v>46204</v>
      </c>
      <c r="G378" s="2">
        <v>46206</v>
      </c>
      <c r="H378" s="3">
        <v>1</v>
      </c>
      <c r="I378" s="2">
        <v>46206</v>
      </c>
      <c r="J378" t="s">
        <v>53</v>
      </c>
      <c r="K378">
        <v>572</v>
      </c>
      <c r="L378">
        <v>574</v>
      </c>
      <c r="M378" t="s">
        <v>385</v>
      </c>
      <c r="N378" s="2">
        <v>46206</v>
      </c>
      <c r="P378" t="s">
        <v>179</v>
      </c>
      <c r="Q378" t="s">
        <v>55</v>
      </c>
      <c r="R378" t="s">
        <v>569</v>
      </c>
      <c r="S378" s="2">
        <v>46203</v>
      </c>
      <c r="T378" s="2">
        <v>46203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574</v>
      </c>
      <c r="B379" t="s">
        <v>779</v>
      </c>
      <c r="C379" t="s">
        <v>777</v>
      </c>
      <c r="D379" t="s">
        <v>108</v>
      </c>
      <c r="E379" t="s">
        <v>115</v>
      </c>
      <c r="F379" s="2">
        <v>46209</v>
      </c>
      <c r="G379" s="2">
        <v>46210</v>
      </c>
      <c r="H379" s="3">
        <v>0</v>
      </c>
      <c r="J379" t="s">
        <v>41</v>
      </c>
      <c r="K379">
        <v>573</v>
      </c>
      <c r="L379">
        <v>575</v>
      </c>
      <c r="M379" t="s">
        <v>686</v>
      </c>
      <c r="N379" s="2">
        <v>46210</v>
      </c>
      <c r="P379" t="s">
        <v>67</v>
      </c>
      <c r="Q379" t="s">
        <v>55</v>
      </c>
      <c r="R379" t="s">
        <v>569</v>
      </c>
      <c r="S379" s="2">
        <v>46204</v>
      </c>
      <c r="T379" s="2">
        <v>46205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</row>
    <row r="380" spans="1:39" x14ac:dyDescent="0.25">
      <c r="A380">
        <v>575</v>
      </c>
      <c r="B380" t="s">
        <v>780</v>
      </c>
      <c r="C380" t="s">
        <v>777</v>
      </c>
      <c r="D380" t="s">
        <v>114</v>
      </c>
      <c r="E380" t="s">
        <v>52</v>
      </c>
      <c r="F380" s="2">
        <v>46211</v>
      </c>
      <c r="G380" s="2">
        <v>46211</v>
      </c>
      <c r="H380" s="3">
        <v>0</v>
      </c>
      <c r="J380" t="s">
        <v>41</v>
      </c>
      <c r="K380">
        <v>574</v>
      </c>
      <c r="M380" t="s">
        <v>688</v>
      </c>
      <c r="N380" s="2">
        <v>46211</v>
      </c>
      <c r="P380" t="s">
        <v>67</v>
      </c>
      <c r="Q380" t="s">
        <v>55</v>
      </c>
      <c r="R380" t="s">
        <v>569</v>
      </c>
      <c r="S380" s="2">
        <v>46206</v>
      </c>
      <c r="T380" s="2">
        <v>46206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</row>
    <row r="381" spans="1:39" x14ac:dyDescent="0.25">
      <c r="A381">
        <v>576</v>
      </c>
      <c r="B381" t="s">
        <v>781</v>
      </c>
      <c r="C381" t="s">
        <v>571</v>
      </c>
      <c r="D381" t="s">
        <v>782</v>
      </c>
      <c r="E381" t="s">
        <v>679</v>
      </c>
      <c r="F381" s="2">
        <v>46191</v>
      </c>
      <c r="G381" s="2">
        <v>46211</v>
      </c>
      <c r="H381" s="3">
        <v>0.8</v>
      </c>
      <c r="J381" t="s">
        <v>41</v>
      </c>
      <c r="M381" t="s">
        <v>308</v>
      </c>
      <c r="N381" s="2">
        <v>46211</v>
      </c>
      <c r="P381" t="s">
        <v>73</v>
      </c>
      <c r="Q381" t="s">
        <v>55</v>
      </c>
      <c r="R381" t="s">
        <v>569</v>
      </c>
      <c r="S381" s="2">
        <v>46189</v>
      </c>
      <c r="T381" s="2">
        <v>46206</v>
      </c>
      <c r="AB381">
        <v>0.8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577</v>
      </c>
      <c r="B382" t="s">
        <v>783</v>
      </c>
      <c r="C382" t="s">
        <v>784</v>
      </c>
      <c r="D382" t="s">
        <v>100</v>
      </c>
      <c r="E382" t="s">
        <v>682</v>
      </c>
      <c r="F382" s="2">
        <v>46191</v>
      </c>
      <c r="G382" s="2">
        <v>46203</v>
      </c>
      <c r="H382" s="3">
        <v>1</v>
      </c>
      <c r="I382" s="2">
        <v>46203</v>
      </c>
      <c r="J382" t="s">
        <v>53</v>
      </c>
      <c r="K382" t="s">
        <v>693</v>
      </c>
      <c r="L382">
        <v>578</v>
      </c>
      <c r="M382" t="s">
        <v>308</v>
      </c>
      <c r="N382" s="2">
        <v>46205</v>
      </c>
      <c r="P382" t="s">
        <v>73</v>
      </c>
      <c r="Q382" t="s">
        <v>55</v>
      </c>
      <c r="R382" t="s">
        <v>569</v>
      </c>
      <c r="S382" s="2">
        <v>46189</v>
      </c>
      <c r="T382" s="2">
        <v>46202</v>
      </c>
      <c r="AB382">
        <v>1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</row>
    <row r="383" spans="1:39" x14ac:dyDescent="0.25">
      <c r="A383">
        <v>578</v>
      </c>
      <c r="B383" t="s">
        <v>785</v>
      </c>
      <c r="C383" t="s">
        <v>784</v>
      </c>
      <c r="D383" t="s">
        <v>104</v>
      </c>
      <c r="E383" t="s">
        <v>101</v>
      </c>
      <c r="F383" s="2">
        <v>46204</v>
      </c>
      <c r="G383" s="2">
        <v>46206</v>
      </c>
      <c r="H383" s="3">
        <v>1</v>
      </c>
      <c r="I383" s="2">
        <v>46206</v>
      </c>
      <c r="J383" t="s">
        <v>53</v>
      </c>
      <c r="K383">
        <v>577</v>
      </c>
      <c r="L383">
        <v>579</v>
      </c>
      <c r="M383" t="s">
        <v>385</v>
      </c>
      <c r="N383" s="2">
        <v>46206</v>
      </c>
      <c r="P383" t="s">
        <v>179</v>
      </c>
      <c r="Q383" t="s">
        <v>55</v>
      </c>
      <c r="R383" t="s">
        <v>569</v>
      </c>
      <c r="S383" s="2">
        <v>46203</v>
      </c>
      <c r="T383" s="2">
        <v>46203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579</v>
      </c>
      <c r="B384" t="s">
        <v>786</v>
      </c>
      <c r="C384" t="s">
        <v>784</v>
      </c>
      <c r="D384" t="s">
        <v>108</v>
      </c>
      <c r="E384" t="s">
        <v>115</v>
      </c>
      <c r="F384" s="2">
        <v>46209</v>
      </c>
      <c r="G384" s="2">
        <v>46210</v>
      </c>
      <c r="H384" s="3">
        <v>0</v>
      </c>
      <c r="J384" t="s">
        <v>41</v>
      </c>
      <c r="K384">
        <v>578</v>
      </c>
      <c r="L384">
        <v>580</v>
      </c>
      <c r="M384" t="s">
        <v>686</v>
      </c>
      <c r="N384" s="2">
        <v>46210</v>
      </c>
      <c r="P384" t="s">
        <v>67</v>
      </c>
      <c r="Q384" t="s">
        <v>55</v>
      </c>
      <c r="R384" t="s">
        <v>569</v>
      </c>
      <c r="S384" s="2">
        <v>46204</v>
      </c>
      <c r="T384" s="2">
        <v>46205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</row>
    <row r="385" spans="1:39" x14ac:dyDescent="0.25">
      <c r="A385">
        <v>580</v>
      </c>
      <c r="B385" t="s">
        <v>787</v>
      </c>
      <c r="C385" t="s">
        <v>784</v>
      </c>
      <c r="D385" t="s">
        <v>114</v>
      </c>
      <c r="E385" t="s">
        <v>52</v>
      </c>
      <c r="F385" s="2">
        <v>46211</v>
      </c>
      <c r="G385" s="2">
        <v>46211</v>
      </c>
      <c r="H385" s="3">
        <v>0</v>
      </c>
      <c r="J385" t="s">
        <v>41</v>
      </c>
      <c r="K385">
        <v>579</v>
      </c>
      <c r="M385" t="s">
        <v>688</v>
      </c>
      <c r="N385" s="2">
        <v>46211</v>
      </c>
      <c r="P385" t="s">
        <v>67</v>
      </c>
      <c r="Q385" t="s">
        <v>55</v>
      </c>
      <c r="R385" t="s">
        <v>569</v>
      </c>
      <c r="S385" s="2">
        <v>46206</v>
      </c>
      <c r="T385" s="2">
        <v>46206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</row>
    <row r="386" spans="1:39" x14ac:dyDescent="0.25">
      <c r="A386">
        <v>581</v>
      </c>
      <c r="B386" t="s">
        <v>788</v>
      </c>
      <c r="C386" t="s">
        <v>571</v>
      </c>
      <c r="D386" t="s">
        <v>789</v>
      </c>
      <c r="E386" t="s">
        <v>679</v>
      </c>
      <c r="F386" s="2">
        <v>46191</v>
      </c>
      <c r="G386" s="2">
        <v>46211</v>
      </c>
      <c r="H386" s="3">
        <v>0.8</v>
      </c>
      <c r="J386" t="s">
        <v>41</v>
      </c>
      <c r="M386" t="s">
        <v>308</v>
      </c>
      <c r="N386" s="2">
        <v>46211</v>
      </c>
      <c r="P386" t="s">
        <v>73</v>
      </c>
      <c r="Q386" t="s">
        <v>55</v>
      </c>
      <c r="R386" t="s">
        <v>569</v>
      </c>
      <c r="S386" s="2">
        <v>46189</v>
      </c>
      <c r="T386" s="2">
        <v>46206</v>
      </c>
      <c r="AB386">
        <v>0.8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>
        <v>582</v>
      </c>
      <c r="B387" t="s">
        <v>790</v>
      </c>
      <c r="C387" t="s">
        <v>791</v>
      </c>
      <c r="D387" t="s">
        <v>100</v>
      </c>
      <c r="E387" t="s">
        <v>682</v>
      </c>
      <c r="F387" s="2">
        <v>46191</v>
      </c>
      <c r="G387" s="2">
        <v>46203</v>
      </c>
      <c r="H387" s="3">
        <v>1</v>
      </c>
      <c r="I387" s="2">
        <v>46203</v>
      </c>
      <c r="J387" t="s">
        <v>53</v>
      </c>
      <c r="K387" t="s">
        <v>693</v>
      </c>
      <c r="L387">
        <v>583</v>
      </c>
      <c r="M387" t="s">
        <v>308</v>
      </c>
      <c r="N387" s="2">
        <v>46205</v>
      </c>
      <c r="P387" t="s">
        <v>73</v>
      </c>
      <c r="Q387" t="s">
        <v>55</v>
      </c>
      <c r="R387" t="s">
        <v>569</v>
      </c>
      <c r="S387" s="2">
        <v>46189</v>
      </c>
      <c r="T387" s="2">
        <v>46202</v>
      </c>
      <c r="AB387">
        <v>1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</row>
    <row r="388" spans="1:39" x14ac:dyDescent="0.25">
      <c r="A388">
        <v>583</v>
      </c>
      <c r="B388" t="s">
        <v>792</v>
      </c>
      <c r="C388" t="s">
        <v>791</v>
      </c>
      <c r="D388" t="s">
        <v>104</v>
      </c>
      <c r="E388" t="s">
        <v>101</v>
      </c>
      <c r="F388" s="2">
        <v>46204</v>
      </c>
      <c r="G388" s="2">
        <v>46206</v>
      </c>
      <c r="H388" s="3">
        <v>1</v>
      </c>
      <c r="I388" s="2">
        <v>46206</v>
      </c>
      <c r="J388" t="s">
        <v>53</v>
      </c>
      <c r="K388">
        <v>582</v>
      </c>
      <c r="L388">
        <v>584</v>
      </c>
      <c r="M388" t="s">
        <v>385</v>
      </c>
      <c r="N388" s="2">
        <v>46206</v>
      </c>
      <c r="P388" t="s">
        <v>179</v>
      </c>
      <c r="Q388" t="s">
        <v>55</v>
      </c>
      <c r="R388" t="s">
        <v>569</v>
      </c>
      <c r="S388" s="2">
        <v>46203</v>
      </c>
      <c r="T388" s="2">
        <v>46203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584</v>
      </c>
      <c r="B389" t="s">
        <v>793</v>
      </c>
      <c r="C389" t="s">
        <v>791</v>
      </c>
      <c r="D389" t="s">
        <v>108</v>
      </c>
      <c r="E389" t="s">
        <v>115</v>
      </c>
      <c r="F389" s="2">
        <v>46209</v>
      </c>
      <c r="G389" s="2">
        <v>46210</v>
      </c>
      <c r="H389" s="3">
        <v>0</v>
      </c>
      <c r="J389" t="s">
        <v>41</v>
      </c>
      <c r="K389">
        <v>583</v>
      </c>
      <c r="L389">
        <v>585</v>
      </c>
      <c r="M389" t="s">
        <v>686</v>
      </c>
      <c r="N389" s="2">
        <v>46210</v>
      </c>
      <c r="P389" t="s">
        <v>67</v>
      </c>
      <c r="Q389" t="s">
        <v>55</v>
      </c>
      <c r="R389" t="s">
        <v>569</v>
      </c>
      <c r="S389" s="2">
        <v>46204</v>
      </c>
      <c r="T389" s="2">
        <v>46205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</row>
    <row r="390" spans="1:39" x14ac:dyDescent="0.25">
      <c r="A390">
        <v>585</v>
      </c>
      <c r="B390" t="s">
        <v>794</v>
      </c>
      <c r="C390" t="s">
        <v>791</v>
      </c>
      <c r="D390" t="s">
        <v>114</v>
      </c>
      <c r="E390" t="s">
        <v>52</v>
      </c>
      <c r="F390" s="2">
        <v>46211</v>
      </c>
      <c r="G390" s="2">
        <v>46211</v>
      </c>
      <c r="H390" s="3">
        <v>0</v>
      </c>
      <c r="J390" t="s">
        <v>41</v>
      </c>
      <c r="K390">
        <v>584</v>
      </c>
      <c r="M390" t="s">
        <v>688</v>
      </c>
      <c r="N390" s="2">
        <v>46211</v>
      </c>
      <c r="P390" t="s">
        <v>67</v>
      </c>
      <c r="Q390" t="s">
        <v>55</v>
      </c>
      <c r="R390" t="s">
        <v>569</v>
      </c>
      <c r="S390" s="2">
        <v>46206</v>
      </c>
      <c r="T390" s="2">
        <v>46206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</row>
    <row r="391" spans="1:39" x14ac:dyDescent="0.25">
      <c r="A391">
        <v>586</v>
      </c>
      <c r="B391" t="s">
        <v>795</v>
      </c>
      <c r="C391" t="s">
        <v>571</v>
      </c>
      <c r="D391" t="s">
        <v>796</v>
      </c>
      <c r="E391" t="s">
        <v>679</v>
      </c>
      <c r="F391" s="2">
        <v>46191</v>
      </c>
      <c r="G391" s="2">
        <v>46211</v>
      </c>
      <c r="H391" s="3">
        <v>0.8</v>
      </c>
      <c r="J391" t="s">
        <v>41</v>
      </c>
      <c r="M391" t="s">
        <v>308</v>
      </c>
      <c r="N391" s="2">
        <v>46211</v>
      </c>
      <c r="P391" t="s">
        <v>73</v>
      </c>
      <c r="Q391" t="s">
        <v>55</v>
      </c>
      <c r="R391" t="s">
        <v>569</v>
      </c>
      <c r="S391" s="2">
        <v>46189</v>
      </c>
      <c r="T391" s="2">
        <v>46206</v>
      </c>
      <c r="U391" t="s">
        <v>77</v>
      </c>
      <c r="AB391">
        <v>0.8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587</v>
      </c>
      <c r="B392" t="s">
        <v>797</v>
      </c>
      <c r="C392" t="s">
        <v>798</v>
      </c>
      <c r="D392" t="s">
        <v>100</v>
      </c>
      <c r="E392" t="s">
        <v>682</v>
      </c>
      <c r="F392" s="2">
        <v>46191</v>
      </c>
      <c r="G392" s="2">
        <v>46203</v>
      </c>
      <c r="H392" s="3">
        <v>1</v>
      </c>
      <c r="I392" s="2">
        <v>46203</v>
      </c>
      <c r="J392" t="s">
        <v>53</v>
      </c>
      <c r="K392" t="s">
        <v>693</v>
      </c>
      <c r="L392">
        <v>588</v>
      </c>
      <c r="M392" t="s">
        <v>304</v>
      </c>
      <c r="N392" s="2">
        <v>46202</v>
      </c>
      <c r="P392" t="s">
        <v>73</v>
      </c>
      <c r="Q392" t="s">
        <v>55</v>
      </c>
      <c r="R392" t="s">
        <v>569</v>
      </c>
      <c r="S392" s="2">
        <v>46192</v>
      </c>
      <c r="T392" s="2">
        <v>46202</v>
      </c>
      <c r="AB392">
        <v>1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</row>
    <row r="393" spans="1:39" x14ac:dyDescent="0.25">
      <c r="A393">
        <v>588</v>
      </c>
      <c r="B393" t="s">
        <v>799</v>
      </c>
      <c r="C393" t="s">
        <v>798</v>
      </c>
      <c r="D393" t="s">
        <v>104</v>
      </c>
      <c r="E393" t="s">
        <v>101</v>
      </c>
      <c r="F393" s="2">
        <v>46204</v>
      </c>
      <c r="G393" s="2">
        <v>46206</v>
      </c>
      <c r="H393" s="3">
        <v>1</v>
      </c>
      <c r="I393" s="2">
        <v>46206</v>
      </c>
      <c r="J393" t="s">
        <v>53</v>
      </c>
      <c r="K393">
        <v>587</v>
      </c>
      <c r="L393">
        <v>589</v>
      </c>
      <c r="M393" t="s">
        <v>197</v>
      </c>
      <c r="N393" s="2">
        <v>46203</v>
      </c>
      <c r="P393" t="s">
        <v>179</v>
      </c>
      <c r="Q393" t="s">
        <v>55</v>
      </c>
      <c r="R393" t="s">
        <v>569</v>
      </c>
      <c r="S393" s="2">
        <v>46203</v>
      </c>
      <c r="T393" s="2">
        <v>46203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25">
      <c r="A394">
        <v>589</v>
      </c>
      <c r="B394" t="s">
        <v>800</v>
      </c>
      <c r="C394" t="s">
        <v>798</v>
      </c>
      <c r="D394" t="s">
        <v>108</v>
      </c>
      <c r="E394" t="s">
        <v>115</v>
      </c>
      <c r="F394" s="2">
        <v>46209</v>
      </c>
      <c r="G394" s="2">
        <v>46210</v>
      </c>
      <c r="H394" s="3">
        <v>0</v>
      </c>
      <c r="J394" t="s">
        <v>41</v>
      </c>
      <c r="K394">
        <v>588</v>
      </c>
      <c r="L394">
        <v>590</v>
      </c>
      <c r="M394" t="s">
        <v>404</v>
      </c>
      <c r="N394" s="2">
        <v>46204</v>
      </c>
      <c r="P394" t="s">
        <v>67</v>
      </c>
      <c r="Q394" t="s">
        <v>55</v>
      </c>
      <c r="R394" t="s">
        <v>569</v>
      </c>
      <c r="S394" s="2">
        <v>46204</v>
      </c>
      <c r="T394" s="2">
        <v>46204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</row>
    <row r="395" spans="1:39" x14ac:dyDescent="0.25">
      <c r="A395">
        <v>590</v>
      </c>
      <c r="B395" t="s">
        <v>801</v>
      </c>
      <c r="C395" t="s">
        <v>798</v>
      </c>
      <c r="D395" t="s">
        <v>114</v>
      </c>
      <c r="E395" t="s">
        <v>52</v>
      </c>
      <c r="F395" s="2">
        <v>46211</v>
      </c>
      <c r="G395" s="2">
        <v>46211</v>
      </c>
      <c r="H395" s="3">
        <v>0</v>
      </c>
      <c r="J395" t="s">
        <v>41</v>
      </c>
      <c r="K395">
        <v>589</v>
      </c>
      <c r="M395" t="s">
        <v>383</v>
      </c>
      <c r="N395" s="2">
        <v>46205</v>
      </c>
      <c r="P395" t="s">
        <v>67</v>
      </c>
      <c r="Q395" t="s">
        <v>55</v>
      </c>
      <c r="R395" t="s">
        <v>569</v>
      </c>
      <c r="S395" s="2">
        <v>46205</v>
      </c>
      <c r="T395" s="2">
        <v>46205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</row>
    <row r="396" spans="1:39" x14ac:dyDescent="0.25">
      <c r="A396">
        <v>591</v>
      </c>
      <c r="B396" t="s">
        <v>802</v>
      </c>
      <c r="C396" t="s">
        <v>571</v>
      </c>
      <c r="D396" t="s">
        <v>803</v>
      </c>
      <c r="E396" t="s">
        <v>679</v>
      </c>
      <c r="F396" s="2">
        <v>46191</v>
      </c>
      <c r="G396" s="2">
        <v>46211</v>
      </c>
      <c r="H396" s="3">
        <v>0.8</v>
      </c>
      <c r="J396" t="s">
        <v>41</v>
      </c>
      <c r="M396" t="s">
        <v>308</v>
      </c>
      <c r="N396" s="2">
        <v>46211</v>
      </c>
      <c r="P396" t="s">
        <v>73</v>
      </c>
      <c r="Q396" t="s">
        <v>55</v>
      </c>
      <c r="R396" t="s">
        <v>569</v>
      </c>
      <c r="S396" s="2">
        <v>46189</v>
      </c>
      <c r="T396" s="2">
        <v>46206</v>
      </c>
      <c r="U396" t="s">
        <v>77</v>
      </c>
      <c r="AB396">
        <v>0.8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592</v>
      </c>
      <c r="B397" t="s">
        <v>804</v>
      </c>
      <c r="C397" t="s">
        <v>805</v>
      </c>
      <c r="D397" t="s">
        <v>100</v>
      </c>
      <c r="E397" t="s">
        <v>682</v>
      </c>
      <c r="F397" s="2">
        <v>46191</v>
      </c>
      <c r="G397" s="2">
        <v>46203</v>
      </c>
      <c r="H397" s="3">
        <v>1</v>
      </c>
      <c r="I397" s="2">
        <v>46203</v>
      </c>
      <c r="J397" t="s">
        <v>53</v>
      </c>
      <c r="K397" t="s">
        <v>693</v>
      </c>
      <c r="L397">
        <v>593</v>
      </c>
      <c r="M397" t="s">
        <v>284</v>
      </c>
      <c r="N397" s="2">
        <v>46203</v>
      </c>
      <c r="P397" t="s">
        <v>73</v>
      </c>
      <c r="Q397" t="s">
        <v>55</v>
      </c>
      <c r="R397" t="s">
        <v>569</v>
      </c>
      <c r="S397" s="2">
        <v>46195</v>
      </c>
      <c r="T397" s="2">
        <v>46203</v>
      </c>
      <c r="AB397">
        <v>1</v>
      </c>
      <c r="AC397">
        <v>1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</row>
    <row r="398" spans="1:39" x14ac:dyDescent="0.25">
      <c r="A398">
        <v>593</v>
      </c>
      <c r="B398" t="s">
        <v>806</v>
      </c>
      <c r="C398" t="s">
        <v>805</v>
      </c>
      <c r="D398" t="s">
        <v>104</v>
      </c>
      <c r="E398" t="s">
        <v>101</v>
      </c>
      <c r="F398" s="2">
        <v>46204</v>
      </c>
      <c r="G398" s="2">
        <v>46206</v>
      </c>
      <c r="H398" s="3">
        <v>1</v>
      </c>
      <c r="I398" s="2">
        <v>46206</v>
      </c>
      <c r="J398" t="s">
        <v>53</v>
      </c>
      <c r="K398">
        <v>592</v>
      </c>
      <c r="L398">
        <v>594</v>
      </c>
      <c r="M398" t="s">
        <v>404</v>
      </c>
      <c r="N398" s="2">
        <v>46204</v>
      </c>
      <c r="P398" t="s">
        <v>179</v>
      </c>
      <c r="Q398" t="s">
        <v>55</v>
      </c>
      <c r="R398" t="s">
        <v>569</v>
      </c>
      <c r="S398" s="2">
        <v>46204</v>
      </c>
      <c r="T398" s="2">
        <v>46204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594</v>
      </c>
      <c r="B399" t="s">
        <v>807</v>
      </c>
      <c r="C399" t="s">
        <v>805</v>
      </c>
      <c r="D399" t="s">
        <v>108</v>
      </c>
      <c r="E399" t="s">
        <v>115</v>
      </c>
      <c r="F399" s="2">
        <v>46209</v>
      </c>
      <c r="G399" s="2">
        <v>46210</v>
      </c>
      <c r="H399" s="3">
        <v>0</v>
      </c>
      <c r="J399" t="s">
        <v>41</v>
      </c>
      <c r="K399">
        <v>593</v>
      </c>
      <c r="L399">
        <v>595</v>
      </c>
      <c r="M399" t="s">
        <v>383</v>
      </c>
      <c r="N399" s="2">
        <v>46205</v>
      </c>
      <c r="P399" t="s">
        <v>67</v>
      </c>
      <c r="Q399" t="s">
        <v>55</v>
      </c>
      <c r="R399" t="s">
        <v>569</v>
      </c>
      <c r="S399" s="2">
        <v>46205</v>
      </c>
      <c r="T399" s="2">
        <v>46205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</row>
    <row r="400" spans="1:39" x14ac:dyDescent="0.25">
      <c r="A400">
        <v>595</v>
      </c>
      <c r="B400" t="s">
        <v>808</v>
      </c>
      <c r="C400" t="s">
        <v>805</v>
      </c>
      <c r="D400" t="s">
        <v>114</v>
      </c>
      <c r="E400" t="s">
        <v>52</v>
      </c>
      <c r="F400" s="2">
        <v>46211</v>
      </c>
      <c r="G400" s="2">
        <v>46211</v>
      </c>
      <c r="H400" s="3">
        <v>0</v>
      </c>
      <c r="J400" t="s">
        <v>41</v>
      </c>
      <c r="K400">
        <v>594</v>
      </c>
      <c r="M400" t="s">
        <v>385</v>
      </c>
      <c r="N400" s="2">
        <v>46206</v>
      </c>
      <c r="P400" t="s">
        <v>67</v>
      </c>
      <c r="Q400" t="s">
        <v>55</v>
      </c>
      <c r="R400" t="s">
        <v>569</v>
      </c>
      <c r="S400" s="2">
        <v>46206</v>
      </c>
      <c r="T400" s="2">
        <v>46206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</row>
    <row r="401" spans="1:39" x14ac:dyDescent="0.25">
      <c r="A401">
        <v>596</v>
      </c>
      <c r="B401" t="s">
        <v>809</v>
      </c>
      <c r="C401" t="s">
        <v>571</v>
      </c>
      <c r="D401" t="s">
        <v>810</v>
      </c>
      <c r="E401" t="s">
        <v>679</v>
      </c>
      <c r="F401" s="2">
        <v>46191</v>
      </c>
      <c r="G401" s="2">
        <v>46211</v>
      </c>
      <c r="H401" s="3">
        <v>0.8</v>
      </c>
      <c r="J401" t="s">
        <v>41</v>
      </c>
      <c r="M401" t="s">
        <v>308</v>
      </c>
      <c r="N401" s="2">
        <v>46211</v>
      </c>
      <c r="P401" t="s">
        <v>73</v>
      </c>
      <c r="Q401" t="s">
        <v>55</v>
      </c>
      <c r="R401" t="s">
        <v>569</v>
      </c>
      <c r="S401" s="2">
        <v>46189</v>
      </c>
      <c r="T401" s="2">
        <v>46206</v>
      </c>
      <c r="U401" t="s">
        <v>77</v>
      </c>
      <c r="AB401">
        <v>0.8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597</v>
      </c>
      <c r="B402" t="s">
        <v>811</v>
      </c>
      <c r="C402" t="s">
        <v>812</v>
      </c>
      <c r="D402" t="s">
        <v>100</v>
      </c>
      <c r="E402" t="s">
        <v>682</v>
      </c>
      <c r="F402" s="2">
        <v>46191</v>
      </c>
      <c r="G402" s="2">
        <v>46203</v>
      </c>
      <c r="H402" s="3">
        <v>1</v>
      </c>
      <c r="I402" s="2">
        <v>46203</v>
      </c>
      <c r="J402" t="s">
        <v>53</v>
      </c>
      <c r="K402" t="s">
        <v>693</v>
      </c>
      <c r="L402">
        <v>598</v>
      </c>
      <c r="M402" t="s">
        <v>284</v>
      </c>
      <c r="N402" s="2">
        <v>46203</v>
      </c>
      <c r="P402" t="s">
        <v>73</v>
      </c>
      <c r="Q402" t="s">
        <v>55</v>
      </c>
      <c r="R402" t="s">
        <v>569</v>
      </c>
      <c r="S402" s="2">
        <v>46195</v>
      </c>
      <c r="T402" s="2">
        <v>46203</v>
      </c>
      <c r="AB402">
        <v>1</v>
      </c>
      <c r="AC402">
        <v>1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</row>
    <row r="403" spans="1:39" x14ac:dyDescent="0.25">
      <c r="A403">
        <v>598</v>
      </c>
      <c r="B403" t="s">
        <v>813</v>
      </c>
      <c r="C403" t="s">
        <v>812</v>
      </c>
      <c r="D403" t="s">
        <v>104</v>
      </c>
      <c r="E403" t="s">
        <v>101</v>
      </c>
      <c r="F403" s="2">
        <v>46204</v>
      </c>
      <c r="G403" s="2">
        <v>46206</v>
      </c>
      <c r="H403" s="3">
        <v>1</v>
      </c>
      <c r="I403" s="2">
        <v>46206</v>
      </c>
      <c r="J403" t="s">
        <v>53</v>
      </c>
      <c r="K403">
        <v>597</v>
      </c>
      <c r="L403">
        <v>599</v>
      </c>
      <c r="M403" t="s">
        <v>404</v>
      </c>
      <c r="N403" s="2">
        <v>46204</v>
      </c>
      <c r="P403" t="s">
        <v>179</v>
      </c>
      <c r="Q403" t="s">
        <v>55</v>
      </c>
      <c r="R403" t="s">
        <v>569</v>
      </c>
      <c r="S403" s="2">
        <v>46204</v>
      </c>
      <c r="T403" s="2">
        <v>46204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599</v>
      </c>
      <c r="B404" t="s">
        <v>814</v>
      </c>
      <c r="C404" t="s">
        <v>812</v>
      </c>
      <c r="D404" t="s">
        <v>108</v>
      </c>
      <c r="E404" t="s">
        <v>115</v>
      </c>
      <c r="F404" s="2">
        <v>46209</v>
      </c>
      <c r="G404" s="2">
        <v>46210</v>
      </c>
      <c r="H404" s="3">
        <v>0</v>
      </c>
      <c r="J404" t="s">
        <v>41</v>
      </c>
      <c r="K404">
        <v>598</v>
      </c>
      <c r="L404">
        <v>600</v>
      </c>
      <c r="M404" t="s">
        <v>383</v>
      </c>
      <c r="N404" s="2">
        <v>46205</v>
      </c>
      <c r="P404" t="s">
        <v>67</v>
      </c>
      <c r="Q404" t="s">
        <v>55</v>
      </c>
      <c r="R404" t="s">
        <v>569</v>
      </c>
      <c r="S404" s="2">
        <v>46205</v>
      </c>
      <c r="T404" s="2">
        <v>46205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</row>
    <row r="405" spans="1:39" x14ac:dyDescent="0.25">
      <c r="A405">
        <v>600</v>
      </c>
      <c r="B405" t="s">
        <v>815</v>
      </c>
      <c r="C405" t="s">
        <v>812</v>
      </c>
      <c r="D405" t="s">
        <v>114</v>
      </c>
      <c r="E405" t="s">
        <v>52</v>
      </c>
      <c r="F405" s="2">
        <v>46211</v>
      </c>
      <c r="G405" s="2">
        <v>46211</v>
      </c>
      <c r="H405" s="3">
        <v>0</v>
      </c>
      <c r="J405" t="s">
        <v>41</v>
      </c>
      <c r="K405">
        <v>599</v>
      </c>
      <c r="M405" t="s">
        <v>385</v>
      </c>
      <c r="N405" s="2">
        <v>46206</v>
      </c>
      <c r="P405" t="s">
        <v>67</v>
      </c>
      <c r="Q405" t="s">
        <v>55</v>
      </c>
      <c r="R405" t="s">
        <v>569</v>
      </c>
      <c r="S405" s="2">
        <v>46206</v>
      </c>
      <c r="T405" s="2">
        <v>46206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</row>
    <row r="406" spans="1:39" x14ac:dyDescent="0.25">
      <c r="A406">
        <v>601</v>
      </c>
      <c r="B406" t="s">
        <v>816</v>
      </c>
      <c r="C406" t="s">
        <v>571</v>
      </c>
      <c r="D406" t="s">
        <v>817</v>
      </c>
      <c r="E406" t="s">
        <v>679</v>
      </c>
      <c r="F406" s="2">
        <v>46191</v>
      </c>
      <c r="G406" s="2">
        <v>46211</v>
      </c>
      <c r="H406" s="3">
        <v>0.8</v>
      </c>
      <c r="J406" t="s">
        <v>41</v>
      </c>
      <c r="M406" t="s">
        <v>308</v>
      </c>
      <c r="N406" s="2">
        <v>46211</v>
      </c>
      <c r="P406" t="s">
        <v>73</v>
      </c>
      <c r="Q406" t="s">
        <v>55</v>
      </c>
      <c r="R406" t="s">
        <v>569</v>
      </c>
      <c r="S406" s="2">
        <v>46189</v>
      </c>
      <c r="T406" s="2">
        <v>46206</v>
      </c>
      <c r="U406" t="s">
        <v>77</v>
      </c>
      <c r="AB406">
        <v>0.8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602</v>
      </c>
      <c r="B407" t="s">
        <v>818</v>
      </c>
      <c r="C407" t="s">
        <v>819</v>
      </c>
      <c r="D407" t="s">
        <v>100</v>
      </c>
      <c r="E407" t="s">
        <v>682</v>
      </c>
      <c r="F407" s="2">
        <v>46191</v>
      </c>
      <c r="G407" s="2">
        <v>46203</v>
      </c>
      <c r="H407" s="3">
        <v>1</v>
      </c>
      <c r="I407" s="2">
        <v>46203</v>
      </c>
      <c r="J407" t="s">
        <v>53</v>
      </c>
      <c r="K407" t="s">
        <v>693</v>
      </c>
      <c r="L407">
        <v>603</v>
      </c>
      <c r="M407" t="s">
        <v>304</v>
      </c>
      <c r="N407" s="2">
        <v>46202</v>
      </c>
      <c r="P407" t="s">
        <v>73</v>
      </c>
      <c r="Q407" t="s">
        <v>55</v>
      </c>
      <c r="R407" t="s">
        <v>569</v>
      </c>
      <c r="S407" s="2">
        <v>46192</v>
      </c>
      <c r="T407" s="2">
        <v>46202</v>
      </c>
      <c r="AB407">
        <v>1</v>
      </c>
      <c r="AC407">
        <v>1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</row>
    <row r="408" spans="1:39" x14ac:dyDescent="0.25">
      <c r="A408">
        <v>603</v>
      </c>
      <c r="B408" t="s">
        <v>820</v>
      </c>
      <c r="C408" t="s">
        <v>819</v>
      </c>
      <c r="D408" t="s">
        <v>104</v>
      </c>
      <c r="E408" t="s">
        <v>101</v>
      </c>
      <c r="F408" s="2">
        <v>46204</v>
      </c>
      <c r="G408" s="2">
        <v>46206</v>
      </c>
      <c r="H408" s="3">
        <v>1</v>
      </c>
      <c r="I408" s="2">
        <v>46206</v>
      </c>
      <c r="J408" t="s">
        <v>53</v>
      </c>
      <c r="K408">
        <v>602</v>
      </c>
      <c r="L408">
        <v>604</v>
      </c>
      <c r="M408" t="s">
        <v>197</v>
      </c>
      <c r="N408" s="2">
        <v>46203</v>
      </c>
      <c r="P408" t="s">
        <v>179</v>
      </c>
      <c r="Q408" t="s">
        <v>55</v>
      </c>
      <c r="R408" t="s">
        <v>569</v>
      </c>
      <c r="S408" s="2">
        <v>46203</v>
      </c>
      <c r="T408" s="2">
        <v>46203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604</v>
      </c>
      <c r="B409" t="s">
        <v>821</v>
      </c>
      <c r="C409" t="s">
        <v>819</v>
      </c>
      <c r="D409" t="s">
        <v>108</v>
      </c>
      <c r="E409" t="s">
        <v>115</v>
      </c>
      <c r="F409" s="2">
        <v>46209</v>
      </c>
      <c r="G409" s="2">
        <v>46210</v>
      </c>
      <c r="H409" s="3">
        <v>0</v>
      </c>
      <c r="J409" t="s">
        <v>41</v>
      </c>
      <c r="K409">
        <v>603</v>
      </c>
      <c r="L409">
        <v>605</v>
      </c>
      <c r="M409" t="s">
        <v>404</v>
      </c>
      <c r="N409" s="2">
        <v>46204</v>
      </c>
      <c r="P409" t="s">
        <v>67</v>
      </c>
      <c r="Q409" t="s">
        <v>55</v>
      </c>
      <c r="R409" t="s">
        <v>569</v>
      </c>
      <c r="S409" s="2">
        <v>46204</v>
      </c>
      <c r="T409" s="2">
        <v>46204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</row>
    <row r="410" spans="1:39" x14ac:dyDescent="0.25">
      <c r="A410">
        <v>605</v>
      </c>
      <c r="B410" t="s">
        <v>822</v>
      </c>
      <c r="C410" t="s">
        <v>819</v>
      </c>
      <c r="D410" t="s">
        <v>114</v>
      </c>
      <c r="E410" t="s">
        <v>52</v>
      </c>
      <c r="F410" s="2">
        <v>46211</v>
      </c>
      <c r="G410" s="2">
        <v>46211</v>
      </c>
      <c r="H410" s="3">
        <v>0</v>
      </c>
      <c r="J410" t="s">
        <v>41</v>
      </c>
      <c r="K410">
        <v>604</v>
      </c>
      <c r="M410" t="s">
        <v>383</v>
      </c>
      <c r="N410" s="2">
        <v>46205</v>
      </c>
      <c r="P410" t="s">
        <v>67</v>
      </c>
      <c r="Q410" t="s">
        <v>55</v>
      </c>
      <c r="R410" t="s">
        <v>569</v>
      </c>
      <c r="S410" s="2">
        <v>46205</v>
      </c>
      <c r="T410" s="2">
        <v>46205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</row>
    <row r="411" spans="1:39" x14ac:dyDescent="0.25">
      <c r="A411">
        <v>606</v>
      </c>
      <c r="B411" t="s">
        <v>823</v>
      </c>
      <c r="C411" t="s">
        <v>571</v>
      </c>
      <c r="D411" t="s">
        <v>824</v>
      </c>
      <c r="E411" t="s">
        <v>185</v>
      </c>
      <c r="F411" s="2">
        <v>46192</v>
      </c>
      <c r="G411" s="2">
        <v>46205</v>
      </c>
      <c r="H411" s="3">
        <v>0.8</v>
      </c>
      <c r="J411" t="s">
        <v>41</v>
      </c>
      <c r="M411" t="s">
        <v>308</v>
      </c>
      <c r="N411" s="2">
        <v>46211</v>
      </c>
      <c r="P411" t="s">
        <v>73</v>
      </c>
      <c r="Q411" t="s">
        <v>55</v>
      </c>
      <c r="R411" t="s">
        <v>569</v>
      </c>
      <c r="S411" s="2">
        <v>46189</v>
      </c>
      <c r="T411" s="2">
        <v>46206</v>
      </c>
      <c r="U411" t="s">
        <v>77</v>
      </c>
      <c r="AB411">
        <v>0.8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607</v>
      </c>
      <c r="B412" t="s">
        <v>825</v>
      </c>
      <c r="C412" t="s">
        <v>826</v>
      </c>
      <c r="D412" t="s">
        <v>100</v>
      </c>
      <c r="E412" t="s">
        <v>224</v>
      </c>
      <c r="F412" s="2">
        <v>46192</v>
      </c>
      <c r="G412" s="2">
        <v>46199</v>
      </c>
      <c r="H412" s="3">
        <v>1</v>
      </c>
      <c r="I412" s="2">
        <v>46199</v>
      </c>
      <c r="J412" t="s">
        <v>53</v>
      </c>
      <c r="K412" t="s">
        <v>693</v>
      </c>
      <c r="L412">
        <v>608</v>
      </c>
      <c r="M412" t="s">
        <v>304</v>
      </c>
      <c r="N412" s="2">
        <v>46202</v>
      </c>
      <c r="P412" t="s">
        <v>73</v>
      </c>
      <c r="Q412" t="s">
        <v>55</v>
      </c>
      <c r="R412" t="s">
        <v>569</v>
      </c>
      <c r="S412" s="2">
        <v>46192</v>
      </c>
      <c r="T412" s="2">
        <v>46202</v>
      </c>
      <c r="AB412">
        <v>1</v>
      </c>
      <c r="AC412">
        <v>1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</row>
    <row r="413" spans="1:39" x14ac:dyDescent="0.25">
      <c r="A413">
        <v>608</v>
      </c>
      <c r="B413" t="s">
        <v>827</v>
      </c>
      <c r="C413" t="s">
        <v>826</v>
      </c>
      <c r="D413" t="s">
        <v>104</v>
      </c>
      <c r="E413" t="s">
        <v>115</v>
      </c>
      <c r="F413" s="2">
        <v>46202</v>
      </c>
      <c r="G413" s="2">
        <v>46203</v>
      </c>
      <c r="H413" s="3">
        <v>1</v>
      </c>
      <c r="I413" s="2">
        <v>46203</v>
      </c>
      <c r="J413" t="s">
        <v>53</v>
      </c>
      <c r="K413">
        <v>607</v>
      </c>
      <c r="L413">
        <v>609</v>
      </c>
      <c r="M413" t="s">
        <v>197</v>
      </c>
      <c r="N413" s="2">
        <v>46203</v>
      </c>
      <c r="P413" t="s">
        <v>179</v>
      </c>
      <c r="Q413" t="s">
        <v>55</v>
      </c>
      <c r="R413" t="s">
        <v>569</v>
      </c>
      <c r="S413" s="2">
        <v>46203</v>
      </c>
      <c r="T413" s="2">
        <v>46203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>
        <v>609</v>
      </c>
      <c r="B414" t="s">
        <v>828</v>
      </c>
      <c r="C414" t="s">
        <v>826</v>
      </c>
      <c r="D414" t="s">
        <v>108</v>
      </c>
      <c r="E414" t="s">
        <v>52</v>
      </c>
      <c r="F414" s="2">
        <v>46204</v>
      </c>
      <c r="G414" s="2">
        <v>46204</v>
      </c>
      <c r="H414" s="3">
        <v>0</v>
      </c>
      <c r="J414" t="s">
        <v>41</v>
      </c>
      <c r="K414">
        <v>608</v>
      </c>
      <c r="L414">
        <v>610</v>
      </c>
      <c r="M414" t="s">
        <v>404</v>
      </c>
      <c r="N414" s="2">
        <v>46204</v>
      </c>
      <c r="P414" t="s">
        <v>67</v>
      </c>
      <c r="Q414" t="s">
        <v>55</v>
      </c>
      <c r="R414" t="s">
        <v>569</v>
      </c>
      <c r="S414" s="2">
        <v>46204</v>
      </c>
      <c r="T414" s="2">
        <v>46204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</row>
    <row r="415" spans="1:39" x14ac:dyDescent="0.25">
      <c r="A415">
        <v>610</v>
      </c>
      <c r="B415" t="s">
        <v>829</v>
      </c>
      <c r="C415" t="s">
        <v>826</v>
      </c>
      <c r="D415" t="s">
        <v>114</v>
      </c>
      <c r="E415" t="s">
        <v>52</v>
      </c>
      <c r="F415" s="2">
        <v>46205</v>
      </c>
      <c r="G415" s="2">
        <v>46205</v>
      </c>
      <c r="H415" s="3">
        <v>0</v>
      </c>
      <c r="J415" t="s">
        <v>41</v>
      </c>
      <c r="K415">
        <v>609</v>
      </c>
      <c r="M415" t="s">
        <v>383</v>
      </c>
      <c r="N415" s="2">
        <v>46205</v>
      </c>
      <c r="P415" t="s">
        <v>67</v>
      </c>
      <c r="Q415" t="s">
        <v>55</v>
      </c>
      <c r="R415" t="s">
        <v>569</v>
      </c>
      <c r="S415" s="2">
        <v>46205</v>
      </c>
      <c r="T415" s="2">
        <v>46205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</row>
    <row r="416" spans="1:39" x14ac:dyDescent="0.25">
      <c r="A416">
        <v>611</v>
      </c>
      <c r="B416" t="s">
        <v>830</v>
      </c>
      <c r="C416" t="s">
        <v>571</v>
      </c>
      <c r="D416" t="s">
        <v>831</v>
      </c>
      <c r="E416" t="s">
        <v>185</v>
      </c>
      <c r="F416" s="2">
        <v>46191</v>
      </c>
      <c r="G416" s="2">
        <v>46204</v>
      </c>
      <c r="H416" s="3">
        <v>0.7</v>
      </c>
      <c r="J416" t="s">
        <v>41</v>
      </c>
      <c r="M416" t="s">
        <v>308</v>
      </c>
      <c r="N416" s="2">
        <v>46211</v>
      </c>
      <c r="P416" t="s">
        <v>73</v>
      </c>
      <c r="Q416" t="s">
        <v>55</v>
      </c>
      <c r="R416" t="s">
        <v>569</v>
      </c>
      <c r="S416" s="2">
        <v>46189</v>
      </c>
      <c r="T416" s="2">
        <v>46206</v>
      </c>
      <c r="U416" t="s">
        <v>77</v>
      </c>
      <c r="AB416">
        <v>0.7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612</v>
      </c>
      <c r="B417" t="s">
        <v>832</v>
      </c>
      <c r="C417" t="s">
        <v>833</v>
      </c>
      <c r="D417" t="s">
        <v>100</v>
      </c>
      <c r="E417" t="s">
        <v>297</v>
      </c>
      <c r="F417" s="2">
        <v>46191</v>
      </c>
      <c r="G417" s="2">
        <v>46199</v>
      </c>
      <c r="H417" s="3">
        <v>1</v>
      </c>
      <c r="I417" s="2">
        <v>46199</v>
      </c>
      <c r="J417" t="s">
        <v>53</v>
      </c>
      <c r="K417" t="s">
        <v>693</v>
      </c>
      <c r="L417">
        <v>613</v>
      </c>
      <c r="M417" t="s">
        <v>304</v>
      </c>
      <c r="N417" s="2">
        <v>46202</v>
      </c>
      <c r="P417" t="s">
        <v>73</v>
      </c>
      <c r="Q417" t="s">
        <v>55</v>
      </c>
      <c r="R417" t="s">
        <v>569</v>
      </c>
      <c r="S417" s="2">
        <v>46192</v>
      </c>
      <c r="T417" s="2">
        <v>46202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</row>
    <row r="418" spans="1:39" x14ac:dyDescent="0.25">
      <c r="A418">
        <v>613</v>
      </c>
      <c r="B418" t="s">
        <v>834</v>
      </c>
      <c r="C418" t="s">
        <v>833</v>
      </c>
      <c r="D418" t="s">
        <v>104</v>
      </c>
      <c r="E418" t="s">
        <v>52</v>
      </c>
      <c r="F418" s="2">
        <v>46202</v>
      </c>
      <c r="G418" s="2">
        <v>46202</v>
      </c>
      <c r="H418" s="3">
        <v>0</v>
      </c>
      <c r="J418" t="s">
        <v>41</v>
      </c>
      <c r="K418">
        <v>612</v>
      </c>
      <c r="L418">
        <v>614</v>
      </c>
      <c r="M418" t="s">
        <v>197</v>
      </c>
      <c r="N418" s="2">
        <v>46203</v>
      </c>
      <c r="P418" t="s">
        <v>179</v>
      </c>
      <c r="Q418" t="s">
        <v>55</v>
      </c>
      <c r="R418" t="s">
        <v>569</v>
      </c>
      <c r="S418" s="2">
        <v>46203</v>
      </c>
      <c r="T418" s="2">
        <v>46203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614</v>
      </c>
      <c r="B419" t="s">
        <v>835</v>
      </c>
      <c r="C419" t="s">
        <v>833</v>
      </c>
      <c r="D419" t="s">
        <v>108</v>
      </c>
      <c r="E419" t="s">
        <v>52</v>
      </c>
      <c r="F419" s="2">
        <v>46203</v>
      </c>
      <c r="G419" s="2">
        <v>46203</v>
      </c>
      <c r="H419" s="3">
        <v>0</v>
      </c>
      <c r="J419" t="s">
        <v>41</v>
      </c>
      <c r="K419">
        <v>613</v>
      </c>
      <c r="L419">
        <v>615</v>
      </c>
      <c r="M419" t="s">
        <v>404</v>
      </c>
      <c r="N419" s="2">
        <v>46204</v>
      </c>
      <c r="P419" t="s">
        <v>67</v>
      </c>
      <c r="Q419" t="s">
        <v>55</v>
      </c>
      <c r="R419" t="s">
        <v>569</v>
      </c>
      <c r="S419" s="2">
        <v>46204</v>
      </c>
      <c r="T419" s="2">
        <v>46204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</row>
    <row r="420" spans="1:39" x14ac:dyDescent="0.25">
      <c r="A420">
        <v>615</v>
      </c>
      <c r="B420" t="s">
        <v>836</v>
      </c>
      <c r="C420" t="s">
        <v>833</v>
      </c>
      <c r="D420" t="s">
        <v>114</v>
      </c>
      <c r="E420" t="s">
        <v>52</v>
      </c>
      <c r="F420" s="2">
        <v>46204</v>
      </c>
      <c r="G420" s="2">
        <v>46204</v>
      </c>
      <c r="H420" s="3">
        <v>0</v>
      </c>
      <c r="J420" t="s">
        <v>41</v>
      </c>
      <c r="K420">
        <v>614</v>
      </c>
      <c r="M420" t="s">
        <v>383</v>
      </c>
      <c r="N420" s="2">
        <v>46205</v>
      </c>
      <c r="P420" t="s">
        <v>67</v>
      </c>
      <c r="Q420" t="s">
        <v>55</v>
      </c>
      <c r="R420" t="s">
        <v>569</v>
      </c>
      <c r="S420" s="2">
        <v>46205</v>
      </c>
      <c r="T420" s="2">
        <v>46205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</row>
    <row r="421" spans="1:39" x14ac:dyDescent="0.25">
      <c r="A421">
        <v>616</v>
      </c>
      <c r="B421" t="s">
        <v>837</v>
      </c>
      <c r="C421" t="s">
        <v>571</v>
      </c>
      <c r="D421" t="s">
        <v>838</v>
      </c>
      <c r="E421" t="s">
        <v>294</v>
      </c>
      <c r="F421" s="2">
        <v>46192</v>
      </c>
      <c r="G421" s="2">
        <v>46206</v>
      </c>
      <c r="H421" s="3">
        <v>0.73</v>
      </c>
      <c r="J421" t="s">
        <v>41</v>
      </c>
      <c r="M421" t="s">
        <v>308</v>
      </c>
      <c r="N421" s="2">
        <v>46211</v>
      </c>
      <c r="P421" t="s">
        <v>73</v>
      </c>
      <c r="Q421" t="s">
        <v>55</v>
      </c>
      <c r="R421" t="s">
        <v>569</v>
      </c>
      <c r="S421" s="2">
        <v>46189</v>
      </c>
      <c r="T421" s="2">
        <v>46206</v>
      </c>
      <c r="U421" t="s">
        <v>77</v>
      </c>
      <c r="AB421">
        <v>0.73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617</v>
      </c>
      <c r="B422" t="s">
        <v>839</v>
      </c>
      <c r="C422" t="s">
        <v>840</v>
      </c>
      <c r="D422" t="s">
        <v>100</v>
      </c>
      <c r="E422" t="s">
        <v>515</v>
      </c>
      <c r="F422" s="2">
        <v>46192</v>
      </c>
      <c r="G422" s="2">
        <v>46203</v>
      </c>
      <c r="H422" s="3">
        <v>1</v>
      </c>
      <c r="I422" s="2">
        <v>46203</v>
      </c>
      <c r="J422" t="s">
        <v>53</v>
      </c>
      <c r="K422" t="s">
        <v>693</v>
      </c>
      <c r="L422">
        <v>618</v>
      </c>
      <c r="M422" t="s">
        <v>304</v>
      </c>
      <c r="N422" s="2">
        <v>46202</v>
      </c>
      <c r="P422" t="s">
        <v>73</v>
      </c>
      <c r="Q422" t="s">
        <v>55</v>
      </c>
      <c r="R422" t="s">
        <v>569</v>
      </c>
      <c r="S422" s="2">
        <v>46192</v>
      </c>
      <c r="T422" s="2">
        <v>46202</v>
      </c>
      <c r="AB422">
        <v>1</v>
      </c>
      <c r="AC422">
        <v>1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</row>
    <row r="423" spans="1:39" x14ac:dyDescent="0.25">
      <c r="A423">
        <v>618</v>
      </c>
      <c r="B423" t="s">
        <v>841</v>
      </c>
      <c r="C423" t="s">
        <v>840</v>
      </c>
      <c r="D423" t="s">
        <v>104</v>
      </c>
      <c r="E423" t="s">
        <v>52</v>
      </c>
      <c r="F423" s="2">
        <v>46204</v>
      </c>
      <c r="G423" s="2">
        <v>46204</v>
      </c>
      <c r="H423" s="3">
        <v>0</v>
      </c>
      <c r="J423" t="s">
        <v>41</v>
      </c>
      <c r="K423">
        <v>617</v>
      </c>
      <c r="L423">
        <v>619</v>
      </c>
      <c r="M423" t="s">
        <v>197</v>
      </c>
      <c r="N423" s="2">
        <v>46203</v>
      </c>
      <c r="P423" t="s">
        <v>179</v>
      </c>
      <c r="Q423" t="s">
        <v>55</v>
      </c>
      <c r="R423" t="s">
        <v>569</v>
      </c>
      <c r="S423" s="2">
        <v>46203</v>
      </c>
      <c r="T423" s="2">
        <v>46203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619</v>
      </c>
      <c r="B424" t="s">
        <v>842</v>
      </c>
      <c r="C424" t="s">
        <v>840</v>
      </c>
      <c r="D424" t="s">
        <v>108</v>
      </c>
      <c r="E424" t="s">
        <v>52</v>
      </c>
      <c r="F424" s="2">
        <v>46205</v>
      </c>
      <c r="G424" s="2">
        <v>46205</v>
      </c>
      <c r="H424" s="3">
        <v>0</v>
      </c>
      <c r="J424" t="s">
        <v>41</v>
      </c>
      <c r="K424">
        <v>618</v>
      </c>
      <c r="L424">
        <v>620</v>
      </c>
      <c r="M424" t="s">
        <v>404</v>
      </c>
      <c r="N424" s="2">
        <v>46204</v>
      </c>
      <c r="P424" t="s">
        <v>67</v>
      </c>
      <c r="Q424" t="s">
        <v>55</v>
      </c>
      <c r="R424" t="s">
        <v>569</v>
      </c>
      <c r="S424" s="2">
        <v>46204</v>
      </c>
      <c r="T424" s="2">
        <v>46204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>
        <v>620</v>
      </c>
      <c r="B425" t="s">
        <v>843</v>
      </c>
      <c r="C425" t="s">
        <v>840</v>
      </c>
      <c r="D425" t="s">
        <v>114</v>
      </c>
      <c r="E425" t="s">
        <v>52</v>
      </c>
      <c r="F425" s="2">
        <v>46206</v>
      </c>
      <c r="G425" s="2">
        <v>46206</v>
      </c>
      <c r="H425" s="3">
        <v>0</v>
      </c>
      <c r="J425" t="s">
        <v>41</v>
      </c>
      <c r="K425">
        <v>619</v>
      </c>
      <c r="M425" t="s">
        <v>383</v>
      </c>
      <c r="N425" s="2">
        <v>46205</v>
      </c>
      <c r="P425" t="s">
        <v>67</v>
      </c>
      <c r="Q425" t="s">
        <v>55</v>
      </c>
      <c r="R425" t="s">
        <v>569</v>
      </c>
      <c r="S425" s="2">
        <v>46205</v>
      </c>
      <c r="T425" s="2">
        <v>46205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</row>
    <row r="426" spans="1:39" x14ac:dyDescent="0.25">
      <c r="A426">
        <v>621</v>
      </c>
      <c r="B426" t="s">
        <v>844</v>
      </c>
      <c r="C426" t="s">
        <v>571</v>
      </c>
      <c r="D426" t="s">
        <v>845</v>
      </c>
      <c r="E426" t="s">
        <v>294</v>
      </c>
      <c r="F426" s="2">
        <v>46203</v>
      </c>
      <c r="G426" s="2">
        <v>46219</v>
      </c>
      <c r="H426" s="3">
        <v>0.49</v>
      </c>
      <c r="J426" t="s">
        <v>41</v>
      </c>
      <c r="M426" t="s">
        <v>197</v>
      </c>
      <c r="N426" s="2">
        <v>46211</v>
      </c>
      <c r="P426" t="s">
        <v>179</v>
      </c>
      <c r="Q426" t="s">
        <v>44</v>
      </c>
      <c r="R426" t="s">
        <v>569</v>
      </c>
      <c r="S426" s="2">
        <v>46197</v>
      </c>
      <c r="T426" s="2">
        <v>46205</v>
      </c>
      <c r="U426" t="s">
        <v>77</v>
      </c>
      <c r="AB426">
        <v>0.49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622</v>
      </c>
      <c r="B427" t="s">
        <v>846</v>
      </c>
      <c r="C427" t="s">
        <v>847</v>
      </c>
      <c r="D427" t="s">
        <v>100</v>
      </c>
      <c r="E427" t="s">
        <v>848</v>
      </c>
      <c r="F427" s="2">
        <v>46203</v>
      </c>
      <c r="G427" s="2">
        <v>46211</v>
      </c>
      <c r="H427" s="3">
        <v>1</v>
      </c>
      <c r="I427" s="2">
        <v>46211</v>
      </c>
      <c r="J427" t="s">
        <v>53</v>
      </c>
      <c r="K427">
        <v>482</v>
      </c>
      <c r="L427">
        <v>623</v>
      </c>
      <c r="M427" t="s">
        <v>197</v>
      </c>
      <c r="N427" s="2">
        <v>46209</v>
      </c>
      <c r="P427" t="s">
        <v>179</v>
      </c>
      <c r="Q427" t="s">
        <v>55</v>
      </c>
      <c r="R427" t="s">
        <v>569</v>
      </c>
      <c r="S427" s="2">
        <v>46203</v>
      </c>
      <c r="T427" s="2">
        <v>46209</v>
      </c>
      <c r="AB427">
        <v>1</v>
      </c>
      <c r="AC427">
        <v>1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</row>
    <row r="428" spans="1:39" x14ac:dyDescent="0.25">
      <c r="A428">
        <v>623</v>
      </c>
      <c r="B428" t="s">
        <v>849</v>
      </c>
      <c r="C428" t="s">
        <v>847</v>
      </c>
      <c r="D428" t="s">
        <v>104</v>
      </c>
      <c r="E428" t="s">
        <v>52</v>
      </c>
      <c r="F428" s="2">
        <v>46216</v>
      </c>
      <c r="G428" s="2">
        <v>46216</v>
      </c>
      <c r="H428" s="3">
        <v>0</v>
      </c>
      <c r="J428" t="s">
        <v>41</v>
      </c>
      <c r="K428">
        <v>622</v>
      </c>
      <c r="L428">
        <v>624</v>
      </c>
      <c r="M428" t="s">
        <v>686</v>
      </c>
      <c r="N428" s="2">
        <v>46210</v>
      </c>
      <c r="P428" t="s">
        <v>179</v>
      </c>
      <c r="Q428" t="s">
        <v>44</v>
      </c>
      <c r="R428" t="s">
        <v>569</v>
      </c>
      <c r="S428" s="2">
        <v>46209</v>
      </c>
      <c r="T428" s="2">
        <v>46210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624</v>
      </c>
      <c r="B429" t="s">
        <v>850</v>
      </c>
      <c r="C429" t="s">
        <v>847</v>
      </c>
      <c r="D429" t="s">
        <v>108</v>
      </c>
      <c r="E429" t="s">
        <v>115</v>
      </c>
      <c r="F429" s="2">
        <v>46217</v>
      </c>
      <c r="G429" s="2">
        <v>46218</v>
      </c>
      <c r="H429" s="3">
        <v>0</v>
      </c>
      <c r="J429" t="s">
        <v>192</v>
      </c>
      <c r="K429">
        <v>623</v>
      </c>
      <c r="L429">
        <v>625</v>
      </c>
      <c r="M429" t="s">
        <v>387</v>
      </c>
      <c r="N429" s="2">
        <v>46216</v>
      </c>
      <c r="P429" t="s">
        <v>179</v>
      </c>
      <c r="Q429" t="s">
        <v>44</v>
      </c>
      <c r="R429" t="s">
        <v>569</v>
      </c>
      <c r="S429" s="2">
        <v>46210</v>
      </c>
      <c r="T429" s="2">
        <v>46216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x14ac:dyDescent="0.25">
      <c r="A430">
        <v>625</v>
      </c>
      <c r="B430" t="s">
        <v>851</v>
      </c>
      <c r="C430" t="s">
        <v>847</v>
      </c>
      <c r="D430" t="s">
        <v>114</v>
      </c>
      <c r="E430" t="s">
        <v>52</v>
      </c>
      <c r="F430" s="2">
        <v>46219</v>
      </c>
      <c r="G430" s="2">
        <v>46219</v>
      </c>
      <c r="H430" s="3">
        <v>0</v>
      </c>
      <c r="J430" t="s">
        <v>196</v>
      </c>
      <c r="K430">
        <v>624</v>
      </c>
      <c r="M430" t="s">
        <v>852</v>
      </c>
      <c r="N430" s="2">
        <v>46217</v>
      </c>
      <c r="P430" t="s">
        <v>67</v>
      </c>
      <c r="Q430" t="s">
        <v>44</v>
      </c>
      <c r="R430" t="s">
        <v>569</v>
      </c>
      <c r="S430" s="2">
        <v>46216</v>
      </c>
      <c r="T430" s="2">
        <v>46217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626</v>
      </c>
      <c r="B431" t="s">
        <v>853</v>
      </c>
      <c r="C431" t="s">
        <v>571</v>
      </c>
      <c r="D431" t="s">
        <v>854</v>
      </c>
      <c r="E431" t="s">
        <v>573</v>
      </c>
      <c r="F431" s="2">
        <v>46189</v>
      </c>
      <c r="G431" s="2">
        <v>46205</v>
      </c>
      <c r="H431" s="3">
        <v>0.85</v>
      </c>
      <c r="J431" t="s">
        <v>41</v>
      </c>
      <c r="M431" t="s">
        <v>197</v>
      </c>
      <c r="N431" s="2">
        <v>46211</v>
      </c>
      <c r="P431" t="s">
        <v>73</v>
      </c>
      <c r="Q431" t="s">
        <v>55</v>
      </c>
      <c r="R431" t="s">
        <v>569</v>
      </c>
      <c r="S431" s="2">
        <v>46197</v>
      </c>
      <c r="T431" s="2">
        <v>46205</v>
      </c>
      <c r="U431" t="s">
        <v>77</v>
      </c>
      <c r="AB431">
        <v>0.85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627</v>
      </c>
      <c r="B432" t="s">
        <v>855</v>
      </c>
      <c r="C432" t="s">
        <v>856</v>
      </c>
      <c r="D432" t="s">
        <v>100</v>
      </c>
      <c r="E432" t="s">
        <v>297</v>
      </c>
      <c r="F432" s="2">
        <v>46189</v>
      </c>
      <c r="G432" s="2">
        <v>46197</v>
      </c>
      <c r="H432" s="3">
        <v>1</v>
      </c>
      <c r="I432" s="2">
        <v>46197</v>
      </c>
      <c r="J432" t="s">
        <v>53</v>
      </c>
      <c r="L432">
        <v>628</v>
      </c>
      <c r="M432" t="s">
        <v>228</v>
      </c>
      <c r="N432" s="2">
        <v>46192</v>
      </c>
      <c r="P432" t="s">
        <v>73</v>
      </c>
      <c r="Q432" t="s">
        <v>55</v>
      </c>
      <c r="R432" t="s">
        <v>569</v>
      </c>
      <c r="S432" s="2">
        <v>46189</v>
      </c>
      <c r="T432" s="2">
        <v>46192</v>
      </c>
      <c r="AB432">
        <v>1</v>
      </c>
      <c r="AC432">
        <v>1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</row>
    <row r="433" spans="1:39" x14ac:dyDescent="0.25">
      <c r="A433">
        <v>628</v>
      </c>
      <c r="B433" t="s">
        <v>857</v>
      </c>
      <c r="C433" t="s">
        <v>856</v>
      </c>
      <c r="D433" t="s">
        <v>104</v>
      </c>
      <c r="E433" t="s">
        <v>101</v>
      </c>
      <c r="F433" s="2">
        <v>46198</v>
      </c>
      <c r="G433" s="2">
        <v>46202</v>
      </c>
      <c r="H433" s="3">
        <v>1</v>
      </c>
      <c r="I433" s="2">
        <v>46202</v>
      </c>
      <c r="J433" t="s">
        <v>53</v>
      </c>
      <c r="K433">
        <v>627</v>
      </c>
      <c r="L433">
        <v>629</v>
      </c>
      <c r="M433" t="s">
        <v>284</v>
      </c>
      <c r="N433" s="2">
        <v>46195</v>
      </c>
      <c r="P433" t="s">
        <v>179</v>
      </c>
      <c r="Q433" t="s">
        <v>55</v>
      </c>
      <c r="R433" t="s">
        <v>569</v>
      </c>
      <c r="S433" s="2">
        <v>46195</v>
      </c>
      <c r="T433" s="2">
        <v>46195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629</v>
      </c>
      <c r="B434" t="s">
        <v>858</v>
      </c>
      <c r="C434" t="s">
        <v>856</v>
      </c>
      <c r="D434" t="s">
        <v>108</v>
      </c>
      <c r="E434" t="s">
        <v>115</v>
      </c>
      <c r="F434" s="2">
        <v>46203</v>
      </c>
      <c r="G434" s="2">
        <v>46204</v>
      </c>
      <c r="H434" s="3">
        <v>0.5</v>
      </c>
      <c r="J434" t="s">
        <v>41</v>
      </c>
      <c r="K434">
        <v>628</v>
      </c>
      <c r="L434">
        <v>630</v>
      </c>
      <c r="M434" t="s">
        <v>251</v>
      </c>
      <c r="N434" s="2">
        <v>46197</v>
      </c>
      <c r="P434" t="s">
        <v>179</v>
      </c>
      <c r="Q434" t="s">
        <v>55</v>
      </c>
      <c r="R434" t="s">
        <v>569</v>
      </c>
      <c r="S434" s="2">
        <v>46196</v>
      </c>
      <c r="T434" s="2">
        <v>46197</v>
      </c>
      <c r="AB434">
        <v>0.5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</row>
    <row r="435" spans="1:39" x14ac:dyDescent="0.25">
      <c r="A435">
        <v>630</v>
      </c>
      <c r="B435" t="s">
        <v>859</v>
      </c>
      <c r="C435" t="s">
        <v>856</v>
      </c>
      <c r="D435" t="s">
        <v>114</v>
      </c>
      <c r="E435" t="s">
        <v>52</v>
      </c>
      <c r="F435" s="2">
        <v>46205</v>
      </c>
      <c r="G435" s="2">
        <v>46205</v>
      </c>
      <c r="H435" s="3">
        <v>0</v>
      </c>
      <c r="J435" t="s">
        <v>41</v>
      </c>
      <c r="K435">
        <v>629</v>
      </c>
      <c r="M435" t="s">
        <v>190</v>
      </c>
      <c r="N435" s="2">
        <v>46198</v>
      </c>
      <c r="P435" t="s">
        <v>179</v>
      </c>
      <c r="Q435" t="s">
        <v>55</v>
      </c>
      <c r="R435" t="s">
        <v>569</v>
      </c>
      <c r="S435" s="2">
        <v>46198</v>
      </c>
      <c r="T435" s="2">
        <v>46198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</row>
    <row r="436" spans="1:39" x14ac:dyDescent="0.25">
      <c r="A436">
        <v>631</v>
      </c>
      <c r="B436" t="s">
        <v>860</v>
      </c>
      <c r="C436" t="s">
        <v>571</v>
      </c>
      <c r="D436" t="s">
        <v>861</v>
      </c>
      <c r="E436" t="s">
        <v>608</v>
      </c>
      <c r="F436" s="2">
        <v>46202</v>
      </c>
      <c r="G436" s="2">
        <v>46219</v>
      </c>
      <c r="H436" s="3">
        <v>0.67</v>
      </c>
      <c r="J436" t="s">
        <v>41</v>
      </c>
      <c r="M436" t="s">
        <v>197</v>
      </c>
      <c r="N436" s="2">
        <v>46211</v>
      </c>
      <c r="P436" t="s">
        <v>73</v>
      </c>
      <c r="Q436" t="s">
        <v>44</v>
      </c>
      <c r="R436" t="s">
        <v>569</v>
      </c>
      <c r="S436" s="2">
        <v>46197</v>
      </c>
      <c r="T436" s="2">
        <v>46205</v>
      </c>
      <c r="AB436">
        <v>0.67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632</v>
      </c>
      <c r="B437" t="s">
        <v>862</v>
      </c>
      <c r="C437" t="s">
        <v>863</v>
      </c>
      <c r="D437" t="s">
        <v>100</v>
      </c>
      <c r="E437" t="s">
        <v>515</v>
      </c>
      <c r="F437" s="2">
        <v>46202</v>
      </c>
      <c r="G437" s="2">
        <v>46211</v>
      </c>
      <c r="H437" s="3">
        <v>1</v>
      </c>
      <c r="I437" s="2">
        <v>46211</v>
      </c>
      <c r="J437" t="s">
        <v>53</v>
      </c>
      <c r="L437">
        <v>633</v>
      </c>
      <c r="M437" t="s">
        <v>197</v>
      </c>
      <c r="N437" s="2">
        <v>46205</v>
      </c>
      <c r="P437" t="s">
        <v>73</v>
      </c>
      <c r="Q437" t="s">
        <v>55</v>
      </c>
      <c r="R437" t="s">
        <v>569</v>
      </c>
      <c r="S437" s="2">
        <v>46197</v>
      </c>
      <c r="T437" s="2">
        <v>46199</v>
      </c>
      <c r="AB437">
        <v>1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</row>
    <row r="438" spans="1:39" x14ac:dyDescent="0.25">
      <c r="A438">
        <v>633</v>
      </c>
      <c r="B438" t="s">
        <v>864</v>
      </c>
      <c r="C438" t="s">
        <v>863</v>
      </c>
      <c r="D438" t="s">
        <v>104</v>
      </c>
      <c r="E438" t="s">
        <v>52</v>
      </c>
      <c r="F438" s="2">
        <v>46216</v>
      </c>
      <c r="G438" s="2">
        <v>46216</v>
      </c>
      <c r="H438" s="3">
        <v>0</v>
      </c>
      <c r="J438" t="s">
        <v>41</v>
      </c>
      <c r="K438">
        <v>632</v>
      </c>
      <c r="L438">
        <v>634</v>
      </c>
      <c r="M438" t="s">
        <v>385</v>
      </c>
      <c r="N438" s="2">
        <v>46206</v>
      </c>
      <c r="P438" t="s">
        <v>179</v>
      </c>
      <c r="Q438" t="s">
        <v>44</v>
      </c>
      <c r="R438" t="s">
        <v>569</v>
      </c>
      <c r="S438" s="2">
        <v>46202</v>
      </c>
      <c r="T438" s="2">
        <v>46202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634</v>
      </c>
      <c r="B439" t="s">
        <v>865</v>
      </c>
      <c r="C439" t="s">
        <v>863</v>
      </c>
      <c r="D439" t="s">
        <v>108</v>
      </c>
      <c r="E439" t="s">
        <v>115</v>
      </c>
      <c r="F439" s="2">
        <v>46217</v>
      </c>
      <c r="G439" s="2">
        <v>46218</v>
      </c>
      <c r="H439" s="3">
        <v>0</v>
      </c>
      <c r="J439" t="s">
        <v>192</v>
      </c>
      <c r="K439">
        <v>633</v>
      </c>
      <c r="L439">
        <v>635</v>
      </c>
      <c r="M439" t="s">
        <v>686</v>
      </c>
      <c r="N439" s="2">
        <v>46210</v>
      </c>
      <c r="P439" t="s">
        <v>179</v>
      </c>
      <c r="Q439" t="s">
        <v>44</v>
      </c>
      <c r="R439" t="s">
        <v>569</v>
      </c>
      <c r="S439" s="2">
        <v>46203</v>
      </c>
      <c r="T439" s="2">
        <v>46204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25">
      <c r="A440">
        <v>635</v>
      </c>
      <c r="B440" t="s">
        <v>866</v>
      </c>
      <c r="C440" t="s">
        <v>863</v>
      </c>
      <c r="D440" t="s">
        <v>114</v>
      </c>
      <c r="E440" t="s">
        <v>52</v>
      </c>
      <c r="F440" s="2">
        <v>46219</v>
      </c>
      <c r="G440" s="2">
        <v>46219</v>
      </c>
      <c r="H440" s="3">
        <v>0</v>
      </c>
      <c r="J440" t="s">
        <v>196</v>
      </c>
      <c r="K440">
        <v>634</v>
      </c>
      <c r="M440" t="s">
        <v>688</v>
      </c>
      <c r="N440" s="2">
        <v>46211</v>
      </c>
      <c r="P440" t="s">
        <v>67</v>
      </c>
      <c r="Q440" t="s">
        <v>44</v>
      </c>
      <c r="R440" t="s">
        <v>569</v>
      </c>
      <c r="S440" s="2">
        <v>46205</v>
      </c>
      <c r="T440" s="2">
        <v>46205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25">
      <c r="A441">
        <v>636</v>
      </c>
      <c r="B441" t="s">
        <v>867</v>
      </c>
      <c r="C441" t="s">
        <v>50</v>
      </c>
      <c r="D441" t="s">
        <v>868</v>
      </c>
      <c r="E441" t="s">
        <v>254</v>
      </c>
      <c r="F441" s="2">
        <v>46205</v>
      </c>
      <c r="G441" s="2">
        <v>46219</v>
      </c>
      <c r="H441" s="3">
        <v>0.5</v>
      </c>
      <c r="J441" t="s">
        <v>41</v>
      </c>
      <c r="M441" t="s">
        <v>228</v>
      </c>
      <c r="N441" s="2">
        <v>46205</v>
      </c>
      <c r="P441" t="s">
        <v>179</v>
      </c>
      <c r="Q441" t="s">
        <v>44</v>
      </c>
      <c r="R441" t="s">
        <v>869</v>
      </c>
      <c r="S441" s="2">
        <v>46176</v>
      </c>
      <c r="T441" s="2">
        <v>46192</v>
      </c>
      <c r="AB441">
        <v>0.5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637</v>
      </c>
      <c r="B442" t="s">
        <v>870</v>
      </c>
      <c r="C442" t="s">
        <v>871</v>
      </c>
      <c r="D442" t="s">
        <v>872</v>
      </c>
      <c r="E442" t="s">
        <v>254</v>
      </c>
      <c r="F442" s="2">
        <v>46205</v>
      </c>
      <c r="G442" s="2">
        <v>46219</v>
      </c>
      <c r="H442" s="3">
        <v>0.67</v>
      </c>
      <c r="J442" t="s">
        <v>192</v>
      </c>
      <c r="M442" t="s">
        <v>228</v>
      </c>
      <c r="N442" s="2">
        <v>46204</v>
      </c>
      <c r="P442" t="s">
        <v>179</v>
      </c>
      <c r="Q442" t="s">
        <v>44</v>
      </c>
      <c r="R442" t="s">
        <v>869</v>
      </c>
      <c r="S442" s="2">
        <v>46176</v>
      </c>
      <c r="T442" s="2">
        <v>46191</v>
      </c>
      <c r="AB442">
        <v>0.67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638</v>
      </c>
      <c r="B443" t="s">
        <v>873</v>
      </c>
      <c r="C443" t="s">
        <v>874</v>
      </c>
      <c r="D443" t="s">
        <v>100</v>
      </c>
      <c r="E443" t="s">
        <v>224</v>
      </c>
      <c r="F443" s="2">
        <v>46205</v>
      </c>
      <c r="G443" s="2">
        <v>46216</v>
      </c>
      <c r="H443" s="3">
        <v>1</v>
      </c>
      <c r="I443" s="2">
        <v>46216</v>
      </c>
      <c r="J443" t="s">
        <v>53</v>
      </c>
      <c r="K443" t="s">
        <v>875</v>
      </c>
      <c r="L443" t="s">
        <v>876</v>
      </c>
      <c r="M443" t="s">
        <v>228</v>
      </c>
      <c r="N443" s="2">
        <v>46198</v>
      </c>
      <c r="P443" t="s">
        <v>179</v>
      </c>
      <c r="Q443" t="s">
        <v>55</v>
      </c>
      <c r="R443" t="s">
        <v>869</v>
      </c>
      <c r="S443" s="2">
        <v>46176</v>
      </c>
      <c r="T443" s="2">
        <v>46185</v>
      </c>
      <c r="AB443">
        <v>1</v>
      </c>
      <c r="AC443">
        <v>1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</row>
    <row r="444" spans="1:39" x14ac:dyDescent="0.25">
      <c r="A444">
        <v>639</v>
      </c>
      <c r="B444" t="s">
        <v>877</v>
      </c>
      <c r="C444" t="s">
        <v>874</v>
      </c>
      <c r="D444" t="s">
        <v>104</v>
      </c>
      <c r="E444" t="s">
        <v>52</v>
      </c>
      <c r="F444" s="2">
        <v>46217</v>
      </c>
      <c r="G444" s="2">
        <v>46217</v>
      </c>
      <c r="H444" s="3">
        <v>0</v>
      </c>
      <c r="J444" t="s">
        <v>192</v>
      </c>
      <c r="K444">
        <v>638</v>
      </c>
      <c r="L444">
        <v>640</v>
      </c>
      <c r="M444" t="s">
        <v>193</v>
      </c>
      <c r="N444" s="2">
        <v>46199</v>
      </c>
      <c r="P444" t="s">
        <v>67</v>
      </c>
      <c r="Q444" t="s">
        <v>44</v>
      </c>
      <c r="R444" t="s">
        <v>869</v>
      </c>
      <c r="S444" s="2">
        <v>46188</v>
      </c>
      <c r="T444" s="2">
        <v>46188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25">
      <c r="A445">
        <v>640</v>
      </c>
      <c r="B445" t="s">
        <v>878</v>
      </c>
      <c r="C445" t="s">
        <v>874</v>
      </c>
      <c r="D445" t="s">
        <v>108</v>
      </c>
      <c r="E445" t="s">
        <v>52</v>
      </c>
      <c r="F445" s="2">
        <v>46218</v>
      </c>
      <c r="G445" s="2">
        <v>46218</v>
      </c>
      <c r="H445" s="3">
        <v>0</v>
      </c>
      <c r="J445" t="s">
        <v>196</v>
      </c>
      <c r="K445">
        <v>639</v>
      </c>
      <c r="L445">
        <v>641</v>
      </c>
      <c r="M445" t="s">
        <v>311</v>
      </c>
      <c r="N445" s="2">
        <v>46203</v>
      </c>
      <c r="P445" t="s">
        <v>67</v>
      </c>
      <c r="Q445" t="s">
        <v>44</v>
      </c>
      <c r="R445" t="s">
        <v>869</v>
      </c>
      <c r="S445" s="2">
        <v>46189</v>
      </c>
      <c r="T445" s="2">
        <v>46190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641</v>
      </c>
      <c r="B446" t="s">
        <v>879</v>
      </c>
      <c r="C446" t="s">
        <v>874</v>
      </c>
      <c r="D446" t="s">
        <v>114</v>
      </c>
      <c r="E446" t="s">
        <v>52</v>
      </c>
      <c r="F446" s="2">
        <v>46219</v>
      </c>
      <c r="G446" s="2">
        <v>46219</v>
      </c>
      <c r="H446" s="3">
        <v>0</v>
      </c>
      <c r="J446" t="s">
        <v>196</v>
      </c>
      <c r="K446">
        <v>640</v>
      </c>
      <c r="M446" t="s">
        <v>404</v>
      </c>
      <c r="N446" s="2">
        <v>46204</v>
      </c>
      <c r="P446" t="s">
        <v>67</v>
      </c>
      <c r="Q446" t="s">
        <v>44</v>
      </c>
      <c r="R446" t="s">
        <v>869</v>
      </c>
      <c r="S446" s="2">
        <v>46191</v>
      </c>
      <c r="T446" s="2">
        <v>46191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>
        <v>642</v>
      </c>
      <c r="B447" t="s">
        <v>880</v>
      </c>
      <c r="C447" t="s">
        <v>871</v>
      </c>
      <c r="D447" t="s">
        <v>881</v>
      </c>
      <c r="E447" t="s">
        <v>138</v>
      </c>
      <c r="F447" s="2">
        <v>46216</v>
      </c>
      <c r="G447" s="2">
        <v>46219</v>
      </c>
      <c r="H447" s="3">
        <v>0.13</v>
      </c>
      <c r="J447" t="s">
        <v>41</v>
      </c>
      <c r="M447" t="s">
        <v>193</v>
      </c>
      <c r="N447" s="2">
        <v>46205</v>
      </c>
      <c r="P447" t="s">
        <v>67</v>
      </c>
      <c r="Q447" t="s">
        <v>44</v>
      </c>
      <c r="R447" t="s">
        <v>869</v>
      </c>
      <c r="S447" s="2">
        <v>46188</v>
      </c>
      <c r="T447" s="2">
        <v>46192</v>
      </c>
      <c r="AB447">
        <v>0.13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643</v>
      </c>
      <c r="B448" t="s">
        <v>882</v>
      </c>
      <c r="C448" t="s">
        <v>883</v>
      </c>
      <c r="D448" t="s">
        <v>100</v>
      </c>
      <c r="E448" t="s">
        <v>52</v>
      </c>
      <c r="F448" s="2">
        <v>46216</v>
      </c>
      <c r="G448" s="2">
        <v>46216</v>
      </c>
      <c r="H448" s="3">
        <v>0.5</v>
      </c>
      <c r="J448" t="s">
        <v>41</v>
      </c>
      <c r="K448" t="s">
        <v>884</v>
      </c>
      <c r="L448">
        <v>644</v>
      </c>
      <c r="M448" t="s">
        <v>193</v>
      </c>
      <c r="N448" s="2">
        <v>46199</v>
      </c>
      <c r="P448" t="s">
        <v>67</v>
      </c>
      <c r="Q448" t="s">
        <v>44</v>
      </c>
      <c r="R448" t="s">
        <v>869</v>
      </c>
      <c r="S448" s="2">
        <v>46188</v>
      </c>
      <c r="T448" s="2">
        <v>46188</v>
      </c>
      <c r="AB448">
        <v>0.5</v>
      </c>
      <c r="AC448">
        <v>1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644</v>
      </c>
      <c r="B449" t="s">
        <v>885</v>
      </c>
      <c r="C449" t="s">
        <v>883</v>
      </c>
      <c r="D449" t="s">
        <v>104</v>
      </c>
      <c r="E449" t="s">
        <v>52</v>
      </c>
      <c r="F449" s="2">
        <v>46217</v>
      </c>
      <c r="G449" s="2">
        <v>46217</v>
      </c>
      <c r="H449" s="3">
        <v>0</v>
      </c>
      <c r="J449" t="s">
        <v>192</v>
      </c>
      <c r="K449">
        <v>643</v>
      </c>
      <c r="L449">
        <v>645</v>
      </c>
      <c r="M449" t="s">
        <v>311</v>
      </c>
      <c r="N449" s="2">
        <v>46202</v>
      </c>
      <c r="P449" t="s">
        <v>67</v>
      </c>
      <c r="Q449" t="s">
        <v>44</v>
      </c>
      <c r="R449" t="s">
        <v>869</v>
      </c>
      <c r="S449" s="2">
        <v>46189</v>
      </c>
      <c r="T449" s="2">
        <v>46189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645</v>
      </c>
      <c r="B450" t="s">
        <v>886</v>
      </c>
      <c r="C450" t="s">
        <v>883</v>
      </c>
      <c r="D450" t="s">
        <v>108</v>
      </c>
      <c r="E450" t="s">
        <v>52</v>
      </c>
      <c r="F450" s="2">
        <v>46218</v>
      </c>
      <c r="G450" s="2">
        <v>46218</v>
      </c>
      <c r="H450" s="3">
        <v>0</v>
      </c>
      <c r="J450" t="s">
        <v>196</v>
      </c>
      <c r="K450">
        <v>644</v>
      </c>
      <c r="L450">
        <v>646</v>
      </c>
      <c r="M450" t="s">
        <v>197</v>
      </c>
      <c r="N450" s="2">
        <v>46204</v>
      </c>
      <c r="P450" t="s">
        <v>67</v>
      </c>
      <c r="Q450" t="s">
        <v>44</v>
      </c>
      <c r="R450" t="s">
        <v>869</v>
      </c>
      <c r="S450" s="2">
        <v>46190</v>
      </c>
      <c r="T450" s="2">
        <v>46191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646</v>
      </c>
      <c r="B451" t="s">
        <v>887</v>
      </c>
      <c r="C451" t="s">
        <v>883</v>
      </c>
      <c r="D451" t="s">
        <v>114</v>
      </c>
      <c r="E451" t="s">
        <v>52</v>
      </c>
      <c r="F451" s="2">
        <v>46219</v>
      </c>
      <c r="G451" s="2">
        <v>46219</v>
      </c>
      <c r="H451" s="3">
        <v>0</v>
      </c>
      <c r="J451" t="s">
        <v>196</v>
      </c>
      <c r="K451">
        <v>645</v>
      </c>
      <c r="M451" t="s">
        <v>383</v>
      </c>
      <c r="N451" s="2">
        <v>46205</v>
      </c>
      <c r="P451" t="s">
        <v>67</v>
      </c>
      <c r="Q451" t="s">
        <v>44</v>
      </c>
      <c r="R451" t="s">
        <v>869</v>
      </c>
      <c r="S451" s="2">
        <v>46192</v>
      </c>
      <c r="T451" s="2">
        <v>46192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8</v>
      </c>
      <c r="B452" t="s">
        <v>74</v>
      </c>
      <c r="C452" t="s">
        <v>63</v>
      </c>
      <c r="D452" t="s">
        <v>75</v>
      </c>
      <c r="E452" t="s">
        <v>888</v>
      </c>
      <c r="F452" s="2">
        <v>46178</v>
      </c>
      <c r="G452" s="2">
        <v>46178</v>
      </c>
      <c r="H452" s="3">
        <v>0</v>
      </c>
      <c r="J452" t="s">
        <v>196</v>
      </c>
      <c r="L452">
        <v>393</v>
      </c>
      <c r="M452" t="s">
        <v>66</v>
      </c>
      <c r="N452" s="2">
        <v>46178</v>
      </c>
      <c r="P452" t="s">
        <v>314</v>
      </c>
      <c r="Q452" t="s">
        <v>55</v>
      </c>
      <c r="R452" t="s">
        <v>61</v>
      </c>
      <c r="S452" s="2">
        <v>46178</v>
      </c>
      <c r="T452" s="2">
        <v>46178</v>
      </c>
      <c r="U452" t="s">
        <v>889</v>
      </c>
      <c r="W452" t="s">
        <v>890</v>
      </c>
      <c r="X452" t="s">
        <v>63</v>
      </c>
      <c r="Y452" t="s">
        <v>891</v>
      </c>
      <c r="Z452" t="s">
        <v>892</v>
      </c>
      <c r="AA452" t="b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24</v>
      </c>
      <c r="B453" t="s">
        <v>893</v>
      </c>
      <c r="C453" t="s">
        <v>50</v>
      </c>
      <c r="D453" t="s">
        <v>894</v>
      </c>
      <c r="E453" t="s">
        <v>895</v>
      </c>
      <c r="F453" s="2">
        <v>46139</v>
      </c>
      <c r="G453" s="2">
        <v>46210</v>
      </c>
      <c r="H453" s="3">
        <v>0.11</v>
      </c>
      <c r="J453" t="s">
        <v>192</v>
      </c>
      <c r="M453" t="s">
        <v>42</v>
      </c>
      <c r="N453" s="2">
        <v>46210</v>
      </c>
      <c r="P453" t="s">
        <v>314</v>
      </c>
      <c r="Q453" t="s">
        <v>55</v>
      </c>
      <c r="R453" t="s">
        <v>896</v>
      </c>
      <c r="S453" s="2">
        <v>46139</v>
      </c>
      <c r="T453" s="2">
        <v>46204</v>
      </c>
      <c r="U453" t="s">
        <v>889</v>
      </c>
      <c r="W453" t="s">
        <v>897</v>
      </c>
      <c r="X453" t="s">
        <v>50</v>
      </c>
      <c r="Y453" t="s">
        <v>898</v>
      </c>
      <c r="Z453" t="s">
        <v>897</v>
      </c>
      <c r="AA453" t="b">
        <v>1</v>
      </c>
      <c r="AB453">
        <v>0.11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25</v>
      </c>
      <c r="B454" t="s">
        <v>899</v>
      </c>
      <c r="C454" t="s">
        <v>900</v>
      </c>
      <c r="D454" t="s">
        <v>901</v>
      </c>
      <c r="E454" t="s">
        <v>297</v>
      </c>
      <c r="F454" s="2">
        <v>46174</v>
      </c>
      <c r="G454" s="2">
        <v>46182</v>
      </c>
      <c r="H454" s="3">
        <v>0</v>
      </c>
      <c r="J454" t="s">
        <v>196</v>
      </c>
      <c r="M454" t="s">
        <v>902</v>
      </c>
      <c r="N454" s="2">
        <v>46182</v>
      </c>
      <c r="P454" t="s">
        <v>314</v>
      </c>
      <c r="Q454" t="s">
        <v>55</v>
      </c>
      <c r="R454" t="s">
        <v>896</v>
      </c>
      <c r="S454" s="2">
        <v>46167</v>
      </c>
      <c r="T454" s="2">
        <v>46175</v>
      </c>
      <c r="U454" t="s">
        <v>889</v>
      </c>
      <c r="W454" t="s">
        <v>903</v>
      </c>
      <c r="X454" t="s">
        <v>900</v>
      </c>
      <c r="Y454" t="s">
        <v>904</v>
      </c>
      <c r="Z454" t="s">
        <v>903</v>
      </c>
      <c r="AA454" t="b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30</v>
      </c>
      <c r="B455" t="s">
        <v>905</v>
      </c>
      <c r="C455" t="s">
        <v>900</v>
      </c>
      <c r="D455" t="s">
        <v>906</v>
      </c>
      <c r="E455" t="s">
        <v>297</v>
      </c>
      <c r="F455" s="2">
        <v>46191</v>
      </c>
      <c r="G455" s="2">
        <v>46199</v>
      </c>
      <c r="H455" s="3">
        <v>0</v>
      </c>
      <c r="J455" t="s">
        <v>196</v>
      </c>
      <c r="M455" t="s">
        <v>186</v>
      </c>
      <c r="N455" s="2">
        <v>46199</v>
      </c>
      <c r="P455" t="s">
        <v>314</v>
      </c>
      <c r="Q455" t="s">
        <v>55</v>
      </c>
      <c r="R455" t="s">
        <v>896</v>
      </c>
      <c r="S455" s="2">
        <v>46184</v>
      </c>
      <c r="T455" s="2">
        <v>46192</v>
      </c>
      <c r="U455" t="s">
        <v>889</v>
      </c>
      <c r="W455" t="s">
        <v>907</v>
      </c>
      <c r="X455" t="s">
        <v>900</v>
      </c>
      <c r="Y455" t="s">
        <v>908</v>
      </c>
      <c r="Z455" t="s">
        <v>907</v>
      </c>
      <c r="AA455" t="b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35</v>
      </c>
      <c r="B456" t="s">
        <v>909</v>
      </c>
      <c r="C456" t="s">
        <v>900</v>
      </c>
      <c r="D456" t="s">
        <v>910</v>
      </c>
      <c r="E456" t="s">
        <v>224</v>
      </c>
      <c r="F456" s="2">
        <v>46203</v>
      </c>
      <c r="G456" s="2">
        <v>46210</v>
      </c>
      <c r="H456" s="3">
        <v>0</v>
      </c>
      <c r="J456" t="s">
        <v>196</v>
      </c>
      <c r="M456" t="s">
        <v>197</v>
      </c>
      <c r="N456" s="2">
        <v>46210</v>
      </c>
      <c r="P456" t="s">
        <v>314</v>
      </c>
      <c r="Q456" t="s">
        <v>55</v>
      </c>
      <c r="R456" t="s">
        <v>896</v>
      </c>
      <c r="S456" s="2">
        <v>46196</v>
      </c>
      <c r="T456" s="2">
        <v>46204</v>
      </c>
      <c r="U456" t="s">
        <v>889</v>
      </c>
      <c r="W456" t="s">
        <v>911</v>
      </c>
      <c r="X456" t="s">
        <v>900</v>
      </c>
      <c r="Y456" t="s">
        <v>912</v>
      </c>
      <c r="Z456" t="s">
        <v>911</v>
      </c>
      <c r="AA456" t="b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40</v>
      </c>
      <c r="B457" t="s">
        <v>913</v>
      </c>
      <c r="C457" t="s">
        <v>900</v>
      </c>
      <c r="D457" t="s">
        <v>914</v>
      </c>
      <c r="E457" t="s">
        <v>915</v>
      </c>
      <c r="F457" s="2">
        <v>46139</v>
      </c>
      <c r="G457" s="2">
        <v>46203</v>
      </c>
      <c r="H457" s="3">
        <v>0.43</v>
      </c>
      <c r="J457" t="s">
        <v>192</v>
      </c>
      <c r="M457" t="s">
        <v>42</v>
      </c>
      <c r="N457" s="2">
        <v>46203</v>
      </c>
      <c r="P457" t="s">
        <v>314</v>
      </c>
      <c r="Q457" t="s">
        <v>55</v>
      </c>
      <c r="R457" t="s">
        <v>896</v>
      </c>
      <c r="S457" s="2">
        <v>46139</v>
      </c>
      <c r="T457" s="2">
        <v>46203</v>
      </c>
      <c r="U457" t="s">
        <v>889</v>
      </c>
      <c r="W457" t="s">
        <v>916</v>
      </c>
      <c r="X457" t="s">
        <v>900</v>
      </c>
      <c r="Y457" t="s">
        <v>917</v>
      </c>
      <c r="Z457" t="s">
        <v>916</v>
      </c>
      <c r="AA457" t="b">
        <v>1</v>
      </c>
      <c r="AB457">
        <v>0.43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107</v>
      </c>
      <c r="B458" t="s">
        <v>918</v>
      </c>
      <c r="C458" t="s">
        <v>159</v>
      </c>
      <c r="D458" t="s">
        <v>919</v>
      </c>
      <c r="E458" t="s">
        <v>920</v>
      </c>
      <c r="F458" s="2">
        <v>46176</v>
      </c>
      <c r="G458" s="2">
        <v>46191</v>
      </c>
      <c r="H458" s="3">
        <v>0</v>
      </c>
      <c r="J458" t="s">
        <v>196</v>
      </c>
      <c r="M458" t="s">
        <v>221</v>
      </c>
      <c r="N458" s="2">
        <v>46191</v>
      </c>
      <c r="P458" t="s">
        <v>314</v>
      </c>
      <c r="Q458" t="s">
        <v>55</v>
      </c>
      <c r="R458" t="s">
        <v>157</v>
      </c>
      <c r="S458" s="2">
        <v>46163</v>
      </c>
      <c r="T458" s="2">
        <v>46178</v>
      </c>
      <c r="U458" t="s">
        <v>889</v>
      </c>
      <c r="W458" t="s">
        <v>921</v>
      </c>
      <c r="X458" t="s">
        <v>159</v>
      </c>
      <c r="Y458" t="s">
        <v>922</v>
      </c>
      <c r="Z458" t="s">
        <v>921</v>
      </c>
      <c r="AA458" t="b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138</v>
      </c>
      <c r="B459" t="s">
        <v>923</v>
      </c>
      <c r="C459" t="s">
        <v>292</v>
      </c>
      <c r="D459" t="s">
        <v>924</v>
      </c>
      <c r="E459" t="s">
        <v>297</v>
      </c>
      <c r="F459" s="2">
        <v>46189</v>
      </c>
      <c r="G459" s="2">
        <v>46197</v>
      </c>
      <c r="H459" s="3">
        <v>0</v>
      </c>
      <c r="J459" t="s">
        <v>196</v>
      </c>
      <c r="M459" t="s">
        <v>228</v>
      </c>
      <c r="N459" s="2">
        <v>46197</v>
      </c>
      <c r="P459" t="s">
        <v>314</v>
      </c>
      <c r="Q459" t="s">
        <v>55</v>
      </c>
      <c r="R459" t="s">
        <v>290</v>
      </c>
      <c r="S459" s="2">
        <v>46176</v>
      </c>
      <c r="T459" s="2">
        <v>46184</v>
      </c>
      <c r="U459" t="s">
        <v>889</v>
      </c>
      <c r="W459" t="s">
        <v>925</v>
      </c>
      <c r="AA459" t="b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>
        <v>148</v>
      </c>
      <c r="B460" t="s">
        <v>926</v>
      </c>
      <c r="C460" t="s">
        <v>292</v>
      </c>
      <c r="D460" t="s">
        <v>927</v>
      </c>
      <c r="E460" t="s">
        <v>297</v>
      </c>
      <c r="F460" s="2">
        <v>46183</v>
      </c>
      <c r="G460" s="2">
        <v>46191</v>
      </c>
      <c r="H460" s="3">
        <v>0</v>
      </c>
      <c r="J460" t="s">
        <v>196</v>
      </c>
      <c r="M460" t="s">
        <v>182</v>
      </c>
      <c r="N460" s="2">
        <v>46191</v>
      </c>
      <c r="P460" t="s">
        <v>314</v>
      </c>
      <c r="Q460" t="s">
        <v>55</v>
      </c>
      <c r="R460" t="s">
        <v>290</v>
      </c>
      <c r="S460" s="2">
        <v>46170</v>
      </c>
      <c r="T460" s="2">
        <v>46178</v>
      </c>
      <c r="U460" t="s">
        <v>889</v>
      </c>
      <c r="W460" t="s">
        <v>928</v>
      </c>
      <c r="AA460" t="b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153</v>
      </c>
      <c r="B461" t="s">
        <v>929</v>
      </c>
      <c r="C461" t="s">
        <v>292</v>
      </c>
      <c r="D461" t="s">
        <v>930</v>
      </c>
      <c r="E461" t="s">
        <v>297</v>
      </c>
      <c r="F461" s="2">
        <v>46178</v>
      </c>
      <c r="G461" s="2">
        <v>46188</v>
      </c>
      <c r="H461" s="3">
        <v>0</v>
      </c>
      <c r="J461" t="s">
        <v>196</v>
      </c>
      <c r="M461" t="s">
        <v>66</v>
      </c>
      <c r="N461" s="2">
        <v>46188</v>
      </c>
      <c r="P461" t="s">
        <v>314</v>
      </c>
      <c r="Q461" t="s">
        <v>55</v>
      </c>
      <c r="R461" t="s">
        <v>290</v>
      </c>
      <c r="S461" s="2">
        <v>46167</v>
      </c>
      <c r="T461" s="2">
        <v>46175</v>
      </c>
      <c r="U461" t="s">
        <v>889</v>
      </c>
      <c r="W461" t="s">
        <v>931</v>
      </c>
      <c r="X461" t="s">
        <v>292</v>
      </c>
      <c r="Y461" t="s">
        <v>932</v>
      </c>
      <c r="Z461" t="s">
        <v>931</v>
      </c>
      <c r="AA461" t="b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158</v>
      </c>
      <c r="B462" t="s">
        <v>933</v>
      </c>
      <c r="C462" t="s">
        <v>292</v>
      </c>
      <c r="D462" t="s">
        <v>934</v>
      </c>
      <c r="E462" t="s">
        <v>297</v>
      </c>
      <c r="F462" s="2">
        <v>46178</v>
      </c>
      <c r="G462" s="2">
        <v>46188</v>
      </c>
      <c r="H462" s="3">
        <v>0</v>
      </c>
      <c r="J462" t="s">
        <v>196</v>
      </c>
      <c r="M462" t="s">
        <v>66</v>
      </c>
      <c r="N462" s="2">
        <v>46188</v>
      </c>
      <c r="P462" t="s">
        <v>314</v>
      </c>
      <c r="Q462" t="s">
        <v>55</v>
      </c>
      <c r="R462" t="s">
        <v>290</v>
      </c>
      <c r="S462" s="2">
        <v>46167</v>
      </c>
      <c r="T462" s="2">
        <v>46175</v>
      </c>
      <c r="U462" t="s">
        <v>889</v>
      </c>
      <c r="W462" t="s">
        <v>935</v>
      </c>
      <c r="AA462" t="b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178</v>
      </c>
      <c r="B463" t="s">
        <v>936</v>
      </c>
      <c r="C463" t="s">
        <v>292</v>
      </c>
      <c r="D463" t="s">
        <v>937</v>
      </c>
      <c r="E463" t="s">
        <v>938</v>
      </c>
      <c r="F463" s="2">
        <v>46181</v>
      </c>
      <c r="G463" s="2">
        <v>46198</v>
      </c>
      <c r="H463" s="3">
        <v>0</v>
      </c>
      <c r="J463" t="s">
        <v>196</v>
      </c>
      <c r="M463" t="s">
        <v>148</v>
      </c>
      <c r="N463" s="2">
        <v>46198</v>
      </c>
      <c r="P463" t="s">
        <v>314</v>
      </c>
      <c r="Q463" t="s">
        <v>55</v>
      </c>
      <c r="R463" t="s">
        <v>290</v>
      </c>
      <c r="S463" s="2">
        <v>46157</v>
      </c>
      <c r="T463" s="2">
        <v>46176</v>
      </c>
      <c r="U463" t="s">
        <v>889</v>
      </c>
      <c r="W463" t="s">
        <v>939</v>
      </c>
      <c r="AA463" t="b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198</v>
      </c>
      <c r="B464" t="s">
        <v>940</v>
      </c>
      <c r="C464" t="s">
        <v>292</v>
      </c>
      <c r="D464" t="s">
        <v>941</v>
      </c>
      <c r="E464" t="s">
        <v>297</v>
      </c>
      <c r="F464" s="2">
        <v>46178</v>
      </c>
      <c r="G464" s="2">
        <v>46188</v>
      </c>
      <c r="H464" s="3">
        <v>0</v>
      </c>
      <c r="J464" t="s">
        <v>196</v>
      </c>
      <c r="M464" t="s">
        <v>66</v>
      </c>
      <c r="N464" s="2">
        <v>46188</v>
      </c>
      <c r="P464" t="s">
        <v>314</v>
      </c>
      <c r="Q464" t="s">
        <v>55</v>
      </c>
      <c r="R464" t="s">
        <v>290</v>
      </c>
      <c r="S464" s="2">
        <v>46167</v>
      </c>
      <c r="T464" s="2">
        <v>46175</v>
      </c>
      <c r="U464" t="s">
        <v>889</v>
      </c>
      <c r="W464" t="s">
        <v>942</v>
      </c>
      <c r="AA464" t="b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25">
      <c r="A465">
        <v>203</v>
      </c>
      <c r="B465" t="s">
        <v>943</v>
      </c>
      <c r="C465" t="s">
        <v>292</v>
      </c>
      <c r="D465" t="s">
        <v>944</v>
      </c>
      <c r="E465" t="s">
        <v>297</v>
      </c>
      <c r="F465" s="2">
        <v>46178</v>
      </c>
      <c r="G465" s="2">
        <v>46188</v>
      </c>
      <c r="H465" s="3">
        <v>0</v>
      </c>
      <c r="J465" t="s">
        <v>196</v>
      </c>
      <c r="M465" t="s">
        <v>66</v>
      </c>
      <c r="N465" s="2">
        <v>46188</v>
      </c>
      <c r="P465" t="s">
        <v>314</v>
      </c>
      <c r="Q465" t="s">
        <v>55</v>
      </c>
      <c r="R465" t="s">
        <v>290</v>
      </c>
      <c r="S465" s="2">
        <v>46167</v>
      </c>
      <c r="T465" s="2">
        <v>46175</v>
      </c>
      <c r="U465" t="s">
        <v>889</v>
      </c>
      <c r="W465" t="s">
        <v>945</v>
      </c>
      <c r="AA465" t="b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25">
      <c r="A466">
        <v>208</v>
      </c>
      <c r="B466" t="s">
        <v>946</v>
      </c>
      <c r="C466" t="s">
        <v>292</v>
      </c>
      <c r="D466" t="s">
        <v>947</v>
      </c>
      <c r="E466" t="s">
        <v>297</v>
      </c>
      <c r="F466" s="2">
        <v>46178</v>
      </c>
      <c r="G466" s="2">
        <v>46188</v>
      </c>
      <c r="H466" s="3">
        <v>0</v>
      </c>
      <c r="J466" t="s">
        <v>196</v>
      </c>
      <c r="M466" t="s">
        <v>66</v>
      </c>
      <c r="N466" s="2">
        <v>46188</v>
      </c>
      <c r="P466" t="s">
        <v>314</v>
      </c>
      <c r="Q466" t="s">
        <v>55</v>
      </c>
      <c r="R466" t="s">
        <v>290</v>
      </c>
      <c r="S466" s="2">
        <v>46167</v>
      </c>
      <c r="T466" s="2">
        <v>46175</v>
      </c>
      <c r="U466" t="s">
        <v>889</v>
      </c>
      <c r="W466" t="s">
        <v>948</v>
      </c>
      <c r="AA466" t="b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>
        <v>218</v>
      </c>
      <c r="B467" t="s">
        <v>949</v>
      </c>
      <c r="C467" t="s">
        <v>292</v>
      </c>
      <c r="D467" t="s">
        <v>950</v>
      </c>
      <c r="E467" t="s">
        <v>938</v>
      </c>
      <c r="F467" s="2">
        <v>46175</v>
      </c>
      <c r="G467" s="2">
        <v>46192</v>
      </c>
      <c r="H467" s="3">
        <v>0</v>
      </c>
      <c r="J467" t="s">
        <v>196</v>
      </c>
      <c r="M467" t="s">
        <v>171</v>
      </c>
      <c r="N467" s="2">
        <v>46192</v>
      </c>
      <c r="P467" t="s">
        <v>314</v>
      </c>
      <c r="Q467" t="s">
        <v>55</v>
      </c>
      <c r="R467" t="s">
        <v>290</v>
      </c>
      <c r="S467" s="2">
        <v>46162</v>
      </c>
      <c r="T467" s="2">
        <v>46181</v>
      </c>
      <c r="U467" t="s">
        <v>889</v>
      </c>
      <c r="W467" t="s">
        <v>951</v>
      </c>
      <c r="AA467" t="b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239</v>
      </c>
      <c r="B468" t="s">
        <v>952</v>
      </c>
      <c r="C468" t="s">
        <v>367</v>
      </c>
      <c r="D468" t="s">
        <v>953</v>
      </c>
      <c r="E468" t="s">
        <v>297</v>
      </c>
      <c r="F468" s="2">
        <v>46197</v>
      </c>
      <c r="G468" s="2">
        <v>46205</v>
      </c>
      <c r="H468" s="3">
        <v>0</v>
      </c>
      <c r="J468" t="s">
        <v>196</v>
      </c>
      <c r="M468" t="s">
        <v>308</v>
      </c>
      <c r="N468" s="2">
        <v>46205</v>
      </c>
      <c r="P468" t="s">
        <v>314</v>
      </c>
      <c r="Q468" t="s">
        <v>55</v>
      </c>
      <c r="R468" t="s">
        <v>365</v>
      </c>
      <c r="S468" s="2">
        <v>46189</v>
      </c>
      <c r="T468" s="2">
        <v>46197</v>
      </c>
      <c r="U468" t="s">
        <v>889</v>
      </c>
      <c r="W468" t="s">
        <v>954</v>
      </c>
      <c r="X468" t="s">
        <v>367</v>
      </c>
      <c r="Y468" t="s">
        <v>955</v>
      </c>
      <c r="Z468" t="s">
        <v>954</v>
      </c>
      <c r="AA468" t="b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269</v>
      </c>
      <c r="B469" t="s">
        <v>956</v>
      </c>
      <c r="C469" t="s">
        <v>367</v>
      </c>
      <c r="D469" t="s">
        <v>957</v>
      </c>
      <c r="E469" t="s">
        <v>682</v>
      </c>
      <c r="F469" s="2">
        <v>46196</v>
      </c>
      <c r="G469" s="2">
        <v>46206</v>
      </c>
      <c r="H469" s="3">
        <v>0</v>
      </c>
      <c r="J469" t="s">
        <v>196</v>
      </c>
      <c r="M469" t="s">
        <v>251</v>
      </c>
      <c r="N469" s="2">
        <v>46206</v>
      </c>
      <c r="P469" t="s">
        <v>314</v>
      </c>
      <c r="Q469" t="s">
        <v>55</v>
      </c>
      <c r="R469" t="s">
        <v>365</v>
      </c>
      <c r="S469" s="2">
        <v>46188</v>
      </c>
      <c r="T469" s="2">
        <v>46198</v>
      </c>
      <c r="U469" t="s">
        <v>889</v>
      </c>
      <c r="W469" t="s">
        <v>958</v>
      </c>
      <c r="X469" t="s">
        <v>367</v>
      </c>
      <c r="Y469" t="s">
        <v>959</v>
      </c>
      <c r="Z469" t="s">
        <v>958</v>
      </c>
      <c r="AA469" t="b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295</v>
      </c>
      <c r="B470" t="s">
        <v>960</v>
      </c>
      <c r="C470" t="s">
        <v>440</v>
      </c>
      <c r="D470" t="s">
        <v>961</v>
      </c>
      <c r="E470" t="s">
        <v>297</v>
      </c>
      <c r="F470" s="2">
        <v>46197</v>
      </c>
      <c r="G470" s="2">
        <v>46205</v>
      </c>
      <c r="H470" s="3">
        <v>0</v>
      </c>
      <c r="J470" t="s">
        <v>196</v>
      </c>
      <c r="M470" t="s">
        <v>308</v>
      </c>
      <c r="N470" s="2">
        <v>46205</v>
      </c>
      <c r="P470" t="s">
        <v>314</v>
      </c>
      <c r="Q470" t="s">
        <v>55</v>
      </c>
      <c r="R470" t="s">
        <v>438</v>
      </c>
      <c r="S470" s="2">
        <v>46185</v>
      </c>
      <c r="T470" s="2">
        <v>46195</v>
      </c>
      <c r="U470" t="s">
        <v>889</v>
      </c>
      <c r="W470" t="s">
        <v>962</v>
      </c>
      <c r="X470" t="s">
        <v>440</v>
      </c>
      <c r="Y470" t="s">
        <v>963</v>
      </c>
      <c r="Z470" t="s">
        <v>962</v>
      </c>
      <c r="AA470" t="b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340</v>
      </c>
      <c r="B471" t="s">
        <v>532</v>
      </c>
      <c r="C471" t="s">
        <v>440</v>
      </c>
      <c r="D471" t="s">
        <v>964</v>
      </c>
      <c r="E471" t="s">
        <v>224</v>
      </c>
      <c r="F471" s="2">
        <v>46197</v>
      </c>
      <c r="G471" s="2">
        <v>46204</v>
      </c>
      <c r="H471" s="3">
        <v>0</v>
      </c>
      <c r="J471" t="s">
        <v>196</v>
      </c>
      <c r="M471" t="s">
        <v>308</v>
      </c>
      <c r="N471" s="2">
        <v>46204</v>
      </c>
      <c r="P471" t="s">
        <v>314</v>
      </c>
      <c r="Q471" t="s">
        <v>55</v>
      </c>
      <c r="R471" t="s">
        <v>438</v>
      </c>
      <c r="S471" s="2">
        <v>46185</v>
      </c>
      <c r="T471" s="2">
        <v>46197</v>
      </c>
      <c r="U471" t="s">
        <v>889</v>
      </c>
      <c r="W471" t="s">
        <v>965</v>
      </c>
      <c r="X471" t="s">
        <v>440</v>
      </c>
      <c r="Y471" t="s">
        <v>966</v>
      </c>
      <c r="Z471" t="s">
        <v>965</v>
      </c>
      <c r="AA471" t="b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345</v>
      </c>
      <c r="B472" t="s">
        <v>541</v>
      </c>
      <c r="C472" t="s">
        <v>440</v>
      </c>
      <c r="D472" t="s">
        <v>967</v>
      </c>
      <c r="E472" t="s">
        <v>682</v>
      </c>
      <c r="F472" s="2">
        <v>46197</v>
      </c>
      <c r="G472" s="2">
        <v>46209</v>
      </c>
      <c r="H472" s="3">
        <v>0</v>
      </c>
      <c r="J472" t="s">
        <v>196</v>
      </c>
      <c r="M472" t="s">
        <v>308</v>
      </c>
      <c r="N472" s="2">
        <v>46209</v>
      </c>
      <c r="P472" t="s">
        <v>314</v>
      </c>
      <c r="Q472" t="s">
        <v>55</v>
      </c>
      <c r="R472" t="s">
        <v>438</v>
      </c>
      <c r="S472" s="2">
        <v>46185</v>
      </c>
      <c r="T472" s="2">
        <v>46197</v>
      </c>
      <c r="U472" t="s">
        <v>889</v>
      </c>
      <c r="W472" t="s">
        <v>968</v>
      </c>
      <c r="X472" t="s">
        <v>440</v>
      </c>
      <c r="Y472" t="s">
        <v>969</v>
      </c>
      <c r="Z472" t="s">
        <v>968</v>
      </c>
      <c r="AA472" t="b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350</v>
      </c>
      <c r="B473" t="s">
        <v>550</v>
      </c>
      <c r="C473" t="s">
        <v>440</v>
      </c>
      <c r="D473" t="s">
        <v>970</v>
      </c>
      <c r="E473" t="s">
        <v>971</v>
      </c>
      <c r="F473" s="2">
        <v>46178</v>
      </c>
      <c r="G473" s="2">
        <v>46202</v>
      </c>
      <c r="H473" s="3">
        <v>0</v>
      </c>
      <c r="J473" t="s">
        <v>196</v>
      </c>
      <c r="M473" t="s">
        <v>66</v>
      </c>
      <c r="N473" s="2">
        <v>46202</v>
      </c>
      <c r="P473" t="s">
        <v>314</v>
      </c>
      <c r="Q473" t="s">
        <v>55</v>
      </c>
      <c r="R473" t="s">
        <v>438</v>
      </c>
      <c r="S473" s="2">
        <v>46168</v>
      </c>
      <c r="T473" s="2">
        <v>46190</v>
      </c>
      <c r="U473" t="s">
        <v>889</v>
      </c>
      <c r="W473" t="s">
        <v>972</v>
      </c>
      <c r="X473" t="s">
        <v>440</v>
      </c>
      <c r="Y473" t="s">
        <v>973</v>
      </c>
      <c r="Z473" t="s">
        <v>972</v>
      </c>
      <c r="AA473" t="b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370</v>
      </c>
      <c r="B474" t="s">
        <v>558</v>
      </c>
      <c r="C474" t="s">
        <v>440</v>
      </c>
      <c r="D474" t="s">
        <v>974</v>
      </c>
      <c r="E474" t="s">
        <v>682</v>
      </c>
      <c r="F474" s="2">
        <v>46183</v>
      </c>
      <c r="G474" s="2">
        <v>46195</v>
      </c>
      <c r="H474" s="3">
        <v>0</v>
      </c>
      <c r="J474" t="s">
        <v>196</v>
      </c>
      <c r="M474" t="s">
        <v>182</v>
      </c>
      <c r="N474" s="2">
        <v>46195</v>
      </c>
      <c r="P474" t="s">
        <v>314</v>
      </c>
      <c r="Q474" t="s">
        <v>55</v>
      </c>
      <c r="R474" t="s">
        <v>438</v>
      </c>
      <c r="S474" s="2">
        <v>46171</v>
      </c>
      <c r="T474" s="2">
        <v>46183</v>
      </c>
      <c r="U474" t="s">
        <v>889</v>
      </c>
      <c r="W474" t="s">
        <v>975</v>
      </c>
      <c r="X474" t="s">
        <v>440</v>
      </c>
      <c r="Y474" t="s">
        <v>976</v>
      </c>
      <c r="Z474" t="s">
        <v>975</v>
      </c>
      <c r="AA474" t="b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375</v>
      </c>
      <c r="B475" t="s">
        <v>977</v>
      </c>
      <c r="C475" t="s">
        <v>440</v>
      </c>
      <c r="D475" t="s">
        <v>978</v>
      </c>
      <c r="E475" t="s">
        <v>682</v>
      </c>
      <c r="F475" s="2">
        <v>46183</v>
      </c>
      <c r="G475" s="2">
        <v>46195</v>
      </c>
      <c r="H475" s="3">
        <v>0</v>
      </c>
      <c r="J475" t="s">
        <v>196</v>
      </c>
      <c r="M475" t="s">
        <v>182</v>
      </c>
      <c r="N475" s="2">
        <v>46195</v>
      </c>
      <c r="P475" t="s">
        <v>314</v>
      </c>
      <c r="Q475" t="s">
        <v>55</v>
      </c>
      <c r="R475" t="s">
        <v>438</v>
      </c>
      <c r="S475" s="2">
        <v>46171</v>
      </c>
      <c r="T475" s="2">
        <v>46183</v>
      </c>
      <c r="U475" t="s">
        <v>889</v>
      </c>
      <c r="W475" t="s">
        <v>979</v>
      </c>
      <c r="X475" t="s">
        <v>440</v>
      </c>
      <c r="Y475" t="s">
        <v>980</v>
      </c>
      <c r="Z475" t="s">
        <v>979</v>
      </c>
      <c r="AA475" t="b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380</v>
      </c>
      <c r="B476" t="s">
        <v>981</v>
      </c>
      <c r="C476" t="s">
        <v>440</v>
      </c>
      <c r="D476" t="s">
        <v>982</v>
      </c>
      <c r="E476" t="s">
        <v>682</v>
      </c>
      <c r="F476" s="2">
        <v>46183</v>
      </c>
      <c r="G476" s="2">
        <v>46195</v>
      </c>
      <c r="H476" s="3">
        <v>0</v>
      </c>
      <c r="J476" t="s">
        <v>196</v>
      </c>
      <c r="M476" t="s">
        <v>182</v>
      </c>
      <c r="N476" s="2">
        <v>46195</v>
      </c>
      <c r="P476" t="s">
        <v>314</v>
      </c>
      <c r="Q476" t="s">
        <v>55</v>
      </c>
      <c r="R476" t="s">
        <v>438</v>
      </c>
      <c r="S476" s="2">
        <v>46171</v>
      </c>
      <c r="T476" s="2">
        <v>46183</v>
      </c>
      <c r="U476" t="s">
        <v>889</v>
      </c>
      <c r="W476" t="s">
        <v>983</v>
      </c>
      <c r="X476" t="s">
        <v>440</v>
      </c>
      <c r="Y476" t="s">
        <v>984</v>
      </c>
      <c r="Z476" t="s">
        <v>983</v>
      </c>
      <c r="AA476" t="b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385</v>
      </c>
      <c r="B477" t="s">
        <v>985</v>
      </c>
      <c r="C477" t="s">
        <v>440</v>
      </c>
      <c r="D477" t="s">
        <v>986</v>
      </c>
      <c r="E477" t="s">
        <v>682</v>
      </c>
      <c r="F477" s="2">
        <v>46183</v>
      </c>
      <c r="G477" s="2">
        <v>46195</v>
      </c>
      <c r="H477" s="3">
        <v>0</v>
      </c>
      <c r="J477" t="s">
        <v>196</v>
      </c>
      <c r="M477" t="s">
        <v>182</v>
      </c>
      <c r="N477" s="2">
        <v>46195</v>
      </c>
      <c r="P477" t="s">
        <v>314</v>
      </c>
      <c r="Q477" t="s">
        <v>55</v>
      </c>
      <c r="R477" t="s">
        <v>438</v>
      </c>
      <c r="S477" s="2">
        <v>46171</v>
      </c>
      <c r="T477" s="2">
        <v>46183</v>
      </c>
      <c r="U477" t="s">
        <v>889</v>
      </c>
      <c r="W477" t="s">
        <v>987</v>
      </c>
      <c r="X477" t="s">
        <v>440</v>
      </c>
      <c r="Y477" t="s">
        <v>988</v>
      </c>
      <c r="Z477" t="s">
        <v>987</v>
      </c>
      <c r="AA477" t="b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406</v>
      </c>
      <c r="B478" t="s">
        <v>589</v>
      </c>
      <c r="C478" t="s">
        <v>571</v>
      </c>
      <c r="D478" t="s">
        <v>989</v>
      </c>
      <c r="E478" t="s">
        <v>224</v>
      </c>
      <c r="F478" s="2">
        <v>46195</v>
      </c>
      <c r="G478" s="2">
        <v>46202</v>
      </c>
      <c r="H478" s="3">
        <v>0</v>
      </c>
      <c r="J478" t="s">
        <v>196</v>
      </c>
      <c r="M478" t="s">
        <v>284</v>
      </c>
      <c r="N478" s="2">
        <v>46202</v>
      </c>
      <c r="P478" t="s">
        <v>314</v>
      </c>
      <c r="Q478" t="s">
        <v>44</v>
      </c>
      <c r="R478" t="s">
        <v>569</v>
      </c>
      <c r="S478" s="2">
        <v>46184</v>
      </c>
      <c r="T478" s="2">
        <v>46192</v>
      </c>
      <c r="U478" t="s">
        <v>889</v>
      </c>
      <c r="W478" t="s">
        <v>990</v>
      </c>
      <c r="X478" t="s">
        <v>571</v>
      </c>
      <c r="Y478" t="s">
        <v>991</v>
      </c>
      <c r="Z478" t="s">
        <v>990</v>
      </c>
      <c r="AA478" t="b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411</v>
      </c>
      <c r="B479" t="s">
        <v>992</v>
      </c>
      <c r="C479" t="s">
        <v>571</v>
      </c>
      <c r="D479" t="s">
        <v>993</v>
      </c>
      <c r="E479" t="s">
        <v>297</v>
      </c>
      <c r="F479" s="2">
        <v>46195</v>
      </c>
      <c r="G479" s="2">
        <v>46203</v>
      </c>
      <c r="H479" s="3">
        <v>0</v>
      </c>
      <c r="J479" t="s">
        <v>196</v>
      </c>
      <c r="M479" t="s">
        <v>284</v>
      </c>
      <c r="N479" s="2">
        <v>46203</v>
      </c>
      <c r="P479" t="s">
        <v>314</v>
      </c>
      <c r="Q479" t="s">
        <v>55</v>
      </c>
      <c r="R479" t="s">
        <v>569</v>
      </c>
      <c r="S479" s="2">
        <v>46192</v>
      </c>
      <c r="T479" s="2">
        <v>46202</v>
      </c>
      <c r="U479" t="s">
        <v>889</v>
      </c>
      <c r="W479" t="s">
        <v>994</v>
      </c>
      <c r="X479" t="s">
        <v>571</v>
      </c>
      <c r="Y479" t="s">
        <v>995</v>
      </c>
      <c r="Z479" t="s">
        <v>994</v>
      </c>
      <c r="AA479" t="b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25">
      <c r="A480">
        <v>451</v>
      </c>
      <c r="B480" t="s">
        <v>646</v>
      </c>
      <c r="C480" t="s">
        <v>571</v>
      </c>
      <c r="D480" t="s">
        <v>996</v>
      </c>
      <c r="E480" t="s">
        <v>938</v>
      </c>
      <c r="F480" s="2">
        <v>46183</v>
      </c>
      <c r="G480" s="2">
        <v>46202</v>
      </c>
      <c r="H480" s="3">
        <v>0</v>
      </c>
      <c r="J480" t="s">
        <v>196</v>
      </c>
      <c r="M480" t="s">
        <v>182</v>
      </c>
      <c r="N480" s="2">
        <v>46202</v>
      </c>
      <c r="P480" t="s">
        <v>314</v>
      </c>
      <c r="Q480" t="s">
        <v>55</v>
      </c>
      <c r="R480" t="s">
        <v>569</v>
      </c>
      <c r="S480" s="2">
        <v>46167</v>
      </c>
      <c r="T480" s="2">
        <v>46184</v>
      </c>
      <c r="U480" t="s">
        <v>889</v>
      </c>
      <c r="W480" t="s">
        <v>997</v>
      </c>
      <c r="X480" t="s">
        <v>571</v>
      </c>
      <c r="Y480" t="s">
        <v>998</v>
      </c>
      <c r="Z480" t="s">
        <v>997</v>
      </c>
      <c r="AA480" t="b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461</v>
      </c>
      <c r="B481" t="s">
        <v>653</v>
      </c>
      <c r="C481" t="s">
        <v>571</v>
      </c>
      <c r="D481" t="s">
        <v>999</v>
      </c>
      <c r="E481" t="s">
        <v>297</v>
      </c>
      <c r="F481" s="2">
        <v>46199</v>
      </c>
      <c r="G481" s="2">
        <v>46209</v>
      </c>
      <c r="H481" s="3">
        <v>0</v>
      </c>
      <c r="J481" t="s">
        <v>196</v>
      </c>
      <c r="M481" t="s">
        <v>193</v>
      </c>
      <c r="N481" s="2">
        <v>46209</v>
      </c>
      <c r="P481" t="s">
        <v>314</v>
      </c>
      <c r="Q481" t="s">
        <v>55</v>
      </c>
      <c r="R481" t="s">
        <v>569</v>
      </c>
      <c r="S481" s="2">
        <v>46192</v>
      </c>
      <c r="T481" s="2">
        <v>46202</v>
      </c>
      <c r="U481" t="s">
        <v>889</v>
      </c>
      <c r="W481" t="s">
        <v>1000</v>
      </c>
      <c r="X481" t="s">
        <v>571</v>
      </c>
      <c r="Y481" t="s">
        <v>1001</v>
      </c>
      <c r="Z481" t="s">
        <v>1000</v>
      </c>
      <c r="AA481" t="b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466</v>
      </c>
      <c r="B482" t="s">
        <v>1002</v>
      </c>
      <c r="C482" t="s">
        <v>571</v>
      </c>
      <c r="D482" t="s">
        <v>1003</v>
      </c>
      <c r="E482" t="s">
        <v>224</v>
      </c>
      <c r="F482" s="2">
        <v>46199</v>
      </c>
      <c r="G482" s="2">
        <v>46206</v>
      </c>
      <c r="H482" s="3">
        <v>0</v>
      </c>
      <c r="J482" t="s">
        <v>196</v>
      </c>
      <c r="M482" t="s">
        <v>193</v>
      </c>
      <c r="N482" s="2">
        <v>46206</v>
      </c>
      <c r="P482" t="s">
        <v>314</v>
      </c>
      <c r="Q482" t="s">
        <v>44</v>
      </c>
      <c r="R482" t="s">
        <v>569</v>
      </c>
      <c r="S482" s="2">
        <v>46192</v>
      </c>
      <c r="T482" s="2">
        <v>46202</v>
      </c>
      <c r="U482" t="s">
        <v>889</v>
      </c>
      <c r="W482" t="s">
        <v>1004</v>
      </c>
      <c r="X482" t="s">
        <v>571</v>
      </c>
      <c r="Y482" t="s">
        <v>1005</v>
      </c>
      <c r="Z482" t="s">
        <v>1004</v>
      </c>
      <c r="AA482" t="b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U483" t="s">
        <v>889</v>
      </c>
      <c r="X483" t="s">
        <v>883</v>
      </c>
      <c r="Z483" t="s">
        <v>1006</v>
      </c>
      <c r="AA483" t="b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U484" t="s">
        <v>889</v>
      </c>
      <c r="X484" t="s">
        <v>883</v>
      </c>
      <c r="Z484" t="s">
        <v>1006</v>
      </c>
      <c r="AA484" t="b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U485" t="s">
        <v>889</v>
      </c>
      <c r="X485" t="s">
        <v>883</v>
      </c>
      <c r="Z485" t="s">
        <v>1006</v>
      </c>
      <c r="AA485" t="b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U486" t="s">
        <v>889</v>
      </c>
      <c r="X486" t="s">
        <v>883</v>
      </c>
      <c r="Z486" t="s">
        <v>1006</v>
      </c>
      <c r="AA486" t="b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U487" t="s">
        <v>889</v>
      </c>
      <c r="X487" t="s">
        <v>883</v>
      </c>
      <c r="Z487" t="s">
        <v>1006</v>
      </c>
      <c r="AA487" t="b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U488" t="s">
        <v>889</v>
      </c>
      <c r="X488" t="s">
        <v>883</v>
      </c>
      <c r="Z488" t="s">
        <v>1006</v>
      </c>
      <c r="AA488" t="b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U489" t="s">
        <v>889</v>
      </c>
      <c r="X489" t="s">
        <v>883</v>
      </c>
      <c r="Z489" t="s">
        <v>1006</v>
      </c>
      <c r="AA489" t="b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U490" t="s">
        <v>889</v>
      </c>
      <c r="X490" t="s">
        <v>883</v>
      </c>
      <c r="Z490" t="s">
        <v>1006</v>
      </c>
      <c r="AA490" t="b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U491" t="s">
        <v>889</v>
      </c>
      <c r="X491" t="s">
        <v>883</v>
      </c>
      <c r="Z491" t="s">
        <v>1006</v>
      </c>
      <c r="AA491" t="b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5">
      <c r="U492" t="s">
        <v>889</v>
      </c>
      <c r="X492" t="s">
        <v>883</v>
      </c>
      <c r="Z492" t="s">
        <v>1006</v>
      </c>
      <c r="AA492" t="b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U493" t="s">
        <v>889</v>
      </c>
      <c r="X493" t="s">
        <v>883</v>
      </c>
      <c r="Z493" t="s">
        <v>1006</v>
      </c>
      <c r="AA493" t="b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U494" t="s">
        <v>889</v>
      </c>
      <c r="X494" t="s">
        <v>883</v>
      </c>
      <c r="Z494" t="s">
        <v>1006</v>
      </c>
      <c r="AA494" t="b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U495" t="s">
        <v>889</v>
      </c>
      <c r="X495" t="s">
        <v>883</v>
      </c>
      <c r="Z495" t="s">
        <v>1006</v>
      </c>
      <c r="AA495" t="b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U496" t="s">
        <v>889</v>
      </c>
      <c r="X496" t="s">
        <v>883</v>
      </c>
      <c r="Z496" t="s">
        <v>1006</v>
      </c>
      <c r="AA496" t="b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21:39" x14ac:dyDescent="0.25">
      <c r="U497" t="s">
        <v>889</v>
      </c>
      <c r="X497" t="s">
        <v>883</v>
      </c>
      <c r="Z497" t="s">
        <v>1006</v>
      </c>
      <c r="AA497" t="b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21:39" x14ac:dyDescent="0.25">
      <c r="U498" t="s">
        <v>889</v>
      </c>
      <c r="X498" t="s">
        <v>883</v>
      </c>
      <c r="Z498" t="s">
        <v>1006</v>
      </c>
      <c r="AA498" t="b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21:39" x14ac:dyDescent="0.25">
      <c r="U499" t="s">
        <v>889</v>
      </c>
      <c r="X499" t="s">
        <v>883</v>
      </c>
      <c r="Z499" t="s">
        <v>1006</v>
      </c>
      <c r="AA499" t="b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21:39" x14ac:dyDescent="0.25">
      <c r="U500" t="s">
        <v>889</v>
      </c>
      <c r="X500" t="s">
        <v>883</v>
      </c>
      <c r="Z500" t="s">
        <v>1006</v>
      </c>
      <c r="AA500" t="b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21:39" x14ac:dyDescent="0.25">
      <c r="U501" t="s">
        <v>889</v>
      </c>
      <c r="X501" t="s">
        <v>883</v>
      </c>
      <c r="Z501" t="s">
        <v>1006</v>
      </c>
      <c r="AA501" t="b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21:39" x14ac:dyDescent="0.25">
      <c r="U502" t="s">
        <v>889</v>
      </c>
      <c r="X502" t="s">
        <v>883</v>
      </c>
      <c r="Z502" t="s">
        <v>1006</v>
      </c>
      <c r="AA502" t="b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21:39" x14ac:dyDescent="0.25">
      <c r="U503" t="s">
        <v>889</v>
      </c>
      <c r="X503" t="s">
        <v>883</v>
      </c>
      <c r="Z503" t="s">
        <v>1006</v>
      </c>
      <c r="AA503" t="b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21:39" x14ac:dyDescent="0.25">
      <c r="U504" t="s">
        <v>889</v>
      </c>
      <c r="X504" t="s">
        <v>883</v>
      </c>
      <c r="Z504" t="s">
        <v>1006</v>
      </c>
      <c r="AA504" t="b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21:39" x14ac:dyDescent="0.25">
      <c r="U505" t="s">
        <v>889</v>
      </c>
      <c r="X505" t="s">
        <v>883</v>
      </c>
      <c r="Z505" t="s">
        <v>1006</v>
      </c>
      <c r="AA505" t="b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21:39" x14ac:dyDescent="0.25">
      <c r="U506" t="s">
        <v>889</v>
      </c>
      <c r="X506" t="s">
        <v>883</v>
      </c>
      <c r="Z506" t="s">
        <v>1006</v>
      </c>
      <c r="AA506" t="b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21:39" x14ac:dyDescent="0.25">
      <c r="U507" t="s">
        <v>889</v>
      </c>
      <c r="X507" t="s">
        <v>883</v>
      </c>
      <c r="Z507" t="s">
        <v>1006</v>
      </c>
      <c r="AA507" t="b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21:39" x14ac:dyDescent="0.25">
      <c r="U508" t="s">
        <v>889</v>
      </c>
      <c r="X508" t="s">
        <v>883</v>
      </c>
      <c r="Z508" t="s">
        <v>1006</v>
      </c>
      <c r="AA508" t="b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21:39" x14ac:dyDescent="0.25">
      <c r="U509" t="s">
        <v>889</v>
      </c>
      <c r="X509" t="s">
        <v>883</v>
      </c>
      <c r="Z509" t="s">
        <v>1006</v>
      </c>
      <c r="AA509" t="b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21:39" x14ac:dyDescent="0.25">
      <c r="U510" t="s">
        <v>889</v>
      </c>
      <c r="X510" t="s">
        <v>883</v>
      </c>
      <c r="Z510" t="s">
        <v>1006</v>
      </c>
      <c r="AA510" t="b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21:39" x14ac:dyDescent="0.25">
      <c r="U511" t="s">
        <v>889</v>
      </c>
      <c r="X511" t="s">
        <v>883</v>
      </c>
      <c r="Z511" t="s">
        <v>1006</v>
      </c>
      <c r="AA511" t="b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21:39" x14ac:dyDescent="0.25">
      <c r="U512" t="s">
        <v>889</v>
      </c>
      <c r="X512" t="s">
        <v>883</v>
      </c>
      <c r="Z512" t="s">
        <v>1006</v>
      </c>
      <c r="AA512" t="b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21:39" x14ac:dyDescent="0.25">
      <c r="U513" t="s">
        <v>889</v>
      </c>
      <c r="X513" t="s">
        <v>883</v>
      </c>
      <c r="Z513" t="s">
        <v>1006</v>
      </c>
      <c r="AA513" t="b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21:39" x14ac:dyDescent="0.25">
      <c r="U514" t="s">
        <v>889</v>
      </c>
      <c r="X514" t="s">
        <v>883</v>
      </c>
      <c r="Z514" t="s">
        <v>1006</v>
      </c>
      <c r="AA514" t="b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21:39" x14ac:dyDescent="0.25">
      <c r="U515" t="s">
        <v>889</v>
      </c>
      <c r="X515" t="s">
        <v>883</v>
      </c>
      <c r="Z515" t="s">
        <v>1006</v>
      </c>
      <c r="AA515" t="b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21:39" x14ac:dyDescent="0.25">
      <c r="U516" t="s">
        <v>889</v>
      </c>
      <c r="X516" t="s">
        <v>883</v>
      </c>
      <c r="Z516" t="s">
        <v>1006</v>
      </c>
      <c r="AA516" t="b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21:39" x14ac:dyDescent="0.25">
      <c r="U517" t="s">
        <v>889</v>
      </c>
      <c r="X517" t="s">
        <v>883</v>
      </c>
      <c r="Z517" t="s">
        <v>1006</v>
      </c>
      <c r="AA517" t="b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21:39" x14ac:dyDescent="0.25">
      <c r="U518" t="s">
        <v>889</v>
      </c>
      <c r="X518" t="s">
        <v>883</v>
      </c>
      <c r="Z518" t="s">
        <v>1006</v>
      </c>
      <c r="AA518" t="b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21:39" x14ac:dyDescent="0.25">
      <c r="U519" t="s">
        <v>889</v>
      </c>
      <c r="X519" t="s">
        <v>883</v>
      </c>
      <c r="Z519" t="s">
        <v>1006</v>
      </c>
      <c r="AA519" t="b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21:39" x14ac:dyDescent="0.25">
      <c r="U520" t="s">
        <v>889</v>
      </c>
      <c r="X520" t="s">
        <v>883</v>
      </c>
      <c r="Z520" t="s">
        <v>1006</v>
      </c>
      <c r="AA520" t="b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21:39" x14ac:dyDescent="0.25">
      <c r="U521" t="s">
        <v>889</v>
      </c>
      <c r="X521" t="s">
        <v>883</v>
      </c>
      <c r="Z521" t="s">
        <v>1006</v>
      </c>
      <c r="AA521" t="b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21:39" x14ac:dyDescent="0.25">
      <c r="U522" t="s">
        <v>889</v>
      </c>
      <c r="X522" t="s">
        <v>883</v>
      </c>
      <c r="Z522" t="s">
        <v>1006</v>
      </c>
      <c r="AA522" t="b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activeCell="G24" sqref="G24"/>
    </sheetView>
  </sheetViews>
  <sheetFormatPr defaultRowHeight="15" x14ac:dyDescent="0.25"/>
  <cols>
    <col min="1" max="1" width="32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1007</v>
      </c>
      <c r="B1">
        <v>86</v>
      </c>
    </row>
    <row r="2" spans="1:8" x14ac:dyDescent="0.25">
      <c r="A2" t="s">
        <v>1008</v>
      </c>
      <c r="B2" s="1">
        <v>0.94117647058823528</v>
      </c>
    </row>
    <row r="3" spans="1:8" x14ac:dyDescent="0.25">
      <c r="A3" t="s">
        <v>17</v>
      </c>
      <c r="B3" t="s">
        <v>28</v>
      </c>
      <c r="C3" t="s">
        <v>29</v>
      </c>
      <c r="D3" t="s">
        <v>1009</v>
      </c>
      <c r="E3" t="s">
        <v>32</v>
      </c>
      <c r="F3" t="s">
        <v>34</v>
      </c>
      <c r="G3" t="s">
        <v>36</v>
      </c>
      <c r="H3" t="s">
        <v>1010</v>
      </c>
    </row>
    <row r="4" spans="1:8" x14ac:dyDescent="0.25">
      <c r="A4" t="s">
        <v>569</v>
      </c>
      <c r="B4">
        <v>39</v>
      </c>
      <c r="C4">
        <v>38</v>
      </c>
      <c r="D4" s="1">
        <v>0.97435897435897434</v>
      </c>
      <c r="E4">
        <v>24</v>
      </c>
      <c r="F4">
        <v>0</v>
      </c>
      <c r="G4">
        <v>0</v>
      </c>
      <c r="H4" s="1">
        <v>0</v>
      </c>
    </row>
    <row r="5" spans="1:8" x14ac:dyDescent="0.25">
      <c r="A5" t="s">
        <v>869</v>
      </c>
      <c r="B5">
        <v>2</v>
      </c>
      <c r="C5">
        <v>1</v>
      </c>
      <c r="D5" s="1">
        <v>0.5</v>
      </c>
      <c r="E5">
        <v>0</v>
      </c>
      <c r="F5">
        <v>0</v>
      </c>
      <c r="G5">
        <v>0</v>
      </c>
      <c r="H5" s="1">
        <v>0</v>
      </c>
    </row>
    <row r="6" spans="1:8" x14ac:dyDescent="0.25">
      <c r="A6" t="s">
        <v>896</v>
      </c>
      <c r="B6">
        <v>0</v>
      </c>
      <c r="C6">
        <v>0</v>
      </c>
      <c r="D6" s="1">
        <v>0</v>
      </c>
      <c r="E6">
        <v>0</v>
      </c>
      <c r="F6">
        <v>0</v>
      </c>
      <c r="G6">
        <v>0</v>
      </c>
      <c r="H6" s="1">
        <v>0</v>
      </c>
    </row>
    <row r="7" spans="1:8" x14ac:dyDescent="0.25">
      <c r="A7" t="s">
        <v>438</v>
      </c>
      <c r="B7">
        <v>13</v>
      </c>
      <c r="C7">
        <v>12</v>
      </c>
      <c r="D7" s="1">
        <v>0.92307692307692313</v>
      </c>
      <c r="E7">
        <v>2</v>
      </c>
      <c r="F7">
        <v>0</v>
      </c>
      <c r="G7">
        <v>0</v>
      </c>
      <c r="H7" s="1">
        <v>0</v>
      </c>
    </row>
    <row r="8" spans="1:8" x14ac:dyDescent="0.25">
      <c r="A8" t="s">
        <v>365</v>
      </c>
      <c r="B8">
        <v>8</v>
      </c>
      <c r="C8">
        <v>7</v>
      </c>
      <c r="D8" s="1">
        <v>0.875</v>
      </c>
      <c r="E8">
        <v>0</v>
      </c>
      <c r="F8">
        <v>0</v>
      </c>
      <c r="G8">
        <v>0</v>
      </c>
      <c r="H8" s="1">
        <v>0</v>
      </c>
    </row>
    <row r="9" spans="1:8" x14ac:dyDescent="0.25">
      <c r="A9" t="s">
        <v>45</v>
      </c>
      <c r="B9">
        <v>0</v>
      </c>
      <c r="C9">
        <v>0</v>
      </c>
      <c r="D9" s="1">
        <v>0</v>
      </c>
      <c r="E9">
        <v>0</v>
      </c>
      <c r="F9">
        <v>0</v>
      </c>
      <c r="G9">
        <v>0</v>
      </c>
      <c r="H9" s="1">
        <v>0</v>
      </c>
    </row>
    <row r="10" spans="1:8" x14ac:dyDescent="0.25">
      <c r="A10" t="s">
        <v>61</v>
      </c>
      <c r="B10">
        <v>0</v>
      </c>
      <c r="C10">
        <v>0</v>
      </c>
      <c r="D10" s="1">
        <v>0</v>
      </c>
      <c r="E10">
        <v>0</v>
      </c>
      <c r="F10">
        <v>0</v>
      </c>
      <c r="G10">
        <v>0</v>
      </c>
      <c r="H10" s="1">
        <v>0</v>
      </c>
    </row>
    <row r="11" spans="1:8" x14ac:dyDescent="0.25">
      <c r="A11" t="s">
        <v>157</v>
      </c>
      <c r="B11">
        <v>13</v>
      </c>
      <c r="C11">
        <v>13</v>
      </c>
      <c r="D11" s="1">
        <v>1</v>
      </c>
      <c r="E11">
        <v>5</v>
      </c>
      <c r="F11">
        <v>3</v>
      </c>
      <c r="G11">
        <v>3</v>
      </c>
      <c r="H11" s="1">
        <v>0.23076923076923081</v>
      </c>
    </row>
    <row r="12" spans="1:8" x14ac:dyDescent="0.25">
      <c r="A12" t="s">
        <v>87</v>
      </c>
      <c r="B12">
        <v>0</v>
      </c>
      <c r="C12">
        <v>0</v>
      </c>
      <c r="D12" s="1">
        <v>0</v>
      </c>
      <c r="E12">
        <v>0</v>
      </c>
      <c r="F12">
        <v>0</v>
      </c>
      <c r="G12">
        <v>0</v>
      </c>
      <c r="H12" s="1">
        <v>0</v>
      </c>
    </row>
    <row r="13" spans="1:8" x14ac:dyDescent="0.25">
      <c r="A13" t="s">
        <v>94</v>
      </c>
      <c r="B13">
        <v>2</v>
      </c>
      <c r="C13">
        <v>2</v>
      </c>
      <c r="D13" s="1">
        <v>1</v>
      </c>
      <c r="E13">
        <v>2</v>
      </c>
      <c r="F13">
        <v>2</v>
      </c>
      <c r="G13">
        <v>2</v>
      </c>
      <c r="H13" s="1">
        <v>1</v>
      </c>
    </row>
    <row r="14" spans="1:8" x14ac:dyDescent="0.25">
      <c r="A14" t="s">
        <v>139</v>
      </c>
      <c r="B14">
        <v>1</v>
      </c>
      <c r="C14">
        <v>1</v>
      </c>
      <c r="D14" s="1">
        <v>1</v>
      </c>
      <c r="E14">
        <v>1</v>
      </c>
      <c r="F14">
        <v>1</v>
      </c>
      <c r="G14">
        <v>1</v>
      </c>
      <c r="H14" s="1">
        <v>1</v>
      </c>
    </row>
    <row r="15" spans="1:8" x14ac:dyDescent="0.25">
      <c r="A15" t="s">
        <v>290</v>
      </c>
      <c r="B15">
        <v>8</v>
      </c>
      <c r="C15">
        <v>7</v>
      </c>
      <c r="D15" s="1">
        <v>0.875</v>
      </c>
      <c r="E15">
        <v>0</v>
      </c>
      <c r="F15">
        <v>0</v>
      </c>
      <c r="G15">
        <v>0</v>
      </c>
      <c r="H15" s="1">
        <v>0</v>
      </c>
    </row>
    <row r="16" spans="1:8" x14ac:dyDescent="0.25">
      <c r="A16" t="s">
        <v>1026</v>
      </c>
      <c r="B16">
        <f>SUBTOTAL(109,Tabela2[Emissão inicial total])</f>
        <v>86</v>
      </c>
      <c r="C16">
        <f>SUBTOTAL(109,Tabela2[Emissão inicial concluída])</f>
        <v>81</v>
      </c>
      <c r="E16">
        <f>SUBTOTAL(109,Tabela2[Avaliação do cliente concluída])</f>
        <v>34</v>
      </c>
      <c r="F16">
        <f>SUBTOTAL(109,Tabela2[Atendimento de comentário concluído])</f>
        <v>6</v>
      </c>
      <c r="G16">
        <f>SUBTOTAL(109,Tabela2[Aprovação concluída])</f>
        <v>6</v>
      </c>
    </row>
    <row r="21" spans="1:5" x14ac:dyDescent="0.25">
      <c r="A21" t="s">
        <v>17</v>
      </c>
      <c r="B21" t="s">
        <v>30</v>
      </c>
      <c r="C21" t="s">
        <v>33</v>
      </c>
      <c r="D21" t="s">
        <v>35</v>
      </c>
      <c r="E21" t="s">
        <v>37</v>
      </c>
    </row>
    <row r="22" spans="1:5" x14ac:dyDescent="0.25">
      <c r="A22" t="s">
        <v>569</v>
      </c>
      <c r="B22">
        <v>1</v>
      </c>
      <c r="C22">
        <v>15</v>
      </c>
      <c r="D22">
        <v>37</v>
      </c>
      <c r="E22">
        <v>34</v>
      </c>
    </row>
    <row r="23" spans="1:5" x14ac:dyDescent="0.25">
      <c r="A23" t="s">
        <v>869</v>
      </c>
      <c r="B23">
        <v>1</v>
      </c>
      <c r="C23">
        <v>0</v>
      </c>
      <c r="D23">
        <v>0</v>
      </c>
      <c r="E23">
        <v>0</v>
      </c>
    </row>
    <row r="24" spans="1:5" x14ac:dyDescent="0.25">
      <c r="A24" t="s">
        <v>896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438</v>
      </c>
      <c r="B25">
        <v>1</v>
      </c>
      <c r="C25">
        <v>11</v>
      </c>
      <c r="D25">
        <v>8</v>
      </c>
      <c r="E25">
        <v>8</v>
      </c>
    </row>
    <row r="26" spans="1:5" x14ac:dyDescent="0.25">
      <c r="A26" t="s">
        <v>365</v>
      </c>
      <c r="B26">
        <v>1</v>
      </c>
      <c r="C26">
        <v>8</v>
      </c>
      <c r="D26">
        <v>3</v>
      </c>
      <c r="E26">
        <v>3</v>
      </c>
    </row>
    <row r="27" spans="1:5" x14ac:dyDescent="0.25">
      <c r="A27" t="s">
        <v>45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61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157</v>
      </c>
      <c r="B29">
        <v>0</v>
      </c>
      <c r="C29">
        <v>8</v>
      </c>
      <c r="D29">
        <v>6</v>
      </c>
      <c r="E29">
        <v>6</v>
      </c>
    </row>
    <row r="30" spans="1:5" x14ac:dyDescent="0.25">
      <c r="A30" t="s">
        <v>87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94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139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290</v>
      </c>
      <c r="B33">
        <v>1</v>
      </c>
      <c r="C33">
        <v>8</v>
      </c>
      <c r="D33">
        <v>8</v>
      </c>
      <c r="E33">
        <v>8</v>
      </c>
    </row>
    <row r="34" spans="1:5" x14ac:dyDescent="0.25">
      <c r="A34" t="s">
        <v>1026</v>
      </c>
      <c r="B34">
        <f>SUBTOTAL(109,Tabela3[Emissão Inicial Atrasada])</f>
        <v>5</v>
      </c>
      <c r="C34">
        <f>SUBTOTAL(109,Tabela3[Avaliação Cliente Atrasada])</f>
        <v>50</v>
      </c>
      <c r="D34">
        <f>SUBTOTAL(109,Tabela3[Atendimento Atrasado])</f>
        <v>62</v>
      </c>
      <c r="E34">
        <f>SUBTOTAL(109,Tabela3[Aprovação Atrasada])</f>
        <v>59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0"/>
  <sheetViews>
    <sheetView workbookViewId="0">
      <selection activeCell="Q9" sqref="Q9"/>
    </sheetView>
  </sheetViews>
  <sheetFormatPr defaultColWidth="31.42578125" defaultRowHeight="15" x14ac:dyDescent="0.25"/>
  <cols>
    <col min="1" max="1" width="10.7109375" style="2" bestFit="1" customWidth="1"/>
    <col min="2" max="2" width="10.42578125" bestFit="1" customWidth="1"/>
    <col min="3" max="3" width="15.42578125" bestFit="1" customWidth="1"/>
    <col min="4" max="4" width="15.7109375" customWidth="1"/>
    <col min="5" max="5" width="13.42578125" customWidth="1"/>
    <col min="6" max="6" width="11.140625" customWidth="1"/>
    <col min="7" max="7" width="12.5703125" bestFit="1" customWidth="1"/>
    <col min="8" max="8" width="12.7109375" customWidth="1"/>
    <col min="9" max="9" width="11.28515625" customWidth="1"/>
    <col min="10" max="10" width="10.85546875" style="3" customWidth="1"/>
    <col min="11" max="11" width="12.42578125" style="3" customWidth="1"/>
    <col min="12" max="12" width="10.140625" customWidth="1"/>
    <col min="13" max="13" width="12.7109375" style="3" customWidth="1"/>
    <col min="14" max="14" width="11.140625" style="3" customWidth="1"/>
    <col min="15" max="15" width="11.42578125" customWidth="1"/>
  </cols>
  <sheetData>
    <row r="1" spans="1:15" s="5" customFormat="1" ht="58.5" customHeight="1" x14ac:dyDescent="0.25">
      <c r="A1" s="4" t="s">
        <v>1011</v>
      </c>
      <c r="B1" s="5" t="s">
        <v>1012</v>
      </c>
      <c r="C1" s="5" t="s">
        <v>1013</v>
      </c>
      <c r="D1" s="5" t="s">
        <v>1014</v>
      </c>
      <c r="E1" s="5" t="s">
        <v>1015</v>
      </c>
      <c r="F1" s="5" t="s">
        <v>1016</v>
      </c>
      <c r="G1" s="5" t="s">
        <v>1017</v>
      </c>
      <c r="H1" s="5" t="s">
        <v>1018</v>
      </c>
      <c r="I1" s="5" t="s">
        <v>1019</v>
      </c>
      <c r="J1" s="6" t="s">
        <v>1020</v>
      </c>
      <c r="K1" s="6" t="s">
        <v>1021</v>
      </c>
      <c r="L1" s="5" t="s">
        <v>1022</v>
      </c>
      <c r="M1" s="6" t="s">
        <v>1023</v>
      </c>
      <c r="N1" s="6" t="s">
        <v>1024</v>
      </c>
      <c r="O1" s="5" t="s">
        <v>1025</v>
      </c>
    </row>
    <row r="2" spans="1:15" x14ac:dyDescent="0.25">
      <c r="A2" s="2">
        <v>46139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3">
        <v>0</v>
      </c>
      <c r="K2" s="3">
        <v>0</v>
      </c>
      <c r="L2">
        <v>0</v>
      </c>
      <c r="M2" s="3">
        <v>0</v>
      </c>
      <c r="N2" s="3">
        <v>0</v>
      </c>
      <c r="O2">
        <v>0</v>
      </c>
    </row>
    <row r="3" spans="1:15" x14ac:dyDescent="0.25">
      <c r="A3" s="2">
        <v>46140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3">
        <v>0</v>
      </c>
      <c r="K3" s="3">
        <v>0</v>
      </c>
      <c r="L3">
        <v>0</v>
      </c>
      <c r="M3" s="3">
        <v>0</v>
      </c>
      <c r="N3" s="3">
        <v>0</v>
      </c>
      <c r="O3">
        <v>0</v>
      </c>
    </row>
    <row r="4" spans="1:15" x14ac:dyDescent="0.25">
      <c r="A4" s="2">
        <v>46141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 s="3">
        <v>0</v>
      </c>
      <c r="K4" s="3">
        <v>1.1764705882352939E-2</v>
      </c>
      <c r="L4">
        <v>1</v>
      </c>
      <c r="M4" s="3">
        <v>0</v>
      </c>
      <c r="N4" s="3">
        <v>0</v>
      </c>
      <c r="O4">
        <v>0</v>
      </c>
    </row>
    <row r="5" spans="1:15" x14ac:dyDescent="0.25">
      <c r="A5" s="2">
        <v>46142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 s="3">
        <v>0</v>
      </c>
      <c r="K5" s="3">
        <v>1.1764705882352939E-2</v>
      </c>
      <c r="L5">
        <v>1</v>
      </c>
      <c r="M5" s="3">
        <v>0</v>
      </c>
      <c r="N5" s="3">
        <v>0</v>
      </c>
      <c r="O5">
        <v>0</v>
      </c>
    </row>
    <row r="6" spans="1:15" x14ac:dyDescent="0.25">
      <c r="A6" s="2">
        <v>46143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 s="3">
        <v>0</v>
      </c>
      <c r="K6" s="3">
        <v>1.1764705882352939E-2</v>
      </c>
      <c r="L6">
        <v>1</v>
      </c>
      <c r="M6" s="3">
        <v>0</v>
      </c>
      <c r="N6" s="3">
        <v>0</v>
      </c>
      <c r="O6">
        <v>0</v>
      </c>
    </row>
    <row r="7" spans="1:15" x14ac:dyDescent="0.25">
      <c r="A7" s="2">
        <v>46144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 s="3">
        <v>0</v>
      </c>
      <c r="K7" s="3">
        <v>1.1764705882352939E-2</v>
      </c>
      <c r="L7">
        <v>1</v>
      </c>
      <c r="M7" s="3">
        <v>0</v>
      </c>
      <c r="N7" s="3">
        <v>0</v>
      </c>
      <c r="O7">
        <v>0</v>
      </c>
    </row>
    <row r="8" spans="1:15" x14ac:dyDescent="0.25">
      <c r="A8" s="2">
        <v>46145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s="3">
        <v>0</v>
      </c>
      <c r="K8" s="3">
        <v>1.1764705882352939E-2</v>
      </c>
      <c r="L8">
        <v>1</v>
      </c>
      <c r="M8" s="3">
        <v>0</v>
      </c>
      <c r="N8" s="3">
        <v>0</v>
      </c>
      <c r="O8">
        <v>0</v>
      </c>
    </row>
    <row r="9" spans="1:15" x14ac:dyDescent="0.25">
      <c r="A9" s="2">
        <v>46146</v>
      </c>
      <c r="B9">
        <v>1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 s="3">
        <v>1.1764705882352939E-2</v>
      </c>
      <c r="K9" s="3">
        <v>2.3529411764705879E-2</v>
      </c>
      <c r="L9">
        <v>1</v>
      </c>
      <c r="M9" s="3">
        <v>0</v>
      </c>
      <c r="N9" s="3">
        <v>0</v>
      </c>
      <c r="O9">
        <v>0</v>
      </c>
    </row>
    <row r="10" spans="1:15" x14ac:dyDescent="0.25">
      <c r="A10" s="2">
        <v>46147</v>
      </c>
      <c r="B10">
        <v>0</v>
      </c>
      <c r="C10">
        <v>1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 s="3">
        <v>1.1764705882352939E-2</v>
      </c>
      <c r="K10" s="3">
        <v>2.3529411764705879E-2</v>
      </c>
      <c r="L10">
        <v>1</v>
      </c>
      <c r="M10" s="3">
        <v>0</v>
      </c>
      <c r="N10" s="3">
        <v>0</v>
      </c>
      <c r="O10">
        <v>0</v>
      </c>
    </row>
    <row r="11" spans="1:15" x14ac:dyDescent="0.25">
      <c r="A11" s="2">
        <v>46148</v>
      </c>
      <c r="B11">
        <v>0</v>
      </c>
      <c r="C11">
        <v>1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 s="3">
        <v>1.1764705882352939E-2</v>
      </c>
      <c r="K11" s="3">
        <v>2.3529411764705879E-2</v>
      </c>
      <c r="L11">
        <v>1</v>
      </c>
      <c r="M11" s="3">
        <v>0</v>
      </c>
      <c r="N11" s="3">
        <v>0</v>
      </c>
      <c r="O11">
        <v>0</v>
      </c>
    </row>
    <row r="12" spans="1:15" x14ac:dyDescent="0.25">
      <c r="A12" s="2">
        <v>46149</v>
      </c>
      <c r="B12">
        <v>0</v>
      </c>
      <c r="C12">
        <v>1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 s="3">
        <v>1.1764705882352939E-2</v>
      </c>
      <c r="K12" s="3">
        <v>2.3529411764705879E-2</v>
      </c>
      <c r="L12">
        <v>1</v>
      </c>
      <c r="M12" s="3">
        <v>0</v>
      </c>
      <c r="N12" s="3">
        <v>0</v>
      </c>
      <c r="O12">
        <v>0</v>
      </c>
    </row>
    <row r="13" spans="1:15" x14ac:dyDescent="0.25">
      <c r="A13" s="2">
        <v>46150</v>
      </c>
      <c r="B13">
        <v>0</v>
      </c>
      <c r="C13">
        <v>1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 s="3">
        <v>1.1764705882352939E-2</v>
      </c>
      <c r="K13" s="3">
        <v>2.3529411764705879E-2</v>
      </c>
      <c r="L13">
        <v>1</v>
      </c>
      <c r="M13" s="3">
        <v>0</v>
      </c>
      <c r="N13" s="3">
        <v>0</v>
      </c>
      <c r="O13">
        <v>0</v>
      </c>
    </row>
    <row r="14" spans="1:15" x14ac:dyDescent="0.25">
      <c r="A14" s="2">
        <v>46151</v>
      </c>
      <c r="B14">
        <v>0</v>
      </c>
      <c r="C14">
        <v>1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 s="3">
        <v>1.1764705882352939E-2</v>
      </c>
      <c r="K14" s="3">
        <v>2.3529411764705879E-2</v>
      </c>
      <c r="L14">
        <v>1</v>
      </c>
      <c r="M14" s="3">
        <v>0</v>
      </c>
      <c r="N14" s="3">
        <v>0</v>
      </c>
      <c r="O14">
        <v>0</v>
      </c>
    </row>
    <row r="15" spans="1:15" x14ac:dyDescent="0.25">
      <c r="A15" s="2">
        <v>46152</v>
      </c>
      <c r="B15">
        <v>0</v>
      </c>
      <c r="C15">
        <v>1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 s="3">
        <v>1.1764705882352939E-2</v>
      </c>
      <c r="K15" s="3">
        <v>2.3529411764705879E-2</v>
      </c>
      <c r="L15">
        <v>1</v>
      </c>
      <c r="M15" s="3">
        <v>0</v>
      </c>
      <c r="N15" s="3">
        <v>0</v>
      </c>
      <c r="O15">
        <v>0</v>
      </c>
    </row>
    <row r="16" spans="1:15" x14ac:dyDescent="0.25">
      <c r="A16" s="2">
        <v>46153</v>
      </c>
      <c r="B16">
        <v>0</v>
      </c>
      <c r="C16">
        <v>1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 s="3">
        <v>1.1764705882352939E-2</v>
      </c>
      <c r="K16" s="3">
        <v>2.3529411764705879E-2</v>
      </c>
      <c r="L16">
        <v>1</v>
      </c>
      <c r="M16" s="3">
        <v>0</v>
      </c>
      <c r="N16" s="3">
        <v>0</v>
      </c>
      <c r="O16">
        <v>0</v>
      </c>
    </row>
    <row r="17" spans="1:15" x14ac:dyDescent="0.25">
      <c r="A17" s="2">
        <v>46154</v>
      </c>
      <c r="B17">
        <v>0</v>
      </c>
      <c r="C17">
        <v>1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 s="3">
        <v>1.1764705882352939E-2</v>
      </c>
      <c r="K17" s="3">
        <v>2.3529411764705879E-2</v>
      </c>
      <c r="L17">
        <v>1</v>
      </c>
      <c r="M17" s="3">
        <v>0</v>
      </c>
      <c r="N17" s="3">
        <v>0</v>
      </c>
      <c r="O17">
        <v>0</v>
      </c>
    </row>
    <row r="18" spans="1:15" x14ac:dyDescent="0.25">
      <c r="A18" s="2">
        <v>46155</v>
      </c>
      <c r="B18">
        <v>0</v>
      </c>
      <c r="C18">
        <v>1</v>
      </c>
      <c r="D18">
        <v>0</v>
      </c>
      <c r="E18">
        <v>2</v>
      </c>
      <c r="F18">
        <v>1</v>
      </c>
      <c r="G18">
        <v>0</v>
      </c>
      <c r="H18">
        <v>1</v>
      </c>
      <c r="I18">
        <v>0</v>
      </c>
      <c r="J18" s="3">
        <v>1.1764705882352939E-2</v>
      </c>
      <c r="K18" s="3">
        <v>2.3529411764705879E-2</v>
      </c>
      <c r="L18">
        <v>1</v>
      </c>
      <c r="M18" s="3">
        <v>1.1627906976744189E-2</v>
      </c>
      <c r="N18" s="3">
        <v>0</v>
      </c>
      <c r="O18">
        <v>-1</v>
      </c>
    </row>
    <row r="19" spans="1:15" x14ac:dyDescent="0.25">
      <c r="A19" s="2">
        <v>46156</v>
      </c>
      <c r="B19">
        <v>1</v>
      </c>
      <c r="C19">
        <v>2</v>
      </c>
      <c r="D19">
        <v>0</v>
      </c>
      <c r="E19">
        <v>2</v>
      </c>
      <c r="F19">
        <v>0</v>
      </c>
      <c r="G19">
        <v>0</v>
      </c>
      <c r="H19">
        <v>1</v>
      </c>
      <c r="I19">
        <v>0</v>
      </c>
      <c r="J19" s="3">
        <v>2.3529411764705879E-2</v>
      </c>
      <c r="K19" s="3">
        <v>2.3529411764705879E-2</v>
      </c>
      <c r="L19">
        <v>0</v>
      </c>
      <c r="M19" s="3">
        <v>1.1627906976744189E-2</v>
      </c>
      <c r="N19" s="3">
        <v>0</v>
      </c>
      <c r="O19">
        <v>-1</v>
      </c>
    </row>
    <row r="20" spans="1:15" x14ac:dyDescent="0.25">
      <c r="A20" s="2">
        <v>46157</v>
      </c>
      <c r="B20">
        <v>1</v>
      </c>
      <c r="C20">
        <v>3</v>
      </c>
      <c r="D20">
        <v>0</v>
      </c>
      <c r="E20">
        <v>2</v>
      </c>
      <c r="F20">
        <v>0</v>
      </c>
      <c r="G20">
        <v>0</v>
      </c>
      <c r="H20">
        <v>1</v>
      </c>
      <c r="I20">
        <v>0</v>
      </c>
      <c r="J20" s="3">
        <v>3.5294117647058823E-2</v>
      </c>
      <c r="K20" s="3">
        <v>2.3529411764705879E-2</v>
      </c>
      <c r="L20">
        <v>-1</v>
      </c>
      <c r="M20" s="3">
        <v>1.1627906976744189E-2</v>
      </c>
      <c r="N20" s="3">
        <v>0</v>
      </c>
      <c r="O20">
        <v>-1</v>
      </c>
    </row>
    <row r="21" spans="1:15" x14ac:dyDescent="0.25">
      <c r="A21" s="2">
        <v>46158</v>
      </c>
      <c r="B21">
        <v>0</v>
      </c>
      <c r="C21">
        <v>3</v>
      </c>
      <c r="D21">
        <v>0</v>
      </c>
      <c r="E21">
        <v>2</v>
      </c>
      <c r="F21">
        <v>0</v>
      </c>
      <c r="G21">
        <v>0</v>
      </c>
      <c r="H21">
        <v>1</v>
      </c>
      <c r="I21">
        <v>0</v>
      </c>
      <c r="J21" s="3">
        <v>3.5294117647058823E-2</v>
      </c>
      <c r="K21" s="3">
        <v>2.3529411764705879E-2</v>
      </c>
      <c r="L21">
        <v>-1</v>
      </c>
      <c r="M21" s="3">
        <v>1.1627906976744189E-2</v>
      </c>
      <c r="N21" s="3">
        <v>0</v>
      </c>
      <c r="O21">
        <v>-1</v>
      </c>
    </row>
    <row r="22" spans="1:15" x14ac:dyDescent="0.25">
      <c r="A22" s="2">
        <v>46159</v>
      </c>
      <c r="B22">
        <v>0</v>
      </c>
      <c r="C22">
        <v>3</v>
      </c>
      <c r="D22">
        <v>0</v>
      </c>
      <c r="E22">
        <v>2</v>
      </c>
      <c r="F22">
        <v>0</v>
      </c>
      <c r="G22">
        <v>0</v>
      </c>
      <c r="H22">
        <v>1</v>
      </c>
      <c r="I22">
        <v>0</v>
      </c>
      <c r="J22" s="3">
        <v>3.5294117647058823E-2</v>
      </c>
      <c r="K22" s="3">
        <v>2.3529411764705879E-2</v>
      </c>
      <c r="L22">
        <v>-1</v>
      </c>
      <c r="M22" s="3">
        <v>1.1627906976744189E-2</v>
      </c>
      <c r="N22" s="3">
        <v>0</v>
      </c>
      <c r="O22">
        <v>-1</v>
      </c>
    </row>
    <row r="23" spans="1:15" x14ac:dyDescent="0.25">
      <c r="A23" s="2">
        <v>46160</v>
      </c>
      <c r="B23">
        <v>0</v>
      </c>
      <c r="C23">
        <v>3</v>
      </c>
      <c r="D23">
        <v>0</v>
      </c>
      <c r="E23">
        <v>2</v>
      </c>
      <c r="F23">
        <v>1</v>
      </c>
      <c r="G23">
        <v>0</v>
      </c>
      <c r="H23">
        <v>2</v>
      </c>
      <c r="I23">
        <v>0</v>
      </c>
      <c r="J23" s="3">
        <v>3.5294117647058823E-2</v>
      </c>
      <c r="K23" s="3">
        <v>2.3529411764705879E-2</v>
      </c>
      <c r="L23">
        <v>-1</v>
      </c>
      <c r="M23" s="3">
        <v>2.3255813953488368E-2</v>
      </c>
      <c r="N23" s="3">
        <v>0</v>
      </c>
      <c r="O23">
        <v>-1</v>
      </c>
    </row>
    <row r="24" spans="1:15" x14ac:dyDescent="0.25">
      <c r="A24" s="2">
        <v>46161</v>
      </c>
      <c r="B24">
        <v>2</v>
      </c>
      <c r="C24">
        <v>5</v>
      </c>
      <c r="D24">
        <v>0</v>
      </c>
      <c r="E24">
        <v>2</v>
      </c>
      <c r="F24">
        <v>0</v>
      </c>
      <c r="G24">
        <v>0</v>
      </c>
      <c r="H24">
        <v>2</v>
      </c>
      <c r="I24">
        <v>0</v>
      </c>
      <c r="J24" s="3">
        <v>5.8823529411764712E-2</v>
      </c>
      <c r="K24" s="3">
        <v>2.3529411764705879E-2</v>
      </c>
      <c r="L24">
        <v>-1</v>
      </c>
      <c r="M24" s="3">
        <v>2.3255813953488368E-2</v>
      </c>
      <c r="N24" s="3">
        <v>0</v>
      </c>
      <c r="O24">
        <v>-1</v>
      </c>
    </row>
    <row r="25" spans="1:15" x14ac:dyDescent="0.25">
      <c r="A25" s="2">
        <v>46162</v>
      </c>
      <c r="B25">
        <v>1</v>
      </c>
      <c r="C25">
        <v>6</v>
      </c>
      <c r="D25">
        <v>0</v>
      </c>
      <c r="E25">
        <v>2</v>
      </c>
      <c r="F25">
        <v>1</v>
      </c>
      <c r="G25">
        <v>0</v>
      </c>
      <c r="H25">
        <v>3</v>
      </c>
      <c r="I25">
        <v>0</v>
      </c>
      <c r="J25" s="3">
        <v>7.0588235294117646E-2</v>
      </c>
      <c r="K25" s="3">
        <v>2.3529411764705879E-2</v>
      </c>
      <c r="L25">
        <v>-1</v>
      </c>
      <c r="M25" s="3">
        <v>3.4883720930232558E-2</v>
      </c>
      <c r="N25" s="3">
        <v>0</v>
      </c>
      <c r="O25">
        <v>-1</v>
      </c>
    </row>
    <row r="26" spans="1:15" x14ac:dyDescent="0.25">
      <c r="A26" s="2">
        <v>46163</v>
      </c>
      <c r="B26">
        <v>2</v>
      </c>
      <c r="C26">
        <v>8</v>
      </c>
      <c r="D26">
        <v>0</v>
      </c>
      <c r="E26">
        <v>2</v>
      </c>
      <c r="F26">
        <v>1</v>
      </c>
      <c r="G26">
        <v>0</v>
      </c>
      <c r="H26">
        <v>4</v>
      </c>
      <c r="I26">
        <v>0</v>
      </c>
      <c r="J26" s="3">
        <v>9.4117647058823528E-2</v>
      </c>
      <c r="K26" s="3">
        <v>2.3529411764705879E-2</v>
      </c>
      <c r="L26">
        <v>-1</v>
      </c>
      <c r="M26" s="3">
        <v>4.6511627906976737E-2</v>
      </c>
      <c r="N26" s="3">
        <v>0</v>
      </c>
      <c r="O26">
        <v>-1</v>
      </c>
    </row>
    <row r="27" spans="1:15" x14ac:dyDescent="0.25">
      <c r="A27" s="2">
        <v>46164</v>
      </c>
      <c r="B27">
        <v>3</v>
      </c>
      <c r="C27">
        <v>11</v>
      </c>
      <c r="D27">
        <v>1</v>
      </c>
      <c r="E27">
        <v>3</v>
      </c>
      <c r="F27">
        <v>0</v>
      </c>
      <c r="G27">
        <v>0</v>
      </c>
      <c r="H27">
        <v>4</v>
      </c>
      <c r="I27">
        <v>0</v>
      </c>
      <c r="J27" s="3">
        <v>0.12941176470588239</v>
      </c>
      <c r="K27" s="3">
        <v>3.5294117647058823E-2</v>
      </c>
      <c r="L27">
        <v>-1</v>
      </c>
      <c r="M27" s="3">
        <v>4.6511627906976737E-2</v>
      </c>
      <c r="N27" s="3">
        <v>0</v>
      </c>
      <c r="O27">
        <v>-1</v>
      </c>
    </row>
    <row r="28" spans="1:15" x14ac:dyDescent="0.25">
      <c r="A28" s="2">
        <v>46165</v>
      </c>
      <c r="B28">
        <v>0</v>
      </c>
      <c r="C28">
        <v>11</v>
      </c>
      <c r="D28">
        <v>0</v>
      </c>
      <c r="E28">
        <v>3</v>
      </c>
      <c r="F28">
        <v>0</v>
      </c>
      <c r="G28">
        <v>0</v>
      </c>
      <c r="H28">
        <v>4</v>
      </c>
      <c r="I28">
        <v>0</v>
      </c>
      <c r="J28" s="3">
        <v>0.12941176470588239</v>
      </c>
      <c r="K28" s="3">
        <v>3.5294117647058823E-2</v>
      </c>
      <c r="L28">
        <v>-1</v>
      </c>
      <c r="M28" s="3">
        <v>4.6511627906976737E-2</v>
      </c>
      <c r="N28" s="3">
        <v>0</v>
      </c>
      <c r="O28">
        <v>-1</v>
      </c>
    </row>
    <row r="29" spans="1:15" x14ac:dyDescent="0.25">
      <c r="A29" s="2">
        <v>46166</v>
      </c>
      <c r="B29">
        <v>0</v>
      </c>
      <c r="C29">
        <v>11</v>
      </c>
      <c r="D29">
        <v>0</v>
      </c>
      <c r="E29">
        <v>3</v>
      </c>
      <c r="F29">
        <v>0</v>
      </c>
      <c r="G29">
        <v>0</v>
      </c>
      <c r="H29">
        <v>4</v>
      </c>
      <c r="I29">
        <v>0</v>
      </c>
      <c r="J29" s="3">
        <v>0.12941176470588239</v>
      </c>
      <c r="K29" s="3">
        <v>3.5294117647058823E-2</v>
      </c>
      <c r="L29">
        <v>-1</v>
      </c>
      <c r="M29" s="3">
        <v>4.6511627906976737E-2</v>
      </c>
      <c r="N29" s="3">
        <v>0</v>
      </c>
      <c r="O29">
        <v>-1</v>
      </c>
    </row>
    <row r="30" spans="1:15" x14ac:dyDescent="0.25">
      <c r="A30" s="2">
        <v>46167</v>
      </c>
      <c r="B30">
        <v>1</v>
      </c>
      <c r="C30">
        <v>12</v>
      </c>
      <c r="D30">
        <v>0</v>
      </c>
      <c r="E30">
        <v>3</v>
      </c>
      <c r="F30">
        <v>2</v>
      </c>
      <c r="G30">
        <v>0</v>
      </c>
      <c r="H30">
        <v>6</v>
      </c>
      <c r="I30">
        <v>0</v>
      </c>
      <c r="J30" s="3">
        <v>0.14117647058823529</v>
      </c>
      <c r="K30" s="3">
        <v>3.5294117647058823E-2</v>
      </c>
      <c r="L30">
        <v>-1</v>
      </c>
      <c r="M30" s="3">
        <v>6.9767441860465115E-2</v>
      </c>
      <c r="N30" s="3">
        <v>0</v>
      </c>
      <c r="O30">
        <v>-1</v>
      </c>
    </row>
    <row r="31" spans="1:15" x14ac:dyDescent="0.25">
      <c r="A31" s="2">
        <v>46168</v>
      </c>
      <c r="B31">
        <v>0</v>
      </c>
      <c r="C31">
        <v>12</v>
      </c>
      <c r="D31">
        <v>0</v>
      </c>
      <c r="E31">
        <v>3</v>
      </c>
      <c r="F31">
        <v>1</v>
      </c>
      <c r="G31">
        <v>0</v>
      </c>
      <c r="H31">
        <v>7</v>
      </c>
      <c r="I31">
        <v>0</v>
      </c>
      <c r="J31" s="3">
        <v>0.14117647058823529</v>
      </c>
      <c r="K31" s="3">
        <v>3.5294117647058823E-2</v>
      </c>
      <c r="L31">
        <v>-1</v>
      </c>
      <c r="M31" s="3">
        <v>8.1395348837209308E-2</v>
      </c>
      <c r="N31" s="3">
        <v>0</v>
      </c>
      <c r="O31">
        <v>-1</v>
      </c>
    </row>
    <row r="32" spans="1:15" x14ac:dyDescent="0.25">
      <c r="A32" s="2">
        <v>46169</v>
      </c>
      <c r="B32">
        <v>5</v>
      </c>
      <c r="C32">
        <v>17</v>
      </c>
      <c r="D32">
        <v>0</v>
      </c>
      <c r="E32">
        <v>3</v>
      </c>
      <c r="F32">
        <v>2</v>
      </c>
      <c r="G32">
        <v>0</v>
      </c>
      <c r="H32">
        <v>9</v>
      </c>
      <c r="I32">
        <v>0</v>
      </c>
      <c r="J32" s="3">
        <v>0.2</v>
      </c>
      <c r="K32" s="3">
        <v>3.5294117647058823E-2</v>
      </c>
      <c r="L32">
        <v>-1</v>
      </c>
      <c r="M32" s="3">
        <v>0.10465116279069769</v>
      </c>
      <c r="N32" s="3">
        <v>0</v>
      </c>
      <c r="O32">
        <v>-1</v>
      </c>
    </row>
    <row r="33" spans="1:15" x14ac:dyDescent="0.25">
      <c r="A33" s="2">
        <v>46170</v>
      </c>
      <c r="B33">
        <v>3</v>
      </c>
      <c r="C33">
        <v>20</v>
      </c>
      <c r="D33">
        <v>0</v>
      </c>
      <c r="E33">
        <v>3</v>
      </c>
      <c r="F33">
        <v>3</v>
      </c>
      <c r="G33">
        <v>1</v>
      </c>
      <c r="H33">
        <v>12</v>
      </c>
      <c r="I33">
        <v>1</v>
      </c>
      <c r="J33" s="3">
        <v>0.23529411764705879</v>
      </c>
      <c r="K33" s="3">
        <v>3.5294117647058823E-2</v>
      </c>
      <c r="L33">
        <v>-1</v>
      </c>
      <c r="M33" s="3">
        <v>0.1395348837209302</v>
      </c>
      <c r="N33" s="3">
        <v>1.1627906976744189E-2</v>
      </c>
      <c r="O33">
        <v>-1</v>
      </c>
    </row>
    <row r="34" spans="1:15" x14ac:dyDescent="0.25">
      <c r="A34" s="2">
        <v>46171</v>
      </c>
      <c r="B34">
        <v>0</v>
      </c>
      <c r="C34">
        <v>20</v>
      </c>
      <c r="D34">
        <v>0</v>
      </c>
      <c r="E34">
        <v>3</v>
      </c>
      <c r="F34">
        <v>1</v>
      </c>
      <c r="G34">
        <v>0</v>
      </c>
      <c r="H34">
        <v>13</v>
      </c>
      <c r="I34">
        <v>1</v>
      </c>
      <c r="J34" s="3">
        <v>0.23529411764705879</v>
      </c>
      <c r="K34" s="3">
        <v>3.5294117647058823E-2</v>
      </c>
      <c r="L34">
        <v>-1</v>
      </c>
      <c r="M34" s="3">
        <v>0.15116279069767441</v>
      </c>
      <c r="N34" s="3">
        <v>1.1627906976744189E-2</v>
      </c>
      <c r="O34">
        <v>-1</v>
      </c>
    </row>
    <row r="35" spans="1:15" x14ac:dyDescent="0.25">
      <c r="A35" s="2">
        <v>46172</v>
      </c>
      <c r="B35">
        <v>0</v>
      </c>
      <c r="C35">
        <v>20</v>
      </c>
      <c r="D35">
        <v>0</v>
      </c>
      <c r="E35">
        <v>3</v>
      </c>
      <c r="F35">
        <v>0</v>
      </c>
      <c r="G35">
        <v>0</v>
      </c>
      <c r="H35">
        <v>13</v>
      </c>
      <c r="I35">
        <v>1</v>
      </c>
      <c r="J35" s="3">
        <v>0.23529411764705879</v>
      </c>
      <c r="K35" s="3">
        <v>3.5294117647058823E-2</v>
      </c>
      <c r="L35">
        <v>-1</v>
      </c>
      <c r="M35" s="3">
        <v>0.15116279069767441</v>
      </c>
      <c r="N35" s="3">
        <v>1.1627906976744189E-2</v>
      </c>
      <c r="O35">
        <v>-1</v>
      </c>
    </row>
    <row r="36" spans="1:15" x14ac:dyDescent="0.25">
      <c r="A36" s="2">
        <v>46173</v>
      </c>
      <c r="B36">
        <v>0</v>
      </c>
      <c r="C36">
        <v>20</v>
      </c>
      <c r="D36">
        <v>0</v>
      </c>
      <c r="E36">
        <v>3</v>
      </c>
      <c r="F36">
        <v>0</v>
      </c>
      <c r="G36">
        <v>0</v>
      </c>
      <c r="H36">
        <v>13</v>
      </c>
      <c r="I36">
        <v>1</v>
      </c>
      <c r="J36" s="3">
        <v>0.23529411764705879</v>
      </c>
      <c r="K36" s="3">
        <v>3.5294117647058823E-2</v>
      </c>
      <c r="L36">
        <v>-1</v>
      </c>
      <c r="M36" s="3">
        <v>0.15116279069767441</v>
      </c>
      <c r="N36" s="3">
        <v>1.1627906976744189E-2</v>
      </c>
      <c r="O36">
        <v>-1</v>
      </c>
    </row>
    <row r="37" spans="1:15" x14ac:dyDescent="0.25">
      <c r="A37" s="2">
        <v>46174</v>
      </c>
      <c r="B37">
        <v>3</v>
      </c>
      <c r="C37">
        <v>23</v>
      </c>
      <c r="D37">
        <v>1</v>
      </c>
      <c r="E37">
        <v>4</v>
      </c>
      <c r="F37">
        <v>0</v>
      </c>
      <c r="G37">
        <v>1</v>
      </c>
      <c r="H37">
        <v>13</v>
      </c>
      <c r="I37">
        <v>2</v>
      </c>
      <c r="J37" s="3">
        <v>0.27058823529411757</v>
      </c>
      <c r="K37" s="3">
        <v>4.7058823529411757E-2</v>
      </c>
      <c r="L37">
        <v>-1</v>
      </c>
      <c r="M37" s="3">
        <v>0.15116279069767441</v>
      </c>
      <c r="N37" s="3">
        <v>2.3255813953488368E-2</v>
      </c>
      <c r="O37">
        <v>-1</v>
      </c>
    </row>
    <row r="38" spans="1:15" x14ac:dyDescent="0.25">
      <c r="A38" s="2">
        <v>46175</v>
      </c>
      <c r="B38">
        <v>1</v>
      </c>
      <c r="C38">
        <v>24</v>
      </c>
      <c r="D38">
        <v>0</v>
      </c>
      <c r="E38">
        <v>4</v>
      </c>
      <c r="F38">
        <v>5</v>
      </c>
      <c r="G38">
        <v>1</v>
      </c>
      <c r="H38">
        <v>18</v>
      </c>
      <c r="I38">
        <v>3</v>
      </c>
      <c r="J38" s="3">
        <v>0.28235294117647058</v>
      </c>
      <c r="K38" s="3">
        <v>4.7058823529411757E-2</v>
      </c>
      <c r="L38">
        <v>-1</v>
      </c>
      <c r="M38" s="3">
        <v>0.20930232558139539</v>
      </c>
      <c r="N38" s="3">
        <v>3.4883720930232558E-2</v>
      </c>
      <c r="O38">
        <v>-1</v>
      </c>
    </row>
    <row r="39" spans="1:15" x14ac:dyDescent="0.25">
      <c r="A39" s="2">
        <v>46176</v>
      </c>
      <c r="B39">
        <v>0</v>
      </c>
      <c r="C39">
        <v>24</v>
      </c>
      <c r="D39">
        <v>0</v>
      </c>
      <c r="E39">
        <v>4</v>
      </c>
      <c r="F39">
        <v>3</v>
      </c>
      <c r="G39">
        <v>0</v>
      </c>
      <c r="H39">
        <v>21</v>
      </c>
      <c r="I39">
        <v>3</v>
      </c>
      <c r="J39" s="3">
        <v>0.28235294117647058</v>
      </c>
      <c r="K39" s="3">
        <v>4.7058823529411757E-2</v>
      </c>
      <c r="L39">
        <v>-1</v>
      </c>
      <c r="M39" s="3">
        <v>0.2441860465116279</v>
      </c>
      <c r="N39" s="3">
        <v>3.4883720930232558E-2</v>
      </c>
      <c r="O39">
        <v>-1</v>
      </c>
    </row>
    <row r="40" spans="1:15" x14ac:dyDescent="0.25">
      <c r="A40" s="2">
        <v>46177</v>
      </c>
      <c r="B40">
        <v>1</v>
      </c>
      <c r="C40">
        <v>25</v>
      </c>
      <c r="D40">
        <v>0</v>
      </c>
      <c r="E40">
        <v>4</v>
      </c>
      <c r="F40">
        <v>0</v>
      </c>
      <c r="G40">
        <v>0</v>
      </c>
      <c r="H40">
        <v>21</v>
      </c>
      <c r="I40">
        <v>3</v>
      </c>
      <c r="J40" s="3">
        <v>0.29411764705882348</v>
      </c>
      <c r="K40" s="3">
        <v>4.7058823529411757E-2</v>
      </c>
      <c r="L40">
        <v>-1</v>
      </c>
      <c r="M40" s="3">
        <v>0.2441860465116279</v>
      </c>
      <c r="N40" s="3">
        <v>3.4883720930232558E-2</v>
      </c>
      <c r="O40">
        <v>-1</v>
      </c>
    </row>
    <row r="41" spans="1:15" x14ac:dyDescent="0.25">
      <c r="A41" s="2">
        <v>46178</v>
      </c>
      <c r="B41">
        <v>3</v>
      </c>
      <c r="C41">
        <v>28</v>
      </c>
      <c r="D41">
        <v>1</v>
      </c>
      <c r="E41">
        <v>5</v>
      </c>
      <c r="F41">
        <v>3</v>
      </c>
      <c r="G41">
        <v>0</v>
      </c>
      <c r="H41">
        <v>24</v>
      </c>
      <c r="I41">
        <v>3</v>
      </c>
      <c r="J41" s="3">
        <v>0.32941176470588229</v>
      </c>
      <c r="K41" s="3">
        <v>5.8823529411764712E-2</v>
      </c>
      <c r="L41">
        <v>-1</v>
      </c>
      <c r="M41" s="3">
        <v>0.27906976744186052</v>
      </c>
      <c r="N41" s="3">
        <v>3.4883720930232558E-2</v>
      </c>
      <c r="O41">
        <v>-1</v>
      </c>
    </row>
    <row r="42" spans="1:15" x14ac:dyDescent="0.25">
      <c r="A42" s="2">
        <v>46179</v>
      </c>
      <c r="B42">
        <v>0</v>
      </c>
      <c r="C42">
        <v>28</v>
      </c>
      <c r="D42">
        <v>0</v>
      </c>
      <c r="E42">
        <v>5</v>
      </c>
      <c r="F42">
        <v>0</v>
      </c>
      <c r="G42">
        <v>0</v>
      </c>
      <c r="H42">
        <v>24</v>
      </c>
      <c r="I42">
        <v>3</v>
      </c>
      <c r="J42" s="3">
        <v>0.32941176470588229</v>
      </c>
      <c r="K42" s="3">
        <v>5.8823529411764712E-2</v>
      </c>
      <c r="L42">
        <v>-1</v>
      </c>
      <c r="M42" s="3">
        <v>0.27906976744186052</v>
      </c>
      <c r="N42" s="3">
        <v>3.4883720930232558E-2</v>
      </c>
      <c r="O42">
        <v>-1</v>
      </c>
    </row>
    <row r="43" spans="1:15" x14ac:dyDescent="0.25">
      <c r="A43" s="2">
        <v>46180</v>
      </c>
      <c r="B43">
        <v>0</v>
      </c>
      <c r="C43">
        <v>28</v>
      </c>
      <c r="D43">
        <v>0</v>
      </c>
      <c r="E43">
        <v>5</v>
      </c>
      <c r="F43">
        <v>0</v>
      </c>
      <c r="G43">
        <v>0</v>
      </c>
      <c r="H43">
        <v>24</v>
      </c>
      <c r="I43">
        <v>3</v>
      </c>
      <c r="J43" s="3">
        <v>0.32941176470588229</v>
      </c>
      <c r="K43" s="3">
        <v>5.8823529411764712E-2</v>
      </c>
      <c r="L43">
        <v>-1</v>
      </c>
      <c r="M43" s="3">
        <v>0.27906976744186052</v>
      </c>
      <c r="N43" s="3">
        <v>3.4883720930232558E-2</v>
      </c>
      <c r="O43">
        <v>-1</v>
      </c>
    </row>
    <row r="44" spans="1:15" x14ac:dyDescent="0.25">
      <c r="A44" s="2">
        <v>46181</v>
      </c>
      <c r="B44">
        <v>0</v>
      </c>
      <c r="C44">
        <v>28</v>
      </c>
      <c r="D44">
        <v>1</v>
      </c>
      <c r="E44">
        <v>6</v>
      </c>
      <c r="F44">
        <v>1</v>
      </c>
      <c r="G44">
        <v>0</v>
      </c>
      <c r="H44">
        <v>25</v>
      </c>
      <c r="I44">
        <v>3</v>
      </c>
      <c r="J44" s="3">
        <v>0.32941176470588229</v>
      </c>
      <c r="K44" s="3">
        <v>7.0588235294117646E-2</v>
      </c>
      <c r="L44">
        <v>-1</v>
      </c>
      <c r="M44" s="3">
        <v>0.29069767441860472</v>
      </c>
      <c r="N44" s="3">
        <v>3.4883720930232558E-2</v>
      </c>
      <c r="O44">
        <v>-1</v>
      </c>
    </row>
    <row r="45" spans="1:15" x14ac:dyDescent="0.25">
      <c r="A45" s="2">
        <v>46182</v>
      </c>
      <c r="B45">
        <v>1</v>
      </c>
      <c r="C45">
        <v>29</v>
      </c>
      <c r="D45">
        <v>1</v>
      </c>
      <c r="E45">
        <v>7</v>
      </c>
      <c r="F45">
        <v>0</v>
      </c>
      <c r="G45">
        <v>0</v>
      </c>
      <c r="H45">
        <v>25</v>
      </c>
      <c r="I45">
        <v>3</v>
      </c>
      <c r="J45" s="3">
        <v>0.3411764705882353</v>
      </c>
      <c r="K45" s="3">
        <v>8.2352941176470587E-2</v>
      </c>
      <c r="L45">
        <v>-1</v>
      </c>
      <c r="M45" s="3">
        <v>0.29069767441860472</v>
      </c>
      <c r="N45" s="3">
        <v>3.4883720930232558E-2</v>
      </c>
      <c r="O45">
        <v>-1</v>
      </c>
    </row>
    <row r="46" spans="1:15" x14ac:dyDescent="0.25">
      <c r="A46" s="2">
        <v>46183</v>
      </c>
      <c r="B46">
        <v>2</v>
      </c>
      <c r="C46">
        <v>31</v>
      </c>
      <c r="D46">
        <v>0</v>
      </c>
      <c r="E46">
        <v>7</v>
      </c>
      <c r="F46">
        <v>1</v>
      </c>
      <c r="G46">
        <v>0</v>
      </c>
      <c r="H46">
        <v>26</v>
      </c>
      <c r="I46">
        <v>3</v>
      </c>
      <c r="J46" s="3">
        <v>0.36470588235294121</v>
      </c>
      <c r="K46" s="3">
        <v>8.2352941176470587E-2</v>
      </c>
      <c r="L46">
        <v>-1</v>
      </c>
      <c r="M46" s="3">
        <v>0.30232558139534882</v>
      </c>
      <c r="N46" s="3">
        <v>3.4883720930232558E-2</v>
      </c>
      <c r="O46">
        <v>-1</v>
      </c>
    </row>
    <row r="47" spans="1:15" x14ac:dyDescent="0.25">
      <c r="A47" s="2">
        <v>46184</v>
      </c>
      <c r="B47">
        <v>2</v>
      </c>
      <c r="C47">
        <v>33</v>
      </c>
      <c r="D47">
        <v>0</v>
      </c>
      <c r="E47">
        <v>7</v>
      </c>
      <c r="F47">
        <v>3</v>
      </c>
      <c r="G47">
        <v>1</v>
      </c>
      <c r="H47">
        <v>29</v>
      </c>
      <c r="I47">
        <v>4</v>
      </c>
      <c r="J47" s="3">
        <v>0.38823529411764712</v>
      </c>
      <c r="K47" s="3">
        <v>8.2352941176470587E-2</v>
      </c>
      <c r="L47">
        <v>-1</v>
      </c>
      <c r="M47" s="3">
        <v>0.33720930232558138</v>
      </c>
      <c r="N47" s="3">
        <v>4.6511627906976737E-2</v>
      </c>
      <c r="O47">
        <v>-1</v>
      </c>
    </row>
    <row r="48" spans="1:15" x14ac:dyDescent="0.25">
      <c r="A48" s="2">
        <v>46185</v>
      </c>
      <c r="B48">
        <v>1</v>
      </c>
      <c r="C48">
        <v>34</v>
      </c>
      <c r="D48">
        <v>5</v>
      </c>
      <c r="E48">
        <v>12</v>
      </c>
      <c r="F48">
        <v>0</v>
      </c>
      <c r="G48">
        <v>0</v>
      </c>
      <c r="H48">
        <v>29</v>
      </c>
      <c r="I48">
        <v>4</v>
      </c>
      <c r="J48" s="3">
        <v>0.4</v>
      </c>
      <c r="K48" s="3">
        <v>0.14117647058823529</v>
      </c>
      <c r="L48">
        <v>-1</v>
      </c>
      <c r="M48" s="3">
        <v>0.33720930232558138</v>
      </c>
      <c r="N48" s="3">
        <v>4.6511627906976737E-2</v>
      </c>
      <c r="O48">
        <v>-1</v>
      </c>
    </row>
    <row r="49" spans="1:15" x14ac:dyDescent="0.25">
      <c r="A49" s="2">
        <v>46186</v>
      </c>
      <c r="B49">
        <v>0</v>
      </c>
      <c r="C49">
        <v>34</v>
      </c>
      <c r="D49">
        <v>0</v>
      </c>
      <c r="E49">
        <v>12</v>
      </c>
      <c r="F49">
        <v>0</v>
      </c>
      <c r="G49">
        <v>0</v>
      </c>
      <c r="H49">
        <v>29</v>
      </c>
      <c r="I49">
        <v>4</v>
      </c>
      <c r="J49" s="3">
        <v>0.4</v>
      </c>
      <c r="K49" s="3">
        <v>0.14117647058823529</v>
      </c>
      <c r="L49">
        <v>-1</v>
      </c>
      <c r="M49" s="3">
        <v>0.33720930232558138</v>
      </c>
      <c r="N49" s="3">
        <v>4.6511627906976737E-2</v>
      </c>
      <c r="O49">
        <v>-1</v>
      </c>
    </row>
    <row r="50" spans="1:15" x14ac:dyDescent="0.25">
      <c r="A50" s="2">
        <v>46187</v>
      </c>
      <c r="B50">
        <v>0</v>
      </c>
      <c r="C50">
        <v>34</v>
      </c>
      <c r="D50">
        <v>0</v>
      </c>
      <c r="E50">
        <v>12</v>
      </c>
      <c r="F50">
        <v>0</v>
      </c>
      <c r="G50">
        <v>0</v>
      </c>
      <c r="H50">
        <v>29</v>
      </c>
      <c r="I50">
        <v>4</v>
      </c>
      <c r="J50" s="3">
        <v>0.4</v>
      </c>
      <c r="K50" s="3">
        <v>0.14117647058823529</v>
      </c>
      <c r="L50">
        <v>-1</v>
      </c>
      <c r="M50" s="3">
        <v>0.33720930232558138</v>
      </c>
      <c r="N50" s="3">
        <v>4.6511627906976737E-2</v>
      </c>
      <c r="O50">
        <v>-1</v>
      </c>
    </row>
    <row r="51" spans="1:15" x14ac:dyDescent="0.25">
      <c r="A51" s="2">
        <v>46188</v>
      </c>
      <c r="B51">
        <v>2</v>
      </c>
      <c r="C51">
        <v>36</v>
      </c>
      <c r="D51">
        <v>2</v>
      </c>
      <c r="E51">
        <v>14</v>
      </c>
      <c r="F51">
        <v>1</v>
      </c>
      <c r="G51">
        <v>0</v>
      </c>
      <c r="H51">
        <v>30</v>
      </c>
      <c r="I51">
        <v>4</v>
      </c>
      <c r="J51" s="3">
        <v>0.42352941176470588</v>
      </c>
      <c r="K51" s="3">
        <v>0.1647058823529412</v>
      </c>
      <c r="L51">
        <v>-1</v>
      </c>
      <c r="M51" s="3">
        <v>0.34883720930232559</v>
      </c>
      <c r="N51" s="3">
        <v>4.6511627906976737E-2</v>
      </c>
      <c r="O51">
        <v>-1</v>
      </c>
    </row>
    <row r="52" spans="1:15" x14ac:dyDescent="0.25">
      <c r="A52" s="2">
        <v>46189</v>
      </c>
      <c r="B52">
        <v>4</v>
      </c>
      <c r="C52">
        <v>40</v>
      </c>
      <c r="D52">
        <v>0</v>
      </c>
      <c r="E52">
        <v>14</v>
      </c>
      <c r="F52">
        <v>2</v>
      </c>
      <c r="G52">
        <v>0</v>
      </c>
      <c r="H52">
        <v>32</v>
      </c>
      <c r="I52">
        <v>4</v>
      </c>
      <c r="J52" s="3">
        <v>0.47058823529411759</v>
      </c>
      <c r="K52" s="3">
        <v>0.1647058823529412</v>
      </c>
      <c r="L52">
        <v>-1</v>
      </c>
      <c r="M52" s="3">
        <v>0.37209302325581389</v>
      </c>
      <c r="N52" s="3">
        <v>4.6511627906976737E-2</v>
      </c>
      <c r="O52">
        <v>-1</v>
      </c>
    </row>
    <row r="53" spans="1:15" x14ac:dyDescent="0.25">
      <c r="A53" s="2">
        <v>46190</v>
      </c>
      <c r="B53">
        <v>0</v>
      </c>
      <c r="C53">
        <v>40</v>
      </c>
      <c r="D53">
        <v>0</v>
      </c>
      <c r="E53">
        <v>14</v>
      </c>
      <c r="F53">
        <v>2</v>
      </c>
      <c r="G53">
        <v>0</v>
      </c>
      <c r="H53">
        <v>34</v>
      </c>
      <c r="I53">
        <v>4</v>
      </c>
      <c r="J53" s="3">
        <v>0.47058823529411759</v>
      </c>
      <c r="K53" s="3">
        <v>0.1647058823529412</v>
      </c>
      <c r="L53">
        <v>-1</v>
      </c>
      <c r="M53" s="3">
        <v>0.39534883720930231</v>
      </c>
      <c r="N53" s="3">
        <v>4.6511627906976737E-2</v>
      </c>
      <c r="O53">
        <v>-1</v>
      </c>
    </row>
    <row r="54" spans="1:15" x14ac:dyDescent="0.25">
      <c r="A54" s="2">
        <v>46191</v>
      </c>
      <c r="B54">
        <v>2</v>
      </c>
      <c r="C54">
        <v>42</v>
      </c>
      <c r="D54">
        <v>1</v>
      </c>
      <c r="E54">
        <v>15</v>
      </c>
      <c r="F54">
        <v>1</v>
      </c>
      <c r="G54">
        <v>1</v>
      </c>
      <c r="H54">
        <v>35</v>
      </c>
      <c r="I54">
        <v>5</v>
      </c>
      <c r="J54" s="3">
        <v>0.49411764705882361</v>
      </c>
      <c r="K54" s="3">
        <v>0.1764705882352941</v>
      </c>
      <c r="L54">
        <v>-1</v>
      </c>
      <c r="M54" s="3">
        <v>0.40697674418604651</v>
      </c>
      <c r="N54" s="3">
        <v>5.8139534883720929E-2</v>
      </c>
      <c r="O54">
        <v>-1</v>
      </c>
    </row>
    <row r="55" spans="1:15" x14ac:dyDescent="0.25">
      <c r="A55" s="2">
        <v>46192</v>
      </c>
      <c r="B55">
        <v>7</v>
      </c>
      <c r="C55">
        <v>49</v>
      </c>
      <c r="D55">
        <v>5</v>
      </c>
      <c r="E55">
        <v>20</v>
      </c>
      <c r="F55">
        <v>1</v>
      </c>
      <c r="G55">
        <v>0</v>
      </c>
      <c r="H55">
        <v>36</v>
      </c>
      <c r="I55">
        <v>5</v>
      </c>
      <c r="J55" s="3">
        <v>0.57647058823529407</v>
      </c>
      <c r="K55" s="3">
        <v>0.23529411764705879</v>
      </c>
      <c r="L55">
        <v>-1</v>
      </c>
      <c r="M55" s="3">
        <v>0.41860465116279072</v>
      </c>
      <c r="N55" s="3">
        <v>5.8139534883720929E-2</v>
      </c>
      <c r="O55">
        <v>-1</v>
      </c>
    </row>
    <row r="56" spans="1:15" x14ac:dyDescent="0.25">
      <c r="A56" s="2">
        <v>46193</v>
      </c>
      <c r="B56">
        <v>0</v>
      </c>
      <c r="C56">
        <v>49</v>
      </c>
      <c r="D56">
        <v>0</v>
      </c>
      <c r="E56">
        <v>20</v>
      </c>
      <c r="F56">
        <v>0</v>
      </c>
      <c r="G56">
        <v>0</v>
      </c>
      <c r="H56">
        <v>36</v>
      </c>
      <c r="I56">
        <v>5</v>
      </c>
      <c r="J56" s="3">
        <v>0.57647058823529407</v>
      </c>
      <c r="K56" s="3">
        <v>0.23529411764705879</v>
      </c>
      <c r="L56">
        <v>-1</v>
      </c>
      <c r="M56" s="3">
        <v>0.41860465116279072</v>
      </c>
      <c r="N56" s="3">
        <v>5.8139534883720929E-2</v>
      </c>
      <c r="O56">
        <v>-1</v>
      </c>
    </row>
    <row r="57" spans="1:15" x14ac:dyDescent="0.25">
      <c r="A57" s="2">
        <v>46194</v>
      </c>
      <c r="B57">
        <v>0</v>
      </c>
      <c r="C57">
        <v>49</v>
      </c>
      <c r="D57">
        <v>0</v>
      </c>
      <c r="E57">
        <v>20</v>
      </c>
      <c r="F57">
        <v>0</v>
      </c>
      <c r="G57">
        <v>0</v>
      </c>
      <c r="H57">
        <v>36</v>
      </c>
      <c r="I57">
        <v>5</v>
      </c>
      <c r="J57" s="3">
        <v>0.57647058823529407</v>
      </c>
      <c r="K57" s="3">
        <v>0.23529411764705879</v>
      </c>
      <c r="L57">
        <v>-1</v>
      </c>
      <c r="M57" s="3">
        <v>0.41860465116279072</v>
      </c>
      <c r="N57" s="3">
        <v>5.8139534883720929E-2</v>
      </c>
      <c r="O57">
        <v>-1</v>
      </c>
    </row>
    <row r="58" spans="1:15" x14ac:dyDescent="0.25">
      <c r="A58" s="2">
        <v>46195</v>
      </c>
      <c r="B58">
        <v>0</v>
      </c>
      <c r="C58">
        <v>49</v>
      </c>
      <c r="D58">
        <v>0</v>
      </c>
      <c r="E58">
        <v>20</v>
      </c>
      <c r="F58">
        <v>4</v>
      </c>
      <c r="G58">
        <v>1</v>
      </c>
      <c r="H58">
        <v>40</v>
      </c>
      <c r="I58">
        <v>6</v>
      </c>
      <c r="J58" s="3">
        <v>0.57647058823529407</v>
      </c>
      <c r="K58" s="3">
        <v>0.23529411764705879</v>
      </c>
      <c r="L58">
        <v>-1</v>
      </c>
      <c r="M58" s="3">
        <v>0.46511627906976738</v>
      </c>
      <c r="N58" s="3">
        <v>6.9767441860465115E-2</v>
      </c>
      <c r="O58">
        <v>-1</v>
      </c>
    </row>
    <row r="59" spans="1:15" x14ac:dyDescent="0.25">
      <c r="A59" s="2">
        <v>46196</v>
      </c>
      <c r="B59">
        <v>2</v>
      </c>
      <c r="C59">
        <v>51</v>
      </c>
      <c r="D59">
        <v>2</v>
      </c>
      <c r="E59">
        <v>22</v>
      </c>
      <c r="F59">
        <v>1</v>
      </c>
      <c r="G59">
        <v>0</v>
      </c>
      <c r="H59">
        <v>41</v>
      </c>
      <c r="I59">
        <v>6</v>
      </c>
      <c r="J59" s="3">
        <v>0.6</v>
      </c>
      <c r="K59" s="3">
        <v>0.25882352941176467</v>
      </c>
      <c r="L59">
        <v>-1</v>
      </c>
      <c r="M59" s="3">
        <v>0.47674418604651159</v>
      </c>
      <c r="N59" s="3">
        <v>6.9767441860465115E-2</v>
      </c>
      <c r="O59">
        <v>-1</v>
      </c>
    </row>
    <row r="60" spans="1:15" x14ac:dyDescent="0.25">
      <c r="A60" s="2">
        <v>46197</v>
      </c>
      <c r="B60">
        <v>4</v>
      </c>
      <c r="C60">
        <v>55</v>
      </c>
      <c r="D60">
        <v>1</v>
      </c>
      <c r="E60">
        <v>23</v>
      </c>
      <c r="F60">
        <v>2</v>
      </c>
      <c r="G60">
        <v>0</v>
      </c>
      <c r="H60">
        <v>43</v>
      </c>
      <c r="I60">
        <v>6</v>
      </c>
      <c r="J60" s="3">
        <v>0.6470588235294118</v>
      </c>
      <c r="K60" s="3">
        <v>0.27058823529411757</v>
      </c>
      <c r="L60">
        <v>-1</v>
      </c>
      <c r="M60" s="3">
        <v>0.5</v>
      </c>
      <c r="N60" s="3">
        <v>6.9767441860465115E-2</v>
      </c>
      <c r="O60">
        <v>-1</v>
      </c>
    </row>
    <row r="61" spans="1:15" x14ac:dyDescent="0.25">
      <c r="A61" s="2">
        <v>46198</v>
      </c>
      <c r="B61">
        <v>0</v>
      </c>
      <c r="C61">
        <v>55</v>
      </c>
      <c r="D61">
        <v>3</v>
      </c>
      <c r="E61">
        <v>26</v>
      </c>
      <c r="F61">
        <v>7</v>
      </c>
      <c r="G61">
        <v>0</v>
      </c>
      <c r="H61">
        <v>50</v>
      </c>
      <c r="I61">
        <v>6</v>
      </c>
      <c r="J61" s="3">
        <v>0.6470588235294118</v>
      </c>
      <c r="K61" s="3">
        <v>0.30588235294117649</v>
      </c>
      <c r="L61">
        <v>-1</v>
      </c>
      <c r="M61" s="3">
        <v>0.58139534883720934</v>
      </c>
      <c r="N61" s="3">
        <v>6.9767441860465115E-2</v>
      </c>
      <c r="O61">
        <v>-1</v>
      </c>
    </row>
    <row r="62" spans="1:15" x14ac:dyDescent="0.25">
      <c r="A62" s="2">
        <v>46199</v>
      </c>
      <c r="B62">
        <v>2</v>
      </c>
      <c r="C62">
        <v>57</v>
      </c>
      <c r="D62">
        <v>7</v>
      </c>
      <c r="E62">
        <v>33</v>
      </c>
      <c r="F62">
        <v>0</v>
      </c>
      <c r="G62">
        <v>0</v>
      </c>
      <c r="H62">
        <v>50</v>
      </c>
      <c r="I62">
        <v>6</v>
      </c>
      <c r="J62" s="3">
        <v>0.6705882352941176</v>
      </c>
      <c r="K62" s="3">
        <v>0.38823529411764712</v>
      </c>
      <c r="L62">
        <v>-1</v>
      </c>
      <c r="M62" s="3">
        <v>0.58139534883720934</v>
      </c>
      <c r="N62" s="3">
        <v>6.9767441860465115E-2</v>
      </c>
      <c r="O62">
        <v>-1</v>
      </c>
    </row>
    <row r="63" spans="1:15" x14ac:dyDescent="0.25">
      <c r="A63" s="2">
        <v>46200</v>
      </c>
      <c r="B63">
        <v>0</v>
      </c>
      <c r="C63">
        <v>57</v>
      </c>
      <c r="D63">
        <v>0</v>
      </c>
      <c r="E63">
        <v>33</v>
      </c>
      <c r="F63">
        <v>0</v>
      </c>
      <c r="G63">
        <v>0</v>
      </c>
      <c r="H63">
        <v>50</v>
      </c>
      <c r="I63">
        <v>6</v>
      </c>
      <c r="J63" s="3">
        <v>0.6705882352941176</v>
      </c>
      <c r="K63" s="3">
        <v>0.38823529411764712</v>
      </c>
      <c r="L63">
        <v>-1</v>
      </c>
      <c r="M63" s="3">
        <v>0.58139534883720934</v>
      </c>
      <c r="N63" s="3">
        <v>6.9767441860465115E-2</v>
      </c>
      <c r="O63">
        <v>-1</v>
      </c>
    </row>
    <row r="64" spans="1:15" x14ac:dyDescent="0.25">
      <c r="A64" s="2">
        <v>46201</v>
      </c>
      <c r="B64">
        <v>0</v>
      </c>
      <c r="C64">
        <v>57</v>
      </c>
      <c r="D64">
        <v>0</v>
      </c>
      <c r="E64">
        <v>33</v>
      </c>
      <c r="F64">
        <v>0</v>
      </c>
      <c r="G64">
        <v>0</v>
      </c>
      <c r="H64">
        <v>50</v>
      </c>
      <c r="I64">
        <v>6</v>
      </c>
      <c r="J64" s="3">
        <v>0.6705882352941176</v>
      </c>
      <c r="K64" s="3">
        <v>0.38823529411764712</v>
      </c>
      <c r="L64">
        <v>-1</v>
      </c>
      <c r="M64" s="3">
        <v>0.58139534883720934</v>
      </c>
      <c r="N64" s="3">
        <v>6.9767441860465115E-2</v>
      </c>
      <c r="O64">
        <v>-1</v>
      </c>
    </row>
    <row r="65" spans="1:15" x14ac:dyDescent="0.25">
      <c r="A65" s="2">
        <v>46202</v>
      </c>
      <c r="B65">
        <v>21</v>
      </c>
      <c r="C65">
        <v>78</v>
      </c>
      <c r="D65">
        <v>0</v>
      </c>
      <c r="E65">
        <v>33</v>
      </c>
      <c r="F65">
        <v>2</v>
      </c>
      <c r="G65">
        <v>0</v>
      </c>
      <c r="H65">
        <v>52</v>
      </c>
      <c r="I65">
        <v>6</v>
      </c>
      <c r="J65" s="3">
        <v>0.91764705882352937</v>
      </c>
      <c r="K65" s="3">
        <v>0.38823529411764712</v>
      </c>
      <c r="L65">
        <v>-1</v>
      </c>
      <c r="M65" s="3">
        <v>0.60465116279069764</v>
      </c>
      <c r="N65" s="3">
        <v>6.9767441860465115E-2</v>
      </c>
      <c r="O65">
        <v>-1</v>
      </c>
    </row>
    <row r="66" spans="1:15" x14ac:dyDescent="0.25">
      <c r="A66" s="2">
        <v>46203</v>
      </c>
      <c r="B66">
        <v>3</v>
      </c>
      <c r="C66">
        <v>81</v>
      </c>
      <c r="D66">
        <v>21</v>
      </c>
      <c r="E66">
        <v>54</v>
      </c>
      <c r="F66">
        <v>4</v>
      </c>
      <c r="G66">
        <v>0</v>
      </c>
      <c r="H66">
        <v>56</v>
      </c>
      <c r="I66">
        <v>6</v>
      </c>
      <c r="J66" s="3">
        <v>0.95294117647058818</v>
      </c>
      <c r="K66" s="3">
        <v>0.63529411764705879</v>
      </c>
      <c r="L66">
        <v>-1</v>
      </c>
      <c r="M66" s="3">
        <v>0.65116279069767447</v>
      </c>
      <c r="N66" s="3">
        <v>6.9767441860465115E-2</v>
      </c>
      <c r="O66">
        <v>-1</v>
      </c>
    </row>
    <row r="67" spans="1:15" x14ac:dyDescent="0.25">
      <c r="A67" s="2">
        <v>46204</v>
      </c>
      <c r="B67">
        <v>3</v>
      </c>
      <c r="C67">
        <v>84</v>
      </c>
      <c r="D67">
        <v>3</v>
      </c>
      <c r="E67">
        <v>57</v>
      </c>
      <c r="F67">
        <v>0</v>
      </c>
      <c r="G67">
        <v>0</v>
      </c>
      <c r="H67">
        <v>56</v>
      </c>
      <c r="I67">
        <v>6</v>
      </c>
      <c r="J67" s="3">
        <v>0.9882352941176471</v>
      </c>
      <c r="K67" s="3">
        <v>0.6705882352941176</v>
      </c>
      <c r="L67">
        <v>-1</v>
      </c>
      <c r="M67" s="3">
        <v>0.65116279069767447</v>
      </c>
      <c r="N67" s="3">
        <v>6.9767441860465115E-2</v>
      </c>
      <c r="O67">
        <v>-1</v>
      </c>
    </row>
    <row r="68" spans="1:15" x14ac:dyDescent="0.25">
      <c r="A68" s="2">
        <v>46205</v>
      </c>
      <c r="B68">
        <v>0</v>
      </c>
      <c r="C68">
        <v>84</v>
      </c>
      <c r="D68">
        <v>3</v>
      </c>
      <c r="E68">
        <v>60</v>
      </c>
      <c r="F68">
        <v>7</v>
      </c>
      <c r="G68">
        <v>0</v>
      </c>
      <c r="H68">
        <v>63</v>
      </c>
      <c r="I68">
        <v>6</v>
      </c>
      <c r="J68" s="3">
        <v>0.9882352941176471</v>
      </c>
      <c r="K68" s="3">
        <v>0.70588235294117652</v>
      </c>
      <c r="L68">
        <v>-1</v>
      </c>
      <c r="M68" s="3">
        <v>0.73255813953488369</v>
      </c>
      <c r="N68" s="3">
        <v>6.9767441860465115E-2</v>
      </c>
      <c r="O68">
        <v>-1</v>
      </c>
    </row>
    <row r="69" spans="1:15" x14ac:dyDescent="0.25">
      <c r="A69" s="2">
        <v>46206</v>
      </c>
      <c r="B69">
        <v>0</v>
      </c>
      <c r="C69">
        <v>84</v>
      </c>
      <c r="D69">
        <v>6</v>
      </c>
      <c r="E69">
        <v>66</v>
      </c>
      <c r="F69">
        <v>18</v>
      </c>
      <c r="G69">
        <v>0</v>
      </c>
      <c r="H69">
        <v>81</v>
      </c>
      <c r="I69">
        <v>6</v>
      </c>
      <c r="J69" s="3">
        <v>0.9882352941176471</v>
      </c>
      <c r="K69" s="3">
        <v>0.77647058823529413</v>
      </c>
      <c r="L69">
        <v>-1</v>
      </c>
      <c r="M69" s="3">
        <v>0.94186046511627908</v>
      </c>
      <c r="N69" s="3">
        <v>6.9767441860465115E-2</v>
      </c>
      <c r="O69">
        <v>-1</v>
      </c>
    </row>
    <row r="70" spans="1:15" x14ac:dyDescent="0.25">
      <c r="A70" s="2">
        <v>46207</v>
      </c>
      <c r="B70">
        <v>0</v>
      </c>
      <c r="C70">
        <v>84</v>
      </c>
      <c r="D70">
        <v>0</v>
      </c>
      <c r="E70">
        <v>66</v>
      </c>
      <c r="F70">
        <v>0</v>
      </c>
      <c r="G70">
        <v>0</v>
      </c>
      <c r="H70">
        <v>81</v>
      </c>
      <c r="I70">
        <v>6</v>
      </c>
      <c r="J70" s="3">
        <v>0.9882352941176471</v>
      </c>
      <c r="K70" s="3">
        <v>0.77647058823529413</v>
      </c>
      <c r="L70">
        <v>-1</v>
      </c>
      <c r="M70" s="3">
        <v>0.94186046511627908</v>
      </c>
      <c r="N70" s="3">
        <v>6.9767441860465115E-2</v>
      </c>
      <c r="O70">
        <v>-1</v>
      </c>
    </row>
    <row r="71" spans="1:15" x14ac:dyDescent="0.25">
      <c r="A71" s="2">
        <v>46208</v>
      </c>
      <c r="B71">
        <v>0</v>
      </c>
      <c r="C71">
        <v>84</v>
      </c>
      <c r="D71">
        <v>0</v>
      </c>
      <c r="E71">
        <v>66</v>
      </c>
      <c r="F71">
        <v>0</v>
      </c>
      <c r="G71">
        <v>0</v>
      </c>
      <c r="H71">
        <v>81</v>
      </c>
      <c r="I71">
        <v>6</v>
      </c>
      <c r="J71" s="3">
        <v>0.9882352941176471</v>
      </c>
      <c r="K71" s="3">
        <v>0.77647058823529413</v>
      </c>
      <c r="L71">
        <v>-1</v>
      </c>
      <c r="M71" s="3">
        <v>0.94186046511627908</v>
      </c>
      <c r="N71" s="3">
        <v>6.9767441860465115E-2</v>
      </c>
      <c r="O71">
        <v>-1</v>
      </c>
    </row>
    <row r="72" spans="1:15" x14ac:dyDescent="0.25">
      <c r="A72" s="2">
        <v>46209</v>
      </c>
      <c r="B72">
        <v>1</v>
      </c>
      <c r="C72">
        <v>85</v>
      </c>
      <c r="D72">
        <v>1</v>
      </c>
      <c r="E72">
        <v>67</v>
      </c>
      <c r="F72">
        <v>1</v>
      </c>
      <c r="G72">
        <v>0</v>
      </c>
      <c r="H72">
        <v>82</v>
      </c>
      <c r="I72">
        <v>6</v>
      </c>
      <c r="J72" s="3">
        <v>1</v>
      </c>
      <c r="K72" s="3">
        <v>0.78823529411764703</v>
      </c>
      <c r="L72">
        <v>-1</v>
      </c>
      <c r="M72" s="3">
        <v>0.95348837209302328</v>
      </c>
      <c r="N72" s="3">
        <v>6.9767441860465115E-2</v>
      </c>
      <c r="O72">
        <v>-1</v>
      </c>
    </row>
    <row r="73" spans="1:15" x14ac:dyDescent="0.25">
      <c r="A73" s="2">
        <v>46210</v>
      </c>
      <c r="B73">
        <v>0</v>
      </c>
      <c r="C73">
        <v>85</v>
      </c>
      <c r="D73">
        <v>2</v>
      </c>
      <c r="E73">
        <v>69</v>
      </c>
      <c r="F73">
        <v>3</v>
      </c>
      <c r="G73">
        <v>0</v>
      </c>
      <c r="H73">
        <v>85</v>
      </c>
      <c r="I73">
        <v>6</v>
      </c>
      <c r="J73" s="3">
        <v>1</v>
      </c>
      <c r="K73" s="3">
        <v>0.81176470588235294</v>
      </c>
      <c r="L73">
        <v>-1</v>
      </c>
      <c r="M73" s="3">
        <v>0.98837209302325579</v>
      </c>
      <c r="N73" s="3">
        <v>6.9767441860465115E-2</v>
      </c>
      <c r="O73">
        <v>-1</v>
      </c>
    </row>
    <row r="74" spans="1:15" x14ac:dyDescent="0.25">
      <c r="A74" s="2">
        <v>46211</v>
      </c>
      <c r="B74">
        <v>0</v>
      </c>
      <c r="C74">
        <v>85</v>
      </c>
      <c r="D74">
        <v>11</v>
      </c>
      <c r="E74">
        <v>80</v>
      </c>
      <c r="F74">
        <v>0</v>
      </c>
      <c r="G74">
        <v>0</v>
      </c>
      <c r="H74">
        <v>85</v>
      </c>
      <c r="I74">
        <v>6</v>
      </c>
      <c r="J74" s="3">
        <v>1</v>
      </c>
      <c r="K74" s="3">
        <v>0.94117647058823528</v>
      </c>
      <c r="L74">
        <v>-1</v>
      </c>
      <c r="M74" s="3">
        <v>0.98837209302325579</v>
      </c>
      <c r="N74" s="3">
        <v>6.9767441860465115E-2</v>
      </c>
      <c r="O74">
        <v>-1</v>
      </c>
    </row>
    <row r="75" spans="1:15" x14ac:dyDescent="0.25">
      <c r="A75" s="2">
        <v>46212</v>
      </c>
      <c r="B75">
        <v>0</v>
      </c>
      <c r="C75">
        <v>85</v>
      </c>
      <c r="D75">
        <v>0</v>
      </c>
      <c r="E75">
        <v>80</v>
      </c>
      <c r="F75">
        <v>0</v>
      </c>
      <c r="G75">
        <v>0</v>
      </c>
      <c r="H75">
        <v>85</v>
      </c>
      <c r="I75">
        <v>6</v>
      </c>
      <c r="J75" s="3">
        <v>1</v>
      </c>
      <c r="K75" s="3">
        <v>0.94117647058823528</v>
      </c>
      <c r="L75">
        <v>-1</v>
      </c>
      <c r="M75" s="3">
        <v>0.98837209302325579</v>
      </c>
      <c r="N75" s="3">
        <v>6.9767441860465115E-2</v>
      </c>
      <c r="O75">
        <v>-1</v>
      </c>
    </row>
    <row r="76" spans="1:15" x14ac:dyDescent="0.25">
      <c r="A76" s="2">
        <v>46213</v>
      </c>
      <c r="B76">
        <v>0</v>
      </c>
      <c r="C76">
        <v>85</v>
      </c>
      <c r="D76">
        <v>0</v>
      </c>
      <c r="E76">
        <v>80</v>
      </c>
      <c r="F76">
        <v>0</v>
      </c>
      <c r="G76">
        <v>0</v>
      </c>
      <c r="H76">
        <v>85</v>
      </c>
      <c r="I76">
        <v>6</v>
      </c>
      <c r="J76" s="3">
        <v>1</v>
      </c>
      <c r="K76" s="3">
        <v>0.94117647058823528</v>
      </c>
      <c r="L76">
        <v>-1</v>
      </c>
      <c r="M76" s="3">
        <v>0.98837209302325579</v>
      </c>
      <c r="N76" s="3">
        <v>6.9767441860465115E-2</v>
      </c>
      <c r="O76">
        <v>-1</v>
      </c>
    </row>
    <row r="77" spans="1:15" x14ac:dyDescent="0.25">
      <c r="A77" s="2">
        <v>46214</v>
      </c>
      <c r="B77">
        <v>0</v>
      </c>
      <c r="C77">
        <v>85</v>
      </c>
      <c r="D77">
        <v>0</v>
      </c>
      <c r="E77">
        <v>80</v>
      </c>
      <c r="F77">
        <v>0</v>
      </c>
      <c r="G77">
        <v>0</v>
      </c>
      <c r="H77">
        <v>85</v>
      </c>
      <c r="I77">
        <v>6</v>
      </c>
      <c r="J77" s="3">
        <v>1</v>
      </c>
      <c r="K77" s="3">
        <v>0.94117647058823528</v>
      </c>
      <c r="L77">
        <v>-1</v>
      </c>
      <c r="M77" s="3">
        <v>0.98837209302325579</v>
      </c>
      <c r="N77" s="3">
        <v>6.9767441860465115E-2</v>
      </c>
      <c r="O77">
        <v>-1</v>
      </c>
    </row>
    <row r="78" spans="1:15" x14ac:dyDescent="0.25">
      <c r="A78" s="2">
        <v>46215</v>
      </c>
      <c r="B78">
        <v>0</v>
      </c>
      <c r="C78">
        <v>85</v>
      </c>
      <c r="D78">
        <v>0</v>
      </c>
      <c r="E78">
        <v>80</v>
      </c>
      <c r="F78">
        <v>0</v>
      </c>
      <c r="G78">
        <v>0</v>
      </c>
      <c r="H78">
        <v>85</v>
      </c>
      <c r="I78">
        <v>6</v>
      </c>
      <c r="J78" s="3">
        <v>1</v>
      </c>
      <c r="K78" s="3">
        <v>0.94117647058823528</v>
      </c>
      <c r="L78">
        <v>-1</v>
      </c>
      <c r="M78" s="3">
        <v>0.98837209302325579</v>
      </c>
      <c r="N78" s="3">
        <v>6.9767441860465115E-2</v>
      </c>
      <c r="O78">
        <v>-1</v>
      </c>
    </row>
    <row r="79" spans="1:15" x14ac:dyDescent="0.25">
      <c r="A79" s="2">
        <v>46216</v>
      </c>
      <c r="B79">
        <v>0</v>
      </c>
      <c r="C79">
        <v>85</v>
      </c>
      <c r="D79">
        <v>1</v>
      </c>
      <c r="E79">
        <v>81</v>
      </c>
      <c r="F79">
        <v>0</v>
      </c>
      <c r="G79">
        <v>0</v>
      </c>
      <c r="H79">
        <v>85</v>
      </c>
      <c r="I79">
        <v>6</v>
      </c>
      <c r="J79" s="3">
        <v>1</v>
      </c>
      <c r="K79" s="3">
        <v>0.95294117647058818</v>
      </c>
      <c r="L79">
        <v>-1</v>
      </c>
      <c r="M79" s="3">
        <v>0.98837209302325579</v>
      </c>
      <c r="N79" s="3">
        <v>6.9767441860465115E-2</v>
      </c>
      <c r="O79">
        <v>-1</v>
      </c>
    </row>
    <row r="80" spans="1:15" x14ac:dyDescent="0.25">
      <c r="A80" s="2">
        <v>46217</v>
      </c>
      <c r="B80">
        <v>0</v>
      </c>
      <c r="C80">
        <v>85</v>
      </c>
      <c r="D80">
        <v>0</v>
      </c>
      <c r="E80">
        <v>81</v>
      </c>
      <c r="F80">
        <v>1</v>
      </c>
      <c r="G80">
        <v>0</v>
      </c>
      <c r="H80">
        <v>86</v>
      </c>
      <c r="I80">
        <v>6</v>
      </c>
      <c r="J80" s="3">
        <v>1</v>
      </c>
      <c r="K80" s="3">
        <v>0.95294117647058818</v>
      </c>
      <c r="L80">
        <v>-1</v>
      </c>
      <c r="M80" s="3">
        <v>1</v>
      </c>
      <c r="N80" s="3">
        <v>6.9767441860465115E-2</v>
      </c>
      <c r="O80">
        <v>-1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43"/>
  <sheetViews>
    <sheetView workbookViewId="0">
      <selection activeCell="H1" sqref="H1:H1048576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1.5703125" bestFit="1" customWidth="1"/>
    <col min="5" max="5" width="10.42578125" bestFit="1" customWidth="1"/>
    <col min="6" max="7" width="10.7109375" style="2" bestFit="1" customWidth="1"/>
    <col min="8" max="8" width="13.7109375" style="3" bestFit="1" customWidth="1"/>
    <col min="9" max="9" width="14.5703125" style="2" bestFit="1" customWidth="1"/>
    <col min="10" max="10" width="9.5703125" bestFit="1" customWidth="1"/>
    <col min="11" max="11" width="16.140625" bestFit="1" customWidth="1"/>
    <col min="12" max="12" width="111.140625" bestFit="1" customWidth="1"/>
    <col min="13" max="13" width="23.42578125" bestFit="1" customWidth="1"/>
    <col min="14" max="14" width="25.85546875" style="2" bestFit="1" customWidth="1"/>
    <col min="15" max="15" width="21.28515625" bestFit="1" customWidth="1"/>
    <col min="16" max="16" width="14.5703125" bestFit="1" customWidth="1"/>
    <col min="17" max="17" width="8.85546875" bestFit="1" customWidth="1"/>
    <col min="18" max="18" width="32.140625" bestFit="1" customWidth="1"/>
    <col min="19" max="19" width="14.28515625" style="2" bestFit="1" customWidth="1"/>
    <col min="20" max="20" width="17" style="2" bestFit="1" customWidth="1"/>
    <col min="21" max="21" width="14.140625" bestFit="1" customWidth="1"/>
    <col min="22" max="22" width="15" bestFit="1" customWidth="1"/>
    <col min="23" max="23" width="14.140625" bestFit="1" customWidth="1"/>
    <col min="24" max="24" width="29.7109375" bestFit="1" customWidth="1"/>
    <col min="25" max="25" width="19" bestFit="1" customWidth="1"/>
    <col min="26" max="26" width="13.85546875" bestFit="1" customWidth="1"/>
    <col min="27" max="27" width="15" bestFit="1" customWidth="1"/>
    <col min="28" max="28" width="9.5703125" bestFit="1" customWidth="1"/>
    <col min="29" max="29" width="21" bestFit="1" customWidth="1"/>
    <col min="30" max="30" width="25.42578125" bestFit="1" customWidth="1"/>
    <col min="31" max="31" width="24.7109375" bestFit="1" customWidth="1"/>
    <col min="32" max="32" width="17.28515625" bestFit="1" customWidth="1"/>
    <col min="33" max="33" width="30.42578125" bestFit="1" customWidth="1"/>
    <col min="34" max="34" width="27.140625" bestFit="1" customWidth="1"/>
    <col min="35" max="35" width="38.28515625" bestFit="1" customWidth="1"/>
    <col min="36" max="36" width="23.85546875" bestFit="1" customWidth="1"/>
    <col min="37" max="37" width="21.7109375" bestFit="1" customWidth="1"/>
    <col min="38" max="38" width="21" bestFit="1" customWidth="1"/>
    <col min="39" max="39" width="12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3</v>
      </c>
      <c r="B2" t="s">
        <v>49</v>
      </c>
      <c r="C2" t="s">
        <v>50</v>
      </c>
      <c r="D2" t="s">
        <v>51</v>
      </c>
      <c r="E2" t="s">
        <v>52</v>
      </c>
      <c r="F2" s="2">
        <v>46139</v>
      </c>
      <c r="G2" s="2">
        <v>46139</v>
      </c>
      <c r="H2" s="3">
        <v>1</v>
      </c>
      <c r="I2" s="2">
        <v>46139</v>
      </c>
      <c r="J2" t="s">
        <v>53</v>
      </c>
      <c r="L2" t="s">
        <v>54</v>
      </c>
      <c r="M2" t="s">
        <v>42</v>
      </c>
      <c r="N2" s="2">
        <v>46139</v>
      </c>
      <c r="P2" t="s">
        <v>43</v>
      </c>
      <c r="Q2" t="s">
        <v>55</v>
      </c>
      <c r="R2" t="s">
        <v>45</v>
      </c>
      <c r="S2" s="2">
        <v>46139</v>
      </c>
      <c r="T2" s="2">
        <v>46139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6</v>
      </c>
      <c r="B3" t="s">
        <v>68</v>
      </c>
      <c r="C3" t="s">
        <v>63</v>
      </c>
      <c r="D3" t="s">
        <v>69</v>
      </c>
      <c r="E3" t="s">
        <v>52</v>
      </c>
      <c r="F3" s="2">
        <v>46161</v>
      </c>
      <c r="G3" s="2">
        <v>46161</v>
      </c>
      <c r="H3" s="3">
        <v>1</v>
      </c>
      <c r="I3" s="2">
        <v>46161</v>
      </c>
      <c r="J3" t="s">
        <v>53</v>
      </c>
      <c r="L3" t="s">
        <v>70</v>
      </c>
      <c r="M3" t="s">
        <v>59</v>
      </c>
      <c r="N3" s="2">
        <v>46161</v>
      </c>
      <c r="P3" t="s">
        <v>60</v>
      </c>
      <c r="Q3" t="s">
        <v>55</v>
      </c>
      <c r="R3" t="s">
        <v>61</v>
      </c>
      <c r="S3" s="2">
        <v>46161</v>
      </c>
      <c r="T3" s="2">
        <v>46161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7</v>
      </c>
      <c r="B4" t="s">
        <v>71</v>
      </c>
      <c r="C4" t="s">
        <v>63</v>
      </c>
      <c r="D4" t="s">
        <v>72</v>
      </c>
      <c r="E4" t="s">
        <v>52</v>
      </c>
      <c r="F4" s="2">
        <v>46188</v>
      </c>
      <c r="G4" s="2">
        <v>46188</v>
      </c>
      <c r="H4" s="3">
        <v>1</v>
      </c>
      <c r="I4" s="2">
        <v>46188</v>
      </c>
      <c r="J4" t="s">
        <v>53</v>
      </c>
      <c r="L4">
        <v>297</v>
      </c>
      <c r="M4" t="s">
        <v>66</v>
      </c>
      <c r="N4" s="2">
        <v>46178</v>
      </c>
      <c r="P4" t="s">
        <v>73</v>
      </c>
      <c r="Q4" t="s">
        <v>55</v>
      </c>
      <c r="R4" t="s">
        <v>61</v>
      </c>
      <c r="S4" s="2">
        <v>46178</v>
      </c>
      <c r="T4" s="2">
        <v>46178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8</v>
      </c>
      <c r="B5" t="s">
        <v>74</v>
      </c>
      <c r="C5" t="s">
        <v>63</v>
      </c>
      <c r="D5" t="s">
        <v>75</v>
      </c>
      <c r="E5" t="s">
        <v>52</v>
      </c>
      <c r="F5" s="2">
        <v>46182</v>
      </c>
      <c r="G5" s="2">
        <v>46182</v>
      </c>
      <c r="H5" s="3">
        <v>1</v>
      </c>
      <c r="I5" s="2">
        <v>46182</v>
      </c>
      <c r="J5" t="s">
        <v>53</v>
      </c>
      <c r="L5">
        <v>413</v>
      </c>
      <c r="M5" t="s">
        <v>66</v>
      </c>
      <c r="N5" s="2">
        <v>46178</v>
      </c>
      <c r="P5" t="s">
        <v>76</v>
      </c>
      <c r="Q5" t="s">
        <v>55</v>
      </c>
      <c r="R5" t="s">
        <v>61</v>
      </c>
      <c r="S5" s="2">
        <v>46178</v>
      </c>
      <c r="T5" s="2">
        <v>46178</v>
      </c>
      <c r="U5" t="s">
        <v>77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9</v>
      </c>
      <c r="B6" t="s">
        <v>78</v>
      </c>
      <c r="C6" t="s">
        <v>63</v>
      </c>
      <c r="D6" t="s">
        <v>79</v>
      </c>
      <c r="E6" t="s">
        <v>52</v>
      </c>
      <c r="F6" s="2">
        <v>46164</v>
      </c>
      <c r="G6" s="2">
        <v>46164</v>
      </c>
      <c r="H6" s="3">
        <v>1</v>
      </c>
      <c r="I6" s="2">
        <v>46164</v>
      </c>
      <c r="J6" t="s">
        <v>53</v>
      </c>
      <c r="L6">
        <v>150</v>
      </c>
      <c r="M6" t="s">
        <v>80</v>
      </c>
      <c r="N6" s="2">
        <v>46164</v>
      </c>
      <c r="P6" t="s">
        <v>60</v>
      </c>
      <c r="Q6" t="s">
        <v>55</v>
      </c>
      <c r="R6" t="s">
        <v>61</v>
      </c>
      <c r="S6" s="2">
        <v>46164</v>
      </c>
      <c r="T6" s="2">
        <v>46164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11</v>
      </c>
      <c r="B7" t="s">
        <v>83</v>
      </c>
      <c r="C7" t="s">
        <v>50</v>
      </c>
      <c r="D7" t="s">
        <v>84</v>
      </c>
      <c r="E7" t="s">
        <v>85</v>
      </c>
      <c r="F7" s="2">
        <v>46141</v>
      </c>
      <c r="G7" s="2">
        <v>46141</v>
      </c>
      <c r="H7" s="3">
        <v>1</v>
      </c>
      <c r="I7" s="2">
        <v>46141</v>
      </c>
      <c r="J7" t="s">
        <v>53</v>
      </c>
      <c r="M7" t="s">
        <v>86</v>
      </c>
      <c r="N7" s="2">
        <v>46141</v>
      </c>
      <c r="P7" t="s">
        <v>43</v>
      </c>
      <c r="Q7" t="s">
        <v>55</v>
      </c>
      <c r="R7" t="s">
        <v>87</v>
      </c>
      <c r="S7" s="2">
        <v>46141</v>
      </c>
      <c r="T7" s="2">
        <v>46141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12</v>
      </c>
      <c r="B8" t="s">
        <v>88</v>
      </c>
      <c r="C8" t="s">
        <v>89</v>
      </c>
      <c r="D8" t="s">
        <v>90</v>
      </c>
      <c r="E8" t="s">
        <v>52</v>
      </c>
      <c r="F8" s="2">
        <v>46141</v>
      </c>
      <c r="G8" s="2">
        <v>46141</v>
      </c>
      <c r="H8" s="3">
        <v>1</v>
      </c>
      <c r="I8" s="2">
        <v>46141</v>
      </c>
      <c r="J8" t="s">
        <v>53</v>
      </c>
      <c r="M8" t="s">
        <v>86</v>
      </c>
      <c r="N8" s="2">
        <v>46141</v>
      </c>
      <c r="P8" t="s">
        <v>43</v>
      </c>
      <c r="Q8" t="s">
        <v>55</v>
      </c>
      <c r="R8" t="s">
        <v>87</v>
      </c>
      <c r="S8" s="2">
        <v>46141</v>
      </c>
      <c r="T8" s="2">
        <v>46141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13</v>
      </c>
      <c r="B9" t="s">
        <v>91</v>
      </c>
      <c r="C9" t="s">
        <v>50</v>
      </c>
      <c r="D9" t="s">
        <v>92</v>
      </c>
      <c r="E9" t="s">
        <v>93</v>
      </c>
      <c r="F9" s="2">
        <v>46139</v>
      </c>
      <c r="G9" s="2">
        <v>46175</v>
      </c>
      <c r="H9" s="3">
        <v>1</v>
      </c>
      <c r="I9" s="2">
        <v>46175</v>
      </c>
      <c r="J9" t="s">
        <v>53</v>
      </c>
      <c r="M9" t="s">
        <v>42</v>
      </c>
      <c r="N9" s="2">
        <v>46174</v>
      </c>
      <c r="P9" t="s">
        <v>43</v>
      </c>
      <c r="Q9" t="s">
        <v>55</v>
      </c>
      <c r="R9" t="s">
        <v>94</v>
      </c>
      <c r="S9" s="2">
        <v>46139</v>
      </c>
      <c r="T9" s="2">
        <v>46160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14</v>
      </c>
      <c r="B10" t="s">
        <v>95</v>
      </c>
      <c r="C10" t="s">
        <v>96</v>
      </c>
      <c r="D10" t="s">
        <v>97</v>
      </c>
      <c r="E10" t="s">
        <v>93</v>
      </c>
      <c r="F10" s="2">
        <v>46139</v>
      </c>
      <c r="G10" s="2">
        <v>46175</v>
      </c>
      <c r="H10" s="3">
        <v>1</v>
      </c>
      <c r="I10" s="2">
        <v>46175</v>
      </c>
      <c r="J10" t="s">
        <v>53</v>
      </c>
      <c r="M10" t="s">
        <v>42</v>
      </c>
      <c r="N10" s="2">
        <v>46174</v>
      </c>
      <c r="P10" t="s">
        <v>43</v>
      </c>
      <c r="Q10" t="s">
        <v>55</v>
      </c>
      <c r="R10" t="s">
        <v>94</v>
      </c>
      <c r="S10" s="2">
        <v>46139</v>
      </c>
      <c r="T10" s="2">
        <v>46155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15</v>
      </c>
      <c r="B11" t="s">
        <v>98</v>
      </c>
      <c r="C11" t="s">
        <v>99</v>
      </c>
      <c r="D11" t="s">
        <v>100</v>
      </c>
      <c r="E11" t="s">
        <v>101</v>
      </c>
      <c r="F11" s="2">
        <v>46139</v>
      </c>
      <c r="G11" s="2">
        <v>46141</v>
      </c>
      <c r="H11" s="3">
        <v>1</v>
      </c>
      <c r="I11" s="2">
        <v>46141</v>
      </c>
      <c r="J11" t="s">
        <v>53</v>
      </c>
      <c r="K11">
        <v>3</v>
      </c>
      <c r="L11" t="s">
        <v>102</v>
      </c>
      <c r="M11" t="s">
        <v>42</v>
      </c>
      <c r="N11" s="2">
        <v>46141</v>
      </c>
      <c r="P11" t="s">
        <v>43</v>
      </c>
      <c r="Q11" t="s">
        <v>55</v>
      </c>
      <c r="R11" t="s">
        <v>94</v>
      </c>
      <c r="S11" s="2">
        <v>46139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16</v>
      </c>
      <c r="B12" t="s">
        <v>103</v>
      </c>
      <c r="C12" t="s">
        <v>99</v>
      </c>
      <c r="D12" t="s">
        <v>104</v>
      </c>
      <c r="E12" t="s">
        <v>52</v>
      </c>
      <c r="F12" s="2">
        <v>46142</v>
      </c>
      <c r="G12" s="2">
        <v>46142</v>
      </c>
      <c r="H12" s="3">
        <v>1</v>
      </c>
      <c r="I12" s="2">
        <v>46142</v>
      </c>
      <c r="J12" t="s">
        <v>53</v>
      </c>
      <c r="K12">
        <v>15</v>
      </c>
      <c r="L12" t="s">
        <v>105</v>
      </c>
      <c r="M12" t="s">
        <v>106</v>
      </c>
      <c r="N12" s="2">
        <v>46142</v>
      </c>
      <c r="P12" t="s">
        <v>43</v>
      </c>
      <c r="Q12" t="s">
        <v>55</v>
      </c>
      <c r="R12" t="s">
        <v>94</v>
      </c>
      <c r="S12" s="2">
        <v>46142</v>
      </c>
      <c r="T12" s="2">
        <v>46142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17</v>
      </c>
      <c r="B13" t="s">
        <v>107</v>
      </c>
      <c r="C13" t="s">
        <v>99</v>
      </c>
      <c r="D13" t="s">
        <v>108</v>
      </c>
      <c r="E13" t="s">
        <v>109</v>
      </c>
      <c r="F13" s="2">
        <v>46143</v>
      </c>
      <c r="G13" s="2">
        <v>46154</v>
      </c>
      <c r="H13" s="3">
        <v>1</v>
      </c>
      <c r="I13" s="2">
        <v>46154</v>
      </c>
      <c r="J13" t="s">
        <v>53</v>
      </c>
      <c r="K13" t="s">
        <v>110</v>
      </c>
      <c r="L13" t="s">
        <v>111</v>
      </c>
      <c r="M13" t="s">
        <v>112</v>
      </c>
      <c r="N13" s="2">
        <v>46154</v>
      </c>
      <c r="P13" t="s">
        <v>43</v>
      </c>
      <c r="Q13" t="s">
        <v>55</v>
      </c>
      <c r="R13" t="s">
        <v>94</v>
      </c>
      <c r="S13" s="2">
        <v>46143</v>
      </c>
      <c r="T13" s="2">
        <v>46154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18</v>
      </c>
      <c r="B14" t="s">
        <v>113</v>
      </c>
      <c r="C14" t="s">
        <v>99</v>
      </c>
      <c r="D14" t="s">
        <v>114</v>
      </c>
      <c r="E14" t="s">
        <v>115</v>
      </c>
      <c r="F14" s="2">
        <v>46174</v>
      </c>
      <c r="G14" s="2">
        <v>46175</v>
      </c>
      <c r="H14" s="3">
        <v>1</v>
      </c>
      <c r="I14" s="2">
        <v>46175</v>
      </c>
      <c r="J14" t="s">
        <v>53</v>
      </c>
      <c r="K14" t="s">
        <v>116</v>
      </c>
      <c r="M14" t="s">
        <v>117</v>
      </c>
      <c r="N14" s="2">
        <v>46174</v>
      </c>
      <c r="P14" t="s">
        <v>118</v>
      </c>
      <c r="Q14" t="s">
        <v>55</v>
      </c>
      <c r="R14" t="s">
        <v>94</v>
      </c>
      <c r="S14" s="2">
        <v>46154</v>
      </c>
      <c r="T14" s="2">
        <v>46155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</row>
    <row r="15" spans="1:39" x14ac:dyDescent="0.25">
      <c r="A15">
        <v>19</v>
      </c>
      <c r="B15" t="s">
        <v>119</v>
      </c>
      <c r="C15" t="s">
        <v>96</v>
      </c>
      <c r="D15" t="s">
        <v>120</v>
      </c>
      <c r="E15" t="s">
        <v>121</v>
      </c>
      <c r="F15" s="2">
        <v>46142</v>
      </c>
      <c r="G15" s="2">
        <v>46174</v>
      </c>
      <c r="H15" s="3">
        <v>1</v>
      </c>
      <c r="I15" s="2">
        <v>46174</v>
      </c>
      <c r="J15" t="s">
        <v>53</v>
      </c>
      <c r="M15" t="s">
        <v>106</v>
      </c>
      <c r="N15" s="2">
        <v>46171</v>
      </c>
      <c r="P15" t="s">
        <v>43</v>
      </c>
      <c r="Q15" t="s">
        <v>55</v>
      </c>
      <c r="R15" t="s">
        <v>94</v>
      </c>
      <c r="S15" s="2">
        <v>46142</v>
      </c>
      <c r="T15" s="2">
        <v>46160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20</v>
      </c>
      <c r="B16" t="s">
        <v>122</v>
      </c>
      <c r="C16" t="s">
        <v>123</v>
      </c>
      <c r="D16" t="s">
        <v>100</v>
      </c>
      <c r="E16" t="s">
        <v>101</v>
      </c>
      <c r="F16" s="2">
        <v>46142</v>
      </c>
      <c r="G16" s="2">
        <v>46146</v>
      </c>
      <c r="H16" s="3">
        <v>1</v>
      </c>
      <c r="I16" s="2">
        <v>46146</v>
      </c>
      <c r="J16" t="s">
        <v>53</v>
      </c>
      <c r="K16">
        <v>15</v>
      </c>
      <c r="L16" t="s">
        <v>124</v>
      </c>
      <c r="M16" t="s">
        <v>106</v>
      </c>
      <c r="N16" s="2">
        <v>46146</v>
      </c>
      <c r="P16" t="s">
        <v>43</v>
      </c>
      <c r="Q16" t="s">
        <v>55</v>
      </c>
      <c r="R16" t="s">
        <v>94</v>
      </c>
      <c r="S16" s="2">
        <v>46142</v>
      </c>
      <c r="T16" s="2">
        <v>46146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</row>
    <row r="17" spans="1:39" x14ac:dyDescent="0.25">
      <c r="A17">
        <v>21</v>
      </c>
      <c r="B17" t="s">
        <v>125</v>
      </c>
      <c r="C17" t="s">
        <v>123</v>
      </c>
      <c r="D17" t="s">
        <v>104</v>
      </c>
      <c r="E17" t="s">
        <v>52</v>
      </c>
      <c r="F17" s="2">
        <v>46147</v>
      </c>
      <c r="G17" s="2">
        <v>46147</v>
      </c>
      <c r="H17" s="3">
        <v>1</v>
      </c>
      <c r="I17" s="2">
        <v>46147</v>
      </c>
      <c r="J17" t="s">
        <v>53</v>
      </c>
      <c r="K17">
        <v>20</v>
      </c>
      <c r="L17" t="s">
        <v>126</v>
      </c>
      <c r="M17" t="s">
        <v>127</v>
      </c>
      <c r="N17" s="2">
        <v>46147</v>
      </c>
      <c r="P17" t="s">
        <v>43</v>
      </c>
      <c r="Q17" t="s">
        <v>55</v>
      </c>
      <c r="R17" t="s">
        <v>94</v>
      </c>
      <c r="S17" s="2">
        <v>46147</v>
      </c>
      <c r="T17" s="2">
        <v>46147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22</v>
      </c>
      <c r="B18" t="s">
        <v>128</v>
      </c>
      <c r="C18" t="s">
        <v>123</v>
      </c>
      <c r="D18" t="s">
        <v>108</v>
      </c>
      <c r="E18" t="s">
        <v>109</v>
      </c>
      <c r="F18" s="2">
        <v>46148</v>
      </c>
      <c r="G18" s="2">
        <v>46157</v>
      </c>
      <c r="H18" s="3">
        <v>1</v>
      </c>
      <c r="I18" s="2">
        <v>46157</v>
      </c>
      <c r="J18" t="s">
        <v>53</v>
      </c>
      <c r="K18" t="s">
        <v>129</v>
      </c>
      <c r="L18" t="s">
        <v>130</v>
      </c>
      <c r="M18" t="s">
        <v>131</v>
      </c>
      <c r="N18" s="2">
        <v>46157</v>
      </c>
      <c r="P18" t="s">
        <v>43</v>
      </c>
      <c r="Q18" t="s">
        <v>55</v>
      </c>
      <c r="R18" t="s">
        <v>94</v>
      </c>
      <c r="S18" s="2">
        <v>46148</v>
      </c>
      <c r="T18" s="2">
        <v>46157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23</v>
      </c>
      <c r="B19" t="s">
        <v>132</v>
      </c>
      <c r="C19" t="s">
        <v>123</v>
      </c>
      <c r="D19" t="s">
        <v>114</v>
      </c>
      <c r="E19" t="s">
        <v>115</v>
      </c>
      <c r="F19" s="2">
        <v>46171</v>
      </c>
      <c r="G19" s="2">
        <v>46174</v>
      </c>
      <c r="H19" s="3">
        <v>1</v>
      </c>
      <c r="I19" s="2">
        <v>46174</v>
      </c>
      <c r="J19" t="s">
        <v>53</v>
      </c>
      <c r="K19" t="s">
        <v>133</v>
      </c>
      <c r="M19" t="s">
        <v>134</v>
      </c>
      <c r="N19" s="2">
        <v>46171</v>
      </c>
      <c r="P19" t="s">
        <v>135</v>
      </c>
      <c r="Q19" t="s">
        <v>55</v>
      </c>
      <c r="R19" t="s">
        <v>94</v>
      </c>
      <c r="S19" s="2">
        <v>46157</v>
      </c>
      <c r="T19" s="2">
        <v>46160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x14ac:dyDescent="0.25">
      <c r="A20">
        <v>50</v>
      </c>
      <c r="B20" t="s">
        <v>136</v>
      </c>
      <c r="C20" t="s">
        <v>50</v>
      </c>
      <c r="D20" t="s">
        <v>137</v>
      </c>
      <c r="E20" t="s">
        <v>138</v>
      </c>
      <c r="F20" s="2">
        <v>46178</v>
      </c>
      <c r="G20" s="2">
        <v>46184</v>
      </c>
      <c r="H20" s="3">
        <v>1</v>
      </c>
      <c r="I20" s="2">
        <v>46184</v>
      </c>
      <c r="J20" t="s">
        <v>53</v>
      </c>
      <c r="M20" t="s">
        <v>66</v>
      </c>
      <c r="N20" s="2">
        <v>46184</v>
      </c>
      <c r="P20" t="s">
        <v>118</v>
      </c>
      <c r="Q20" t="s">
        <v>55</v>
      </c>
      <c r="R20" t="s">
        <v>139</v>
      </c>
      <c r="S20" s="2">
        <v>46147</v>
      </c>
      <c r="T20" s="2">
        <v>46195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61</v>
      </c>
      <c r="B21" t="s">
        <v>140</v>
      </c>
      <c r="C21" t="s">
        <v>141</v>
      </c>
      <c r="D21" t="s">
        <v>142</v>
      </c>
      <c r="E21" t="s">
        <v>138</v>
      </c>
      <c r="F21" s="2">
        <v>46178</v>
      </c>
      <c r="G21" s="2">
        <v>46184</v>
      </c>
      <c r="H21" s="3">
        <v>1</v>
      </c>
      <c r="I21" s="2">
        <v>46184</v>
      </c>
      <c r="J21" t="s">
        <v>53</v>
      </c>
      <c r="M21" t="s">
        <v>66</v>
      </c>
      <c r="N21" s="2">
        <v>46184</v>
      </c>
      <c r="P21" t="s">
        <v>118</v>
      </c>
      <c r="Q21" t="s">
        <v>55</v>
      </c>
      <c r="R21" t="s">
        <v>139</v>
      </c>
      <c r="S21" s="2">
        <v>46156</v>
      </c>
      <c r="T21" s="2">
        <v>46162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62</v>
      </c>
      <c r="B22" t="s">
        <v>143</v>
      </c>
      <c r="C22" t="s">
        <v>144</v>
      </c>
      <c r="D22" t="s">
        <v>100</v>
      </c>
      <c r="E22" t="s">
        <v>52</v>
      </c>
      <c r="F22" s="2">
        <v>46178</v>
      </c>
      <c r="G22" s="2">
        <v>46178</v>
      </c>
      <c r="H22" s="3">
        <v>1</v>
      </c>
      <c r="I22" s="2">
        <v>46178</v>
      </c>
      <c r="J22" t="s">
        <v>53</v>
      </c>
      <c r="K22" t="s">
        <v>145</v>
      </c>
      <c r="L22" t="s">
        <v>146</v>
      </c>
      <c r="M22" t="s">
        <v>66</v>
      </c>
      <c r="N22" s="2">
        <v>46178</v>
      </c>
      <c r="P22" t="s">
        <v>118</v>
      </c>
      <c r="Q22" t="s">
        <v>55</v>
      </c>
      <c r="R22" t="s">
        <v>139</v>
      </c>
      <c r="S22" s="2">
        <v>46156</v>
      </c>
      <c r="T22" s="2">
        <v>46156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</row>
    <row r="23" spans="1:39" x14ac:dyDescent="0.25">
      <c r="A23">
        <v>63</v>
      </c>
      <c r="B23" t="s">
        <v>147</v>
      </c>
      <c r="C23" t="s">
        <v>144</v>
      </c>
      <c r="D23" t="s">
        <v>104</v>
      </c>
      <c r="E23" t="s">
        <v>52</v>
      </c>
      <c r="F23" s="2">
        <v>46181</v>
      </c>
      <c r="G23" s="2">
        <v>46181</v>
      </c>
      <c r="H23" s="3">
        <v>1</v>
      </c>
      <c r="I23" s="2">
        <v>46181</v>
      </c>
      <c r="J23" t="s">
        <v>53</v>
      </c>
      <c r="K23">
        <v>62</v>
      </c>
      <c r="L23">
        <v>64</v>
      </c>
      <c r="M23" t="s">
        <v>148</v>
      </c>
      <c r="N23" s="2">
        <v>46181</v>
      </c>
      <c r="P23" t="s">
        <v>76</v>
      </c>
      <c r="Q23" t="s">
        <v>55</v>
      </c>
      <c r="R23" t="s">
        <v>139</v>
      </c>
      <c r="S23" s="2">
        <v>46157</v>
      </c>
      <c r="T23" s="2">
        <v>46157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64</v>
      </c>
      <c r="B24" t="s">
        <v>149</v>
      </c>
      <c r="C24" t="s">
        <v>144</v>
      </c>
      <c r="D24" t="s">
        <v>108</v>
      </c>
      <c r="E24" t="s">
        <v>115</v>
      </c>
      <c r="F24" s="2">
        <v>46182</v>
      </c>
      <c r="G24" s="2">
        <v>46183</v>
      </c>
      <c r="H24" s="3">
        <v>1</v>
      </c>
      <c r="I24" s="2">
        <v>46183</v>
      </c>
      <c r="J24" t="s">
        <v>53</v>
      </c>
      <c r="K24">
        <v>63</v>
      </c>
      <c r="L24">
        <v>65</v>
      </c>
      <c r="M24" t="s">
        <v>150</v>
      </c>
      <c r="N24" s="2">
        <v>46183</v>
      </c>
      <c r="P24" t="s">
        <v>76</v>
      </c>
      <c r="Q24" t="s">
        <v>55</v>
      </c>
      <c r="R24" t="s">
        <v>139</v>
      </c>
      <c r="S24" s="2">
        <v>46160</v>
      </c>
      <c r="T24" s="2">
        <v>46161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65</v>
      </c>
      <c r="B25" t="s">
        <v>151</v>
      </c>
      <c r="C25" t="s">
        <v>144</v>
      </c>
      <c r="D25" t="s">
        <v>114</v>
      </c>
      <c r="E25" t="s">
        <v>52</v>
      </c>
      <c r="F25" s="2">
        <v>46184</v>
      </c>
      <c r="G25" s="2">
        <v>46184</v>
      </c>
      <c r="H25" s="3">
        <v>1</v>
      </c>
      <c r="I25" s="2">
        <v>46184</v>
      </c>
      <c r="J25" t="s">
        <v>53</v>
      </c>
      <c r="K25">
        <v>64</v>
      </c>
      <c r="M25" t="s">
        <v>152</v>
      </c>
      <c r="N25" s="2">
        <v>46184</v>
      </c>
      <c r="P25" t="s">
        <v>76</v>
      </c>
      <c r="Q25" t="s">
        <v>55</v>
      </c>
      <c r="R25" t="s">
        <v>139</v>
      </c>
      <c r="S25" s="2">
        <v>46162</v>
      </c>
      <c r="T25" s="2">
        <v>46162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</row>
    <row r="26" spans="1:39" x14ac:dyDescent="0.25">
      <c r="A26">
        <v>77</v>
      </c>
      <c r="B26" t="s">
        <v>158</v>
      </c>
      <c r="C26" t="s">
        <v>159</v>
      </c>
      <c r="D26" t="s">
        <v>160</v>
      </c>
      <c r="E26" t="s">
        <v>161</v>
      </c>
      <c r="F26" s="2">
        <v>46184</v>
      </c>
      <c r="G26" s="2">
        <v>46195</v>
      </c>
      <c r="H26" s="3">
        <v>1</v>
      </c>
      <c r="I26" s="2">
        <v>46195</v>
      </c>
      <c r="J26" t="s">
        <v>53</v>
      </c>
      <c r="M26" t="s">
        <v>156</v>
      </c>
      <c r="N26" s="2">
        <v>46175</v>
      </c>
      <c r="P26" t="s">
        <v>76</v>
      </c>
      <c r="Q26" t="s">
        <v>55</v>
      </c>
      <c r="R26" t="s">
        <v>157</v>
      </c>
      <c r="S26" s="2">
        <v>46156</v>
      </c>
      <c r="T26" s="2">
        <v>46163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78</v>
      </c>
      <c r="B27" t="s">
        <v>162</v>
      </c>
      <c r="C27" t="s">
        <v>163</v>
      </c>
      <c r="D27" t="s">
        <v>100</v>
      </c>
      <c r="E27" t="s">
        <v>115</v>
      </c>
      <c r="F27" s="2">
        <v>46184</v>
      </c>
      <c r="G27" s="2">
        <v>46185</v>
      </c>
      <c r="H27" s="3">
        <v>1</v>
      </c>
      <c r="I27" s="2">
        <v>46185</v>
      </c>
      <c r="J27" t="s">
        <v>53</v>
      </c>
      <c r="K27" t="s">
        <v>164</v>
      </c>
      <c r="L27" t="s">
        <v>165</v>
      </c>
      <c r="M27" t="s">
        <v>156</v>
      </c>
      <c r="N27" s="2">
        <v>46169</v>
      </c>
      <c r="P27" t="s">
        <v>76</v>
      </c>
      <c r="Q27" t="s">
        <v>55</v>
      </c>
      <c r="R27" t="s">
        <v>157</v>
      </c>
      <c r="S27" s="2">
        <v>46156</v>
      </c>
      <c r="T27" s="2">
        <v>46157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</row>
    <row r="28" spans="1:39" x14ac:dyDescent="0.25">
      <c r="A28">
        <v>79</v>
      </c>
      <c r="B28" t="s">
        <v>166</v>
      </c>
      <c r="C28" t="s">
        <v>163</v>
      </c>
      <c r="D28" t="s">
        <v>104</v>
      </c>
      <c r="E28" t="s">
        <v>167</v>
      </c>
      <c r="F28" s="2">
        <v>46185</v>
      </c>
      <c r="G28" s="2">
        <v>46190</v>
      </c>
      <c r="H28" s="3">
        <v>1</v>
      </c>
      <c r="I28" s="2">
        <v>46190</v>
      </c>
      <c r="J28" t="s">
        <v>53</v>
      </c>
      <c r="K28">
        <v>78</v>
      </c>
      <c r="L28">
        <v>80</v>
      </c>
      <c r="M28" t="s">
        <v>134</v>
      </c>
      <c r="N28" s="2">
        <v>46170</v>
      </c>
      <c r="P28" t="s">
        <v>73</v>
      </c>
      <c r="Q28" t="s">
        <v>55</v>
      </c>
      <c r="R28" t="s">
        <v>157</v>
      </c>
      <c r="S28" s="2">
        <v>46160</v>
      </c>
      <c r="T28" s="2">
        <v>46160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80</v>
      </c>
      <c r="B29" t="s">
        <v>168</v>
      </c>
      <c r="C29" t="s">
        <v>163</v>
      </c>
      <c r="D29" t="s">
        <v>108</v>
      </c>
      <c r="E29" t="s">
        <v>115</v>
      </c>
      <c r="F29" s="2">
        <v>46191</v>
      </c>
      <c r="G29" s="2">
        <v>46192</v>
      </c>
      <c r="H29" s="3">
        <v>1</v>
      </c>
      <c r="I29" s="2">
        <v>46192</v>
      </c>
      <c r="J29" t="s">
        <v>53</v>
      </c>
      <c r="K29">
        <v>79</v>
      </c>
      <c r="L29" t="s">
        <v>169</v>
      </c>
      <c r="M29" t="s">
        <v>117</v>
      </c>
      <c r="N29" s="2">
        <v>46174</v>
      </c>
      <c r="P29" t="s">
        <v>73</v>
      </c>
      <c r="Q29" t="s">
        <v>55</v>
      </c>
      <c r="R29" t="s">
        <v>157</v>
      </c>
      <c r="S29" s="2">
        <v>46161</v>
      </c>
      <c r="T29" s="2">
        <v>46162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81</v>
      </c>
      <c r="B30" t="s">
        <v>170</v>
      </c>
      <c r="C30" t="s">
        <v>163</v>
      </c>
      <c r="D30" t="s">
        <v>114</v>
      </c>
      <c r="E30" t="s">
        <v>115</v>
      </c>
      <c r="F30" s="2">
        <v>46192</v>
      </c>
      <c r="G30" s="2">
        <v>46195</v>
      </c>
      <c r="H30" s="3">
        <v>1</v>
      </c>
      <c r="I30" s="2">
        <v>46195</v>
      </c>
      <c r="J30" t="s">
        <v>53</v>
      </c>
      <c r="K30">
        <v>80</v>
      </c>
      <c r="M30" t="s">
        <v>171</v>
      </c>
      <c r="N30" s="2">
        <v>46175</v>
      </c>
      <c r="P30" t="s">
        <v>73</v>
      </c>
      <c r="Q30" t="s">
        <v>55</v>
      </c>
      <c r="R30" t="s">
        <v>157</v>
      </c>
      <c r="S30" s="2">
        <v>46163</v>
      </c>
      <c r="T30" s="2">
        <v>46163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</row>
    <row r="31" spans="1:39" x14ac:dyDescent="0.25">
      <c r="A31">
        <v>83</v>
      </c>
      <c r="B31" t="s">
        <v>175</v>
      </c>
      <c r="C31" t="s">
        <v>176</v>
      </c>
      <c r="D31" t="s">
        <v>100</v>
      </c>
      <c r="E31" t="s">
        <v>101</v>
      </c>
      <c r="F31" s="2">
        <v>46182</v>
      </c>
      <c r="G31" s="2">
        <v>46185</v>
      </c>
      <c r="H31" s="3">
        <v>1</v>
      </c>
      <c r="I31" s="2">
        <v>46185</v>
      </c>
      <c r="J31" t="s">
        <v>53</v>
      </c>
      <c r="K31" t="s">
        <v>177</v>
      </c>
      <c r="L31">
        <v>84</v>
      </c>
      <c r="M31" t="s">
        <v>171</v>
      </c>
      <c r="N31" s="2">
        <v>46177</v>
      </c>
      <c r="P31" t="s">
        <v>76</v>
      </c>
      <c r="Q31" t="s">
        <v>55</v>
      </c>
      <c r="R31" t="s">
        <v>157</v>
      </c>
      <c r="S31" s="2">
        <v>46168</v>
      </c>
      <c r="T31" s="2">
        <v>46170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</row>
    <row r="32" spans="1:39" x14ac:dyDescent="0.25">
      <c r="A32">
        <v>88</v>
      </c>
      <c r="B32" t="s">
        <v>187</v>
      </c>
      <c r="C32" t="s">
        <v>188</v>
      </c>
      <c r="D32" t="s">
        <v>100</v>
      </c>
      <c r="E32" t="s">
        <v>167</v>
      </c>
      <c r="F32" s="2">
        <v>46203</v>
      </c>
      <c r="G32" s="2">
        <v>46206</v>
      </c>
      <c r="H32" s="3">
        <v>1</v>
      </c>
      <c r="I32" s="2">
        <v>46206</v>
      </c>
      <c r="J32" t="s">
        <v>53</v>
      </c>
      <c r="K32">
        <v>245</v>
      </c>
      <c r="L32">
        <v>89</v>
      </c>
      <c r="M32" t="s">
        <v>186</v>
      </c>
      <c r="N32" s="2">
        <v>46197</v>
      </c>
      <c r="P32" t="s">
        <v>67</v>
      </c>
      <c r="Q32" t="s">
        <v>55</v>
      </c>
      <c r="R32" t="s">
        <v>157</v>
      </c>
      <c r="S32" s="2">
        <v>46183</v>
      </c>
      <c r="T32" s="2">
        <v>46189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</row>
    <row r="33" spans="1:39" x14ac:dyDescent="0.25">
      <c r="A33">
        <v>93</v>
      </c>
      <c r="B33" t="s">
        <v>200</v>
      </c>
      <c r="C33" t="s">
        <v>201</v>
      </c>
      <c r="D33" t="s">
        <v>100</v>
      </c>
      <c r="E33" t="s">
        <v>167</v>
      </c>
      <c r="F33" s="2">
        <v>46203</v>
      </c>
      <c r="G33" s="2">
        <v>46206</v>
      </c>
      <c r="H33" s="3">
        <v>1</v>
      </c>
      <c r="I33" s="2">
        <v>46206</v>
      </c>
      <c r="J33" t="s">
        <v>53</v>
      </c>
      <c r="K33">
        <v>245</v>
      </c>
      <c r="L33">
        <v>94</v>
      </c>
      <c r="M33" t="s">
        <v>186</v>
      </c>
      <c r="N33" s="2">
        <v>46197</v>
      </c>
      <c r="P33" t="s">
        <v>67</v>
      </c>
      <c r="Q33" t="s">
        <v>55</v>
      </c>
      <c r="R33" t="s">
        <v>157</v>
      </c>
      <c r="S33" s="2">
        <v>46183</v>
      </c>
      <c r="T33" s="2">
        <v>46189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  <row r="34" spans="1:39" x14ac:dyDescent="0.25">
      <c r="A34">
        <v>98</v>
      </c>
      <c r="B34" t="s">
        <v>207</v>
      </c>
      <c r="C34" t="s">
        <v>208</v>
      </c>
      <c r="D34" t="s">
        <v>100</v>
      </c>
      <c r="E34" t="s">
        <v>167</v>
      </c>
      <c r="F34" s="2">
        <v>46203</v>
      </c>
      <c r="G34" s="2">
        <v>46206</v>
      </c>
      <c r="H34" s="3">
        <v>1</v>
      </c>
      <c r="I34" s="2">
        <v>46206</v>
      </c>
      <c r="J34" t="s">
        <v>53</v>
      </c>
      <c r="K34">
        <v>245</v>
      </c>
      <c r="L34">
        <v>99</v>
      </c>
      <c r="M34" t="s">
        <v>186</v>
      </c>
      <c r="N34" s="2">
        <v>46197</v>
      </c>
      <c r="P34" t="s">
        <v>67</v>
      </c>
      <c r="Q34" t="s">
        <v>55</v>
      </c>
      <c r="R34" t="s">
        <v>157</v>
      </c>
      <c r="S34" s="2">
        <v>46183</v>
      </c>
      <c r="T34" s="2">
        <v>46189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</row>
    <row r="35" spans="1:39" x14ac:dyDescent="0.25">
      <c r="A35">
        <v>103</v>
      </c>
      <c r="B35" t="s">
        <v>214</v>
      </c>
      <c r="C35" t="s">
        <v>215</v>
      </c>
      <c r="D35" t="s">
        <v>100</v>
      </c>
      <c r="E35" t="s">
        <v>167</v>
      </c>
      <c r="F35" s="2">
        <v>46203</v>
      </c>
      <c r="G35" s="2">
        <v>46206</v>
      </c>
      <c r="H35" s="3">
        <v>1</v>
      </c>
      <c r="I35" s="2">
        <v>46206</v>
      </c>
      <c r="J35" t="s">
        <v>53</v>
      </c>
      <c r="K35">
        <v>245</v>
      </c>
      <c r="L35">
        <v>104</v>
      </c>
      <c r="M35" t="s">
        <v>186</v>
      </c>
      <c r="N35" s="2">
        <v>46197</v>
      </c>
      <c r="P35" t="s">
        <v>67</v>
      </c>
      <c r="Q35" t="s">
        <v>55</v>
      </c>
      <c r="R35" t="s">
        <v>157</v>
      </c>
      <c r="S35" s="2">
        <v>46183</v>
      </c>
      <c r="T35" s="2">
        <v>46189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</row>
    <row r="36" spans="1:39" x14ac:dyDescent="0.25">
      <c r="A36">
        <v>107</v>
      </c>
      <c r="B36" t="s">
        <v>219</v>
      </c>
      <c r="C36" t="s">
        <v>159</v>
      </c>
      <c r="D36" t="s">
        <v>220</v>
      </c>
      <c r="E36" t="s">
        <v>185</v>
      </c>
      <c r="F36" s="2">
        <v>46176</v>
      </c>
      <c r="G36" s="2">
        <v>46191</v>
      </c>
      <c r="H36" s="3">
        <v>1</v>
      </c>
      <c r="I36" s="2">
        <v>46191</v>
      </c>
      <c r="J36" t="s">
        <v>53</v>
      </c>
      <c r="M36" t="s">
        <v>221</v>
      </c>
      <c r="N36" s="2">
        <v>46191</v>
      </c>
      <c r="P36" t="s">
        <v>118</v>
      </c>
      <c r="Q36" t="s">
        <v>55</v>
      </c>
      <c r="R36" t="s">
        <v>157</v>
      </c>
      <c r="S36" s="2">
        <v>46163</v>
      </c>
      <c r="T36" s="2">
        <v>46178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108</v>
      </c>
      <c r="B37" t="s">
        <v>222</v>
      </c>
      <c r="C37" t="s">
        <v>223</v>
      </c>
      <c r="D37" t="s">
        <v>100</v>
      </c>
      <c r="E37" t="s">
        <v>224</v>
      </c>
      <c r="F37" s="2">
        <v>46176</v>
      </c>
      <c r="G37" s="2">
        <v>46185</v>
      </c>
      <c r="H37" s="3">
        <v>1</v>
      </c>
      <c r="I37" s="2">
        <v>46185</v>
      </c>
      <c r="J37" t="s">
        <v>53</v>
      </c>
      <c r="K37">
        <v>129</v>
      </c>
      <c r="L37">
        <v>109</v>
      </c>
      <c r="M37" t="s">
        <v>221</v>
      </c>
      <c r="N37" s="2">
        <v>46185</v>
      </c>
      <c r="P37" t="s">
        <v>118</v>
      </c>
      <c r="Q37" t="s">
        <v>55</v>
      </c>
      <c r="R37" t="s">
        <v>157</v>
      </c>
      <c r="S37" s="2">
        <v>46163</v>
      </c>
      <c r="T37" s="2">
        <v>46174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</row>
    <row r="38" spans="1:39" x14ac:dyDescent="0.25">
      <c r="A38">
        <v>109</v>
      </c>
      <c r="B38" t="s">
        <v>225</v>
      </c>
      <c r="C38" t="s">
        <v>223</v>
      </c>
      <c r="D38" t="s">
        <v>104</v>
      </c>
      <c r="E38" t="s">
        <v>52</v>
      </c>
      <c r="F38" s="2">
        <v>46188</v>
      </c>
      <c r="G38" s="2">
        <v>46188</v>
      </c>
      <c r="H38" s="3">
        <v>1</v>
      </c>
      <c r="I38" s="2">
        <v>46188</v>
      </c>
      <c r="J38" t="s">
        <v>53</v>
      </c>
      <c r="K38">
        <v>108</v>
      </c>
      <c r="L38">
        <v>110</v>
      </c>
      <c r="M38" t="s">
        <v>226</v>
      </c>
      <c r="N38" s="2">
        <v>46188</v>
      </c>
      <c r="P38" t="s">
        <v>73</v>
      </c>
      <c r="Q38" t="s">
        <v>55</v>
      </c>
      <c r="R38" t="s">
        <v>157</v>
      </c>
      <c r="S38" s="2">
        <v>46175</v>
      </c>
      <c r="T38" s="2">
        <v>46175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110</v>
      </c>
      <c r="B39" t="s">
        <v>227</v>
      </c>
      <c r="C39" t="s">
        <v>223</v>
      </c>
      <c r="D39" t="s">
        <v>108</v>
      </c>
      <c r="E39" t="s">
        <v>115</v>
      </c>
      <c r="F39" s="2">
        <v>46189</v>
      </c>
      <c r="G39" s="2">
        <v>46190</v>
      </c>
      <c r="H39" s="3">
        <v>1</v>
      </c>
      <c r="I39" s="2">
        <v>46190</v>
      </c>
      <c r="J39" t="s">
        <v>53</v>
      </c>
      <c r="K39">
        <v>109</v>
      </c>
      <c r="L39">
        <v>111</v>
      </c>
      <c r="M39" t="s">
        <v>228</v>
      </c>
      <c r="N39" s="2">
        <v>46190</v>
      </c>
      <c r="P39" t="s">
        <v>73</v>
      </c>
      <c r="Q39" t="s">
        <v>55</v>
      </c>
      <c r="R39" t="s">
        <v>157</v>
      </c>
      <c r="S39" s="2">
        <v>46176</v>
      </c>
      <c r="T39" s="2">
        <v>46177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111</v>
      </c>
      <c r="B40" t="s">
        <v>229</v>
      </c>
      <c r="C40" t="s">
        <v>223</v>
      </c>
      <c r="D40" t="s">
        <v>114</v>
      </c>
      <c r="E40" t="s">
        <v>52</v>
      </c>
      <c r="F40" s="2">
        <v>46191</v>
      </c>
      <c r="G40" s="2">
        <v>46191</v>
      </c>
      <c r="H40" s="3">
        <v>1</v>
      </c>
      <c r="I40" s="2">
        <v>46191</v>
      </c>
      <c r="J40" t="s">
        <v>53</v>
      </c>
      <c r="K40">
        <v>110</v>
      </c>
      <c r="M40" t="s">
        <v>186</v>
      </c>
      <c r="N40" s="2">
        <v>46191</v>
      </c>
      <c r="P40" t="s">
        <v>73</v>
      </c>
      <c r="Q40" t="s">
        <v>55</v>
      </c>
      <c r="R40" t="s">
        <v>157</v>
      </c>
      <c r="S40" s="2">
        <v>46178</v>
      </c>
      <c r="T40" s="2">
        <v>46178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</row>
    <row r="41" spans="1:39" x14ac:dyDescent="0.25">
      <c r="A41">
        <v>118</v>
      </c>
      <c r="B41" t="s">
        <v>233</v>
      </c>
      <c r="C41" t="s">
        <v>234</v>
      </c>
      <c r="D41" t="s">
        <v>100</v>
      </c>
      <c r="E41" t="s">
        <v>115</v>
      </c>
      <c r="F41" s="2">
        <v>46185</v>
      </c>
      <c r="G41" s="2">
        <v>46188</v>
      </c>
      <c r="H41" s="3">
        <v>1</v>
      </c>
      <c r="I41" s="2">
        <v>46188</v>
      </c>
      <c r="J41" t="s">
        <v>53</v>
      </c>
      <c r="K41">
        <v>129</v>
      </c>
      <c r="L41" t="s">
        <v>235</v>
      </c>
      <c r="M41" t="s">
        <v>221</v>
      </c>
      <c r="N41" s="2">
        <v>46182</v>
      </c>
      <c r="P41" t="s">
        <v>76</v>
      </c>
      <c r="Q41" t="s">
        <v>55</v>
      </c>
      <c r="R41" t="s">
        <v>157</v>
      </c>
      <c r="S41" s="2">
        <v>46163</v>
      </c>
      <c r="T41" s="2">
        <v>46169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</row>
    <row r="42" spans="1:39" x14ac:dyDescent="0.25">
      <c r="A42">
        <v>119</v>
      </c>
      <c r="B42" t="s">
        <v>236</v>
      </c>
      <c r="C42" t="s">
        <v>234</v>
      </c>
      <c r="D42" t="s">
        <v>104</v>
      </c>
      <c r="E42" t="s">
        <v>52</v>
      </c>
      <c r="F42" s="2">
        <v>46189</v>
      </c>
      <c r="G42" s="2">
        <v>46190</v>
      </c>
      <c r="H42" s="3">
        <v>1</v>
      </c>
      <c r="I42" s="2">
        <v>46190</v>
      </c>
      <c r="J42" t="s">
        <v>53</v>
      </c>
      <c r="K42">
        <v>118</v>
      </c>
      <c r="L42" t="s">
        <v>237</v>
      </c>
      <c r="M42" t="s">
        <v>182</v>
      </c>
      <c r="N42" s="2">
        <v>46183</v>
      </c>
      <c r="P42" t="s">
        <v>73</v>
      </c>
      <c r="Q42" t="s">
        <v>55</v>
      </c>
      <c r="R42" t="s">
        <v>157</v>
      </c>
      <c r="S42" s="2">
        <v>46170</v>
      </c>
      <c r="T42" s="2">
        <v>46170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123</v>
      </c>
      <c r="B43" t="s">
        <v>242</v>
      </c>
      <c r="C43" t="s">
        <v>243</v>
      </c>
      <c r="D43" t="s">
        <v>100</v>
      </c>
      <c r="E43" t="s">
        <v>115</v>
      </c>
      <c r="F43" s="2">
        <v>46185</v>
      </c>
      <c r="G43" s="2">
        <v>46188</v>
      </c>
      <c r="H43" s="3">
        <v>1</v>
      </c>
      <c r="I43" s="2">
        <v>46188</v>
      </c>
      <c r="J43" t="s">
        <v>53</v>
      </c>
      <c r="K43">
        <v>129</v>
      </c>
      <c r="L43" t="s">
        <v>244</v>
      </c>
      <c r="M43" t="s">
        <v>245</v>
      </c>
      <c r="N43" s="2">
        <v>46188</v>
      </c>
      <c r="P43" t="s">
        <v>76</v>
      </c>
      <c r="Q43" t="s">
        <v>55</v>
      </c>
      <c r="R43" t="s">
        <v>157</v>
      </c>
      <c r="S43" s="2">
        <v>46185</v>
      </c>
      <c r="T43" s="2">
        <v>46188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 x14ac:dyDescent="0.25">
      <c r="A44">
        <v>124</v>
      </c>
      <c r="B44" t="s">
        <v>246</v>
      </c>
      <c r="C44" t="s">
        <v>243</v>
      </c>
      <c r="D44" t="s">
        <v>104</v>
      </c>
      <c r="E44" t="s">
        <v>52</v>
      </c>
      <c r="F44" s="2">
        <v>46190</v>
      </c>
      <c r="G44" s="2">
        <v>46190</v>
      </c>
      <c r="H44" s="3">
        <v>1</v>
      </c>
      <c r="I44" s="2">
        <v>46190</v>
      </c>
      <c r="J44" t="s">
        <v>53</v>
      </c>
      <c r="K44">
        <v>123</v>
      </c>
      <c r="L44" t="s">
        <v>247</v>
      </c>
      <c r="M44" t="s">
        <v>248</v>
      </c>
      <c r="N44" s="2">
        <v>46190</v>
      </c>
      <c r="P44" t="s">
        <v>73</v>
      </c>
      <c r="Q44" t="s">
        <v>55</v>
      </c>
      <c r="R44" t="s">
        <v>157</v>
      </c>
      <c r="S44" s="2">
        <v>46190</v>
      </c>
      <c r="T44" s="2">
        <v>46190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127</v>
      </c>
      <c r="B45" t="s">
        <v>252</v>
      </c>
      <c r="C45" t="s">
        <v>159</v>
      </c>
      <c r="D45" t="s">
        <v>253</v>
      </c>
      <c r="E45" t="s">
        <v>254</v>
      </c>
      <c r="F45" s="2">
        <v>46160</v>
      </c>
      <c r="G45" s="2">
        <v>46170</v>
      </c>
      <c r="H45" s="3">
        <v>1</v>
      </c>
      <c r="I45" s="2">
        <v>46170</v>
      </c>
      <c r="J45" t="s">
        <v>53</v>
      </c>
      <c r="M45" t="s">
        <v>156</v>
      </c>
      <c r="N45" s="2">
        <v>46178</v>
      </c>
      <c r="P45" t="s">
        <v>135</v>
      </c>
      <c r="Q45" t="s">
        <v>55</v>
      </c>
      <c r="R45" t="s">
        <v>157</v>
      </c>
      <c r="S45" s="2">
        <v>46156</v>
      </c>
      <c r="T45" s="2">
        <v>46167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128</v>
      </c>
      <c r="B46" t="s">
        <v>255</v>
      </c>
      <c r="C46" t="s">
        <v>256</v>
      </c>
      <c r="D46" t="s">
        <v>100</v>
      </c>
      <c r="E46" t="s">
        <v>257</v>
      </c>
      <c r="F46" s="2">
        <v>46160</v>
      </c>
      <c r="G46" s="2">
        <v>46164</v>
      </c>
      <c r="H46" s="3">
        <v>1</v>
      </c>
      <c r="I46" s="2">
        <v>46164</v>
      </c>
      <c r="J46" t="s">
        <v>53</v>
      </c>
      <c r="K46" t="s">
        <v>164</v>
      </c>
      <c r="L46" t="s">
        <v>258</v>
      </c>
      <c r="M46" t="s">
        <v>156</v>
      </c>
      <c r="N46" s="2">
        <v>46174</v>
      </c>
      <c r="P46" t="s">
        <v>135</v>
      </c>
      <c r="Q46" t="s">
        <v>55</v>
      </c>
      <c r="R46" t="s">
        <v>157</v>
      </c>
      <c r="S46" s="2">
        <v>46156</v>
      </c>
      <c r="T46" s="2">
        <v>46161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</row>
    <row r="47" spans="1:39" x14ac:dyDescent="0.25">
      <c r="A47">
        <v>129</v>
      </c>
      <c r="B47" t="s">
        <v>259</v>
      </c>
      <c r="C47" t="s">
        <v>256</v>
      </c>
      <c r="D47" t="s">
        <v>104</v>
      </c>
      <c r="E47" t="s">
        <v>52</v>
      </c>
      <c r="F47" s="2">
        <v>46167</v>
      </c>
      <c r="G47" s="2">
        <v>46167</v>
      </c>
      <c r="H47" s="3">
        <v>1</v>
      </c>
      <c r="I47" s="2">
        <v>46167</v>
      </c>
      <c r="J47" t="s">
        <v>53</v>
      </c>
      <c r="K47">
        <v>128</v>
      </c>
      <c r="L47" t="s">
        <v>260</v>
      </c>
      <c r="M47" t="s">
        <v>171</v>
      </c>
      <c r="N47" s="2">
        <v>46175</v>
      </c>
      <c r="P47" t="s">
        <v>118</v>
      </c>
      <c r="Q47" t="s">
        <v>55</v>
      </c>
      <c r="R47" t="s">
        <v>157</v>
      </c>
      <c r="S47" s="2">
        <v>46162</v>
      </c>
      <c r="T47" s="2">
        <v>46162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130</v>
      </c>
      <c r="B48" t="s">
        <v>261</v>
      </c>
      <c r="C48" t="s">
        <v>256</v>
      </c>
      <c r="D48" t="s">
        <v>108</v>
      </c>
      <c r="E48" t="s">
        <v>115</v>
      </c>
      <c r="F48" s="2">
        <v>46168</v>
      </c>
      <c r="G48" s="2">
        <v>46169</v>
      </c>
      <c r="H48" s="3">
        <v>1</v>
      </c>
      <c r="I48" s="2">
        <v>46169</v>
      </c>
      <c r="J48" t="s">
        <v>53</v>
      </c>
      <c r="K48">
        <v>129</v>
      </c>
      <c r="L48" t="s">
        <v>262</v>
      </c>
      <c r="M48" t="s">
        <v>221</v>
      </c>
      <c r="N48" s="2">
        <v>46177</v>
      </c>
      <c r="P48" t="s">
        <v>118</v>
      </c>
      <c r="Q48" t="s">
        <v>55</v>
      </c>
      <c r="R48" t="s">
        <v>157</v>
      </c>
      <c r="S48" s="2">
        <v>46163</v>
      </c>
      <c r="T48" s="2">
        <v>46164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131</v>
      </c>
      <c r="B49" t="s">
        <v>263</v>
      </c>
      <c r="C49" t="s">
        <v>256</v>
      </c>
      <c r="D49" t="s">
        <v>114</v>
      </c>
      <c r="E49" t="s">
        <v>52</v>
      </c>
      <c r="F49" s="2">
        <v>46170</v>
      </c>
      <c r="G49" s="2">
        <v>46170</v>
      </c>
      <c r="H49" s="3">
        <v>1</v>
      </c>
      <c r="I49" s="2">
        <v>46170</v>
      </c>
      <c r="J49" t="s">
        <v>53</v>
      </c>
      <c r="K49">
        <v>130</v>
      </c>
      <c r="M49" t="s">
        <v>66</v>
      </c>
      <c r="N49" s="2">
        <v>46178</v>
      </c>
      <c r="P49" t="s">
        <v>76</v>
      </c>
      <c r="Q49" t="s">
        <v>55</v>
      </c>
      <c r="R49" t="s">
        <v>157</v>
      </c>
      <c r="S49" s="2">
        <v>46167</v>
      </c>
      <c r="T49" s="2">
        <v>46167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</row>
    <row r="50" spans="1:39" x14ac:dyDescent="0.25">
      <c r="A50">
        <v>133</v>
      </c>
      <c r="B50" t="s">
        <v>266</v>
      </c>
      <c r="C50" t="s">
        <v>267</v>
      </c>
      <c r="D50" t="s">
        <v>100</v>
      </c>
      <c r="E50" t="s">
        <v>101</v>
      </c>
      <c r="F50" s="2">
        <v>46190</v>
      </c>
      <c r="G50" s="2">
        <v>46192</v>
      </c>
      <c r="H50" s="3">
        <v>1</v>
      </c>
      <c r="I50" s="2">
        <v>46192</v>
      </c>
      <c r="J50" t="s">
        <v>53</v>
      </c>
      <c r="K50" t="s">
        <v>268</v>
      </c>
      <c r="L50">
        <v>134</v>
      </c>
      <c r="M50" t="s">
        <v>182</v>
      </c>
      <c r="N50" s="2">
        <v>46185</v>
      </c>
      <c r="P50" t="s">
        <v>73</v>
      </c>
      <c r="Q50" t="s">
        <v>55</v>
      </c>
      <c r="R50" t="s">
        <v>157</v>
      </c>
      <c r="S50" s="2">
        <v>46170</v>
      </c>
      <c r="T50" s="2">
        <v>46174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</row>
    <row r="51" spans="1:39" x14ac:dyDescent="0.25">
      <c r="A51">
        <v>138</v>
      </c>
      <c r="B51" t="s">
        <v>274</v>
      </c>
      <c r="C51" t="s">
        <v>275</v>
      </c>
      <c r="D51" t="s">
        <v>100</v>
      </c>
      <c r="E51" t="s">
        <v>101</v>
      </c>
      <c r="F51" s="2">
        <v>46190</v>
      </c>
      <c r="G51" s="2">
        <v>46192</v>
      </c>
      <c r="H51" s="3">
        <v>1</v>
      </c>
      <c r="I51" s="2">
        <v>46192</v>
      </c>
      <c r="J51" t="s">
        <v>53</v>
      </c>
      <c r="K51" t="s">
        <v>268</v>
      </c>
      <c r="L51">
        <v>139</v>
      </c>
      <c r="M51" t="s">
        <v>182</v>
      </c>
      <c r="N51" s="2">
        <v>46185</v>
      </c>
      <c r="P51" t="s">
        <v>73</v>
      </c>
      <c r="Q51" t="s">
        <v>55</v>
      </c>
      <c r="R51" t="s">
        <v>157</v>
      </c>
      <c r="S51" s="2">
        <v>46170</v>
      </c>
      <c r="T51" s="2">
        <v>46174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</row>
    <row r="52" spans="1:39" x14ac:dyDescent="0.25">
      <c r="A52">
        <v>143</v>
      </c>
      <c r="B52" t="s">
        <v>281</v>
      </c>
      <c r="C52" t="s">
        <v>282</v>
      </c>
      <c r="D52" t="s">
        <v>100</v>
      </c>
      <c r="E52" t="s">
        <v>101</v>
      </c>
      <c r="F52" s="2">
        <v>46190</v>
      </c>
      <c r="G52" s="2">
        <v>46192</v>
      </c>
      <c r="H52" s="3">
        <v>1</v>
      </c>
      <c r="I52" s="2">
        <v>46192</v>
      </c>
      <c r="J52" t="s">
        <v>53</v>
      </c>
      <c r="K52" t="s">
        <v>268</v>
      </c>
      <c r="L52">
        <v>144</v>
      </c>
      <c r="M52" t="s">
        <v>248</v>
      </c>
      <c r="N52" s="2">
        <v>46192</v>
      </c>
      <c r="P52" t="s">
        <v>73</v>
      </c>
      <c r="Q52" t="s">
        <v>55</v>
      </c>
      <c r="R52" t="s">
        <v>157</v>
      </c>
      <c r="S52" s="2">
        <v>46190</v>
      </c>
      <c r="T52" s="2">
        <v>46192</v>
      </c>
      <c r="AB52">
        <v>1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</row>
    <row r="53" spans="1:39" x14ac:dyDescent="0.25">
      <c r="A53">
        <v>159</v>
      </c>
      <c r="B53" t="s">
        <v>295</v>
      </c>
      <c r="C53" t="s">
        <v>296</v>
      </c>
      <c r="D53" t="s">
        <v>100</v>
      </c>
      <c r="E53" t="s">
        <v>297</v>
      </c>
      <c r="F53" s="2">
        <v>46188</v>
      </c>
      <c r="G53" s="2">
        <v>46196</v>
      </c>
      <c r="H53" s="3">
        <v>1</v>
      </c>
      <c r="I53" s="2">
        <v>46196</v>
      </c>
      <c r="J53" t="s">
        <v>53</v>
      </c>
      <c r="L53">
        <v>160</v>
      </c>
      <c r="M53" t="s">
        <v>171</v>
      </c>
      <c r="N53" s="2">
        <v>46177</v>
      </c>
      <c r="P53" t="s">
        <v>73</v>
      </c>
      <c r="Q53" t="s">
        <v>55</v>
      </c>
      <c r="R53" t="s">
        <v>290</v>
      </c>
      <c r="S53" s="2">
        <v>46162</v>
      </c>
      <c r="T53" s="2">
        <v>46164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</row>
    <row r="54" spans="1:39" x14ac:dyDescent="0.25">
      <c r="A54">
        <v>179</v>
      </c>
      <c r="B54" t="s">
        <v>305</v>
      </c>
      <c r="C54" t="s">
        <v>306</v>
      </c>
      <c r="D54" t="s">
        <v>100</v>
      </c>
      <c r="E54" t="s">
        <v>115</v>
      </c>
      <c r="F54" s="2">
        <v>46195</v>
      </c>
      <c r="G54" s="2">
        <v>46198</v>
      </c>
      <c r="H54" s="3">
        <v>1</v>
      </c>
      <c r="I54" s="2">
        <v>46198</v>
      </c>
      <c r="J54" t="s">
        <v>53</v>
      </c>
      <c r="K54">
        <v>185</v>
      </c>
      <c r="L54">
        <v>180</v>
      </c>
      <c r="M54" t="s">
        <v>304</v>
      </c>
      <c r="N54" s="2">
        <v>46196</v>
      </c>
      <c r="P54" t="s">
        <v>179</v>
      </c>
      <c r="Q54" t="s">
        <v>55</v>
      </c>
      <c r="R54" t="s">
        <v>290</v>
      </c>
      <c r="S54" s="2">
        <v>46181</v>
      </c>
      <c r="T54" s="2">
        <v>46183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</row>
    <row r="55" spans="1:39" x14ac:dyDescent="0.25">
      <c r="A55">
        <v>184</v>
      </c>
      <c r="B55" t="s">
        <v>315</v>
      </c>
      <c r="C55" t="s">
        <v>316</v>
      </c>
      <c r="D55" t="s">
        <v>100</v>
      </c>
      <c r="E55" t="s">
        <v>101</v>
      </c>
      <c r="F55" s="2">
        <v>46202</v>
      </c>
      <c r="G55" s="2">
        <v>46204</v>
      </c>
      <c r="H55" s="3">
        <v>1</v>
      </c>
      <c r="I55" s="2">
        <v>46204</v>
      </c>
      <c r="J55" t="s">
        <v>53</v>
      </c>
      <c r="K55" t="s">
        <v>317</v>
      </c>
      <c r="L55" t="s">
        <v>318</v>
      </c>
      <c r="M55" t="s">
        <v>171</v>
      </c>
      <c r="N55" s="2">
        <v>46177</v>
      </c>
      <c r="P55" t="s">
        <v>314</v>
      </c>
      <c r="Q55" t="s">
        <v>55</v>
      </c>
      <c r="R55" t="s">
        <v>290</v>
      </c>
      <c r="S55" s="2">
        <v>46162</v>
      </c>
      <c r="T55" s="2">
        <v>46164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</row>
    <row r="56" spans="1:39" x14ac:dyDescent="0.25">
      <c r="A56">
        <v>189</v>
      </c>
      <c r="B56" t="s">
        <v>325</v>
      </c>
      <c r="C56" t="s">
        <v>326</v>
      </c>
      <c r="D56" t="s">
        <v>100</v>
      </c>
      <c r="E56" t="s">
        <v>101</v>
      </c>
      <c r="F56" s="2">
        <v>46181</v>
      </c>
      <c r="G56" s="2">
        <v>46185</v>
      </c>
      <c r="H56" s="3">
        <v>1</v>
      </c>
      <c r="I56" s="2">
        <v>46185</v>
      </c>
      <c r="J56" t="s">
        <v>53</v>
      </c>
      <c r="K56" t="s">
        <v>327</v>
      </c>
      <c r="L56">
        <v>190</v>
      </c>
      <c r="M56" t="s">
        <v>148</v>
      </c>
      <c r="N56" s="2">
        <v>46192</v>
      </c>
      <c r="P56" t="s">
        <v>76</v>
      </c>
      <c r="Q56" t="s">
        <v>55</v>
      </c>
      <c r="R56" t="s">
        <v>290</v>
      </c>
      <c r="S56" s="2">
        <v>46157</v>
      </c>
      <c r="T56" s="2">
        <v>46170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</row>
    <row r="57" spans="1:39" x14ac:dyDescent="0.25">
      <c r="A57">
        <v>199</v>
      </c>
      <c r="B57" t="s">
        <v>335</v>
      </c>
      <c r="C57" t="s">
        <v>336</v>
      </c>
      <c r="D57" t="s">
        <v>100</v>
      </c>
      <c r="E57" t="s">
        <v>167</v>
      </c>
      <c r="F57" s="2">
        <v>46196</v>
      </c>
      <c r="G57" s="2">
        <v>46199</v>
      </c>
      <c r="H57" s="3">
        <v>1</v>
      </c>
      <c r="I57" s="2">
        <v>46199</v>
      </c>
      <c r="J57" t="s">
        <v>53</v>
      </c>
      <c r="K57">
        <v>160</v>
      </c>
      <c r="L57">
        <v>200</v>
      </c>
      <c r="M57" t="s">
        <v>66</v>
      </c>
      <c r="N57" s="2">
        <v>46182</v>
      </c>
      <c r="P57" t="s">
        <v>179</v>
      </c>
      <c r="Q57" t="s">
        <v>55</v>
      </c>
      <c r="R57" t="s">
        <v>290</v>
      </c>
      <c r="S57" s="2">
        <v>46167</v>
      </c>
      <c r="T57" s="2">
        <v>46169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</row>
    <row r="58" spans="1:39" x14ac:dyDescent="0.25">
      <c r="A58">
        <v>204</v>
      </c>
      <c r="B58" t="s">
        <v>342</v>
      </c>
      <c r="C58" t="s">
        <v>343</v>
      </c>
      <c r="D58" t="s">
        <v>100</v>
      </c>
      <c r="E58" t="s">
        <v>167</v>
      </c>
      <c r="F58" s="2">
        <v>46196</v>
      </c>
      <c r="G58" s="2">
        <v>46199</v>
      </c>
      <c r="H58" s="3">
        <v>1</v>
      </c>
      <c r="I58" s="2">
        <v>46199</v>
      </c>
      <c r="J58" t="s">
        <v>53</v>
      </c>
      <c r="K58">
        <v>160</v>
      </c>
      <c r="L58">
        <v>205</v>
      </c>
      <c r="M58" t="s">
        <v>66</v>
      </c>
      <c r="N58" s="2">
        <v>46182</v>
      </c>
      <c r="P58" t="s">
        <v>179</v>
      </c>
      <c r="Q58" t="s">
        <v>55</v>
      </c>
      <c r="R58" t="s">
        <v>290</v>
      </c>
      <c r="S58" s="2">
        <v>46167</v>
      </c>
      <c r="T58" s="2">
        <v>46169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</row>
    <row r="59" spans="1:39" x14ac:dyDescent="0.25">
      <c r="A59">
        <v>229</v>
      </c>
      <c r="B59" t="s">
        <v>356</v>
      </c>
      <c r="C59" t="s">
        <v>357</v>
      </c>
      <c r="D59" t="s">
        <v>100</v>
      </c>
      <c r="E59" t="s">
        <v>101</v>
      </c>
      <c r="F59" s="2">
        <v>46202</v>
      </c>
      <c r="G59" s="2">
        <v>46204</v>
      </c>
      <c r="H59" s="3">
        <v>1</v>
      </c>
      <c r="I59" s="2">
        <v>46204</v>
      </c>
      <c r="J59" t="s">
        <v>53</v>
      </c>
      <c r="K59" t="s">
        <v>358</v>
      </c>
      <c r="L59">
        <v>230</v>
      </c>
      <c r="M59" t="s">
        <v>66</v>
      </c>
      <c r="N59" s="2">
        <v>46182</v>
      </c>
      <c r="P59" t="s">
        <v>179</v>
      </c>
      <c r="Q59" t="s">
        <v>55</v>
      </c>
      <c r="R59" t="s">
        <v>290</v>
      </c>
      <c r="S59" s="2">
        <v>46167</v>
      </c>
      <c r="T59" s="2">
        <v>46169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</row>
    <row r="60" spans="1:39" x14ac:dyDescent="0.25">
      <c r="A60">
        <v>250</v>
      </c>
      <c r="B60" t="s">
        <v>380</v>
      </c>
      <c r="C60" t="s">
        <v>381</v>
      </c>
      <c r="D60" t="s">
        <v>100</v>
      </c>
      <c r="E60" t="s">
        <v>101</v>
      </c>
      <c r="F60" s="2">
        <v>46209</v>
      </c>
      <c r="G60" s="2">
        <v>46211</v>
      </c>
      <c r="H60" s="3">
        <v>1</v>
      </c>
      <c r="I60" s="2">
        <v>46211</v>
      </c>
      <c r="J60" t="s">
        <v>53</v>
      </c>
      <c r="K60">
        <v>255</v>
      </c>
      <c r="L60">
        <v>251</v>
      </c>
      <c r="M60" t="s">
        <v>311</v>
      </c>
      <c r="N60" s="2">
        <v>46204</v>
      </c>
      <c r="P60" t="s">
        <v>67</v>
      </c>
      <c r="Q60" t="s">
        <v>55</v>
      </c>
      <c r="R60" t="s">
        <v>365</v>
      </c>
      <c r="S60" s="2">
        <v>46192</v>
      </c>
      <c r="T60" s="2">
        <v>46196</v>
      </c>
      <c r="AB60">
        <v>1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</row>
    <row r="61" spans="1:39" x14ac:dyDescent="0.25">
      <c r="A61">
        <v>260</v>
      </c>
      <c r="B61" t="s">
        <v>391</v>
      </c>
      <c r="C61" t="s">
        <v>392</v>
      </c>
      <c r="D61" t="s">
        <v>100</v>
      </c>
      <c r="E61" t="s">
        <v>115</v>
      </c>
      <c r="F61" s="2">
        <v>46191</v>
      </c>
      <c r="G61" s="2">
        <v>46192</v>
      </c>
      <c r="H61" s="3">
        <v>1</v>
      </c>
      <c r="I61" s="2">
        <v>46192</v>
      </c>
      <c r="J61" t="s">
        <v>53</v>
      </c>
      <c r="K61" t="s">
        <v>393</v>
      </c>
      <c r="L61" t="s">
        <v>394</v>
      </c>
      <c r="M61" t="s">
        <v>152</v>
      </c>
      <c r="N61" s="2">
        <v>46188</v>
      </c>
      <c r="P61" t="s">
        <v>73</v>
      </c>
      <c r="Q61" t="s">
        <v>55</v>
      </c>
      <c r="R61" t="s">
        <v>365</v>
      </c>
      <c r="S61" s="2">
        <v>46171</v>
      </c>
      <c r="T61" s="2">
        <v>46175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</row>
    <row r="62" spans="1:39" x14ac:dyDescent="0.25">
      <c r="A62">
        <v>265</v>
      </c>
      <c r="B62" t="s">
        <v>400</v>
      </c>
      <c r="C62" t="s">
        <v>401</v>
      </c>
      <c r="D62" t="s">
        <v>100</v>
      </c>
      <c r="E62" t="s">
        <v>101</v>
      </c>
      <c r="F62" s="2">
        <v>46203</v>
      </c>
      <c r="G62" s="2">
        <v>46205</v>
      </c>
      <c r="H62" s="3">
        <v>1</v>
      </c>
      <c r="I62" s="2">
        <v>46205</v>
      </c>
      <c r="J62" t="s">
        <v>53</v>
      </c>
      <c r="K62">
        <v>245</v>
      </c>
      <c r="L62">
        <v>266</v>
      </c>
      <c r="M62" t="s">
        <v>251</v>
      </c>
      <c r="N62" s="2">
        <v>46202</v>
      </c>
      <c r="P62" t="s">
        <v>67</v>
      </c>
      <c r="Q62" t="s">
        <v>55</v>
      </c>
      <c r="R62" t="s">
        <v>365</v>
      </c>
      <c r="S62" s="2">
        <v>46188</v>
      </c>
      <c r="T62" s="2">
        <v>46192</v>
      </c>
      <c r="AB62">
        <v>1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</row>
    <row r="63" spans="1:39" x14ac:dyDescent="0.25">
      <c r="A63">
        <v>270</v>
      </c>
      <c r="B63" t="s">
        <v>408</v>
      </c>
      <c r="C63" t="s">
        <v>409</v>
      </c>
      <c r="D63" t="s">
        <v>100</v>
      </c>
      <c r="E63" t="s">
        <v>101</v>
      </c>
      <c r="F63" s="2">
        <v>46209</v>
      </c>
      <c r="G63" s="2">
        <v>46211</v>
      </c>
      <c r="H63" s="3">
        <v>1</v>
      </c>
      <c r="I63" s="2">
        <v>46211</v>
      </c>
      <c r="J63" t="s">
        <v>53</v>
      </c>
      <c r="K63">
        <v>245</v>
      </c>
      <c r="L63">
        <v>271</v>
      </c>
      <c r="M63" t="s">
        <v>251</v>
      </c>
      <c r="N63" s="2">
        <v>46202</v>
      </c>
      <c r="P63" t="s">
        <v>67</v>
      </c>
      <c r="Q63" t="s">
        <v>55</v>
      </c>
      <c r="R63" t="s">
        <v>365</v>
      </c>
      <c r="S63" s="2">
        <v>46188</v>
      </c>
      <c r="T63" s="2">
        <v>46192</v>
      </c>
      <c r="AB63">
        <v>1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</row>
    <row r="64" spans="1:39" x14ac:dyDescent="0.25">
      <c r="A64">
        <v>275</v>
      </c>
      <c r="B64" t="s">
        <v>415</v>
      </c>
      <c r="C64" t="s">
        <v>416</v>
      </c>
      <c r="D64" t="s">
        <v>100</v>
      </c>
      <c r="E64" t="s">
        <v>101</v>
      </c>
      <c r="F64" s="2">
        <v>46209</v>
      </c>
      <c r="G64" s="2">
        <v>46211</v>
      </c>
      <c r="H64" s="3">
        <v>1</v>
      </c>
      <c r="I64" s="2">
        <v>46211</v>
      </c>
      <c r="J64" t="s">
        <v>53</v>
      </c>
      <c r="K64">
        <v>245</v>
      </c>
      <c r="L64">
        <v>276</v>
      </c>
      <c r="M64" t="s">
        <v>251</v>
      </c>
      <c r="N64" s="2">
        <v>46202</v>
      </c>
      <c r="P64" t="s">
        <v>67</v>
      </c>
      <c r="Q64" t="s">
        <v>55</v>
      </c>
      <c r="R64" t="s">
        <v>365</v>
      </c>
      <c r="S64" s="2">
        <v>46188</v>
      </c>
      <c r="T64" s="2">
        <v>46192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</row>
    <row r="65" spans="1:39" x14ac:dyDescent="0.25">
      <c r="A65">
        <v>280</v>
      </c>
      <c r="B65" t="s">
        <v>422</v>
      </c>
      <c r="C65" t="s">
        <v>423</v>
      </c>
      <c r="D65" t="s">
        <v>100</v>
      </c>
      <c r="E65" t="s">
        <v>101</v>
      </c>
      <c r="F65" s="2">
        <v>46209</v>
      </c>
      <c r="G65" s="2">
        <v>46211</v>
      </c>
      <c r="H65" s="3">
        <v>1</v>
      </c>
      <c r="I65" s="2">
        <v>46211</v>
      </c>
      <c r="J65" t="s">
        <v>53</v>
      </c>
      <c r="K65">
        <v>245</v>
      </c>
      <c r="L65">
        <v>281</v>
      </c>
      <c r="M65" t="s">
        <v>251</v>
      </c>
      <c r="N65" s="2">
        <v>46202</v>
      </c>
      <c r="P65" t="s">
        <v>67</v>
      </c>
      <c r="Q65" t="s">
        <v>55</v>
      </c>
      <c r="R65" t="s">
        <v>365</v>
      </c>
      <c r="S65" s="2">
        <v>46188</v>
      </c>
      <c r="T65" s="2">
        <v>46192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</row>
    <row r="66" spans="1:39" x14ac:dyDescent="0.25">
      <c r="A66">
        <v>290</v>
      </c>
      <c r="B66" t="s">
        <v>429</v>
      </c>
      <c r="C66" t="s">
        <v>430</v>
      </c>
      <c r="D66" t="s">
        <v>100</v>
      </c>
      <c r="E66" t="s">
        <v>167</v>
      </c>
      <c r="F66" s="2">
        <v>46206</v>
      </c>
      <c r="G66" s="2">
        <v>46211</v>
      </c>
      <c r="H66" s="3">
        <v>1</v>
      </c>
      <c r="I66" s="2">
        <v>46211</v>
      </c>
      <c r="J66" t="s">
        <v>53</v>
      </c>
      <c r="K66" t="s">
        <v>431</v>
      </c>
      <c r="L66">
        <v>291</v>
      </c>
      <c r="M66" t="s">
        <v>251</v>
      </c>
      <c r="N66" s="2">
        <v>46202</v>
      </c>
      <c r="P66" t="s">
        <v>67</v>
      </c>
      <c r="Q66" t="s">
        <v>55</v>
      </c>
      <c r="R66" t="s">
        <v>365</v>
      </c>
      <c r="S66" s="2">
        <v>46188</v>
      </c>
      <c r="T66" s="2">
        <v>46192</v>
      </c>
      <c r="AB66">
        <v>1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</row>
    <row r="67" spans="1:39" x14ac:dyDescent="0.25">
      <c r="A67">
        <v>306</v>
      </c>
      <c r="B67" t="s">
        <v>451</v>
      </c>
      <c r="C67" t="s">
        <v>452</v>
      </c>
      <c r="D67" t="s">
        <v>100</v>
      </c>
      <c r="E67" t="s">
        <v>101</v>
      </c>
      <c r="F67" s="2">
        <v>46175</v>
      </c>
      <c r="G67" s="2">
        <v>46181</v>
      </c>
      <c r="H67" s="3">
        <v>1</v>
      </c>
      <c r="I67" s="2">
        <v>46181</v>
      </c>
      <c r="J67" t="s">
        <v>53</v>
      </c>
      <c r="K67" t="s">
        <v>453</v>
      </c>
      <c r="L67" t="s">
        <v>454</v>
      </c>
      <c r="M67" t="s">
        <v>171</v>
      </c>
      <c r="N67" s="2">
        <v>46177</v>
      </c>
      <c r="P67" t="s">
        <v>118</v>
      </c>
      <c r="Q67" t="s">
        <v>55</v>
      </c>
      <c r="R67" t="s">
        <v>438</v>
      </c>
      <c r="S67" s="2">
        <v>46163</v>
      </c>
      <c r="T67" s="2">
        <v>46167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</row>
    <row r="68" spans="1:39" x14ac:dyDescent="0.25">
      <c r="A68">
        <v>307</v>
      </c>
      <c r="B68" t="s">
        <v>455</v>
      </c>
      <c r="C68" t="s">
        <v>452</v>
      </c>
      <c r="D68" t="s">
        <v>104</v>
      </c>
      <c r="E68" t="s">
        <v>115</v>
      </c>
      <c r="F68" s="2">
        <v>46182</v>
      </c>
      <c r="G68" s="2">
        <v>46183</v>
      </c>
      <c r="H68" s="3">
        <v>1</v>
      </c>
      <c r="I68" s="2">
        <v>46183</v>
      </c>
      <c r="J68" t="s">
        <v>53</v>
      </c>
      <c r="K68">
        <v>306</v>
      </c>
      <c r="L68">
        <v>308</v>
      </c>
      <c r="M68" t="s">
        <v>66</v>
      </c>
      <c r="N68" s="2">
        <v>46178</v>
      </c>
      <c r="P68" t="s">
        <v>76</v>
      </c>
      <c r="Q68" t="s">
        <v>55</v>
      </c>
      <c r="R68" t="s">
        <v>438</v>
      </c>
      <c r="S68" s="2">
        <v>46168</v>
      </c>
      <c r="T68" s="2">
        <v>46168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316</v>
      </c>
      <c r="B69" t="s">
        <v>462</v>
      </c>
      <c r="C69" t="s">
        <v>463</v>
      </c>
      <c r="D69" t="s">
        <v>100</v>
      </c>
      <c r="E69" t="s">
        <v>101</v>
      </c>
      <c r="F69" s="2">
        <v>46170</v>
      </c>
      <c r="G69" s="2">
        <v>46174</v>
      </c>
      <c r="H69" s="3">
        <v>1</v>
      </c>
      <c r="I69" s="2">
        <v>46174</v>
      </c>
      <c r="J69" t="s">
        <v>53</v>
      </c>
      <c r="K69">
        <v>78</v>
      </c>
      <c r="L69" t="s">
        <v>464</v>
      </c>
      <c r="M69" t="s">
        <v>134</v>
      </c>
      <c r="N69" s="2">
        <v>46174</v>
      </c>
      <c r="P69" t="s">
        <v>135</v>
      </c>
      <c r="Q69" t="s">
        <v>55</v>
      </c>
      <c r="R69" t="s">
        <v>438</v>
      </c>
      <c r="S69" s="2">
        <v>46160</v>
      </c>
      <c r="T69" s="2">
        <v>46162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</row>
    <row r="70" spans="1:39" x14ac:dyDescent="0.25">
      <c r="A70">
        <v>317</v>
      </c>
      <c r="B70" t="s">
        <v>465</v>
      </c>
      <c r="C70" t="s">
        <v>463</v>
      </c>
      <c r="D70" t="s">
        <v>104</v>
      </c>
      <c r="E70" t="s">
        <v>52</v>
      </c>
      <c r="F70" s="2">
        <v>46175</v>
      </c>
      <c r="G70" s="2">
        <v>46175</v>
      </c>
      <c r="H70" s="3">
        <v>1</v>
      </c>
      <c r="I70" s="2">
        <v>46175</v>
      </c>
      <c r="J70" t="s">
        <v>53</v>
      </c>
      <c r="K70">
        <v>316</v>
      </c>
      <c r="L70">
        <v>318</v>
      </c>
      <c r="M70" t="s">
        <v>171</v>
      </c>
      <c r="N70" s="2">
        <v>46175</v>
      </c>
      <c r="P70" t="s">
        <v>118</v>
      </c>
      <c r="Q70" t="s">
        <v>55</v>
      </c>
      <c r="R70" t="s">
        <v>438</v>
      </c>
      <c r="S70" s="2">
        <v>46163</v>
      </c>
      <c r="T70" s="2">
        <v>46163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>
        <v>321</v>
      </c>
      <c r="B71" t="s">
        <v>472</v>
      </c>
      <c r="C71" t="s">
        <v>473</v>
      </c>
      <c r="D71" t="s">
        <v>100</v>
      </c>
      <c r="E71" t="s">
        <v>115</v>
      </c>
      <c r="F71" s="2">
        <v>46210</v>
      </c>
      <c r="G71" s="2">
        <v>46211</v>
      </c>
      <c r="H71" s="3">
        <v>1</v>
      </c>
      <c r="I71" s="2">
        <v>46211</v>
      </c>
      <c r="J71" t="s">
        <v>53</v>
      </c>
      <c r="K71">
        <v>347</v>
      </c>
      <c r="L71" t="s">
        <v>474</v>
      </c>
      <c r="M71" t="s">
        <v>193</v>
      </c>
      <c r="N71" s="2">
        <v>46199</v>
      </c>
      <c r="P71" t="s">
        <v>194</v>
      </c>
      <c r="Q71" t="s">
        <v>55</v>
      </c>
      <c r="R71" t="s">
        <v>438</v>
      </c>
      <c r="S71" s="2">
        <v>46199</v>
      </c>
      <c r="T71" s="2">
        <v>46199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</row>
    <row r="72" spans="1:39" x14ac:dyDescent="0.25">
      <c r="A72">
        <v>326</v>
      </c>
      <c r="B72" t="s">
        <v>483</v>
      </c>
      <c r="C72" t="s">
        <v>484</v>
      </c>
      <c r="D72" t="s">
        <v>100</v>
      </c>
      <c r="E72" t="s">
        <v>101</v>
      </c>
      <c r="F72" s="2">
        <v>46209</v>
      </c>
      <c r="G72" s="2">
        <v>46211</v>
      </c>
      <c r="H72" s="3">
        <v>1</v>
      </c>
      <c r="I72" s="2">
        <v>46211</v>
      </c>
      <c r="J72" t="s">
        <v>53</v>
      </c>
      <c r="K72" t="s">
        <v>485</v>
      </c>
      <c r="L72">
        <v>327</v>
      </c>
      <c r="M72" t="s">
        <v>311</v>
      </c>
      <c r="N72" s="2">
        <v>46204</v>
      </c>
      <c r="P72" t="s">
        <v>194</v>
      </c>
      <c r="Q72" t="s">
        <v>55</v>
      </c>
      <c r="R72" t="s">
        <v>438</v>
      </c>
      <c r="S72" s="2">
        <v>46202</v>
      </c>
      <c r="T72" s="2">
        <v>46204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</row>
    <row r="73" spans="1:39" x14ac:dyDescent="0.25">
      <c r="A73">
        <v>336</v>
      </c>
      <c r="B73" t="s">
        <v>493</v>
      </c>
      <c r="C73" t="s">
        <v>494</v>
      </c>
      <c r="D73" t="s">
        <v>100</v>
      </c>
      <c r="E73" t="s">
        <v>101</v>
      </c>
      <c r="F73" s="2">
        <v>46204</v>
      </c>
      <c r="G73" s="2">
        <v>46206</v>
      </c>
      <c r="H73" s="3">
        <v>1</v>
      </c>
      <c r="I73" s="2">
        <v>46206</v>
      </c>
      <c r="J73" t="s">
        <v>53</v>
      </c>
      <c r="L73" t="s">
        <v>495</v>
      </c>
      <c r="M73" t="s">
        <v>248</v>
      </c>
      <c r="N73" s="2">
        <v>46195</v>
      </c>
      <c r="P73" t="s">
        <v>179</v>
      </c>
      <c r="Q73" t="s">
        <v>55</v>
      </c>
      <c r="R73" t="s">
        <v>438</v>
      </c>
      <c r="S73" s="2">
        <v>46178</v>
      </c>
      <c r="T73" s="2">
        <v>46184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 x14ac:dyDescent="0.25">
      <c r="A74">
        <v>341</v>
      </c>
      <c r="B74" t="s">
        <v>503</v>
      </c>
      <c r="C74" t="s">
        <v>504</v>
      </c>
      <c r="D74" t="s">
        <v>100</v>
      </c>
      <c r="E74" t="s">
        <v>101</v>
      </c>
      <c r="F74" s="2">
        <v>46204</v>
      </c>
      <c r="G74" s="2">
        <v>46206</v>
      </c>
      <c r="H74" s="3">
        <v>1</v>
      </c>
      <c r="I74" s="2">
        <v>46206</v>
      </c>
      <c r="J74" t="s">
        <v>53</v>
      </c>
      <c r="L74" t="s">
        <v>505</v>
      </c>
      <c r="M74" t="s">
        <v>248</v>
      </c>
      <c r="N74" s="2">
        <v>46196</v>
      </c>
      <c r="P74" t="s">
        <v>179</v>
      </c>
      <c r="Q74" t="s">
        <v>55</v>
      </c>
      <c r="R74" t="s">
        <v>438</v>
      </c>
      <c r="S74" s="2">
        <v>46178</v>
      </c>
      <c r="T74" s="2">
        <v>46184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</row>
    <row r="75" spans="1:39" x14ac:dyDescent="0.25">
      <c r="A75">
        <v>346</v>
      </c>
      <c r="B75" t="s">
        <v>513</v>
      </c>
      <c r="C75" t="s">
        <v>514</v>
      </c>
      <c r="D75" t="s">
        <v>100</v>
      </c>
      <c r="E75" t="s">
        <v>515</v>
      </c>
      <c r="F75" s="2">
        <v>46202</v>
      </c>
      <c r="G75" s="2">
        <v>46211</v>
      </c>
      <c r="H75" s="3">
        <v>1</v>
      </c>
      <c r="I75" s="2">
        <v>46211</v>
      </c>
      <c r="J75" t="s">
        <v>53</v>
      </c>
      <c r="L75">
        <v>347</v>
      </c>
      <c r="M75" t="s">
        <v>304</v>
      </c>
      <c r="N75" s="2">
        <v>46197</v>
      </c>
      <c r="P75" t="s">
        <v>67</v>
      </c>
      <c r="Q75" t="s">
        <v>55</v>
      </c>
      <c r="R75" t="s">
        <v>438</v>
      </c>
      <c r="S75" s="2">
        <v>46192</v>
      </c>
      <c r="T75" s="2">
        <v>46197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</row>
    <row r="76" spans="1:39" x14ac:dyDescent="0.25">
      <c r="A76">
        <v>351</v>
      </c>
      <c r="B76" t="s">
        <v>524</v>
      </c>
      <c r="C76" t="s">
        <v>525</v>
      </c>
      <c r="D76" t="s">
        <v>100</v>
      </c>
      <c r="E76" t="s">
        <v>515</v>
      </c>
      <c r="F76" s="2">
        <v>46202</v>
      </c>
      <c r="G76" s="2">
        <v>46211</v>
      </c>
      <c r="H76" s="3">
        <v>1</v>
      </c>
      <c r="I76" s="2">
        <v>46211</v>
      </c>
      <c r="J76" t="s">
        <v>53</v>
      </c>
      <c r="K76" t="s">
        <v>526</v>
      </c>
      <c r="L76">
        <v>352</v>
      </c>
      <c r="M76" t="s">
        <v>304</v>
      </c>
      <c r="N76" s="2">
        <v>46197</v>
      </c>
      <c r="P76" t="s">
        <v>73</v>
      </c>
      <c r="Q76" t="s">
        <v>55</v>
      </c>
      <c r="R76" t="s">
        <v>438</v>
      </c>
      <c r="S76" s="2">
        <v>46192</v>
      </c>
      <c r="T76" s="2">
        <v>46197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</row>
    <row r="77" spans="1:39" x14ac:dyDescent="0.25">
      <c r="A77">
        <v>356</v>
      </c>
      <c r="B77" t="s">
        <v>534</v>
      </c>
      <c r="C77" t="s">
        <v>535</v>
      </c>
      <c r="D77" t="s">
        <v>100</v>
      </c>
      <c r="E77" t="s">
        <v>167</v>
      </c>
      <c r="F77" s="2">
        <v>46202</v>
      </c>
      <c r="G77" s="2">
        <v>46205</v>
      </c>
      <c r="H77" s="3">
        <v>1</v>
      </c>
      <c r="I77" s="2">
        <v>46205</v>
      </c>
      <c r="J77" t="s">
        <v>53</v>
      </c>
      <c r="K77" t="s">
        <v>526</v>
      </c>
      <c r="L77">
        <v>357</v>
      </c>
      <c r="M77" t="s">
        <v>304</v>
      </c>
      <c r="N77" s="2">
        <v>46197</v>
      </c>
      <c r="P77" t="s">
        <v>73</v>
      </c>
      <c r="Q77" t="s">
        <v>55</v>
      </c>
      <c r="R77" t="s">
        <v>438</v>
      </c>
      <c r="S77" s="2">
        <v>46192</v>
      </c>
      <c r="T77" s="2">
        <v>46197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 x14ac:dyDescent="0.25">
      <c r="A78">
        <v>361</v>
      </c>
      <c r="B78" t="s">
        <v>543</v>
      </c>
      <c r="C78" t="s">
        <v>544</v>
      </c>
      <c r="D78" t="s">
        <v>100</v>
      </c>
      <c r="E78" t="s">
        <v>167</v>
      </c>
      <c r="F78" s="2">
        <v>46202</v>
      </c>
      <c r="G78" s="2">
        <v>46205</v>
      </c>
      <c r="H78" s="3">
        <v>1</v>
      </c>
      <c r="I78" s="2">
        <v>46205</v>
      </c>
      <c r="J78" t="s">
        <v>53</v>
      </c>
      <c r="K78" t="s">
        <v>526</v>
      </c>
      <c r="L78">
        <v>362</v>
      </c>
      <c r="M78" t="s">
        <v>304</v>
      </c>
      <c r="N78" s="2">
        <v>46197</v>
      </c>
      <c r="P78" t="s">
        <v>73</v>
      </c>
      <c r="Q78" t="s">
        <v>55</v>
      </c>
      <c r="R78" t="s">
        <v>438</v>
      </c>
      <c r="S78" s="2">
        <v>46192</v>
      </c>
      <c r="T78" s="2">
        <v>46197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</row>
    <row r="79" spans="1:39" x14ac:dyDescent="0.25">
      <c r="A79">
        <v>366</v>
      </c>
      <c r="B79" t="s">
        <v>552</v>
      </c>
      <c r="C79" t="s">
        <v>553</v>
      </c>
      <c r="D79" t="s">
        <v>100</v>
      </c>
      <c r="E79" t="s">
        <v>101</v>
      </c>
      <c r="F79" s="2">
        <v>46196</v>
      </c>
      <c r="G79" s="2">
        <v>46198</v>
      </c>
      <c r="H79" s="3">
        <v>1</v>
      </c>
      <c r="I79" s="2">
        <v>46198</v>
      </c>
      <c r="J79" t="s">
        <v>53</v>
      </c>
      <c r="K79">
        <v>306</v>
      </c>
      <c r="L79" t="s">
        <v>554</v>
      </c>
      <c r="M79" t="s">
        <v>66</v>
      </c>
      <c r="N79" s="2">
        <v>46182</v>
      </c>
      <c r="P79" t="s">
        <v>73</v>
      </c>
      <c r="Q79" t="s">
        <v>55</v>
      </c>
      <c r="R79" t="s">
        <v>438</v>
      </c>
      <c r="S79" s="2">
        <v>46168</v>
      </c>
      <c r="T79" s="2">
        <v>46170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</row>
    <row r="80" spans="1:39" x14ac:dyDescent="0.25">
      <c r="A80">
        <v>386</v>
      </c>
      <c r="B80" t="s">
        <v>560</v>
      </c>
      <c r="C80" t="s">
        <v>561</v>
      </c>
      <c r="D80" t="s">
        <v>100</v>
      </c>
      <c r="E80" t="s">
        <v>167</v>
      </c>
      <c r="F80" s="2">
        <v>46195</v>
      </c>
      <c r="G80" s="2">
        <v>46198</v>
      </c>
      <c r="H80" s="3">
        <v>1</v>
      </c>
      <c r="I80" s="2">
        <v>46198</v>
      </c>
      <c r="J80" t="s">
        <v>53</v>
      </c>
      <c r="K80" t="s">
        <v>526</v>
      </c>
      <c r="L80">
        <v>387</v>
      </c>
      <c r="M80" t="s">
        <v>182</v>
      </c>
      <c r="N80" s="2">
        <v>46189</v>
      </c>
      <c r="P80" t="s">
        <v>179</v>
      </c>
      <c r="Q80" t="s">
        <v>55</v>
      </c>
      <c r="R80" t="s">
        <v>438</v>
      </c>
      <c r="S80" s="2">
        <v>46171</v>
      </c>
      <c r="T80" s="2">
        <v>46177</v>
      </c>
      <c r="AB80">
        <v>1</v>
      </c>
      <c r="AC80">
        <v>1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</row>
    <row r="81" spans="1:39" x14ac:dyDescent="0.25">
      <c r="A81">
        <v>417</v>
      </c>
      <c r="B81" t="s">
        <v>574</v>
      </c>
      <c r="C81" t="s">
        <v>575</v>
      </c>
      <c r="D81" t="s">
        <v>100</v>
      </c>
      <c r="E81" t="s">
        <v>167</v>
      </c>
      <c r="F81" s="2">
        <v>46189</v>
      </c>
      <c r="G81" s="2">
        <v>46192</v>
      </c>
      <c r="H81" s="3">
        <v>1</v>
      </c>
      <c r="I81" s="2">
        <v>46192</v>
      </c>
      <c r="J81" t="s">
        <v>53</v>
      </c>
      <c r="K81">
        <v>452</v>
      </c>
      <c r="L81" t="s">
        <v>576</v>
      </c>
      <c r="M81" t="s">
        <v>66</v>
      </c>
      <c r="N81" s="2">
        <v>46182</v>
      </c>
      <c r="P81" t="s">
        <v>73</v>
      </c>
      <c r="Q81" t="s">
        <v>55</v>
      </c>
      <c r="R81" t="s">
        <v>569</v>
      </c>
      <c r="S81" s="2">
        <v>46162</v>
      </c>
      <c r="T81" s="2">
        <v>46164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</row>
    <row r="82" spans="1:39" x14ac:dyDescent="0.25">
      <c r="A82">
        <v>418</v>
      </c>
      <c r="B82" t="s">
        <v>577</v>
      </c>
      <c r="C82" t="s">
        <v>575</v>
      </c>
      <c r="D82" t="s">
        <v>104</v>
      </c>
      <c r="E82" t="s">
        <v>224</v>
      </c>
      <c r="F82" s="2">
        <v>46197</v>
      </c>
      <c r="G82" s="2">
        <v>46204</v>
      </c>
      <c r="H82" s="3">
        <v>1</v>
      </c>
      <c r="I82" s="2">
        <v>46204</v>
      </c>
      <c r="J82" t="s">
        <v>53</v>
      </c>
      <c r="K82">
        <v>417</v>
      </c>
      <c r="L82" t="s">
        <v>578</v>
      </c>
      <c r="M82" t="s">
        <v>182</v>
      </c>
      <c r="N82" s="2">
        <v>46183</v>
      </c>
      <c r="P82" t="s">
        <v>179</v>
      </c>
      <c r="Q82" t="s">
        <v>55</v>
      </c>
      <c r="R82" t="s">
        <v>569</v>
      </c>
      <c r="S82" s="2">
        <v>46167</v>
      </c>
      <c r="T82" s="2">
        <v>46167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422</v>
      </c>
      <c r="B83" t="s">
        <v>584</v>
      </c>
      <c r="C83" t="s">
        <v>585</v>
      </c>
      <c r="D83" t="s">
        <v>100</v>
      </c>
      <c r="E83" t="s">
        <v>167</v>
      </c>
      <c r="F83" s="2">
        <v>46188</v>
      </c>
      <c r="G83" s="2">
        <v>46191</v>
      </c>
      <c r="H83" s="3">
        <v>1</v>
      </c>
      <c r="I83" s="2">
        <v>46191</v>
      </c>
      <c r="J83" t="s">
        <v>53</v>
      </c>
      <c r="L83">
        <v>423</v>
      </c>
      <c r="M83" t="s">
        <v>193</v>
      </c>
      <c r="N83" s="2">
        <v>46202</v>
      </c>
      <c r="P83" t="s">
        <v>73</v>
      </c>
      <c r="Q83" t="s">
        <v>55</v>
      </c>
      <c r="R83" t="s">
        <v>569</v>
      </c>
      <c r="S83" s="2">
        <v>46192</v>
      </c>
      <c r="T83" s="2">
        <v>46196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</row>
    <row r="84" spans="1:39" x14ac:dyDescent="0.25">
      <c r="A84">
        <v>427</v>
      </c>
      <c r="B84" t="s">
        <v>591</v>
      </c>
      <c r="C84" t="s">
        <v>592</v>
      </c>
      <c r="D84" t="s">
        <v>100</v>
      </c>
      <c r="E84" t="s">
        <v>167</v>
      </c>
      <c r="F84" s="2">
        <v>46199</v>
      </c>
      <c r="G84" s="2">
        <v>46204</v>
      </c>
      <c r="H84" s="3">
        <v>1</v>
      </c>
      <c r="I84" s="2">
        <v>46204</v>
      </c>
      <c r="J84" t="s">
        <v>53</v>
      </c>
      <c r="K84" t="s">
        <v>593</v>
      </c>
      <c r="L84" t="s">
        <v>594</v>
      </c>
      <c r="M84" t="s">
        <v>193</v>
      </c>
      <c r="N84" s="2">
        <v>46204</v>
      </c>
      <c r="P84" t="s">
        <v>76</v>
      </c>
      <c r="Q84" t="s">
        <v>55</v>
      </c>
      <c r="R84" t="s">
        <v>569</v>
      </c>
      <c r="S84" s="2">
        <v>46199</v>
      </c>
      <c r="T84" s="2">
        <v>46204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</row>
    <row r="85" spans="1:39" x14ac:dyDescent="0.25">
      <c r="A85">
        <v>442</v>
      </c>
      <c r="B85" t="s">
        <v>600</v>
      </c>
      <c r="C85" t="s">
        <v>601</v>
      </c>
      <c r="D85" t="s">
        <v>100</v>
      </c>
      <c r="E85" t="s">
        <v>515</v>
      </c>
      <c r="F85" s="2">
        <v>46199</v>
      </c>
      <c r="G85" s="2">
        <v>46210</v>
      </c>
      <c r="H85" s="3">
        <v>1</v>
      </c>
      <c r="I85" s="2">
        <v>46210</v>
      </c>
      <c r="J85" t="s">
        <v>53</v>
      </c>
      <c r="K85" t="s">
        <v>602</v>
      </c>
      <c r="L85">
        <v>443</v>
      </c>
      <c r="M85" t="s">
        <v>251</v>
      </c>
      <c r="N85" s="2">
        <v>46196</v>
      </c>
      <c r="P85" t="s">
        <v>179</v>
      </c>
      <c r="Q85" t="s">
        <v>55</v>
      </c>
      <c r="R85" t="s">
        <v>569</v>
      </c>
      <c r="S85" s="2">
        <v>46204</v>
      </c>
      <c r="T85" s="2">
        <v>46204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</row>
    <row r="86" spans="1:39" x14ac:dyDescent="0.25">
      <c r="A86">
        <v>447</v>
      </c>
      <c r="B86" t="s">
        <v>609</v>
      </c>
      <c r="C86" t="s">
        <v>610</v>
      </c>
      <c r="D86" t="s">
        <v>100</v>
      </c>
      <c r="E86" t="s">
        <v>224</v>
      </c>
      <c r="F86" s="2">
        <v>46189</v>
      </c>
      <c r="G86" s="2">
        <v>46196</v>
      </c>
      <c r="H86" s="3">
        <v>1</v>
      </c>
      <c r="I86" s="2">
        <v>46196</v>
      </c>
      <c r="J86" t="s">
        <v>53</v>
      </c>
      <c r="K86" t="s">
        <v>611</v>
      </c>
      <c r="L86">
        <v>448</v>
      </c>
      <c r="M86" t="s">
        <v>171</v>
      </c>
      <c r="N86" s="2">
        <v>46181</v>
      </c>
      <c r="P86" t="s">
        <v>73</v>
      </c>
      <c r="Q86" t="s">
        <v>55</v>
      </c>
      <c r="R86" t="s">
        <v>569</v>
      </c>
      <c r="S86" s="2">
        <v>46157</v>
      </c>
      <c r="T86" s="2">
        <v>46163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</row>
    <row r="87" spans="1:39" x14ac:dyDescent="0.25">
      <c r="A87">
        <v>452</v>
      </c>
      <c r="B87" t="s">
        <v>619</v>
      </c>
      <c r="C87" t="s">
        <v>620</v>
      </c>
      <c r="D87" t="s">
        <v>100</v>
      </c>
      <c r="E87" t="s">
        <v>224</v>
      </c>
      <c r="F87" s="2">
        <v>46171</v>
      </c>
      <c r="G87" s="2">
        <v>46182</v>
      </c>
      <c r="H87" s="3">
        <v>1</v>
      </c>
      <c r="I87" s="2">
        <v>46182</v>
      </c>
      <c r="J87" t="s">
        <v>53</v>
      </c>
      <c r="K87" t="s">
        <v>611</v>
      </c>
      <c r="L87" t="s">
        <v>621</v>
      </c>
      <c r="M87" t="s">
        <v>171</v>
      </c>
      <c r="N87" s="2">
        <v>46177</v>
      </c>
      <c r="P87" t="s">
        <v>135</v>
      </c>
      <c r="Q87" t="s">
        <v>55</v>
      </c>
      <c r="R87" t="s">
        <v>569</v>
      </c>
      <c r="S87" s="2">
        <v>46157</v>
      </c>
      <c r="T87" s="2">
        <v>46161</v>
      </c>
      <c r="AB87">
        <v>1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</row>
    <row r="88" spans="1:39" x14ac:dyDescent="0.25">
      <c r="A88">
        <v>457</v>
      </c>
      <c r="B88" t="s">
        <v>627</v>
      </c>
      <c r="C88" t="s">
        <v>628</v>
      </c>
      <c r="D88" t="s">
        <v>100</v>
      </c>
      <c r="E88" t="s">
        <v>224</v>
      </c>
      <c r="F88" s="2">
        <v>46176</v>
      </c>
      <c r="G88" s="2">
        <v>46185</v>
      </c>
      <c r="H88" s="3">
        <v>1</v>
      </c>
      <c r="I88" s="2">
        <v>46185</v>
      </c>
      <c r="J88" t="s">
        <v>53</v>
      </c>
      <c r="K88" t="s">
        <v>611</v>
      </c>
      <c r="L88">
        <v>458</v>
      </c>
      <c r="M88" t="s">
        <v>171</v>
      </c>
      <c r="N88" s="2">
        <v>46181</v>
      </c>
      <c r="P88" t="s">
        <v>118</v>
      </c>
      <c r="Q88" t="s">
        <v>55</v>
      </c>
      <c r="R88" t="s">
        <v>569</v>
      </c>
      <c r="S88" s="2">
        <v>46157</v>
      </c>
      <c r="T88" s="2">
        <v>46163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25">
      <c r="A89">
        <v>462</v>
      </c>
      <c r="B89" t="s">
        <v>634</v>
      </c>
      <c r="C89" t="s">
        <v>635</v>
      </c>
      <c r="D89" t="s">
        <v>100</v>
      </c>
      <c r="E89" t="s">
        <v>167</v>
      </c>
      <c r="F89" s="2">
        <v>46196</v>
      </c>
      <c r="G89" s="2">
        <v>46199</v>
      </c>
      <c r="H89" s="3">
        <v>1</v>
      </c>
      <c r="I89" s="2">
        <v>46199</v>
      </c>
      <c r="J89" t="s">
        <v>53</v>
      </c>
      <c r="K89">
        <v>417</v>
      </c>
      <c r="L89">
        <v>463</v>
      </c>
      <c r="M89" t="s">
        <v>182</v>
      </c>
      <c r="N89" s="2">
        <v>46196</v>
      </c>
      <c r="P89" t="s">
        <v>179</v>
      </c>
      <c r="Q89" t="s">
        <v>55</v>
      </c>
      <c r="R89" t="s">
        <v>569</v>
      </c>
      <c r="S89" s="2">
        <v>46167</v>
      </c>
      <c r="T89" s="2">
        <v>46178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</row>
    <row r="90" spans="1:39" x14ac:dyDescent="0.25">
      <c r="A90">
        <v>463</v>
      </c>
      <c r="B90" t="s">
        <v>636</v>
      </c>
      <c r="C90" t="s">
        <v>635</v>
      </c>
      <c r="D90" t="s">
        <v>104</v>
      </c>
      <c r="E90" t="s">
        <v>167</v>
      </c>
      <c r="F90" s="2">
        <v>46202</v>
      </c>
      <c r="G90" s="2">
        <v>46205</v>
      </c>
      <c r="H90" s="3">
        <v>1</v>
      </c>
      <c r="I90" s="2">
        <v>46205</v>
      </c>
      <c r="J90" t="s">
        <v>53</v>
      </c>
      <c r="K90">
        <v>462</v>
      </c>
      <c r="L90">
        <v>464</v>
      </c>
      <c r="M90" t="s">
        <v>308</v>
      </c>
      <c r="N90" s="2">
        <v>46197</v>
      </c>
      <c r="P90" t="s">
        <v>179</v>
      </c>
      <c r="Q90" t="s">
        <v>55</v>
      </c>
      <c r="R90" t="s">
        <v>569</v>
      </c>
      <c r="S90" s="2">
        <v>46181</v>
      </c>
      <c r="T90" s="2">
        <v>46181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>
        <v>467</v>
      </c>
      <c r="B91" t="s">
        <v>641</v>
      </c>
      <c r="C91" t="s">
        <v>642</v>
      </c>
      <c r="D91" t="s">
        <v>100</v>
      </c>
      <c r="E91" t="s">
        <v>167</v>
      </c>
      <c r="F91" s="2">
        <v>46196</v>
      </c>
      <c r="G91" s="2">
        <v>46199</v>
      </c>
      <c r="H91" s="3">
        <v>1</v>
      </c>
      <c r="I91" s="2">
        <v>46199</v>
      </c>
      <c r="J91" t="s">
        <v>53</v>
      </c>
      <c r="K91">
        <v>417</v>
      </c>
      <c r="L91">
        <v>468</v>
      </c>
      <c r="M91" t="s">
        <v>182</v>
      </c>
      <c r="N91" s="2">
        <v>46196</v>
      </c>
      <c r="P91" t="s">
        <v>179</v>
      </c>
      <c r="Q91" t="s">
        <v>55</v>
      </c>
      <c r="R91" t="s">
        <v>569</v>
      </c>
      <c r="S91" s="2">
        <v>46167</v>
      </c>
      <c r="T91" s="2">
        <v>46178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 x14ac:dyDescent="0.25">
      <c r="A92">
        <v>472</v>
      </c>
      <c r="B92" t="s">
        <v>648</v>
      </c>
      <c r="C92" t="s">
        <v>649</v>
      </c>
      <c r="D92" t="s">
        <v>100</v>
      </c>
      <c r="E92" t="s">
        <v>167</v>
      </c>
      <c r="F92" s="2">
        <v>46196</v>
      </c>
      <c r="G92" s="2">
        <v>46199</v>
      </c>
      <c r="H92" s="3">
        <v>1</v>
      </c>
      <c r="I92" s="2">
        <v>46199</v>
      </c>
      <c r="J92" t="s">
        <v>53</v>
      </c>
      <c r="K92">
        <v>417</v>
      </c>
      <c r="L92">
        <v>473</v>
      </c>
      <c r="M92" t="s">
        <v>182</v>
      </c>
      <c r="N92" s="2">
        <v>46196</v>
      </c>
      <c r="P92" t="s">
        <v>179</v>
      </c>
      <c r="Q92" t="s">
        <v>55</v>
      </c>
      <c r="R92" t="s">
        <v>569</v>
      </c>
      <c r="S92" s="2">
        <v>46167</v>
      </c>
      <c r="T92" s="2">
        <v>46178</v>
      </c>
      <c r="AB92">
        <v>1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</row>
    <row r="93" spans="1:39" x14ac:dyDescent="0.25">
      <c r="A93">
        <v>482</v>
      </c>
      <c r="B93" t="s">
        <v>655</v>
      </c>
      <c r="C93" t="s">
        <v>656</v>
      </c>
      <c r="D93" t="s">
        <v>100</v>
      </c>
      <c r="E93" t="s">
        <v>167</v>
      </c>
      <c r="F93" s="2">
        <v>46204</v>
      </c>
      <c r="G93" s="2">
        <v>46209</v>
      </c>
      <c r="H93" s="3">
        <v>1</v>
      </c>
      <c r="I93" s="2">
        <v>46209</v>
      </c>
      <c r="J93" t="s">
        <v>53</v>
      </c>
      <c r="L93" t="s">
        <v>657</v>
      </c>
      <c r="M93" t="s">
        <v>308</v>
      </c>
      <c r="N93" s="2">
        <v>46199</v>
      </c>
      <c r="P93" t="s">
        <v>73</v>
      </c>
      <c r="Q93" t="s">
        <v>55</v>
      </c>
      <c r="R93" t="s">
        <v>569</v>
      </c>
      <c r="S93" s="2">
        <v>46181</v>
      </c>
      <c r="T93" s="2">
        <v>46183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</row>
    <row r="94" spans="1:39" x14ac:dyDescent="0.25">
      <c r="A94">
        <v>497</v>
      </c>
      <c r="B94" t="s">
        <v>663</v>
      </c>
      <c r="C94" t="s">
        <v>664</v>
      </c>
      <c r="D94" t="s">
        <v>100</v>
      </c>
      <c r="E94" t="s">
        <v>224</v>
      </c>
      <c r="F94" s="2">
        <v>46203</v>
      </c>
      <c r="G94" s="2">
        <v>46210</v>
      </c>
      <c r="H94" s="3">
        <v>1</v>
      </c>
      <c r="I94" s="2">
        <v>46210</v>
      </c>
      <c r="J94" t="s">
        <v>53</v>
      </c>
      <c r="K94" t="s">
        <v>665</v>
      </c>
      <c r="L94" t="s">
        <v>666</v>
      </c>
      <c r="M94" t="s">
        <v>193</v>
      </c>
      <c r="N94" s="2">
        <v>46202</v>
      </c>
      <c r="P94" t="s">
        <v>179</v>
      </c>
      <c r="Q94" t="s">
        <v>55</v>
      </c>
      <c r="R94" t="s">
        <v>569</v>
      </c>
      <c r="S94" s="2">
        <v>46202</v>
      </c>
      <c r="T94" s="2">
        <v>46203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</row>
    <row r="95" spans="1:39" x14ac:dyDescent="0.25">
      <c r="A95">
        <v>507</v>
      </c>
      <c r="B95" t="s">
        <v>680</v>
      </c>
      <c r="C95" t="s">
        <v>681</v>
      </c>
      <c r="D95" t="s">
        <v>100</v>
      </c>
      <c r="E95" t="s">
        <v>682</v>
      </c>
      <c r="F95" s="2">
        <v>46191</v>
      </c>
      <c r="G95" s="2">
        <v>46203</v>
      </c>
      <c r="H95" s="3">
        <v>1</v>
      </c>
      <c r="I95" s="2">
        <v>46203</v>
      </c>
      <c r="J95" t="s">
        <v>53</v>
      </c>
      <c r="L95" t="s">
        <v>683</v>
      </c>
      <c r="M95" t="s">
        <v>308</v>
      </c>
      <c r="N95" s="2">
        <v>46205</v>
      </c>
      <c r="P95" t="s">
        <v>73</v>
      </c>
      <c r="Q95" t="s">
        <v>55</v>
      </c>
      <c r="R95" t="s">
        <v>569</v>
      </c>
      <c r="S95" s="2">
        <v>46189</v>
      </c>
      <c r="T95" s="2">
        <v>46202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</row>
    <row r="96" spans="1:39" x14ac:dyDescent="0.25">
      <c r="A96">
        <v>508</v>
      </c>
      <c r="B96" t="s">
        <v>684</v>
      </c>
      <c r="C96" t="s">
        <v>681</v>
      </c>
      <c r="D96" t="s">
        <v>104</v>
      </c>
      <c r="E96" t="s">
        <v>101</v>
      </c>
      <c r="F96" s="2">
        <v>46204</v>
      </c>
      <c r="G96" s="2">
        <v>46206</v>
      </c>
      <c r="H96" s="3">
        <v>1</v>
      </c>
      <c r="I96" s="2">
        <v>46206</v>
      </c>
      <c r="J96" t="s">
        <v>53</v>
      </c>
      <c r="K96">
        <v>507</v>
      </c>
      <c r="L96">
        <v>509</v>
      </c>
      <c r="M96" t="s">
        <v>385</v>
      </c>
      <c r="N96" s="2">
        <v>46206</v>
      </c>
      <c r="P96" t="s">
        <v>179</v>
      </c>
      <c r="Q96" t="s">
        <v>55</v>
      </c>
      <c r="R96" t="s">
        <v>569</v>
      </c>
      <c r="S96" s="2">
        <v>46203</v>
      </c>
      <c r="T96" s="2">
        <v>46203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>
        <v>512</v>
      </c>
      <c r="B97" t="s">
        <v>691</v>
      </c>
      <c r="C97" t="s">
        <v>692</v>
      </c>
      <c r="D97" t="s">
        <v>100</v>
      </c>
      <c r="E97" t="s">
        <v>682</v>
      </c>
      <c r="F97" s="2">
        <v>46191</v>
      </c>
      <c r="G97" s="2">
        <v>46203</v>
      </c>
      <c r="H97" s="3">
        <v>1</v>
      </c>
      <c r="I97" s="2">
        <v>46203</v>
      </c>
      <c r="J97" t="s">
        <v>53</v>
      </c>
      <c r="K97" t="s">
        <v>693</v>
      </c>
      <c r="L97">
        <v>513</v>
      </c>
      <c r="M97" t="s">
        <v>308</v>
      </c>
      <c r="N97" s="2">
        <v>46205</v>
      </c>
      <c r="P97" t="s">
        <v>73</v>
      </c>
      <c r="Q97" t="s">
        <v>55</v>
      </c>
      <c r="R97" t="s">
        <v>569</v>
      </c>
      <c r="S97" s="2">
        <v>46189</v>
      </c>
      <c r="T97" s="2">
        <v>46202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</row>
    <row r="98" spans="1:39" x14ac:dyDescent="0.25">
      <c r="A98">
        <v>513</v>
      </c>
      <c r="B98" t="s">
        <v>694</v>
      </c>
      <c r="C98" t="s">
        <v>692</v>
      </c>
      <c r="D98" t="s">
        <v>104</v>
      </c>
      <c r="E98" t="s">
        <v>101</v>
      </c>
      <c r="F98" s="2">
        <v>46204</v>
      </c>
      <c r="G98" s="2">
        <v>46206</v>
      </c>
      <c r="H98" s="3">
        <v>1</v>
      </c>
      <c r="I98" s="2">
        <v>46206</v>
      </c>
      <c r="J98" t="s">
        <v>53</v>
      </c>
      <c r="K98">
        <v>512</v>
      </c>
      <c r="L98">
        <v>514</v>
      </c>
      <c r="M98" t="s">
        <v>385</v>
      </c>
      <c r="N98" s="2">
        <v>46206</v>
      </c>
      <c r="P98" t="s">
        <v>179</v>
      </c>
      <c r="Q98" t="s">
        <v>55</v>
      </c>
      <c r="R98" t="s">
        <v>569</v>
      </c>
      <c r="S98" s="2">
        <v>46203</v>
      </c>
      <c r="T98" s="2">
        <v>46203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517</v>
      </c>
      <c r="B99" t="s">
        <v>699</v>
      </c>
      <c r="C99" t="s">
        <v>700</v>
      </c>
      <c r="D99" t="s">
        <v>100</v>
      </c>
      <c r="E99" t="s">
        <v>682</v>
      </c>
      <c r="F99" s="2">
        <v>46191</v>
      </c>
      <c r="G99" s="2">
        <v>46203</v>
      </c>
      <c r="H99" s="3">
        <v>1</v>
      </c>
      <c r="I99" s="2">
        <v>46203</v>
      </c>
      <c r="J99" t="s">
        <v>53</v>
      </c>
      <c r="K99" t="s">
        <v>693</v>
      </c>
      <c r="L99">
        <v>518</v>
      </c>
      <c r="M99" t="s">
        <v>308</v>
      </c>
      <c r="N99" s="2">
        <v>46205</v>
      </c>
      <c r="P99" t="s">
        <v>73</v>
      </c>
      <c r="Q99" t="s">
        <v>55</v>
      </c>
      <c r="R99" t="s">
        <v>569</v>
      </c>
      <c r="S99" s="2">
        <v>46189</v>
      </c>
      <c r="T99" s="2">
        <v>46202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</row>
    <row r="100" spans="1:39" x14ac:dyDescent="0.25">
      <c r="A100">
        <v>518</v>
      </c>
      <c r="B100" t="s">
        <v>701</v>
      </c>
      <c r="C100" t="s">
        <v>700</v>
      </c>
      <c r="D100" t="s">
        <v>104</v>
      </c>
      <c r="E100" t="s">
        <v>101</v>
      </c>
      <c r="F100" s="2">
        <v>46204</v>
      </c>
      <c r="G100" s="2">
        <v>46206</v>
      </c>
      <c r="H100" s="3">
        <v>1</v>
      </c>
      <c r="I100" s="2">
        <v>46206</v>
      </c>
      <c r="J100" t="s">
        <v>53</v>
      </c>
      <c r="K100">
        <v>517</v>
      </c>
      <c r="L100">
        <v>519</v>
      </c>
      <c r="M100" t="s">
        <v>385</v>
      </c>
      <c r="N100" s="2">
        <v>46206</v>
      </c>
      <c r="P100" t="s">
        <v>179</v>
      </c>
      <c r="Q100" t="s">
        <v>55</v>
      </c>
      <c r="R100" t="s">
        <v>569</v>
      </c>
      <c r="S100" s="2">
        <v>46203</v>
      </c>
      <c r="T100" s="2">
        <v>46203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522</v>
      </c>
      <c r="B101" t="s">
        <v>706</v>
      </c>
      <c r="C101" t="s">
        <v>707</v>
      </c>
      <c r="D101" t="s">
        <v>100</v>
      </c>
      <c r="E101" t="s">
        <v>682</v>
      </c>
      <c r="F101" s="2">
        <v>46191</v>
      </c>
      <c r="G101" s="2">
        <v>46203</v>
      </c>
      <c r="H101" s="3">
        <v>1</v>
      </c>
      <c r="I101" s="2">
        <v>46203</v>
      </c>
      <c r="J101" t="s">
        <v>53</v>
      </c>
      <c r="K101" t="s">
        <v>693</v>
      </c>
      <c r="L101">
        <v>523</v>
      </c>
      <c r="M101" t="s">
        <v>308</v>
      </c>
      <c r="N101" s="2">
        <v>46205</v>
      </c>
      <c r="P101" t="s">
        <v>73</v>
      </c>
      <c r="Q101" t="s">
        <v>55</v>
      </c>
      <c r="R101" t="s">
        <v>569</v>
      </c>
      <c r="S101" s="2">
        <v>46189</v>
      </c>
      <c r="T101" s="2">
        <v>46202</v>
      </c>
      <c r="AB101">
        <v>1</v>
      </c>
      <c r="AC101">
        <v>1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</row>
    <row r="102" spans="1:39" x14ac:dyDescent="0.25">
      <c r="A102">
        <v>523</v>
      </c>
      <c r="B102" t="s">
        <v>708</v>
      </c>
      <c r="C102" t="s">
        <v>707</v>
      </c>
      <c r="D102" t="s">
        <v>104</v>
      </c>
      <c r="E102" t="s">
        <v>101</v>
      </c>
      <c r="F102" s="2">
        <v>46204</v>
      </c>
      <c r="G102" s="2">
        <v>46206</v>
      </c>
      <c r="H102" s="3">
        <v>1</v>
      </c>
      <c r="I102" s="2">
        <v>46206</v>
      </c>
      <c r="J102" t="s">
        <v>53</v>
      </c>
      <c r="K102">
        <v>522</v>
      </c>
      <c r="L102">
        <v>524</v>
      </c>
      <c r="M102" t="s">
        <v>385</v>
      </c>
      <c r="N102" s="2">
        <v>46206</v>
      </c>
      <c r="P102" t="s">
        <v>179</v>
      </c>
      <c r="Q102" t="s">
        <v>55</v>
      </c>
      <c r="R102" t="s">
        <v>569</v>
      </c>
      <c r="S102" s="2">
        <v>46203</v>
      </c>
      <c r="T102" s="2">
        <v>46203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25">
      <c r="A103">
        <v>527</v>
      </c>
      <c r="B103" t="s">
        <v>713</v>
      </c>
      <c r="C103" t="s">
        <v>714</v>
      </c>
      <c r="D103" t="s">
        <v>100</v>
      </c>
      <c r="E103" t="s">
        <v>682</v>
      </c>
      <c r="F103" s="2">
        <v>46191</v>
      </c>
      <c r="G103" s="2">
        <v>46203</v>
      </c>
      <c r="H103" s="3">
        <v>1</v>
      </c>
      <c r="I103" s="2">
        <v>46203</v>
      </c>
      <c r="J103" t="s">
        <v>53</v>
      </c>
      <c r="K103" t="s">
        <v>693</v>
      </c>
      <c r="L103">
        <v>528</v>
      </c>
      <c r="M103" t="s">
        <v>308</v>
      </c>
      <c r="N103" s="2">
        <v>46205</v>
      </c>
      <c r="P103" t="s">
        <v>73</v>
      </c>
      <c r="Q103" t="s">
        <v>55</v>
      </c>
      <c r="R103" t="s">
        <v>569</v>
      </c>
      <c r="S103" s="2">
        <v>46189</v>
      </c>
      <c r="T103" s="2">
        <v>46202</v>
      </c>
      <c r="AB103">
        <v>1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</row>
    <row r="104" spans="1:39" x14ac:dyDescent="0.25">
      <c r="A104">
        <v>528</v>
      </c>
      <c r="B104" t="s">
        <v>715</v>
      </c>
      <c r="C104" t="s">
        <v>714</v>
      </c>
      <c r="D104" t="s">
        <v>104</v>
      </c>
      <c r="E104" t="s">
        <v>101</v>
      </c>
      <c r="F104" s="2">
        <v>46204</v>
      </c>
      <c r="G104" s="2">
        <v>46206</v>
      </c>
      <c r="H104" s="3">
        <v>1</v>
      </c>
      <c r="I104" s="2">
        <v>46206</v>
      </c>
      <c r="J104" t="s">
        <v>53</v>
      </c>
      <c r="K104">
        <v>527</v>
      </c>
      <c r="L104">
        <v>529</v>
      </c>
      <c r="M104" t="s">
        <v>385</v>
      </c>
      <c r="N104" s="2">
        <v>46206</v>
      </c>
      <c r="P104" t="s">
        <v>179</v>
      </c>
      <c r="Q104" t="s">
        <v>55</v>
      </c>
      <c r="R104" t="s">
        <v>569</v>
      </c>
      <c r="S104" s="2">
        <v>46203</v>
      </c>
      <c r="T104" s="2">
        <v>46203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5">
      <c r="A105">
        <v>532</v>
      </c>
      <c r="B105" t="s">
        <v>720</v>
      </c>
      <c r="C105" t="s">
        <v>721</v>
      </c>
      <c r="D105" t="s">
        <v>100</v>
      </c>
      <c r="E105" t="s">
        <v>682</v>
      </c>
      <c r="F105" s="2">
        <v>46191</v>
      </c>
      <c r="G105" s="2">
        <v>46203</v>
      </c>
      <c r="H105" s="3">
        <v>1</v>
      </c>
      <c r="I105" s="2">
        <v>46203</v>
      </c>
      <c r="J105" t="s">
        <v>53</v>
      </c>
      <c r="K105" t="s">
        <v>693</v>
      </c>
      <c r="L105">
        <v>533</v>
      </c>
      <c r="M105" t="s">
        <v>308</v>
      </c>
      <c r="N105" s="2">
        <v>46205</v>
      </c>
      <c r="P105" t="s">
        <v>73</v>
      </c>
      <c r="Q105" t="s">
        <v>55</v>
      </c>
      <c r="R105" t="s">
        <v>569</v>
      </c>
      <c r="S105" s="2">
        <v>46189</v>
      </c>
      <c r="T105" s="2">
        <v>46202</v>
      </c>
      <c r="AB105">
        <v>1</v>
      </c>
      <c r="AC105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</row>
    <row r="106" spans="1:39" x14ac:dyDescent="0.25">
      <c r="A106">
        <v>533</v>
      </c>
      <c r="B106" t="s">
        <v>722</v>
      </c>
      <c r="C106" t="s">
        <v>721</v>
      </c>
      <c r="D106" t="s">
        <v>104</v>
      </c>
      <c r="E106" t="s">
        <v>101</v>
      </c>
      <c r="F106" s="2">
        <v>46204</v>
      </c>
      <c r="G106" s="2">
        <v>46206</v>
      </c>
      <c r="H106" s="3">
        <v>1</v>
      </c>
      <c r="I106" s="2">
        <v>46206</v>
      </c>
      <c r="J106" t="s">
        <v>53</v>
      </c>
      <c r="K106">
        <v>532</v>
      </c>
      <c r="L106">
        <v>534</v>
      </c>
      <c r="M106" t="s">
        <v>385</v>
      </c>
      <c r="N106" s="2">
        <v>46206</v>
      </c>
      <c r="P106" t="s">
        <v>179</v>
      </c>
      <c r="Q106" t="s">
        <v>55</v>
      </c>
      <c r="R106" t="s">
        <v>569</v>
      </c>
      <c r="S106" s="2">
        <v>46203</v>
      </c>
      <c r="T106" s="2">
        <v>46203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5">
      <c r="A107">
        <v>537</v>
      </c>
      <c r="B107" t="s">
        <v>727</v>
      </c>
      <c r="C107" t="s">
        <v>728</v>
      </c>
      <c r="D107" t="s">
        <v>100</v>
      </c>
      <c r="E107" t="s">
        <v>682</v>
      </c>
      <c r="F107" s="2">
        <v>46191</v>
      </c>
      <c r="G107" s="2">
        <v>46203</v>
      </c>
      <c r="H107" s="3">
        <v>1</v>
      </c>
      <c r="I107" s="2">
        <v>46203</v>
      </c>
      <c r="J107" t="s">
        <v>53</v>
      </c>
      <c r="K107" t="s">
        <v>693</v>
      </c>
      <c r="L107">
        <v>538</v>
      </c>
      <c r="M107" t="s">
        <v>308</v>
      </c>
      <c r="N107" s="2">
        <v>46205</v>
      </c>
      <c r="P107" t="s">
        <v>73</v>
      </c>
      <c r="Q107" t="s">
        <v>55</v>
      </c>
      <c r="R107" t="s">
        <v>569</v>
      </c>
      <c r="S107" s="2">
        <v>46189</v>
      </c>
      <c r="T107" s="2">
        <v>46202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</row>
    <row r="108" spans="1:39" x14ac:dyDescent="0.25">
      <c r="A108">
        <v>538</v>
      </c>
      <c r="B108" t="s">
        <v>729</v>
      </c>
      <c r="C108" t="s">
        <v>728</v>
      </c>
      <c r="D108" t="s">
        <v>104</v>
      </c>
      <c r="E108" t="s">
        <v>101</v>
      </c>
      <c r="F108" s="2">
        <v>46204</v>
      </c>
      <c r="G108" s="2">
        <v>46206</v>
      </c>
      <c r="H108" s="3">
        <v>1</v>
      </c>
      <c r="I108" s="2">
        <v>46206</v>
      </c>
      <c r="J108" t="s">
        <v>53</v>
      </c>
      <c r="K108">
        <v>537</v>
      </c>
      <c r="L108">
        <v>539</v>
      </c>
      <c r="M108" t="s">
        <v>385</v>
      </c>
      <c r="N108" s="2">
        <v>46206</v>
      </c>
      <c r="P108" t="s">
        <v>179</v>
      </c>
      <c r="Q108" t="s">
        <v>55</v>
      </c>
      <c r="R108" t="s">
        <v>569</v>
      </c>
      <c r="S108" s="2">
        <v>46203</v>
      </c>
      <c r="T108" s="2">
        <v>46203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542</v>
      </c>
      <c r="B109" t="s">
        <v>734</v>
      </c>
      <c r="C109" t="s">
        <v>735</v>
      </c>
      <c r="D109" t="s">
        <v>100</v>
      </c>
      <c r="E109" t="s">
        <v>682</v>
      </c>
      <c r="F109" s="2">
        <v>46191</v>
      </c>
      <c r="G109" s="2">
        <v>46203</v>
      </c>
      <c r="H109" s="3">
        <v>1</v>
      </c>
      <c r="I109" s="2">
        <v>46203</v>
      </c>
      <c r="J109" t="s">
        <v>53</v>
      </c>
      <c r="K109" t="s">
        <v>693</v>
      </c>
      <c r="L109">
        <v>543</v>
      </c>
      <c r="M109" t="s">
        <v>308</v>
      </c>
      <c r="N109" s="2">
        <v>46205</v>
      </c>
      <c r="P109" t="s">
        <v>73</v>
      </c>
      <c r="Q109" t="s">
        <v>55</v>
      </c>
      <c r="R109" t="s">
        <v>569</v>
      </c>
      <c r="S109" s="2">
        <v>46189</v>
      </c>
      <c r="T109" s="2">
        <v>46202</v>
      </c>
      <c r="AB109">
        <v>1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</row>
    <row r="110" spans="1:39" x14ac:dyDescent="0.25">
      <c r="A110">
        <v>543</v>
      </c>
      <c r="B110" t="s">
        <v>736</v>
      </c>
      <c r="C110" t="s">
        <v>735</v>
      </c>
      <c r="D110" t="s">
        <v>104</v>
      </c>
      <c r="E110" t="s">
        <v>101</v>
      </c>
      <c r="F110" s="2">
        <v>46204</v>
      </c>
      <c r="G110" s="2">
        <v>46206</v>
      </c>
      <c r="H110" s="3">
        <v>1</v>
      </c>
      <c r="I110" s="2">
        <v>46206</v>
      </c>
      <c r="J110" t="s">
        <v>53</v>
      </c>
      <c r="K110">
        <v>542</v>
      </c>
      <c r="L110">
        <v>544</v>
      </c>
      <c r="M110" t="s">
        <v>385</v>
      </c>
      <c r="N110" s="2">
        <v>46206</v>
      </c>
      <c r="P110" t="s">
        <v>179</v>
      </c>
      <c r="Q110" t="s">
        <v>55</v>
      </c>
      <c r="R110" t="s">
        <v>569</v>
      </c>
      <c r="S110" s="2">
        <v>46203</v>
      </c>
      <c r="T110" s="2">
        <v>46203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>
        <v>547</v>
      </c>
      <c r="B111" t="s">
        <v>741</v>
      </c>
      <c r="C111" t="s">
        <v>742</v>
      </c>
      <c r="D111" t="s">
        <v>100</v>
      </c>
      <c r="E111" t="s">
        <v>682</v>
      </c>
      <c r="F111" s="2">
        <v>46191</v>
      </c>
      <c r="G111" s="2">
        <v>46203</v>
      </c>
      <c r="H111" s="3">
        <v>1</v>
      </c>
      <c r="I111" s="2">
        <v>46203</v>
      </c>
      <c r="J111" t="s">
        <v>53</v>
      </c>
      <c r="K111" t="s">
        <v>693</v>
      </c>
      <c r="L111">
        <v>548</v>
      </c>
      <c r="M111" t="s">
        <v>308</v>
      </c>
      <c r="N111" s="2">
        <v>46205</v>
      </c>
      <c r="P111" t="s">
        <v>73</v>
      </c>
      <c r="Q111" t="s">
        <v>55</v>
      </c>
      <c r="R111" t="s">
        <v>569</v>
      </c>
      <c r="S111" s="2">
        <v>46189</v>
      </c>
      <c r="T111" s="2">
        <v>46202</v>
      </c>
      <c r="AB111">
        <v>1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</row>
    <row r="112" spans="1:39" x14ac:dyDescent="0.25">
      <c r="A112">
        <v>548</v>
      </c>
      <c r="B112" t="s">
        <v>743</v>
      </c>
      <c r="C112" t="s">
        <v>742</v>
      </c>
      <c r="D112" t="s">
        <v>104</v>
      </c>
      <c r="E112" t="s">
        <v>101</v>
      </c>
      <c r="F112" s="2">
        <v>46204</v>
      </c>
      <c r="G112" s="2">
        <v>46206</v>
      </c>
      <c r="H112" s="3">
        <v>1</v>
      </c>
      <c r="I112" s="2">
        <v>46206</v>
      </c>
      <c r="J112" t="s">
        <v>53</v>
      </c>
      <c r="K112">
        <v>547</v>
      </c>
      <c r="L112">
        <v>549</v>
      </c>
      <c r="M112" t="s">
        <v>385</v>
      </c>
      <c r="N112" s="2">
        <v>46206</v>
      </c>
      <c r="P112" t="s">
        <v>179</v>
      </c>
      <c r="Q112" t="s">
        <v>55</v>
      </c>
      <c r="R112" t="s">
        <v>569</v>
      </c>
      <c r="S112" s="2">
        <v>46203</v>
      </c>
      <c r="T112" s="2">
        <v>46203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552</v>
      </c>
      <c r="B113" t="s">
        <v>748</v>
      </c>
      <c r="C113" t="s">
        <v>749</v>
      </c>
      <c r="D113" t="s">
        <v>100</v>
      </c>
      <c r="E113" t="s">
        <v>682</v>
      </c>
      <c r="F113" s="2">
        <v>46191</v>
      </c>
      <c r="G113" s="2">
        <v>46203</v>
      </c>
      <c r="H113" s="3">
        <v>1</v>
      </c>
      <c r="I113" s="2">
        <v>46203</v>
      </c>
      <c r="J113" t="s">
        <v>53</v>
      </c>
      <c r="K113" t="s">
        <v>693</v>
      </c>
      <c r="L113">
        <v>553</v>
      </c>
      <c r="M113" t="s">
        <v>308</v>
      </c>
      <c r="N113" s="2">
        <v>46205</v>
      </c>
      <c r="P113" t="s">
        <v>73</v>
      </c>
      <c r="Q113" t="s">
        <v>55</v>
      </c>
      <c r="R113" t="s">
        <v>569</v>
      </c>
      <c r="S113" s="2">
        <v>46189</v>
      </c>
      <c r="T113" s="2">
        <v>46202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</row>
    <row r="114" spans="1:39" x14ac:dyDescent="0.25">
      <c r="A114">
        <v>553</v>
      </c>
      <c r="B114" t="s">
        <v>750</v>
      </c>
      <c r="C114" t="s">
        <v>749</v>
      </c>
      <c r="D114" t="s">
        <v>104</v>
      </c>
      <c r="E114" t="s">
        <v>101</v>
      </c>
      <c r="F114" s="2">
        <v>46204</v>
      </c>
      <c r="G114" s="2">
        <v>46206</v>
      </c>
      <c r="H114" s="3">
        <v>1</v>
      </c>
      <c r="I114" s="2">
        <v>46206</v>
      </c>
      <c r="J114" t="s">
        <v>53</v>
      </c>
      <c r="K114">
        <v>552</v>
      </c>
      <c r="L114">
        <v>554</v>
      </c>
      <c r="M114" t="s">
        <v>385</v>
      </c>
      <c r="N114" s="2">
        <v>46206</v>
      </c>
      <c r="P114" t="s">
        <v>179</v>
      </c>
      <c r="Q114" t="s">
        <v>55</v>
      </c>
      <c r="R114" t="s">
        <v>569</v>
      </c>
      <c r="S114" s="2">
        <v>46203</v>
      </c>
      <c r="T114" s="2">
        <v>46203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557</v>
      </c>
      <c r="B115" t="s">
        <v>755</v>
      </c>
      <c r="C115" t="s">
        <v>756</v>
      </c>
      <c r="D115" t="s">
        <v>100</v>
      </c>
      <c r="E115" t="s">
        <v>682</v>
      </c>
      <c r="F115" s="2">
        <v>46191</v>
      </c>
      <c r="G115" s="2">
        <v>46203</v>
      </c>
      <c r="H115" s="3">
        <v>1</v>
      </c>
      <c r="I115" s="2">
        <v>46203</v>
      </c>
      <c r="J115" t="s">
        <v>53</v>
      </c>
      <c r="K115" t="s">
        <v>693</v>
      </c>
      <c r="L115">
        <v>558</v>
      </c>
      <c r="M115" t="s">
        <v>308</v>
      </c>
      <c r="N115" s="2">
        <v>46205</v>
      </c>
      <c r="P115" t="s">
        <v>73</v>
      </c>
      <c r="Q115" t="s">
        <v>55</v>
      </c>
      <c r="R115" t="s">
        <v>569</v>
      </c>
      <c r="S115" s="2">
        <v>46189</v>
      </c>
      <c r="T115" s="2">
        <v>46202</v>
      </c>
      <c r="AB115">
        <v>1</v>
      </c>
      <c r="AC115">
        <v>1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</row>
    <row r="116" spans="1:39" x14ac:dyDescent="0.25">
      <c r="A116">
        <v>558</v>
      </c>
      <c r="B116" t="s">
        <v>757</v>
      </c>
      <c r="C116" t="s">
        <v>756</v>
      </c>
      <c r="D116" t="s">
        <v>104</v>
      </c>
      <c r="E116" t="s">
        <v>101</v>
      </c>
      <c r="F116" s="2">
        <v>46204</v>
      </c>
      <c r="G116" s="2">
        <v>46206</v>
      </c>
      <c r="H116" s="3">
        <v>1</v>
      </c>
      <c r="I116" s="2">
        <v>46206</v>
      </c>
      <c r="J116" t="s">
        <v>53</v>
      </c>
      <c r="K116">
        <v>557</v>
      </c>
      <c r="L116">
        <v>559</v>
      </c>
      <c r="M116" t="s">
        <v>385</v>
      </c>
      <c r="N116" s="2">
        <v>46206</v>
      </c>
      <c r="P116" t="s">
        <v>179</v>
      </c>
      <c r="Q116" t="s">
        <v>55</v>
      </c>
      <c r="R116" t="s">
        <v>569</v>
      </c>
      <c r="S116" s="2">
        <v>46203</v>
      </c>
      <c r="T116" s="2">
        <v>46203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5">
      <c r="A117">
        <v>562</v>
      </c>
      <c r="B117" t="s">
        <v>762</v>
      </c>
      <c r="C117" t="s">
        <v>763</v>
      </c>
      <c r="D117" t="s">
        <v>100</v>
      </c>
      <c r="E117" t="s">
        <v>682</v>
      </c>
      <c r="F117" s="2">
        <v>46191</v>
      </c>
      <c r="G117" s="2">
        <v>46203</v>
      </c>
      <c r="H117" s="3">
        <v>1</v>
      </c>
      <c r="I117" s="2">
        <v>46203</v>
      </c>
      <c r="J117" t="s">
        <v>53</v>
      </c>
      <c r="K117" t="s">
        <v>693</v>
      </c>
      <c r="L117">
        <v>563</v>
      </c>
      <c r="M117" t="s">
        <v>308</v>
      </c>
      <c r="N117" s="2">
        <v>46205</v>
      </c>
      <c r="P117" t="s">
        <v>73</v>
      </c>
      <c r="Q117" t="s">
        <v>55</v>
      </c>
      <c r="R117" t="s">
        <v>569</v>
      </c>
      <c r="S117" s="2">
        <v>46189</v>
      </c>
      <c r="T117" s="2">
        <v>46202</v>
      </c>
      <c r="AB117">
        <v>1</v>
      </c>
      <c r="AC117">
        <v>1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</row>
    <row r="118" spans="1:39" x14ac:dyDescent="0.25">
      <c r="A118">
        <v>563</v>
      </c>
      <c r="B118" t="s">
        <v>764</v>
      </c>
      <c r="C118" t="s">
        <v>763</v>
      </c>
      <c r="D118" t="s">
        <v>104</v>
      </c>
      <c r="E118" t="s">
        <v>101</v>
      </c>
      <c r="F118" s="2">
        <v>46204</v>
      </c>
      <c r="G118" s="2">
        <v>46206</v>
      </c>
      <c r="H118" s="3">
        <v>1</v>
      </c>
      <c r="I118" s="2">
        <v>46206</v>
      </c>
      <c r="J118" t="s">
        <v>53</v>
      </c>
      <c r="K118">
        <v>562</v>
      </c>
      <c r="L118">
        <v>564</v>
      </c>
      <c r="M118" t="s">
        <v>385</v>
      </c>
      <c r="N118" s="2">
        <v>46206</v>
      </c>
      <c r="P118" t="s">
        <v>179</v>
      </c>
      <c r="Q118" t="s">
        <v>55</v>
      </c>
      <c r="R118" t="s">
        <v>569</v>
      </c>
      <c r="S118" s="2">
        <v>46203</v>
      </c>
      <c r="T118" s="2">
        <v>46203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567</v>
      </c>
      <c r="B119" t="s">
        <v>769</v>
      </c>
      <c r="C119" t="s">
        <v>770</v>
      </c>
      <c r="D119" t="s">
        <v>100</v>
      </c>
      <c r="E119" t="s">
        <v>682</v>
      </c>
      <c r="F119" s="2">
        <v>46191</v>
      </c>
      <c r="G119" s="2">
        <v>46203</v>
      </c>
      <c r="H119" s="3">
        <v>1</v>
      </c>
      <c r="I119" s="2">
        <v>46203</v>
      </c>
      <c r="J119" t="s">
        <v>53</v>
      </c>
      <c r="K119" t="s">
        <v>693</v>
      </c>
      <c r="L119">
        <v>568</v>
      </c>
      <c r="M119" t="s">
        <v>308</v>
      </c>
      <c r="N119" s="2">
        <v>46205</v>
      </c>
      <c r="P119" t="s">
        <v>73</v>
      </c>
      <c r="Q119" t="s">
        <v>55</v>
      </c>
      <c r="R119" t="s">
        <v>569</v>
      </c>
      <c r="S119" s="2">
        <v>46189</v>
      </c>
      <c r="T119" s="2">
        <v>46202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</row>
    <row r="120" spans="1:39" x14ac:dyDescent="0.25">
      <c r="A120">
        <v>568</v>
      </c>
      <c r="B120" t="s">
        <v>771</v>
      </c>
      <c r="C120" t="s">
        <v>770</v>
      </c>
      <c r="D120" t="s">
        <v>104</v>
      </c>
      <c r="E120" t="s">
        <v>101</v>
      </c>
      <c r="F120" s="2">
        <v>46204</v>
      </c>
      <c r="G120" s="2">
        <v>46206</v>
      </c>
      <c r="H120" s="3">
        <v>1</v>
      </c>
      <c r="I120" s="2">
        <v>46206</v>
      </c>
      <c r="J120" t="s">
        <v>53</v>
      </c>
      <c r="K120">
        <v>567</v>
      </c>
      <c r="L120">
        <v>569</v>
      </c>
      <c r="M120" t="s">
        <v>385</v>
      </c>
      <c r="N120" s="2">
        <v>46206</v>
      </c>
      <c r="P120" t="s">
        <v>179</v>
      </c>
      <c r="Q120" t="s">
        <v>55</v>
      </c>
      <c r="R120" t="s">
        <v>569</v>
      </c>
      <c r="S120" s="2">
        <v>46203</v>
      </c>
      <c r="T120" s="2">
        <v>46203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572</v>
      </c>
      <c r="B121" t="s">
        <v>776</v>
      </c>
      <c r="C121" t="s">
        <v>777</v>
      </c>
      <c r="D121" t="s">
        <v>100</v>
      </c>
      <c r="E121" t="s">
        <v>682</v>
      </c>
      <c r="F121" s="2">
        <v>46191</v>
      </c>
      <c r="G121" s="2">
        <v>46203</v>
      </c>
      <c r="H121" s="3">
        <v>1</v>
      </c>
      <c r="I121" s="2">
        <v>46203</v>
      </c>
      <c r="J121" t="s">
        <v>53</v>
      </c>
      <c r="K121" t="s">
        <v>693</v>
      </c>
      <c r="L121">
        <v>573</v>
      </c>
      <c r="M121" t="s">
        <v>308</v>
      </c>
      <c r="N121" s="2">
        <v>46205</v>
      </c>
      <c r="P121" t="s">
        <v>73</v>
      </c>
      <c r="Q121" t="s">
        <v>55</v>
      </c>
      <c r="R121" t="s">
        <v>569</v>
      </c>
      <c r="S121" s="2">
        <v>46189</v>
      </c>
      <c r="T121" s="2">
        <v>46202</v>
      </c>
      <c r="AB121">
        <v>1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</row>
    <row r="122" spans="1:39" x14ac:dyDescent="0.25">
      <c r="A122">
        <v>573</v>
      </c>
      <c r="B122" t="s">
        <v>778</v>
      </c>
      <c r="C122" t="s">
        <v>777</v>
      </c>
      <c r="D122" t="s">
        <v>104</v>
      </c>
      <c r="E122" t="s">
        <v>101</v>
      </c>
      <c r="F122" s="2">
        <v>46204</v>
      </c>
      <c r="G122" s="2">
        <v>46206</v>
      </c>
      <c r="H122" s="3">
        <v>1</v>
      </c>
      <c r="I122" s="2">
        <v>46206</v>
      </c>
      <c r="J122" t="s">
        <v>53</v>
      </c>
      <c r="K122">
        <v>572</v>
      </c>
      <c r="L122">
        <v>574</v>
      </c>
      <c r="M122" t="s">
        <v>385</v>
      </c>
      <c r="N122" s="2">
        <v>46206</v>
      </c>
      <c r="P122" t="s">
        <v>179</v>
      </c>
      <c r="Q122" t="s">
        <v>55</v>
      </c>
      <c r="R122" t="s">
        <v>569</v>
      </c>
      <c r="S122" s="2">
        <v>46203</v>
      </c>
      <c r="T122" s="2">
        <v>46203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5">
      <c r="A123">
        <v>577</v>
      </c>
      <c r="B123" t="s">
        <v>783</v>
      </c>
      <c r="C123" t="s">
        <v>784</v>
      </c>
      <c r="D123" t="s">
        <v>100</v>
      </c>
      <c r="E123" t="s">
        <v>682</v>
      </c>
      <c r="F123" s="2">
        <v>46191</v>
      </c>
      <c r="G123" s="2">
        <v>46203</v>
      </c>
      <c r="H123" s="3">
        <v>1</v>
      </c>
      <c r="I123" s="2">
        <v>46203</v>
      </c>
      <c r="J123" t="s">
        <v>53</v>
      </c>
      <c r="K123" t="s">
        <v>693</v>
      </c>
      <c r="L123">
        <v>578</v>
      </c>
      <c r="M123" t="s">
        <v>308</v>
      </c>
      <c r="N123" s="2">
        <v>46205</v>
      </c>
      <c r="P123" t="s">
        <v>73</v>
      </c>
      <c r="Q123" t="s">
        <v>55</v>
      </c>
      <c r="R123" t="s">
        <v>569</v>
      </c>
      <c r="S123" s="2">
        <v>46189</v>
      </c>
      <c r="T123" s="2">
        <v>46202</v>
      </c>
      <c r="AB123">
        <v>1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</row>
    <row r="124" spans="1:39" x14ac:dyDescent="0.25">
      <c r="A124">
        <v>578</v>
      </c>
      <c r="B124" t="s">
        <v>785</v>
      </c>
      <c r="C124" t="s">
        <v>784</v>
      </c>
      <c r="D124" t="s">
        <v>104</v>
      </c>
      <c r="E124" t="s">
        <v>101</v>
      </c>
      <c r="F124" s="2">
        <v>46204</v>
      </c>
      <c r="G124" s="2">
        <v>46206</v>
      </c>
      <c r="H124" s="3">
        <v>1</v>
      </c>
      <c r="I124" s="2">
        <v>46206</v>
      </c>
      <c r="J124" t="s">
        <v>53</v>
      </c>
      <c r="K124">
        <v>577</v>
      </c>
      <c r="L124">
        <v>579</v>
      </c>
      <c r="M124" t="s">
        <v>385</v>
      </c>
      <c r="N124" s="2">
        <v>46206</v>
      </c>
      <c r="P124" t="s">
        <v>179</v>
      </c>
      <c r="Q124" t="s">
        <v>55</v>
      </c>
      <c r="R124" t="s">
        <v>569</v>
      </c>
      <c r="S124" s="2">
        <v>46203</v>
      </c>
      <c r="T124" s="2">
        <v>46203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>
        <v>582</v>
      </c>
      <c r="B125" t="s">
        <v>790</v>
      </c>
      <c r="C125" t="s">
        <v>791</v>
      </c>
      <c r="D125" t="s">
        <v>100</v>
      </c>
      <c r="E125" t="s">
        <v>682</v>
      </c>
      <c r="F125" s="2">
        <v>46191</v>
      </c>
      <c r="G125" s="2">
        <v>46203</v>
      </c>
      <c r="H125" s="3">
        <v>1</v>
      </c>
      <c r="I125" s="2">
        <v>46203</v>
      </c>
      <c r="J125" t="s">
        <v>53</v>
      </c>
      <c r="K125" t="s">
        <v>693</v>
      </c>
      <c r="L125">
        <v>583</v>
      </c>
      <c r="M125" t="s">
        <v>308</v>
      </c>
      <c r="N125" s="2">
        <v>46205</v>
      </c>
      <c r="P125" t="s">
        <v>73</v>
      </c>
      <c r="Q125" t="s">
        <v>55</v>
      </c>
      <c r="R125" t="s">
        <v>569</v>
      </c>
      <c r="S125" s="2">
        <v>46189</v>
      </c>
      <c r="T125" s="2">
        <v>46202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</row>
    <row r="126" spans="1:39" x14ac:dyDescent="0.25">
      <c r="A126">
        <v>583</v>
      </c>
      <c r="B126" t="s">
        <v>792</v>
      </c>
      <c r="C126" t="s">
        <v>791</v>
      </c>
      <c r="D126" t="s">
        <v>104</v>
      </c>
      <c r="E126" t="s">
        <v>101</v>
      </c>
      <c r="F126" s="2">
        <v>46204</v>
      </c>
      <c r="G126" s="2">
        <v>46206</v>
      </c>
      <c r="H126" s="3">
        <v>1</v>
      </c>
      <c r="I126" s="2">
        <v>46206</v>
      </c>
      <c r="J126" t="s">
        <v>53</v>
      </c>
      <c r="K126">
        <v>582</v>
      </c>
      <c r="L126">
        <v>584</v>
      </c>
      <c r="M126" t="s">
        <v>385</v>
      </c>
      <c r="N126" s="2">
        <v>46206</v>
      </c>
      <c r="P126" t="s">
        <v>179</v>
      </c>
      <c r="Q126" t="s">
        <v>55</v>
      </c>
      <c r="R126" t="s">
        <v>569</v>
      </c>
      <c r="S126" s="2">
        <v>46203</v>
      </c>
      <c r="T126" s="2">
        <v>46203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>
        <v>587</v>
      </c>
      <c r="B127" t="s">
        <v>797</v>
      </c>
      <c r="C127" t="s">
        <v>798</v>
      </c>
      <c r="D127" t="s">
        <v>100</v>
      </c>
      <c r="E127" t="s">
        <v>682</v>
      </c>
      <c r="F127" s="2">
        <v>46191</v>
      </c>
      <c r="G127" s="2">
        <v>46203</v>
      </c>
      <c r="H127" s="3">
        <v>1</v>
      </c>
      <c r="I127" s="2">
        <v>46203</v>
      </c>
      <c r="J127" t="s">
        <v>53</v>
      </c>
      <c r="K127" t="s">
        <v>693</v>
      </c>
      <c r="L127">
        <v>588</v>
      </c>
      <c r="M127" t="s">
        <v>304</v>
      </c>
      <c r="N127" s="2">
        <v>46202</v>
      </c>
      <c r="P127" t="s">
        <v>73</v>
      </c>
      <c r="Q127" t="s">
        <v>55</v>
      </c>
      <c r="R127" t="s">
        <v>569</v>
      </c>
      <c r="S127" s="2">
        <v>46192</v>
      </c>
      <c r="T127" s="2">
        <v>46202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</row>
    <row r="128" spans="1:39" x14ac:dyDescent="0.25">
      <c r="A128">
        <v>588</v>
      </c>
      <c r="B128" t="s">
        <v>799</v>
      </c>
      <c r="C128" t="s">
        <v>798</v>
      </c>
      <c r="D128" t="s">
        <v>104</v>
      </c>
      <c r="E128" t="s">
        <v>101</v>
      </c>
      <c r="F128" s="2">
        <v>46204</v>
      </c>
      <c r="G128" s="2">
        <v>46206</v>
      </c>
      <c r="H128" s="3">
        <v>1</v>
      </c>
      <c r="I128" s="2">
        <v>46206</v>
      </c>
      <c r="J128" t="s">
        <v>53</v>
      </c>
      <c r="K128">
        <v>587</v>
      </c>
      <c r="L128">
        <v>589</v>
      </c>
      <c r="M128" t="s">
        <v>197</v>
      </c>
      <c r="N128" s="2">
        <v>46203</v>
      </c>
      <c r="P128" t="s">
        <v>179</v>
      </c>
      <c r="Q128" t="s">
        <v>55</v>
      </c>
      <c r="R128" t="s">
        <v>569</v>
      </c>
      <c r="S128" s="2">
        <v>46203</v>
      </c>
      <c r="T128" s="2">
        <v>46203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592</v>
      </c>
      <c r="B129" t="s">
        <v>804</v>
      </c>
      <c r="C129" t="s">
        <v>805</v>
      </c>
      <c r="D129" t="s">
        <v>100</v>
      </c>
      <c r="E129" t="s">
        <v>682</v>
      </c>
      <c r="F129" s="2">
        <v>46191</v>
      </c>
      <c r="G129" s="2">
        <v>46203</v>
      </c>
      <c r="H129" s="3">
        <v>1</v>
      </c>
      <c r="I129" s="2">
        <v>46203</v>
      </c>
      <c r="J129" t="s">
        <v>53</v>
      </c>
      <c r="K129" t="s">
        <v>693</v>
      </c>
      <c r="L129">
        <v>593</v>
      </c>
      <c r="M129" t="s">
        <v>284</v>
      </c>
      <c r="N129" s="2">
        <v>46203</v>
      </c>
      <c r="P129" t="s">
        <v>73</v>
      </c>
      <c r="Q129" t="s">
        <v>55</v>
      </c>
      <c r="R129" t="s">
        <v>569</v>
      </c>
      <c r="S129" s="2">
        <v>46195</v>
      </c>
      <c r="T129" s="2">
        <v>46203</v>
      </c>
      <c r="AB129">
        <v>1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</row>
    <row r="130" spans="1:39" x14ac:dyDescent="0.25">
      <c r="A130">
        <v>593</v>
      </c>
      <c r="B130" t="s">
        <v>806</v>
      </c>
      <c r="C130" t="s">
        <v>805</v>
      </c>
      <c r="D130" t="s">
        <v>104</v>
      </c>
      <c r="E130" t="s">
        <v>101</v>
      </c>
      <c r="F130" s="2">
        <v>46204</v>
      </c>
      <c r="G130" s="2">
        <v>46206</v>
      </c>
      <c r="H130" s="3">
        <v>1</v>
      </c>
      <c r="I130" s="2">
        <v>46206</v>
      </c>
      <c r="J130" t="s">
        <v>53</v>
      </c>
      <c r="K130">
        <v>592</v>
      </c>
      <c r="L130">
        <v>594</v>
      </c>
      <c r="M130" t="s">
        <v>404</v>
      </c>
      <c r="N130" s="2">
        <v>46204</v>
      </c>
      <c r="P130" t="s">
        <v>179</v>
      </c>
      <c r="Q130" t="s">
        <v>55</v>
      </c>
      <c r="R130" t="s">
        <v>569</v>
      </c>
      <c r="S130" s="2">
        <v>46204</v>
      </c>
      <c r="T130" s="2">
        <v>46204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597</v>
      </c>
      <c r="B131" t="s">
        <v>811</v>
      </c>
      <c r="C131" t="s">
        <v>812</v>
      </c>
      <c r="D131" t="s">
        <v>100</v>
      </c>
      <c r="E131" t="s">
        <v>682</v>
      </c>
      <c r="F131" s="2">
        <v>46191</v>
      </c>
      <c r="G131" s="2">
        <v>46203</v>
      </c>
      <c r="H131" s="3">
        <v>1</v>
      </c>
      <c r="I131" s="2">
        <v>46203</v>
      </c>
      <c r="J131" t="s">
        <v>53</v>
      </c>
      <c r="K131" t="s">
        <v>693</v>
      </c>
      <c r="L131">
        <v>598</v>
      </c>
      <c r="M131" t="s">
        <v>284</v>
      </c>
      <c r="N131" s="2">
        <v>46203</v>
      </c>
      <c r="P131" t="s">
        <v>73</v>
      </c>
      <c r="Q131" t="s">
        <v>55</v>
      </c>
      <c r="R131" t="s">
        <v>569</v>
      </c>
      <c r="S131" s="2">
        <v>46195</v>
      </c>
      <c r="T131" s="2">
        <v>46203</v>
      </c>
      <c r="AB131">
        <v>1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</row>
    <row r="132" spans="1:39" x14ac:dyDescent="0.25">
      <c r="A132">
        <v>598</v>
      </c>
      <c r="B132" t="s">
        <v>813</v>
      </c>
      <c r="C132" t="s">
        <v>812</v>
      </c>
      <c r="D132" t="s">
        <v>104</v>
      </c>
      <c r="E132" t="s">
        <v>101</v>
      </c>
      <c r="F132" s="2">
        <v>46204</v>
      </c>
      <c r="G132" s="2">
        <v>46206</v>
      </c>
      <c r="H132" s="3">
        <v>1</v>
      </c>
      <c r="I132" s="2">
        <v>46206</v>
      </c>
      <c r="J132" t="s">
        <v>53</v>
      </c>
      <c r="K132">
        <v>597</v>
      </c>
      <c r="L132">
        <v>599</v>
      </c>
      <c r="M132" t="s">
        <v>404</v>
      </c>
      <c r="N132" s="2">
        <v>46204</v>
      </c>
      <c r="P132" t="s">
        <v>179</v>
      </c>
      <c r="Q132" t="s">
        <v>55</v>
      </c>
      <c r="R132" t="s">
        <v>569</v>
      </c>
      <c r="S132" s="2">
        <v>46204</v>
      </c>
      <c r="T132" s="2">
        <v>46204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602</v>
      </c>
      <c r="B133" t="s">
        <v>818</v>
      </c>
      <c r="C133" t="s">
        <v>819</v>
      </c>
      <c r="D133" t="s">
        <v>100</v>
      </c>
      <c r="E133" t="s">
        <v>682</v>
      </c>
      <c r="F133" s="2">
        <v>46191</v>
      </c>
      <c r="G133" s="2">
        <v>46203</v>
      </c>
      <c r="H133" s="3">
        <v>1</v>
      </c>
      <c r="I133" s="2">
        <v>46203</v>
      </c>
      <c r="J133" t="s">
        <v>53</v>
      </c>
      <c r="K133" t="s">
        <v>693</v>
      </c>
      <c r="L133">
        <v>603</v>
      </c>
      <c r="M133" t="s">
        <v>304</v>
      </c>
      <c r="N133" s="2">
        <v>46202</v>
      </c>
      <c r="P133" t="s">
        <v>73</v>
      </c>
      <c r="Q133" t="s">
        <v>55</v>
      </c>
      <c r="R133" t="s">
        <v>569</v>
      </c>
      <c r="S133" s="2">
        <v>46192</v>
      </c>
      <c r="T133" s="2">
        <v>46202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</row>
    <row r="134" spans="1:39" x14ac:dyDescent="0.25">
      <c r="A134">
        <v>603</v>
      </c>
      <c r="B134" t="s">
        <v>820</v>
      </c>
      <c r="C134" t="s">
        <v>819</v>
      </c>
      <c r="D134" t="s">
        <v>104</v>
      </c>
      <c r="E134" t="s">
        <v>101</v>
      </c>
      <c r="F134" s="2">
        <v>46204</v>
      </c>
      <c r="G134" s="2">
        <v>46206</v>
      </c>
      <c r="H134" s="3">
        <v>1</v>
      </c>
      <c r="I134" s="2">
        <v>46206</v>
      </c>
      <c r="J134" t="s">
        <v>53</v>
      </c>
      <c r="K134">
        <v>602</v>
      </c>
      <c r="L134">
        <v>604</v>
      </c>
      <c r="M134" t="s">
        <v>197</v>
      </c>
      <c r="N134" s="2">
        <v>46203</v>
      </c>
      <c r="P134" t="s">
        <v>179</v>
      </c>
      <c r="Q134" t="s">
        <v>55</v>
      </c>
      <c r="R134" t="s">
        <v>569</v>
      </c>
      <c r="S134" s="2">
        <v>46203</v>
      </c>
      <c r="T134" s="2">
        <v>46203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5">
      <c r="A135">
        <v>607</v>
      </c>
      <c r="B135" t="s">
        <v>825</v>
      </c>
      <c r="C135" t="s">
        <v>826</v>
      </c>
      <c r="D135" t="s">
        <v>100</v>
      </c>
      <c r="E135" t="s">
        <v>224</v>
      </c>
      <c r="F135" s="2">
        <v>46192</v>
      </c>
      <c r="G135" s="2">
        <v>46199</v>
      </c>
      <c r="H135" s="3">
        <v>1</v>
      </c>
      <c r="I135" s="2">
        <v>46199</v>
      </c>
      <c r="J135" t="s">
        <v>53</v>
      </c>
      <c r="K135" t="s">
        <v>693</v>
      </c>
      <c r="L135">
        <v>608</v>
      </c>
      <c r="M135" t="s">
        <v>304</v>
      </c>
      <c r="N135" s="2">
        <v>46202</v>
      </c>
      <c r="P135" t="s">
        <v>73</v>
      </c>
      <c r="Q135" t="s">
        <v>55</v>
      </c>
      <c r="R135" t="s">
        <v>569</v>
      </c>
      <c r="S135" s="2">
        <v>46192</v>
      </c>
      <c r="T135" s="2">
        <v>46202</v>
      </c>
      <c r="AB135">
        <v>1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</row>
    <row r="136" spans="1:39" x14ac:dyDescent="0.25">
      <c r="A136">
        <v>608</v>
      </c>
      <c r="B136" t="s">
        <v>827</v>
      </c>
      <c r="C136" t="s">
        <v>826</v>
      </c>
      <c r="D136" t="s">
        <v>104</v>
      </c>
      <c r="E136" t="s">
        <v>115</v>
      </c>
      <c r="F136" s="2">
        <v>46202</v>
      </c>
      <c r="G136" s="2">
        <v>46203</v>
      </c>
      <c r="H136" s="3">
        <v>1</v>
      </c>
      <c r="I136" s="2">
        <v>46203</v>
      </c>
      <c r="J136" t="s">
        <v>53</v>
      </c>
      <c r="K136">
        <v>607</v>
      </c>
      <c r="L136">
        <v>609</v>
      </c>
      <c r="M136" t="s">
        <v>197</v>
      </c>
      <c r="N136" s="2">
        <v>46203</v>
      </c>
      <c r="P136" t="s">
        <v>179</v>
      </c>
      <c r="Q136" t="s">
        <v>55</v>
      </c>
      <c r="R136" t="s">
        <v>569</v>
      </c>
      <c r="S136" s="2">
        <v>46203</v>
      </c>
      <c r="T136" s="2">
        <v>46203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612</v>
      </c>
      <c r="B137" t="s">
        <v>832</v>
      </c>
      <c r="C137" t="s">
        <v>833</v>
      </c>
      <c r="D137" t="s">
        <v>100</v>
      </c>
      <c r="E137" t="s">
        <v>297</v>
      </c>
      <c r="F137" s="2">
        <v>46191</v>
      </c>
      <c r="G137" s="2">
        <v>46199</v>
      </c>
      <c r="H137" s="3">
        <v>1</v>
      </c>
      <c r="I137" s="2">
        <v>46199</v>
      </c>
      <c r="J137" t="s">
        <v>53</v>
      </c>
      <c r="K137" t="s">
        <v>693</v>
      </c>
      <c r="L137">
        <v>613</v>
      </c>
      <c r="M137" t="s">
        <v>304</v>
      </c>
      <c r="N137" s="2">
        <v>46202</v>
      </c>
      <c r="P137" t="s">
        <v>73</v>
      </c>
      <c r="Q137" t="s">
        <v>55</v>
      </c>
      <c r="R137" t="s">
        <v>569</v>
      </c>
      <c r="S137" s="2">
        <v>46192</v>
      </c>
      <c r="T137" s="2">
        <v>46202</v>
      </c>
      <c r="AB137">
        <v>1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</row>
    <row r="138" spans="1:39" x14ac:dyDescent="0.25">
      <c r="A138">
        <v>617</v>
      </c>
      <c r="B138" t="s">
        <v>839</v>
      </c>
      <c r="C138" t="s">
        <v>840</v>
      </c>
      <c r="D138" t="s">
        <v>100</v>
      </c>
      <c r="E138" t="s">
        <v>515</v>
      </c>
      <c r="F138" s="2">
        <v>46192</v>
      </c>
      <c r="G138" s="2">
        <v>46203</v>
      </c>
      <c r="H138" s="3">
        <v>1</v>
      </c>
      <c r="I138" s="2">
        <v>46203</v>
      </c>
      <c r="J138" t="s">
        <v>53</v>
      </c>
      <c r="K138" t="s">
        <v>693</v>
      </c>
      <c r="L138">
        <v>618</v>
      </c>
      <c r="M138" t="s">
        <v>304</v>
      </c>
      <c r="N138" s="2">
        <v>46202</v>
      </c>
      <c r="P138" t="s">
        <v>73</v>
      </c>
      <c r="Q138" t="s">
        <v>55</v>
      </c>
      <c r="R138" t="s">
        <v>569</v>
      </c>
      <c r="S138" s="2">
        <v>46192</v>
      </c>
      <c r="T138" s="2">
        <v>46202</v>
      </c>
      <c r="AB138">
        <v>1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</row>
    <row r="139" spans="1:39" x14ac:dyDescent="0.25">
      <c r="A139">
        <v>622</v>
      </c>
      <c r="B139" t="s">
        <v>846</v>
      </c>
      <c r="C139" t="s">
        <v>847</v>
      </c>
      <c r="D139" t="s">
        <v>100</v>
      </c>
      <c r="E139" t="s">
        <v>848</v>
      </c>
      <c r="F139" s="2">
        <v>46203</v>
      </c>
      <c r="G139" s="2">
        <v>46211</v>
      </c>
      <c r="H139" s="3">
        <v>1</v>
      </c>
      <c r="I139" s="2">
        <v>46211</v>
      </c>
      <c r="J139" t="s">
        <v>53</v>
      </c>
      <c r="K139">
        <v>482</v>
      </c>
      <c r="L139">
        <v>623</v>
      </c>
      <c r="M139" t="s">
        <v>197</v>
      </c>
      <c r="N139" s="2">
        <v>46209</v>
      </c>
      <c r="P139" t="s">
        <v>179</v>
      </c>
      <c r="Q139" t="s">
        <v>55</v>
      </c>
      <c r="R139" t="s">
        <v>569</v>
      </c>
      <c r="S139" s="2">
        <v>46203</v>
      </c>
      <c r="T139" s="2">
        <v>46209</v>
      </c>
      <c r="AB139">
        <v>1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</row>
    <row r="140" spans="1:39" x14ac:dyDescent="0.25">
      <c r="A140">
        <v>627</v>
      </c>
      <c r="B140" t="s">
        <v>855</v>
      </c>
      <c r="C140" t="s">
        <v>856</v>
      </c>
      <c r="D140" t="s">
        <v>100</v>
      </c>
      <c r="E140" t="s">
        <v>297</v>
      </c>
      <c r="F140" s="2">
        <v>46189</v>
      </c>
      <c r="G140" s="2">
        <v>46197</v>
      </c>
      <c r="H140" s="3">
        <v>1</v>
      </c>
      <c r="I140" s="2">
        <v>46197</v>
      </c>
      <c r="J140" t="s">
        <v>53</v>
      </c>
      <c r="L140">
        <v>628</v>
      </c>
      <c r="M140" t="s">
        <v>228</v>
      </c>
      <c r="N140" s="2">
        <v>46192</v>
      </c>
      <c r="P140" t="s">
        <v>73</v>
      </c>
      <c r="Q140" t="s">
        <v>55</v>
      </c>
      <c r="R140" t="s">
        <v>569</v>
      </c>
      <c r="S140" s="2">
        <v>46189</v>
      </c>
      <c r="T140" s="2">
        <v>46192</v>
      </c>
      <c r="AB140">
        <v>1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</row>
    <row r="141" spans="1:39" x14ac:dyDescent="0.25">
      <c r="A141">
        <v>628</v>
      </c>
      <c r="B141" t="s">
        <v>857</v>
      </c>
      <c r="C141" t="s">
        <v>856</v>
      </c>
      <c r="D141" t="s">
        <v>104</v>
      </c>
      <c r="E141" t="s">
        <v>101</v>
      </c>
      <c r="F141" s="2">
        <v>46198</v>
      </c>
      <c r="G141" s="2">
        <v>46202</v>
      </c>
      <c r="H141" s="3">
        <v>1</v>
      </c>
      <c r="I141" s="2">
        <v>46202</v>
      </c>
      <c r="J141" t="s">
        <v>53</v>
      </c>
      <c r="K141">
        <v>627</v>
      </c>
      <c r="L141">
        <v>629</v>
      </c>
      <c r="M141" t="s">
        <v>284</v>
      </c>
      <c r="N141" s="2">
        <v>46195</v>
      </c>
      <c r="P141" t="s">
        <v>179</v>
      </c>
      <c r="Q141" t="s">
        <v>55</v>
      </c>
      <c r="R141" t="s">
        <v>569</v>
      </c>
      <c r="S141" s="2">
        <v>46195</v>
      </c>
      <c r="T141" s="2">
        <v>46195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632</v>
      </c>
      <c r="B142" t="s">
        <v>862</v>
      </c>
      <c r="C142" t="s">
        <v>863</v>
      </c>
      <c r="D142" t="s">
        <v>100</v>
      </c>
      <c r="E142" t="s">
        <v>515</v>
      </c>
      <c r="F142" s="2">
        <v>46202</v>
      </c>
      <c r="G142" s="2">
        <v>46211</v>
      </c>
      <c r="H142" s="3">
        <v>1</v>
      </c>
      <c r="I142" s="2">
        <v>46211</v>
      </c>
      <c r="J142" t="s">
        <v>53</v>
      </c>
      <c r="L142">
        <v>633</v>
      </c>
      <c r="M142" t="s">
        <v>197</v>
      </c>
      <c r="N142" s="2">
        <v>46205</v>
      </c>
      <c r="P142" t="s">
        <v>73</v>
      </c>
      <c r="Q142" t="s">
        <v>55</v>
      </c>
      <c r="R142" t="s">
        <v>569</v>
      </c>
      <c r="S142" s="2">
        <v>46197</v>
      </c>
      <c r="T142" s="2">
        <v>46199</v>
      </c>
      <c r="AB142">
        <v>1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</row>
    <row r="143" spans="1:39" x14ac:dyDescent="0.25">
      <c r="A143">
        <v>638</v>
      </c>
      <c r="B143" t="s">
        <v>873</v>
      </c>
      <c r="C143" t="s">
        <v>874</v>
      </c>
      <c r="D143" t="s">
        <v>100</v>
      </c>
      <c r="E143" t="s">
        <v>224</v>
      </c>
      <c r="F143" s="2">
        <v>46205</v>
      </c>
      <c r="G143" s="2">
        <v>46216</v>
      </c>
      <c r="H143" s="3">
        <v>1</v>
      </c>
      <c r="I143" s="2">
        <v>46216</v>
      </c>
      <c r="J143" t="s">
        <v>53</v>
      </c>
      <c r="K143" t="s">
        <v>875</v>
      </c>
      <c r="L143" t="s">
        <v>876</v>
      </c>
      <c r="M143" t="s">
        <v>228</v>
      </c>
      <c r="N143" s="2">
        <v>46198</v>
      </c>
      <c r="P143" t="s">
        <v>179</v>
      </c>
      <c r="Q143" t="s">
        <v>55</v>
      </c>
      <c r="R143" t="s">
        <v>869</v>
      </c>
      <c r="S143" s="2">
        <v>46176</v>
      </c>
      <c r="T143" s="2">
        <v>46185</v>
      </c>
      <c r="AB143">
        <v>1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40"/>
  <sheetViews>
    <sheetView workbookViewId="0">
      <selection activeCell="H1" sqref="H1:H1048576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7.28515625" bestFit="1" customWidth="1"/>
    <col min="5" max="5" width="10.42578125" bestFit="1" customWidth="1"/>
    <col min="6" max="7" width="18.28515625" style="2" bestFit="1" customWidth="1"/>
    <col min="8" max="8" width="13.7109375" style="3" bestFit="1" customWidth="1"/>
    <col min="9" max="9" width="14.5703125" bestFit="1" customWidth="1"/>
    <col min="10" max="10" width="12.42578125" bestFit="1" customWidth="1"/>
    <col min="11" max="11" width="16.140625" bestFit="1" customWidth="1"/>
    <col min="12" max="12" width="37.5703125" bestFit="1" customWidth="1"/>
    <col min="13" max="13" width="23.42578125" bestFit="1" customWidth="1"/>
    <col min="14" max="14" width="25.85546875" style="2" bestFit="1" customWidth="1"/>
    <col min="15" max="15" width="21.28515625" bestFit="1" customWidth="1"/>
    <col min="16" max="16" width="14.5703125" bestFit="1" customWidth="1"/>
    <col min="17" max="17" width="8.85546875" bestFit="1" customWidth="1"/>
    <col min="18" max="18" width="32.140625" bestFit="1" customWidth="1"/>
    <col min="19" max="20" width="18.28515625" style="2" bestFit="1" customWidth="1"/>
    <col min="21" max="21" width="14.28515625" bestFit="1" customWidth="1"/>
    <col min="22" max="22" width="15" bestFit="1" customWidth="1"/>
    <col min="23" max="23" width="57.5703125" bestFit="1" customWidth="1"/>
    <col min="24" max="24" width="29.7109375" bestFit="1" customWidth="1"/>
    <col min="25" max="25" width="35.28515625" bestFit="1" customWidth="1"/>
    <col min="26" max="26" width="57.5703125" bestFit="1" customWidth="1"/>
    <col min="27" max="27" width="15" bestFit="1" customWidth="1"/>
    <col min="28" max="28" width="9.5703125" bestFit="1" customWidth="1"/>
    <col min="29" max="29" width="21" bestFit="1" customWidth="1"/>
    <col min="30" max="30" width="25.42578125" bestFit="1" customWidth="1"/>
    <col min="31" max="31" width="24.7109375" bestFit="1" customWidth="1"/>
    <col min="32" max="32" width="17.28515625" bestFit="1" customWidth="1"/>
    <col min="33" max="33" width="30.42578125" bestFit="1" customWidth="1"/>
    <col min="34" max="34" width="27.140625" bestFit="1" customWidth="1"/>
    <col min="35" max="35" width="38.28515625" bestFit="1" customWidth="1"/>
    <col min="36" max="36" width="23.85546875" bestFit="1" customWidth="1"/>
    <col min="37" max="37" width="21.7109375" bestFit="1" customWidth="1"/>
    <col min="38" max="38" width="21" bestFit="1" customWidth="1"/>
    <col min="39" max="39" width="12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>
        <v>1</v>
      </c>
      <c r="D2" t="s">
        <v>39</v>
      </c>
      <c r="E2" t="s">
        <v>40</v>
      </c>
      <c r="F2" s="2">
        <v>46139</v>
      </c>
      <c r="G2" s="2">
        <v>46219</v>
      </c>
      <c r="H2" s="3">
        <v>0.67</v>
      </c>
      <c r="J2" t="s">
        <v>41</v>
      </c>
      <c r="M2" t="s">
        <v>42</v>
      </c>
      <c r="N2" s="2">
        <v>46211</v>
      </c>
      <c r="P2" t="s">
        <v>43</v>
      </c>
      <c r="Q2" t="s">
        <v>44</v>
      </c>
      <c r="R2" t="s">
        <v>45</v>
      </c>
      <c r="S2" s="2">
        <v>46139</v>
      </c>
      <c r="T2" s="2">
        <v>46210</v>
      </c>
      <c r="AB2">
        <v>0.67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2</v>
      </c>
      <c r="B3" t="s">
        <v>46</v>
      </c>
      <c r="C3" t="s">
        <v>47</v>
      </c>
      <c r="D3" t="s">
        <v>48</v>
      </c>
      <c r="E3" t="s">
        <v>40</v>
      </c>
      <c r="F3" s="2">
        <v>46139</v>
      </c>
      <c r="G3" s="2">
        <v>46219</v>
      </c>
      <c r="H3" s="3">
        <v>0.67</v>
      </c>
      <c r="J3" t="s">
        <v>41</v>
      </c>
      <c r="M3" t="s">
        <v>42</v>
      </c>
      <c r="N3" s="2">
        <v>46211</v>
      </c>
      <c r="P3" t="s">
        <v>43</v>
      </c>
      <c r="Q3" t="s">
        <v>44</v>
      </c>
      <c r="R3" t="s">
        <v>45</v>
      </c>
      <c r="S3" s="2">
        <v>46139</v>
      </c>
      <c r="T3" s="2">
        <v>46210</v>
      </c>
      <c r="AB3">
        <v>0.67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4</v>
      </c>
      <c r="B4" t="s">
        <v>56</v>
      </c>
      <c r="C4" t="s">
        <v>50</v>
      </c>
      <c r="D4" t="s">
        <v>57</v>
      </c>
      <c r="E4" t="s">
        <v>58</v>
      </c>
      <c r="F4" s="2">
        <v>46161</v>
      </c>
      <c r="G4" s="2">
        <v>46216</v>
      </c>
      <c r="H4" s="3">
        <v>0.78</v>
      </c>
      <c r="J4" t="s">
        <v>41</v>
      </c>
      <c r="M4" t="s">
        <v>59</v>
      </c>
      <c r="N4" s="2">
        <v>46178</v>
      </c>
      <c r="P4" t="s">
        <v>60</v>
      </c>
      <c r="Q4" t="s">
        <v>44</v>
      </c>
      <c r="R4" t="s">
        <v>61</v>
      </c>
      <c r="S4" s="2">
        <v>46161</v>
      </c>
      <c r="T4" s="2">
        <v>46178</v>
      </c>
      <c r="AB4">
        <v>0.78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5</v>
      </c>
      <c r="B5" t="s">
        <v>62</v>
      </c>
      <c r="C5" t="s">
        <v>63</v>
      </c>
      <c r="D5" t="s">
        <v>64</v>
      </c>
      <c r="E5" t="s">
        <v>52</v>
      </c>
      <c r="F5" s="2">
        <v>46203</v>
      </c>
      <c r="G5" s="2">
        <v>46203</v>
      </c>
      <c r="H5" s="3">
        <v>0.7</v>
      </c>
      <c r="J5" t="s">
        <v>41</v>
      </c>
      <c r="L5" t="s">
        <v>65</v>
      </c>
      <c r="M5" t="s">
        <v>66</v>
      </c>
      <c r="N5" s="2">
        <v>46178</v>
      </c>
      <c r="P5" t="s">
        <v>67</v>
      </c>
      <c r="Q5" t="s">
        <v>55</v>
      </c>
      <c r="R5" t="s">
        <v>61</v>
      </c>
      <c r="S5" s="2">
        <v>46178</v>
      </c>
      <c r="T5" s="2">
        <v>46178</v>
      </c>
      <c r="AB5">
        <v>0.7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10</v>
      </c>
      <c r="B6" t="s">
        <v>81</v>
      </c>
      <c r="C6" t="s">
        <v>63</v>
      </c>
      <c r="D6" t="s">
        <v>82</v>
      </c>
      <c r="E6" t="s">
        <v>52</v>
      </c>
      <c r="F6" s="2">
        <v>46216</v>
      </c>
      <c r="G6" s="2">
        <v>46216</v>
      </c>
      <c r="H6" s="3">
        <v>0</v>
      </c>
      <c r="J6" t="s">
        <v>41</v>
      </c>
      <c r="L6">
        <v>240</v>
      </c>
      <c r="M6" t="s">
        <v>66</v>
      </c>
      <c r="N6" s="2">
        <v>46178</v>
      </c>
      <c r="P6" t="s">
        <v>43</v>
      </c>
      <c r="Q6" t="s">
        <v>55</v>
      </c>
      <c r="R6" t="s">
        <v>61</v>
      </c>
      <c r="S6" s="2">
        <v>46178</v>
      </c>
      <c r="T6" s="2">
        <v>46178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66</v>
      </c>
      <c r="B7" t="s">
        <v>153</v>
      </c>
      <c r="C7" t="s">
        <v>50</v>
      </c>
      <c r="D7" t="s">
        <v>154</v>
      </c>
      <c r="E7" t="s">
        <v>155</v>
      </c>
      <c r="F7" s="2">
        <v>46160</v>
      </c>
      <c r="G7" s="2">
        <v>46218</v>
      </c>
      <c r="H7" s="3">
        <v>0.62</v>
      </c>
      <c r="J7" t="s">
        <v>41</v>
      </c>
      <c r="M7" t="s">
        <v>156</v>
      </c>
      <c r="N7" s="2">
        <v>46203</v>
      </c>
      <c r="P7" t="s">
        <v>135</v>
      </c>
      <c r="Q7" t="s">
        <v>55</v>
      </c>
      <c r="R7" t="s">
        <v>157</v>
      </c>
      <c r="S7" s="2">
        <v>46147</v>
      </c>
      <c r="T7" s="2">
        <v>46195</v>
      </c>
      <c r="AB7">
        <v>0.62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82</v>
      </c>
      <c r="B8" t="s">
        <v>172</v>
      </c>
      <c r="C8" t="s">
        <v>159</v>
      </c>
      <c r="D8" t="s">
        <v>173</v>
      </c>
      <c r="E8" t="s">
        <v>174</v>
      </c>
      <c r="F8" s="2">
        <v>46182</v>
      </c>
      <c r="G8" s="2">
        <v>46190</v>
      </c>
      <c r="H8" s="3">
        <v>0.5</v>
      </c>
      <c r="J8" t="s">
        <v>41</v>
      </c>
      <c r="M8" t="s">
        <v>171</v>
      </c>
      <c r="N8" s="2">
        <v>46183</v>
      </c>
      <c r="P8" t="s">
        <v>76</v>
      </c>
      <c r="Q8" t="s">
        <v>55</v>
      </c>
      <c r="R8" t="s">
        <v>157</v>
      </c>
      <c r="S8" s="2">
        <v>46168</v>
      </c>
      <c r="T8" s="2">
        <v>46176</v>
      </c>
      <c r="AB8">
        <v>0.5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84</v>
      </c>
      <c r="B9" t="s">
        <v>178</v>
      </c>
      <c r="C9" t="s">
        <v>176</v>
      </c>
      <c r="D9" t="s">
        <v>104</v>
      </c>
      <c r="E9" t="s">
        <v>52</v>
      </c>
      <c r="F9" s="2">
        <v>46188</v>
      </c>
      <c r="G9" s="2">
        <v>46188</v>
      </c>
      <c r="H9" s="3">
        <v>0</v>
      </c>
      <c r="J9" t="s">
        <v>41</v>
      </c>
      <c r="K9">
        <v>83</v>
      </c>
      <c r="L9">
        <v>85</v>
      </c>
      <c r="M9" t="s">
        <v>66</v>
      </c>
      <c r="N9" s="2">
        <v>46178</v>
      </c>
      <c r="P9" t="s">
        <v>179</v>
      </c>
      <c r="Q9" t="s">
        <v>55</v>
      </c>
      <c r="R9" t="s">
        <v>157</v>
      </c>
      <c r="S9" s="2">
        <v>46171</v>
      </c>
      <c r="T9" s="2">
        <v>46171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85</v>
      </c>
      <c r="B10" t="s">
        <v>180</v>
      </c>
      <c r="C10" t="s">
        <v>176</v>
      </c>
      <c r="D10" t="s">
        <v>108</v>
      </c>
      <c r="E10" t="s">
        <v>52</v>
      </c>
      <c r="F10" s="2">
        <v>46189</v>
      </c>
      <c r="G10" s="2">
        <v>46189</v>
      </c>
      <c r="H10" s="3">
        <v>0</v>
      </c>
      <c r="J10" t="s">
        <v>41</v>
      </c>
      <c r="K10">
        <v>84</v>
      </c>
      <c r="L10">
        <v>86</v>
      </c>
      <c r="M10" t="s">
        <v>148</v>
      </c>
      <c r="N10" s="2">
        <v>46182</v>
      </c>
      <c r="P10" t="s">
        <v>179</v>
      </c>
      <c r="Q10" t="s">
        <v>55</v>
      </c>
      <c r="R10" t="s">
        <v>157</v>
      </c>
      <c r="S10" s="2">
        <v>46174</v>
      </c>
      <c r="T10" s="2">
        <v>46175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</row>
    <row r="11" spans="1:39" x14ac:dyDescent="0.25">
      <c r="A11">
        <v>86</v>
      </c>
      <c r="B11" t="s">
        <v>181</v>
      </c>
      <c r="C11" t="s">
        <v>176</v>
      </c>
      <c r="D11" t="s">
        <v>114</v>
      </c>
      <c r="E11" t="s">
        <v>52</v>
      </c>
      <c r="F11" s="2">
        <v>46190</v>
      </c>
      <c r="G11" s="2">
        <v>46190</v>
      </c>
      <c r="H11" s="3">
        <v>0</v>
      </c>
      <c r="J11" t="s">
        <v>41</v>
      </c>
      <c r="K11">
        <v>85</v>
      </c>
      <c r="M11" t="s">
        <v>182</v>
      </c>
      <c r="N11" s="2">
        <v>46183</v>
      </c>
      <c r="P11" t="s">
        <v>67</v>
      </c>
      <c r="Q11" t="s">
        <v>55</v>
      </c>
      <c r="R11" t="s">
        <v>157</v>
      </c>
      <c r="S11" s="2">
        <v>46176</v>
      </c>
      <c r="T11" s="2">
        <v>46176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</row>
    <row r="12" spans="1:39" x14ac:dyDescent="0.25">
      <c r="A12">
        <v>87</v>
      </c>
      <c r="B12" t="s">
        <v>183</v>
      </c>
      <c r="C12" t="s">
        <v>159</v>
      </c>
      <c r="D12" t="s">
        <v>184</v>
      </c>
      <c r="E12" t="s">
        <v>185</v>
      </c>
      <c r="F12" s="2">
        <v>46203</v>
      </c>
      <c r="G12" s="2">
        <v>46218</v>
      </c>
      <c r="H12" s="3">
        <v>0.4</v>
      </c>
      <c r="J12" t="s">
        <v>41</v>
      </c>
      <c r="M12" t="s">
        <v>186</v>
      </c>
      <c r="N12" s="2">
        <v>46203</v>
      </c>
      <c r="P12" t="s">
        <v>67</v>
      </c>
      <c r="Q12" t="s">
        <v>55</v>
      </c>
      <c r="R12" t="s">
        <v>157</v>
      </c>
      <c r="S12" s="2">
        <v>46183</v>
      </c>
      <c r="T12" s="2">
        <v>46195</v>
      </c>
      <c r="AB12">
        <v>0.4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89</v>
      </c>
      <c r="B13" t="s">
        <v>189</v>
      </c>
      <c r="C13" t="s">
        <v>188</v>
      </c>
      <c r="D13" t="s">
        <v>104</v>
      </c>
      <c r="E13" t="s">
        <v>167</v>
      </c>
      <c r="F13" s="2">
        <v>46209</v>
      </c>
      <c r="G13" s="2">
        <v>46216</v>
      </c>
      <c r="H13" s="3">
        <v>0</v>
      </c>
      <c r="J13" t="s">
        <v>41</v>
      </c>
      <c r="K13">
        <v>88</v>
      </c>
      <c r="L13">
        <v>90</v>
      </c>
      <c r="M13" t="s">
        <v>190</v>
      </c>
      <c r="N13" s="2">
        <v>46198</v>
      </c>
      <c r="P13" t="s">
        <v>67</v>
      </c>
      <c r="Q13" t="s">
        <v>55</v>
      </c>
      <c r="R13" t="s">
        <v>157</v>
      </c>
      <c r="S13" s="2">
        <v>46190</v>
      </c>
      <c r="T13" s="2">
        <v>46190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90</v>
      </c>
      <c r="B14" t="s">
        <v>191</v>
      </c>
      <c r="C14" t="s">
        <v>188</v>
      </c>
      <c r="D14" t="s">
        <v>108</v>
      </c>
      <c r="E14" t="s">
        <v>52</v>
      </c>
      <c r="F14" s="2">
        <v>46217</v>
      </c>
      <c r="G14" s="2">
        <v>46217</v>
      </c>
      <c r="H14" s="3">
        <v>0</v>
      </c>
      <c r="J14" t="s">
        <v>192</v>
      </c>
      <c r="K14">
        <v>89</v>
      </c>
      <c r="L14">
        <v>91</v>
      </c>
      <c r="M14" t="s">
        <v>193</v>
      </c>
      <c r="N14" s="2">
        <v>46202</v>
      </c>
      <c r="P14" t="s">
        <v>194</v>
      </c>
      <c r="Q14" t="s">
        <v>55</v>
      </c>
      <c r="R14" t="s">
        <v>157</v>
      </c>
      <c r="S14" s="2">
        <v>46191</v>
      </c>
      <c r="T14" s="2">
        <v>46192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91</v>
      </c>
      <c r="B15" t="s">
        <v>195</v>
      </c>
      <c r="C15" t="s">
        <v>188</v>
      </c>
      <c r="D15" t="s">
        <v>114</v>
      </c>
      <c r="E15" t="s">
        <v>52</v>
      </c>
      <c r="F15" s="2">
        <v>46218</v>
      </c>
      <c r="G15" s="2">
        <v>46218</v>
      </c>
      <c r="H15" s="3">
        <v>0</v>
      </c>
      <c r="J15" t="s">
        <v>196</v>
      </c>
      <c r="K15">
        <v>90</v>
      </c>
      <c r="M15" t="s">
        <v>197</v>
      </c>
      <c r="N15" s="2">
        <v>46203</v>
      </c>
      <c r="P15" t="s">
        <v>194</v>
      </c>
      <c r="Q15" t="s">
        <v>55</v>
      </c>
      <c r="R15" t="s">
        <v>157</v>
      </c>
      <c r="S15" s="2">
        <v>46195</v>
      </c>
      <c r="T15" s="2">
        <v>46195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92</v>
      </c>
      <c r="B16" t="s">
        <v>198</v>
      </c>
      <c r="C16" t="s">
        <v>159</v>
      </c>
      <c r="D16" t="s">
        <v>199</v>
      </c>
      <c r="E16" t="s">
        <v>185</v>
      </c>
      <c r="F16" s="2">
        <v>46203</v>
      </c>
      <c r="G16" s="2">
        <v>46218</v>
      </c>
      <c r="H16" s="3">
        <v>0.4</v>
      </c>
      <c r="J16" t="s">
        <v>41</v>
      </c>
      <c r="M16" t="s">
        <v>186</v>
      </c>
      <c r="N16" s="2">
        <v>46203</v>
      </c>
      <c r="P16" t="s">
        <v>67</v>
      </c>
      <c r="Q16" t="s">
        <v>55</v>
      </c>
      <c r="R16" t="s">
        <v>157</v>
      </c>
      <c r="S16" s="2">
        <v>46183</v>
      </c>
      <c r="T16" s="2">
        <v>46195</v>
      </c>
      <c r="AB16">
        <v>0.4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94</v>
      </c>
      <c r="B17" t="s">
        <v>202</v>
      </c>
      <c r="C17" t="s">
        <v>201</v>
      </c>
      <c r="D17" t="s">
        <v>104</v>
      </c>
      <c r="E17" t="s">
        <v>167</v>
      </c>
      <c r="F17" s="2">
        <v>46209</v>
      </c>
      <c r="G17" s="2">
        <v>46216</v>
      </c>
      <c r="H17" s="3">
        <v>0</v>
      </c>
      <c r="J17" t="s">
        <v>41</v>
      </c>
      <c r="K17">
        <v>93</v>
      </c>
      <c r="L17">
        <v>95</v>
      </c>
      <c r="M17" t="s">
        <v>190</v>
      </c>
      <c r="N17" s="2">
        <v>46198</v>
      </c>
      <c r="P17" t="s">
        <v>67</v>
      </c>
      <c r="Q17" t="s">
        <v>55</v>
      </c>
      <c r="R17" t="s">
        <v>157</v>
      </c>
      <c r="S17" s="2">
        <v>46190</v>
      </c>
      <c r="T17" s="2">
        <v>46190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95</v>
      </c>
      <c r="B18" t="s">
        <v>203</v>
      </c>
      <c r="C18" t="s">
        <v>201</v>
      </c>
      <c r="D18" t="s">
        <v>108</v>
      </c>
      <c r="E18" t="s">
        <v>52</v>
      </c>
      <c r="F18" s="2">
        <v>46217</v>
      </c>
      <c r="G18" s="2">
        <v>46217</v>
      </c>
      <c r="H18" s="3">
        <v>0</v>
      </c>
      <c r="J18" t="s">
        <v>192</v>
      </c>
      <c r="K18">
        <v>94</v>
      </c>
      <c r="L18">
        <v>96</v>
      </c>
      <c r="M18" t="s">
        <v>193</v>
      </c>
      <c r="N18" s="2">
        <v>46202</v>
      </c>
      <c r="P18" t="s">
        <v>194</v>
      </c>
      <c r="Q18" t="s">
        <v>55</v>
      </c>
      <c r="R18" t="s">
        <v>157</v>
      </c>
      <c r="S18" s="2">
        <v>46191</v>
      </c>
      <c r="T18" s="2">
        <v>46192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96</v>
      </c>
      <c r="B19" t="s">
        <v>204</v>
      </c>
      <c r="C19" t="s">
        <v>201</v>
      </c>
      <c r="D19" t="s">
        <v>114</v>
      </c>
      <c r="E19" t="s">
        <v>52</v>
      </c>
      <c r="F19" s="2">
        <v>46218</v>
      </c>
      <c r="G19" s="2">
        <v>46218</v>
      </c>
      <c r="H19" s="3">
        <v>0</v>
      </c>
      <c r="J19" t="s">
        <v>196</v>
      </c>
      <c r="K19">
        <v>95</v>
      </c>
      <c r="M19" t="s">
        <v>197</v>
      </c>
      <c r="N19" s="2">
        <v>46203</v>
      </c>
      <c r="P19" t="s">
        <v>194</v>
      </c>
      <c r="Q19" t="s">
        <v>55</v>
      </c>
      <c r="R19" t="s">
        <v>157</v>
      </c>
      <c r="S19" s="2">
        <v>46195</v>
      </c>
      <c r="T19" s="2">
        <v>46195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97</v>
      </c>
      <c r="B20" t="s">
        <v>205</v>
      </c>
      <c r="C20" t="s">
        <v>159</v>
      </c>
      <c r="D20" t="s">
        <v>206</v>
      </c>
      <c r="E20" t="s">
        <v>185</v>
      </c>
      <c r="F20" s="2">
        <v>46203</v>
      </c>
      <c r="G20" s="2">
        <v>46218</v>
      </c>
      <c r="H20" s="3">
        <v>0.4</v>
      </c>
      <c r="J20" t="s">
        <v>41</v>
      </c>
      <c r="M20" t="s">
        <v>186</v>
      </c>
      <c r="N20" s="2">
        <v>46203</v>
      </c>
      <c r="P20" t="s">
        <v>67</v>
      </c>
      <c r="Q20" t="s">
        <v>55</v>
      </c>
      <c r="R20" t="s">
        <v>157</v>
      </c>
      <c r="S20" s="2">
        <v>46183</v>
      </c>
      <c r="T20" s="2">
        <v>46195</v>
      </c>
      <c r="AB20">
        <v>0.4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99</v>
      </c>
      <c r="B21" t="s">
        <v>209</v>
      </c>
      <c r="C21" t="s">
        <v>208</v>
      </c>
      <c r="D21" t="s">
        <v>104</v>
      </c>
      <c r="E21" t="s">
        <v>167</v>
      </c>
      <c r="F21" s="2">
        <v>46209</v>
      </c>
      <c r="G21" s="2">
        <v>46216</v>
      </c>
      <c r="H21" s="3">
        <v>0</v>
      </c>
      <c r="J21" t="s">
        <v>41</v>
      </c>
      <c r="K21">
        <v>98</v>
      </c>
      <c r="L21">
        <v>100</v>
      </c>
      <c r="M21" t="s">
        <v>190</v>
      </c>
      <c r="N21" s="2">
        <v>46198</v>
      </c>
      <c r="P21" t="s">
        <v>67</v>
      </c>
      <c r="Q21" t="s">
        <v>55</v>
      </c>
      <c r="R21" t="s">
        <v>157</v>
      </c>
      <c r="S21" s="2">
        <v>46190</v>
      </c>
      <c r="T21" s="2">
        <v>46190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100</v>
      </c>
      <c r="B22" t="s">
        <v>210</v>
      </c>
      <c r="C22" t="s">
        <v>208</v>
      </c>
      <c r="D22" t="s">
        <v>108</v>
      </c>
      <c r="E22" t="s">
        <v>52</v>
      </c>
      <c r="F22" s="2">
        <v>46217</v>
      </c>
      <c r="G22" s="2">
        <v>46217</v>
      </c>
      <c r="H22" s="3">
        <v>0</v>
      </c>
      <c r="J22" t="s">
        <v>192</v>
      </c>
      <c r="K22">
        <v>99</v>
      </c>
      <c r="L22">
        <v>101</v>
      </c>
      <c r="M22" t="s">
        <v>193</v>
      </c>
      <c r="N22" s="2">
        <v>46202</v>
      </c>
      <c r="P22" t="s">
        <v>194</v>
      </c>
      <c r="Q22" t="s">
        <v>55</v>
      </c>
      <c r="R22" t="s">
        <v>157</v>
      </c>
      <c r="S22" s="2">
        <v>46191</v>
      </c>
      <c r="T22" s="2">
        <v>46192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101</v>
      </c>
      <c r="B23" t="s">
        <v>211</v>
      </c>
      <c r="C23" t="s">
        <v>208</v>
      </c>
      <c r="D23" t="s">
        <v>114</v>
      </c>
      <c r="E23" t="s">
        <v>52</v>
      </c>
      <c r="F23" s="2">
        <v>46218</v>
      </c>
      <c r="G23" s="2">
        <v>46218</v>
      </c>
      <c r="H23" s="3">
        <v>0</v>
      </c>
      <c r="J23" t="s">
        <v>196</v>
      </c>
      <c r="K23">
        <v>100</v>
      </c>
      <c r="M23" t="s">
        <v>197</v>
      </c>
      <c r="N23" s="2">
        <v>46203</v>
      </c>
      <c r="P23" t="s">
        <v>194</v>
      </c>
      <c r="Q23" t="s">
        <v>55</v>
      </c>
      <c r="R23" t="s">
        <v>157</v>
      </c>
      <c r="S23" s="2">
        <v>46195</v>
      </c>
      <c r="T23" s="2">
        <v>46195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102</v>
      </c>
      <c r="B24" t="s">
        <v>212</v>
      </c>
      <c r="C24" t="s">
        <v>159</v>
      </c>
      <c r="D24" t="s">
        <v>213</v>
      </c>
      <c r="E24" t="s">
        <v>185</v>
      </c>
      <c r="F24" s="2">
        <v>46203</v>
      </c>
      <c r="G24" s="2">
        <v>46218</v>
      </c>
      <c r="H24" s="3">
        <v>0.4</v>
      </c>
      <c r="J24" t="s">
        <v>41</v>
      </c>
      <c r="M24" t="s">
        <v>186</v>
      </c>
      <c r="N24" s="2">
        <v>46203</v>
      </c>
      <c r="P24" t="s">
        <v>67</v>
      </c>
      <c r="Q24" t="s">
        <v>55</v>
      </c>
      <c r="R24" t="s">
        <v>157</v>
      </c>
      <c r="S24" s="2">
        <v>46183</v>
      </c>
      <c r="T24" s="2">
        <v>46195</v>
      </c>
      <c r="AB24">
        <v>0.4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104</v>
      </c>
      <c r="B25" t="s">
        <v>216</v>
      </c>
      <c r="C25" t="s">
        <v>215</v>
      </c>
      <c r="D25" t="s">
        <v>104</v>
      </c>
      <c r="E25" t="s">
        <v>167</v>
      </c>
      <c r="F25" s="2">
        <v>46209</v>
      </c>
      <c r="G25" s="2">
        <v>46216</v>
      </c>
      <c r="H25" s="3">
        <v>0</v>
      </c>
      <c r="J25" t="s">
        <v>41</v>
      </c>
      <c r="K25">
        <v>103</v>
      </c>
      <c r="L25">
        <v>105</v>
      </c>
      <c r="M25" t="s">
        <v>190</v>
      </c>
      <c r="N25" s="2">
        <v>46198</v>
      </c>
      <c r="P25" t="s">
        <v>67</v>
      </c>
      <c r="Q25" t="s">
        <v>55</v>
      </c>
      <c r="R25" t="s">
        <v>157</v>
      </c>
      <c r="S25" s="2">
        <v>46190</v>
      </c>
      <c r="T25" s="2">
        <v>46190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105</v>
      </c>
      <c r="B26" t="s">
        <v>217</v>
      </c>
      <c r="C26" t="s">
        <v>215</v>
      </c>
      <c r="D26" t="s">
        <v>108</v>
      </c>
      <c r="E26" t="s">
        <v>52</v>
      </c>
      <c r="F26" s="2">
        <v>46217</v>
      </c>
      <c r="G26" s="2">
        <v>46217</v>
      </c>
      <c r="H26" s="3">
        <v>0</v>
      </c>
      <c r="J26" t="s">
        <v>192</v>
      </c>
      <c r="K26">
        <v>104</v>
      </c>
      <c r="L26">
        <v>106</v>
      </c>
      <c r="M26" t="s">
        <v>193</v>
      </c>
      <c r="N26" s="2">
        <v>46202</v>
      </c>
      <c r="P26" t="s">
        <v>194</v>
      </c>
      <c r="Q26" t="s">
        <v>55</v>
      </c>
      <c r="R26" t="s">
        <v>157</v>
      </c>
      <c r="S26" s="2">
        <v>46191</v>
      </c>
      <c r="T26" s="2">
        <v>46192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106</v>
      </c>
      <c r="B27" t="s">
        <v>218</v>
      </c>
      <c r="C27" t="s">
        <v>215</v>
      </c>
      <c r="D27" t="s">
        <v>114</v>
      </c>
      <c r="E27" t="s">
        <v>52</v>
      </c>
      <c r="F27" s="2">
        <v>46218</v>
      </c>
      <c r="G27" s="2">
        <v>46218</v>
      </c>
      <c r="H27" s="3">
        <v>0</v>
      </c>
      <c r="J27" t="s">
        <v>196</v>
      </c>
      <c r="K27">
        <v>105</v>
      </c>
      <c r="M27" t="s">
        <v>197</v>
      </c>
      <c r="N27" s="2">
        <v>46203</v>
      </c>
      <c r="P27" t="s">
        <v>194</v>
      </c>
      <c r="Q27" t="s">
        <v>55</v>
      </c>
      <c r="R27" t="s">
        <v>157</v>
      </c>
      <c r="S27" s="2">
        <v>46195</v>
      </c>
      <c r="T27" s="2">
        <v>46195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117</v>
      </c>
      <c r="B28" t="s">
        <v>230</v>
      </c>
      <c r="C28" t="s">
        <v>159</v>
      </c>
      <c r="D28" t="s">
        <v>231</v>
      </c>
      <c r="E28" t="s">
        <v>232</v>
      </c>
      <c r="F28" s="2">
        <v>46185</v>
      </c>
      <c r="G28" s="2">
        <v>46211</v>
      </c>
      <c r="H28" s="3">
        <v>0.67</v>
      </c>
      <c r="J28" t="s">
        <v>41</v>
      </c>
      <c r="M28" t="s">
        <v>221</v>
      </c>
      <c r="N28" s="2">
        <v>46188</v>
      </c>
      <c r="P28" t="s">
        <v>76</v>
      </c>
      <c r="Q28" t="s">
        <v>55</v>
      </c>
      <c r="R28" t="s">
        <v>157</v>
      </c>
      <c r="S28" s="2">
        <v>46163</v>
      </c>
      <c r="T28" s="2">
        <v>46175</v>
      </c>
      <c r="AB28">
        <v>0.67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120</v>
      </c>
      <c r="B29" t="s">
        <v>238</v>
      </c>
      <c r="C29" t="s">
        <v>234</v>
      </c>
      <c r="D29" t="s">
        <v>108</v>
      </c>
      <c r="E29" t="s">
        <v>115</v>
      </c>
      <c r="F29" s="2">
        <v>46209</v>
      </c>
      <c r="G29" s="2">
        <v>46210</v>
      </c>
      <c r="H29" s="3">
        <v>0.5</v>
      </c>
      <c r="J29" t="s">
        <v>41</v>
      </c>
      <c r="K29">
        <v>119</v>
      </c>
      <c r="L29">
        <v>121</v>
      </c>
      <c r="M29" t="s">
        <v>152</v>
      </c>
      <c r="N29" s="2">
        <v>46185</v>
      </c>
      <c r="P29" t="s">
        <v>73</v>
      </c>
      <c r="Q29" t="s">
        <v>55</v>
      </c>
      <c r="R29" t="s">
        <v>157</v>
      </c>
      <c r="S29" s="2">
        <v>46171</v>
      </c>
      <c r="T29" s="2">
        <v>46174</v>
      </c>
      <c r="AB29">
        <v>0.5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</row>
    <row r="30" spans="1:39" x14ac:dyDescent="0.25">
      <c r="A30">
        <v>121</v>
      </c>
      <c r="B30" t="s">
        <v>239</v>
      </c>
      <c r="C30" t="s">
        <v>234</v>
      </c>
      <c r="D30" t="s">
        <v>114</v>
      </c>
      <c r="E30" t="s">
        <v>52</v>
      </c>
      <c r="F30" s="2">
        <v>46211</v>
      </c>
      <c r="G30" s="2">
        <v>46211</v>
      </c>
      <c r="H30" s="3">
        <v>0</v>
      </c>
      <c r="J30" t="s">
        <v>41</v>
      </c>
      <c r="K30">
        <v>120</v>
      </c>
      <c r="M30" t="s">
        <v>226</v>
      </c>
      <c r="N30" s="2">
        <v>46188</v>
      </c>
      <c r="P30" t="s">
        <v>179</v>
      </c>
      <c r="Q30" t="s">
        <v>55</v>
      </c>
      <c r="R30" t="s">
        <v>157</v>
      </c>
      <c r="S30" s="2">
        <v>46175</v>
      </c>
      <c r="T30" s="2">
        <v>46175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</row>
    <row r="31" spans="1:39" x14ac:dyDescent="0.25">
      <c r="A31">
        <v>122</v>
      </c>
      <c r="B31" t="s">
        <v>240</v>
      </c>
      <c r="C31" t="s">
        <v>159</v>
      </c>
      <c r="D31" t="s">
        <v>241</v>
      </c>
      <c r="E31" t="s">
        <v>232</v>
      </c>
      <c r="F31" s="2">
        <v>46185</v>
      </c>
      <c r="G31" s="2">
        <v>46211</v>
      </c>
      <c r="H31" s="3">
        <v>0.67</v>
      </c>
      <c r="J31" t="s">
        <v>41</v>
      </c>
      <c r="M31" t="s">
        <v>221</v>
      </c>
      <c r="N31" s="2">
        <v>46188</v>
      </c>
      <c r="P31" t="s">
        <v>76</v>
      </c>
      <c r="Q31" t="s">
        <v>55</v>
      </c>
      <c r="R31" t="s">
        <v>157</v>
      </c>
      <c r="S31" s="2">
        <v>46163</v>
      </c>
      <c r="T31" s="2">
        <v>46175</v>
      </c>
      <c r="U31" t="s">
        <v>77</v>
      </c>
      <c r="AB31">
        <v>0.67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125</v>
      </c>
      <c r="B32" t="s">
        <v>249</v>
      </c>
      <c r="C32" t="s">
        <v>243</v>
      </c>
      <c r="D32" t="s">
        <v>108</v>
      </c>
      <c r="E32" t="s">
        <v>115</v>
      </c>
      <c r="F32" s="2">
        <v>46209</v>
      </c>
      <c r="G32" s="2">
        <v>46210</v>
      </c>
      <c r="H32" s="3">
        <v>0.5</v>
      </c>
      <c r="J32" t="s">
        <v>41</v>
      </c>
      <c r="K32">
        <v>124</v>
      </c>
      <c r="L32">
        <v>126</v>
      </c>
      <c r="M32" t="s">
        <v>186</v>
      </c>
      <c r="N32" s="2">
        <v>46192</v>
      </c>
      <c r="P32" t="s">
        <v>73</v>
      </c>
      <c r="Q32" t="s">
        <v>55</v>
      </c>
      <c r="R32" t="s">
        <v>157</v>
      </c>
      <c r="S32" s="2">
        <v>46191</v>
      </c>
      <c r="T32" s="2">
        <v>46192</v>
      </c>
      <c r="AB32">
        <v>0.5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</row>
    <row r="33" spans="1:39" x14ac:dyDescent="0.25">
      <c r="A33">
        <v>126</v>
      </c>
      <c r="B33" t="s">
        <v>250</v>
      </c>
      <c r="C33" t="s">
        <v>243</v>
      </c>
      <c r="D33" t="s">
        <v>114</v>
      </c>
      <c r="E33" t="s">
        <v>52</v>
      </c>
      <c r="F33" s="2">
        <v>46211</v>
      </c>
      <c r="G33" s="2">
        <v>46211</v>
      </c>
      <c r="H33" s="3">
        <v>0</v>
      </c>
      <c r="J33" t="s">
        <v>41</v>
      </c>
      <c r="K33">
        <v>125</v>
      </c>
      <c r="M33" t="s">
        <v>251</v>
      </c>
      <c r="N33" s="2">
        <v>46196</v>
      </c>
      <c r="P33" t="s">
        <v>179</v>
      </c>
      <c r="Q33" t="s">
        <v>55</v>
      </c>
      <c r="R33" t="s">
        <v>157</v>
      </c>
      <c r="S33" s="2">
        <v>46196</v>
      </c>
      <c r="T33" s="2">
        <v>46196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</row>
    <row r="34" spans="1:39" x14ac:dyDescent="0.25">
      <c r="A34">
        <v>132</v>
      </c>
      <c r="B34" t="s">
        <v>264</v>
      </c>
      <c r="C34" t="s">
        <v>159</v>
      </c>
      <c r="D34" t="s">
        <v>265</v>
      </c>
      <c r="E34" t="s">
        <v>174</v>
      </c>
      <c r="F34" s="2">
        <v>46190</v>
      </c>
      <c r="G34" s="2">
        <v>46198</v>
      </c>
      <c r="H34" s="3">
        <v>0.5</v>
      </c>
      <c r="J34" t="s">
        <v>41</v>
      </c>
      <c r="M34" t="s">
        <v>182</v>
      </c>
      <c r="N34" s="2">
        <v>46191</v>
      </c>
      <c r="P34" t="s">
        <v>73</v>
      </c>
      <c r="Q34" t="s">
        <v>55</v>
      </c>
      <c r="R34" t="s">
        <v>157</v>
      </c>
      <c r="S34" s="2">
        <v>46170</v>
      </c>
      <c r="T34" s="2">
        <v>46178</v>
      </c>
      <c r="AB34">
        <v>0.5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134</v>
      </c>
      <c r="B35" t="s">
        <v>269</v>
      </c>
      <c r="C35" t="s">
        <v>267</v>
      </c>
      <c r="D35" t="s">
        <v>104</v>
      </c>
      <c r="E35" t="s">
        <v>52</v>
      </c>
      <c r="F35" s="2">
        <v>46195</v>
      </c>
      <c r="G35" s="2">
        <v>46195</v>
      </c>
      <c r="H35" s="3">
        <v>0.5</v>
      </c>
      <c r="J35" t="s">
        <v>41</v>
      </c>
      <c r="K35">
        <v>133</v>
      </c>
      <c r="L35">
        <v>135</v>
      </c>
      <c r="M35" t="s">
        <v>226</v>
      </c>
      <c r="N35" s="2">
        <v>46188</v>
      </c>
      <c r="P35" t="s">
        <v>179</v>
      </c>
      <c r="Q35" t="s">
        <v>55</v>
      </c>
      <c r="R35" t="s">
        <v>157</v>
      </c>
      <c r="S35" s="2">
        <v>46175</v>
      </c>
      <c r="T35" s="2">
        <v>46175</v>
      </c>
      <c r="AB35">
        <v>0.5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135</v>
      </c>
      <c r="B36" t="s">
        <v>270</v>
      </c>
      <c r="C36" t="s">
        <v>267</v>
      </c>
      <c r="D36" t="s">
        <v>108</v>
      </c>
      <c r="E36" t="s">
        <v>115</v>
      </c>
      <c r="F36" s="2">
        <v>46196</v>
      </c>
      <c r="G36" s="2">
        <v>46197</v>
      </c>
      <c r="H36" s="3">
        <v>0</v>
      </c>
      <c r="J36" t="s">
        <v>41</v>
      </c>
      <c r="K36">
        <v>134</v>
      </c>
      <c r="L36">
        <v>136</v>
      </c>
      <c r="M36" t="s">
        <v>228</v>
      </c>
      <c r="N36" s="2">
        <v>46190</v>
      </c>
      <c r="P36" t="s">
        <v>179</v>
      </c>
      <c r="Q36" t="s">
        <v>55</v>
      </c>
      <c r="R36" t="s">
        <v>157</v>
      </c>
      <c r="S36" s="2">
        <v>46176</v>
      </c>
      <c r="T36" s="2">
        <v>46177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</row>
    <row r="37" spans="1:39" x14ac:dyDescent="0.25">
      <c r="A37">
        <v>136</v>
      </c>
      <c r="B37" t="s">
        <v>271</v>
      </c>
      <c r="C37" t="s">
        <v>267</v>
      </c>
      <c r="D37" t="s">
        <v>114</v>
      </c>
      <c r="E37" t="s">
        <v>52</v>
      </c>
      <c r="F37" s="2">
        <v>46198</v>
      </c>
      <c r="G37" s="2">
        <v>46198</v>
      </c>
      <c r="H37" s="3">
        <v>0</v>
      </c>
      <c r="J37" t="s">
        <v>41</v>
      </c>
      <c r="K37">
        <v>135</v>
      </c>
      <c r="M37" t="s">
        <v>186</v>
      </c>
      <c r="N37" s="2">
        <v>46191</v>
      </c>
      <c r="P37" t="s">
        <v>179</v>
      </c>
      <c r="Q37" t="s">
        <v>55</v>
      </c>
      <c r="R37" t="s">
        <v>157</v>
      </c>
      <c r="S37" s="2">
        <v>46178</v>
      </c>
      <c r="T37" s="2">
        <v>46178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</row>
    <row r="38" spans="1:39" x14ac:dyDescent="0.25">
      <c r="A38">
        <v>137</v>
      </c>
      <c r="B38" t="s">
        <v>272</v>
      </c>
      <c r="C38" t="s">
        <v>159</v>
      </c>
      <c r="D38" t="s">
        <v>273</v>
      </c>
      <c r="E38" t="s">
        <v>174</v>
      </c>
      <c r="F38" s="2">
        <v>46190</v>
      </c>
      <c r="G38" s="2">
        <v>46198</v>
      </c>
      <c r="H38" s="3">
        <v>0.5</v>
      </c>
      <c r="J38" t="s">
        <v>41</v>
      </c>
      <c r="M38" t="s">
        <v>182</v>
      </c>
      <c r="N38" s="2">
        <v>46191</v>
      </c>
      <c r="P38" t="s">
        <v>73</v>
      </c>
      <c r="Q38" t="s">
        <v>55</v>
      </c>
      <c r="R38" t="s">
        <v>157</v>
      </c>
      <c r="S38" s="2">
        <v>46170</v>
      </c>
      <c r="T38" s="2">
        <v>46178</v>
      </c>
      <c r="AB38">
        <v>0.5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139</v>
      </c>
      <c r="B39" t="s">
        <v>276</v>
      </c>
      <c r="C39" t="s">
        <v>275</v>
      </c>
      <c r="D39" t="s">
        <v>104</v>
      </c>
      <c r="E39" t="s">
        <v>52</v>
      </c>
      <c r="F39" s="2">
        <v>46195</v>
      </c>
      <c r="G39" s="2">
        <v>46195</v>
      </c>
      <c r="H39" s="3">
        <v>0.5</v>
      </c>
      <c r="J39" t="s">
        <v>41</v>
      </c>
      <c r="K39">
        <v>138</v>
      </c>
      <c r="L39">
        <v>140</v>
      </c>
      <c r="M39" t="s">
        <v>226</v>
      </c>
      <c r="N39" s="2">
        <v>46188</v>
      </c>
      <c r="P39" t="s">
        <v>179</v>
      </c>
      <c r="Q39" t="s">
        <v>55</v>
      </c>
      <c r="R39" t="s">
        <v>157</v>
      </c>
      <c r="S39" s="2">
        <v>46175</v>
      </c>
      <c r="T39" s="2">
        <v>46175</v>
      </c>
      <c r="AB39">
        <v>0.5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140</v>
      </c>
      <c r="B40" t="s">
        <v>277</v>
      </c>
      <c r="C40" t="s">
        <v>275</v>
      </c>
      <c r="D40" t="s">
        <v>108</v>
      </c>
      <c r="E40" t="s">
        <v>115</v>
      </c>
      <c r="F40" s="2">
        <v>46196</v>
      </c>
      <c r="G40" s="2">
        <v>46197</v>
      </c>
      <c r="H40" s="3">
        <v>0</v>
      </c>
      <c r="J40" t="s">
        <v>41</v>
      </c>
      <c r="K40">
        <v>139</v>
      </c>
      <c r="L40">
        <v>141</v>
      </c>
      <c r="M40" t="s">
        <v>228</v>
      </c>
      <c r="N40" s="2">
        <v>46190</v>
      </c>
      <c r="P40" t="s">
        <v>179</v>
      </c>
      <c r="Q40" t="s">
        <v>55</v>
      </c>
      <c r="R40" t="s">
        <v>157</v>
      </c>
      <c r="S40" s="2">
        <v>46176</v>
      </c>
      <c r="T40" s="2">
        <v>46177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</row>
    <row r="41" spans="1:39" x14ac:dyDescent="0.25">
      <c r="A41">
        <v>141</v>
      </c>
      <c r="B41" t="s">
        <v>278</v>
      </c>
      <c r="C41" t="s">
        <v>275</v>
      </c>
      <c r="D41" t="s">
        <v>114</v>
      </c>
      <c r="E41" t="s">
        <v>52</v>
      </c>
      <c r="F41" s="2">
        <v>46198</v>
      </c>
      <c r="G41" s="2">
        <v>46198</v>
      </c>
      <c r="H41" s="3">
        <v>0</v>
      </c>
      <c r="J41" t="s">
        <v>41</v>
      </c>
      <c r="K41">
        <v>140</v>
      </c>
      <c r="M41" t="s">
        <v>186</v>
      </c>
      <c r="N41" s="2">
        <v>46191</v>
      </c>
      <c r="P41" t="s">
        <v>179</v>
      </c>
      <c r="Q41" t="s">
        <v>55</v>
      </c>
      <c r="R41" t="s">
        <v>157</v>
      </c>
      <c r="S41" s="2">
        <v>46178</v>
      </c>
      <c r="T41" s="2">
        <v>46178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</row>
    <row r="42" spans="1:39" x14ac:dyDescent="0.25">
      <c r="A42">
        <v>142</v>
      </c>
      <c r="B42" t="s">
        <v>279</v>
      </c>
      <c r="C42" t="s">
        <v>159</v>
      </c>
      <c r="D42" t="s">
        <v>280</v>
      </c>
      <c r="E42" t="s">
        <v>174</v>
      </c>
      <c r="F42" s="2">
        <v>46190</v>
      </c>
      <c r="G42" s="2">
        <v>46198</v>
      </c>
      <c r="H42" s="3">
        <v>0.5</v>
      </c>
      <c r="J42" t="s">
        <v>41</v>
      </c>
      <c r="M42" t="s">
        <v>182</v>
      </c>
      <c r="N42" s="2">
        <v>46191</v>
      </c>
      <c r="P42" t="s">
        <v>73</v>
      </c>
      <c r="Q42" t="s">
        <v>55</v>
      </c>
      <c r="R42" t="s">
        <v>157</v>
      </c>
      <c r="S42" s="2">
        <v>46170</v>
      </c>
      <c r="T42" s="2">
        <v>46178</v>
      </c>
      <c r="U42" t="s">
        <v>77</v>
      </c>
      <c r="AB42">
        <v>0.5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144</v>
      </c>
      <c r="B43" t="s">
        <v>283</v>
      </c>
      <c r="C43" t="s">
        <v>282</v>
      </c>
      <c r="D43" t="s">
        <v>104</v>
      </c>
      <c r="E43" t="s">
        <v>52</v>
      </c>
      <c r="F43" s="2">
        <v>46195</v>
      </c>
      <c r="G43" s="2">
        <v>46195</v>
      </c>
      <c r="H43" s="3">
        <v>0.5</v>
      </c>
      <c r="J43" t="s">
        <v>41</v>
      </c>
      <c r="K43">
        <v>143</v>
      </c>
      <c r="L43">
        <v>145</v>
      </c>
      <c r="M43" t="s">
        <v>284</v>
      </c>
      <c r="N43" s="2">
        <v>46195</v>
      </c>
      <c r="P43" t="s">
        <v>179</v>
      </c>
      <c r="Q43" t="s">
        <v>55</v>
      </c>
      <c r="R43" t="s">
        <v>157</v>
      </c>
      <c r="S43" s="2">
        <v>46195</v>
      </c>
      <c r="T43" s="2">
        <v>46195</v>
      </c>
      <c r="AB43">
        <v>0.5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145</v>
      </c>
      <c r="B44" t="s">
        <v>285</v>
      </c>
      <c r="C44" t="s">
        <v>282</v>
      </c>
      <c r="D44" t="s">
        <v>108</v>
      </c>
      <c r="E44" t="s">
        <v>115</v>
      </c>
      <c r="F44" s="2">
        <v>46196</v>
      </c>
      <c r="G44" s="2">
        <v>46197</v>
      </c>
      <c r="H44" s="3">
        <v>0</v>
      </c>
      <c r="J44" t="s">
        <v>41</v>
      </c>
      <c r="K44">
        <v>144</v>
      </c>
      <c r="L44">
        <v>146</v>
      </c>
      <c r="M44" t="s">
        <v>251</v>
      </c>
      <c r="N44" s="2">
        <v>46197</v>
      </c>
      <c r="P44" t="s">
        <v>179</v>
      </c>
      <c r="Q44" t="s">
        <v>55</v>
      </c>
      <c r="R44" t="s">
        <v>157</v>
      </c>
      <c r="S44" s="2">
        <v>46196</v>
      </c>
      <c r="T44" s="2">
        <v>46197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</row>
    <row r="45" spans="1:39" x14ac:dyDescent="0.25">
      <c r="A45">
        <v>146</v>
      </c>
      <c r="B45" t="s">
        <v>286</v>
      </c>
      <c r="C45" t="s">
        <v>282</v>
      </c>
      <c r="D45" t="s">
        <v>114</v>
      </c>
      <c r="E45" t="s">
        <v>52</v>
      </c>
      <c r="F45" s="2">
        <v>46198</v>
      </c>
      <c r="G45" s="2">
        <v>46198</v>
      </c>
      <c r="H45" s="3">
        <v>0</v>
      </c>
      <c r="J45" t="s">
        <v>41</v>
      </c>
      <c r="K45">
        <v>145</v>
      </c>
      <c r="M45" t="s">
        <v>190</v>
      </c>
      <c r="N45" s="2">
        <v>46198</v>
      </c>
      <c r="P45" t="s">
        <v>179</v>
      </c>
      <c r="Q45" t="s">
        <v>55</v>
      </c>
      <c r="R45" t="s">
        <v>157</v>
      </c>
      <c r="S45" s="2">
        <v>46198</v>
      </c>
      <c r="T45" s="2">
        <v>46198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</row>
    <row r="46" spans="1:39" x14ac:dyDescent="0.25">
      <c r="A46">
        <v>147</v>
      </c>
      <c r="B46" t="s">
        <v>287</v>
      </c>
      <c r="C46" t="s">
        <v>50</v>
      </c>
      <c r="D46" t="s">
        <v>288</v>
      </c>
      <c r="E46" t="s">
        <v>289</v>
      </c>
      <c r="F46" s="2">
        <v>46181</v>
      </c>
      <c r="G46" s="2">
        <v>46210</v>
      </c>
      <c r="H46" s="3">
        <v>0.48</v>
      </c>
      <c r="J46" t="s">
        <v>41</v>
      </c>
      <c r="M46" t="s">
        <v>171</v>
      </c>
      <c r="N46" s="2">
        <v>46202</v>
      </c>
      <c r="P46" t="s">
        <v>76</v>
      </c>
      <c r="Q46" t="s">
        <v>55</v>
      </c>
      <c r="R46" t="s">
        <v>290</v>
      </c>
      <c r="S46" s="2">
        <v>46147</v>
      </c>
      <c r="T46" s="2">
        <v>46189</v>
      </c>
      <c r="AB46">
        <v>0.48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158</v>
      </c>
      <c r="B47" t="s">
        <v>291</v>
      </c>
      <c r="C47" t="s">
        <v>292</v>
      </c>
      <c r="D47" t="s">
        <v>293</v>
      </c>
      <c r="E47" t="s">
        <v>294</v>
      </c>
      <c r="F47" s="2">
        <v>46188</v>
      </c>
      <c r="G47" s="2">
        <v>46202</v>
      </c>
      <c r="H47" s="3">
        <v>0.64</v>
      </c>
      <c r="J47" t="s">
        <v>41</v>
      </c>
      <c r="M47" t="s">
        <v>171</v>
      </c>
      <c r="N47" s="2">
        <v>46183</v>
      </c>
      <c r="P47" t="s">
        <v>73</v>
      </c>
      <c r="Q47" t="s">
        <v>55</v>
      </c>
      <c r="R47" t="s">
        <v>290</v>
      </c>
      <c r="S47" s="2">
        <v>46162</v>
      </c>
      <c r="T47" s="2">
        <v>46170</v>
      </c>
      <c r="AB47">
        <v>0.64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160</v>
      </c>
      <c r="B48" t="s">
        <v>298</v>
      </c>
      <c r="C48" t="s">
        <v>296</v>
      </c>
      <c r="D48" t="s">
        <v>104</v>
      </c>
      <c r="E48" t="s">
        <v>52</v>
      </c>
      <c r="F48" s="2">
        <v>46197</v>
      </c>
      <c r="G48" s="2">
        <v>46197</v>
      </c>
      <c r="H48" s="3">
        <v>0</v>
      </c>
      <c r="J48" t="s">
        <v>41</v>
      </c>
      <c r="K48">
        <v>159</v>
      </c>
      <c r="L48" t="s">
        <v>299</v>
      </c>
      <c r="M48" t="s">
        <v>66</v>
      </c>
      <c r="N48" s="2">
        <v>46178</v>
      </c>
      <c r="P48" t="s">
        <v>179</v>
      </c>
      <c r="Q48" t="s">
        <v>55</v>
      </c>
      <c r="R48" t="s">
        <v>290</v>
      </c>
      <c r="S48" s="2">
        <v>46167</v>
      </c>
      <c r="T48" s="2">
        <v>46167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161</v>
      </c>
      <c r="B49" t="s">
        <v>300</v>
      </c>
      <c r="C49" t="s">
        <v>296</v>
      </c>
      <c r="D49" t="s">
        <v>108</v>
      </c>
      <c r="E49" t="s">
        <v>115</v>
      </c>
      <c r="F49" s="2">
        <v>46198</v>
      </c>
      <c r="G49" s="2">
        <v>46199</v>
      </c>
      <c r="H49" s="3">
        <v>0</v>
      </c>
      <c r="J49" t="s">
        <v>41</v>
      </c>
      <c r="K49">
        <v>160</v>
      </c>
      <c r="L49">
        <v>162</v>
      </c>
      <c r="M49" t="s">
        <v>148</v>
      </c>
      <c r="N49" s="2">
        <v>46182</v>
      </c>
      <c r="P49" t="s">
        <v>179</v>
      </c>
      <c r="Q49" t="s">
        <v>55</v>
      </c>
      <c r="R49" t="s">
        <v>290</v>
      </c>
      <c r="S49" s="2">
        <v>46168</v>
      </c>
      <c r="T49" s="2">
        <v>46169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>
        <v>162</v>
      </c>
      <c r="B50" t="s">
        <v>301</v>
      </c>
      <c r="C50" t="s">
        <v>296</v>
      </c>
      <c r="D50" t="s">
        <v>114</v>
      </c>
      <c r="E50" t="s">
        <v>52</v>
      </c>
      <c r="F50" s="2">
        <v>46202</v>
      </c>
      <c r="G50" s="2">
        <v>46202</v>
      </c>
      <c r="H50" s="3">
        <v>0</v>
      </c>
      <c r="J50" t="s">
        <v>41</v>
      </c>
      <c r="K50">
        <v>161</v>
      </c>
      <c r="M50" t="s">
        <v>182</v>
      </c>
      <c r="N50" s="2">
        <v>46183</v>
      </c>
      <c r="P50" t="s">
        <v>179</v>
      </c>
      <c r="Q50" t="s">
        <v>55</v>
      </c>
      <c r="R50" t="s">
        <v>290</v>
      </c>
      <c r="S50" s="2">
        <v>46170</v>
      </c>
      <c r="T50" s="2">
        <v>46170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</row>
    <row r="51" spans="1:39" x14ac:dyDescent="0.25">
      <c r="A51">
        <v>178</v>
      </c>
      <c r="B51" t="s">
        <v>302</v>
      </c>
      <c r="C51" t="s">
        <v>292</v>
      </c>
      <c r="D51" t="s">
        <v>303</v>
      </c>
      <c r="E51" t="s">
        <v>161</v>
      </c>
      <c r="F51" s="2">
        <v>46195</v>
      </c>
      <c r="G51" s="2">
        <v>46204</v>
      </c>
      <c r="H51" s="3">
        <v>0.33</v>
      </c>
      <c r="J51" t="s">
        <v>41</v>
      </c>
      <c r="M51" t="s">
        <v>304</v>
      </c>
      <c r="N51" s="2">
        <v>46202</v>
      </c>
      <c r="P51" t="s">
        <v>179</v>
      </c>
      <c r="Q51" t="s">
        <v>55</v>
      </c>
      <c r="R51" t="s">
        <v>290</v>
      </c>
      <c r="S51" s="2">
        <v>46181</v>
      </c>
      <c r="T51" s="2">
        <v>46189</v>
      </c>
      <c r="AB51">
        <v>0.33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180</v>
      </c>
      <c r="B52" t="s">
        <v>307</v>
      </c>
      <c r="C52" t="s">
        <v>306</v>
      </c>
      <c r="D52" t="s">
        <v>104</v>
      </c>
      <c r="E52" t="s">
        <v>52</v>
      </c>
      <c r="F52" s="2">
        <v>46199</v>
      </c>
      <c r="G52" s="2">
        <v>46199</v>
      </c>
      <c r="H52" s="3">
        <v>0</v>
      </c>
      <c r="J52" t="s">
        <v>41</v>
      </c>
      <c r="K52">
        <v>179</v>
      </c>
      <c r="L52">
        <v>181</v>
      </c>
      <c r="M52" t="s">
        <v>308</v>
      </c>
      <c r="N52" s="2">
        <v>46197</v>
      </c>
      <c r="P52" t="s">
        <v>179</v>
      </c>
      <c r="Q52" t="s">
        <v>55</v>
      </c>
      <c r="R52" t="s">
        <v>290</v>
      </c>
      <c r="S52" s="2">
        <v>46184</v>
      </c>
      <c r="T52" s="2">
        <v>46184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181</v>
      </c>
      <c r="B53" t="s">
        <v>309</v>
      </c>
      <c r="C53" t="s">
        <v>306</v>
      </c>
      <c r="D53" t="s">
        <v>108</v>
      </c>
      <c r="E53" t="s">
        <v>115</v>
      </c>
      <c r="F53" s="2">
        <v>46202</v>
      </c>
      <c r="G53" s="2">
        <v>46203</v>
      </c>
      <c r="H53" s="3">
        <v>0</v>
      </c>
      <c r="J53" t="s">
        <v>41</v>
      </c>
      <c r="K53">
        <v>180</v>
      </c>
      <c r="L53">
        <v>182</v>
      </c>
      <c r="M53" t="s">
        <v>190</v>
      </c>
      <c r="N53" s="2">
        <v>46199</v>
      </c>
      <c r="P53" t="s">
        <v>67</v>
      </c>
      <c r="Q53" t="s">
        <v>55</v>
      </c>
      <c r="R53" t="s">
        <v>290</v>
      </c>
      <c r="S53" s="2">
        <v>46185</v>
      </c>
      <c r="T53" s="2">
        <v>46188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</row>
    <row r="54" spans="1:39" x14ac:dyDescent="0.25">
      <c r="A54">
        <v>182</v>
      </c>
      <c r="B54" t="s">
        <v>310</v>
      </c>
      <c r="C54" t="s">
        <v>306</v>
      </c>
      <c r="D54" t="s">
        <v>114</v>
      </c>
      <c r="E54" t="s">
        <v>52</v>
      </c>
      <c r="F54" s="2">
        <v>46204</v>
      </c>
      <c r="G54" s="2">
        <v>46204</v>
      </c>
      <c r="H54" s="3">
        <v>0</v>
      </c>
      <c r="J54" t="s">
        <v>41</v>
      </c>
      <c r="K54">
        <v>181</v>
      </c>
      <c r="M54" t="s">
        <v>311</v>
      </c>
      <c r="N54" s="2">
        <v>46202</v>
      </c>
      <c r="P54" t="s">
        <v>67</v>
      </c>
      <c r="Q54" t="s">
        <v>55</v>
      </c>
      <c r="R54" t="s">
        <v>290</v>
      </c>
      <c r="S54" s="2">
        <v>46189</v>
      </c>
      <c r="T54" s="2">
        <v>46189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</row>
    <row r="55" spans="1:39" x14ac:dyDescent="0.25">
      <c r="A55">
        <v>183</v>
      </c>
      <c r="B55" t="s">
        <v>312</v>
      </c>
      <c r="C55" t="s">
        <v>292</v>
      </c>
      <c r="D55" t="s">
        <v>313</v>
      </c>
      <c r="E55" t="s">
        <v>174</v>
      </c>
      <c r="F55" s="2">
        <v>46202</v>
      </c>
      <c r="G55" s="2">
        <v>46210</v>
      </c>
      <c r="H55" s="3">
        <v>0.43</v>
      </c>
      <c r="J55" t="s">
        <v>41</v>
      </c>
      <c r="M55" t="s">
        <v>171</v>
      </c>
      <c r="N55" s="2">
        <v>46183</v>
      </c>
      <c r="P55" t="s">
        <v>314</v>
      </c>
      <c r="Q55" t="s">
        <v>55</v>
      </c>
      <c r="R55" t="s">
        <v>290</v>
      </c>
      <c r="S55" s="2">
        <v>46162</v>
      </c>
      <c r="T55" s="2">
        <v>46170</v>
      </c>
      <c r="AB55">
        <v>0.43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185</v>
      </c>
      <c r="B56" t="s">
        <v>319</v>
      </c>
      <c r="C56" t="s">
        <v>316</v>
      </c>
      <c r="D56" t="s">
        <v>104</v>
      </c>
      <c r="E56" t="s">
        <v>52</v>
      </c>
      <c r="F56" s="2">
        <v>46205</v>
      </c>
      <c r="G56" s="2">
        <v>46205</v>
      </c>
      <c r="H56" s="3">
        <v>0</v>
      </c>
      <c r="J56" t="s">
        <v>41</v>
      </c>
      <c r="K56">
        <v>184</v>
      </c>
      <c r="L56" t="s">
        <v>320</v>
      </c>
      <c r="M56" t="s">
        <v>66</v>
      </c>
      <c r="N56" s="2">
        <v>46178</v>
      </c>
      <c r="P56" t="s">
        <v>314</v>
      </c>
      <c r="Q56" t="s">
        <v>55</v>
      </c>
      <c r="R56" t="s">
        <v>290</v>
      </c>
      <c r="S56" s="2">
        <v>46167</v>
      </c>
      <c r="T56" s="2">
        <v>46167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186</v>
      </c>
      <c r="B57" t="s">
        <v>321</v>
      </c>
      <c r="C57" t="s">
        <v>316</v>
      </c>
      <c r="D57" t="s">
        <v>108</v>
      </c>
      <c r="E57" t="s">
        <v>115</v>
      </c>
      <c r="F57" s="2">
        <v>46206</v>
      </c>
      <c r="G57" s="2">
        <v>46209</v>
      </c>
      <c r="H57" s="3">
        <v>0</v>
      </c>
      <c r="J57" t="s">
        <v>41</v>
      </c>
      <c r="K57">
        <v>185</v>
      </c>
      <c r="L57">
        <v>187</v>
      </c>
      <c r="M57" t="s">
        <v>148</v>
      </c>
      <c r="N57" s="2">
        <v>46182</v>
      </c>
      <c r="P57" t="s">
        <v>314</v>
      </c>
      <c r="Q57" t="s">
        <v>55</v>
      </c>
      <c r="R57" t="s">
        <v>290</v>
      </c>
      <c r="S57" s="2">
        <v>46168</v>
      </c>
      <c r="T57" s="2">
        <v>46169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</row>
    <row r="58" spans="1:39" x14ac:dyDescent="0.25">
      <c r="A58">
        <v>187</v>
      </c>
      <c r="B58" t="s">
        <v>322</v>
      </c>
      <c r="C58" t="s">
        <v>316</v>
      </c>
      <c r="D58" t="s">
        <v>114</v>
      </c>
      <c r="E58" t="s">
        <v>52</v>
      </c>
      <c r="F58" s="2">
        <v>46210</v>
      </c>
      <c r="G58" s="2">
        <v>46210</v>
      </c>
      <c r="H58" s="3">
        <v>0</v>
      </c>
      <c r="J58" t="s">
        <v>41</v>
      </c>
      <c r="K58">
        <v>186</v>
      </c>
      <c r="M58" t="s">
        <v>182</v>
      </c>
      <c r="N58" s="2">
        <v>46183</v>
      </c>
      <c r="P58" t="s">
        <v>314</v>
      </c>
      <c r="Q58" t="s">
        <v>55</v>
      </c>
      <c r="R58" t="s">
        <v>290</v>
      </c>
      <c r="S58" s="2">
        <v>46170</v>
      </c>
      <c r="T58" s="2">
        <v>46170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</row>
    <row r="59" spans="1:39" x14ac:dyDescent="0.25">
      <c r="A59">
        <v>188</v>
      </c>
      <c r="B59" t="s">
        <v>323</v>
      </c>
      <c r="C59" t="s">
        <v>292</v>
      </c>
      <c r="D59" t="s">
        <v>324</v>
      </c>
      <c r="E59" t="s">
        <v>185</v>
      </c>
      <c r="F59" s="2">
        <v>46181</v>
      </c>
      <c r="G59" s="2">
        <v>46192</v>
      </c>
      <c r="H59" s="3">
        <v>0.38</v>
      </c>
      <c r="J59" t="s">
        <v>41</v>
      </c>
      <c r="M59" t="s">
        <v>148</v>
      </c>
      <c r="N59" s="2">
        <v>46198</v>
      </c>
      <c r="P59" t="s">
        <v>76</v>
      </c>
      <c r="Q59" t="s">
        <v>55</v>
      </c>
      <c r="R59" t="s">
        <v>290</v>
      </c>
      <c r="S59" s="2">
        <v>46157</v>
      </c>
      <c r="T59" s="2">
        <v>46176</v>
      </c>
      <c r="AB59">
        <v>0.38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190</v>
      </c>
      <c r="B60" t="s">
        <v>328</v>
      </c>
      <c r="C60" t="s">
        <v>326</v>
      </c>
      <c r="D60" t="s">
        <v>104</v>
      </c>
      <c r="E60" t="s">
        <v>115</v>
      </c>
      <c r="F60" s="2">
        <v>46188</v>
      </c>
      <c r="G60" s="2">
        <v>46189</v>
      </c>
      <c r="H60" s="3">
        <v>0</v>
      </c>
      <c r="J60" t="s">
        <v>41</v>
      </c>
      <c r="K60">
        <v>189</v>
      </c>
      <c r="L60" t="s">
        <v>329</v>
      </c>
      <c r="M60" t="s">
        <v>284</v>
      </c>
      <c r="N60" s="2">
        <v>46195</v>
      </c>
      <c r="P60" t="s">
        <v>76</v>
      </c>
      <c r="Q60" t="s">
        <v>55</v>
      </c>
      <c r="R60" t="s">
        <v>290</v>
      </c>
      <c r="S60" s="2">
        <v>46171</v>
      </c>
      <c r="T60" s="2">
        <v>46171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191</v>
      </c>
      <c r="B61" t="s">
        <v>330</v>
      </c>
      <c r="C61" t="s">
        <v>326</v>
      </c>
      <c r="D61" t="s">
        <v>108</v>
      </c>
      <c r="E61" t="s">
        <v>115</v>
      </c>
      <c r="F61" s="2">
        <v>46190</v>
      </c>
      <c r="G61" s="2">
        <v>46191</v>
      </c>
      <c r="H61" s="3">
        <v>0</v>
      </c>
      <c r="J61" t="s">
        <v>41</v>
      </c>
      <c r="K61">
        <v>190</v>
      </c>
      <c r="L61">
        <v>192</v>
      </c>
      <c r="M61" t="s">
        <v>251</v>
      </c>
      <c r="N61" s="2">
        <v>46197</v>
      </c>
      <c r="P61" t="s">
        <v>76</v>
      </c>
      <c r="Q61" t="s">
        <v>55</v>
      </c>
      <c r="R61" t="s">
        <v>290</v>
      </c>
      <c r="S61" s="2">
        <v>46174</v>
      </c>
      <c r="T61" s="2">
        <v>46175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</row>
    <row r="62" spans="1:39" x14ac:dyDescent="0.25">
      <c r="A62">
        <v>192</v>
      </c>
      <c r="B62" t="s">
        <v>331</v>
      </c>
      <c r="C62" t="s">
        <v>326</v>
      </c>
      <c r="D62" t="s">
        <v>114</v>
      </c>
      <c r="E62" t="s">
        <v>52</v>
      </c>
      <c r="F62" s="2">
        <v>46192</v>
      </c>
      <c r="G62" s="2">
        <v>46192</v>
      </c>
      <c r="H62" s="3">
        <v>0</v>
      </c>
      <c r="J62" t="s">
        <v>41</v>
      </c>
      <c r="K62">
        <v>191</v>
      </c>
      <c r="M62" t="s">
        <v>190</v>
      </c>
      <c r="N62" s="2">
        <v>46198</v>
      </c>
      <c r="P62" t="s">
        <v>76</v>
      </c>
      <c r="Q62" t="s">
        <v>55</v>
      </c>
      <c r="R62" t="s">
        <v>290</v>
      </c>
      <c r="S62" s="2">
        <v>46176</v>
      </c>
      <c r="T62" s="2">
        <v>46176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</row>
    <row r="63" spans="1:39" x14ac:dyDescent="0.25">
      <c r="A63">
        <v>198</v>
      </c>
      <c r="B63" t="s">
        <v>332</v>
      </c>
      <c r="C63" t="s">
        <v>292</v>
      </c>
      <c r="D63" t="s">
        <v>333</v>
      </c>
      <c r="E63" t="s">
        <v>334</v>
      </c>
      <c r="F63" s="2">
        <v>46196</v>
      </c>
      <c r="G63" s="2">
        <v>46205</v>
      </c>
      <c r="H63" s="3">
        <v>0.56000000000000005</v>
      </c>
      <c r="J63" t="s">
        <v>41</v>
      </c>
      <c r="L63">
        <v>154</v>
      </c>
      <c r="M63" t="s">
        <v>66</v>
      </c>
      <c r="N63" s="2">
        <v>46188</v>
      </c>
      <c r="P63" t="s">
        <v>179</v>
      </c>
      <c r="Q63" t="s">
        <v>55</v>
      </c>
      <c r="R63" t="s">
        <v>290</v>
      </c>
      <c r="S63" s="2">
        <v>46167</v>
      </c>
      <c r="T63" s="2">
        <v>46175</v>
      </c>
      <c r="AB63">
        <v>0.56000000000000005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200</v>
      </c>
      <c r="B64" t="s">
        <v>337</v>
      </c>
      <c r="C64" t="s">
        <v>336</v>
      </c>
      <c r="D64" t="s">
        <v>104</v>
      </c>
      <c r="E64" t="s">
        <v>52</v>
      </c>
      <c r="F64" s="2">
        <v>46199</v>
      </c>
      <c r="G64" s="2">
        <v>46202</v>
      </c>
      <c r="H64" s="3">
        <v>0.5</v>
      </c>
      <c r="J64" t="s">
        <v>41</v>
      </c>
      <c r="K64">
        <v>199</v>
      </c>
      <c r="L64">
        <v>201</v>
      </c>
      <c r="M64" t="s">
        <v>182</v>
      </c>
      <c r="N64" s="2">
        <v>46183</v>
      </c>
      <c r="P64" t="s">
        <v>179</v>
      </c>
      <c r="Q64" t="s">
        <v>55</v>
      </c>
      <c r="R64" t="s">
        <v>290</v>
      </c>
      <c r="S64" s="2">
        <v>46170</v>
      </c>
      <c r="T64" s="2">
        <v>46170</v>
      </c>
      <c r="AB64">
        <v>0.5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201</v>
      </c>
      <c r="B65" t="s">
        <v>338</v>
      </c>
      <c r="C65" t="s">
        <v>336</v>
      </c>
      <c r="D65" t="s">
        <v>108</v>
      </c>
      <c r="E65" t="s">
        <v>115</v>
      </c>
      <c r="F65" s="2">
        <v>46202</v>
      </c>
      <c r="G65" s="2">
        <v>46204</v>
      </c>
      <c r="H65" s="3">
        <v>0</v>
      </c>
      <c r="J65" t="s">
        <v>41</v>
      </c>
      <c r="K65">
        <v>200</v>
      </c>
      <c r="L65">
        <v>202</v>
      </c>
      <c r="M65" t="s">
        <v>152</v>
      </c>
      <c r="N65" s="2">
        <v>46185</v>
      </c>
      <c r="P65" t="s">
        <v>67</v>
      </c>
      <c r="Q65" t="s">
        <v>55</v>
      </c>
      <c r="R65" t="s">
        <v>290</v>
      </c>
      <c r="S65" s="2">
        <v>46171</v>
      </c>
      <c r="T65" s="2">
        <v>46174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</row>
    <row r="66" spans="1:39" x14ac:dyDescent="0.25">
      <c r="A66">
        <v>202</v>
      </c>
      <c r="B66" t="s">
        <v>339</v>
      </c>
      <c r="C66" t="s">
        <v>336</v>
      </c>
      <c r="D66" t="s">
        <v>114</v>
      </c>
      <c r="E66" t="s">
        <v>52</v>
      </c>
      <c r="F66" s="2">
        <v>46204</v>
      </c>
      <c r="G66" s="2">
        <v>46205</v>
      </c>
      <c r="H66" s="3">
        <v>0</v>
      </c>
      <c r="J66" t="s">
        <v>41</v>
      </c>
      <c r="K66">
        <v>201</v>
      </c>
      <c r="M66" t="s">
        <v>226</v>
      </c>
      <c r="N66" s="2">
        <v>46188</v>
      </c>
      <c r="P66" t="s">
        <v>67</v>
      </c>
      <c r="Q66" t="s">
        <v>55</v>
      </c>
      <c r="R66" t="s">
        <v>290</v>
      </c>
      <c r="S66" s="2">
        <v>46175</v>
      </c>
      <c r="T66" s="2">
        <v>46175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</row>
    <row r="67" spans="1:39" x14ac:dyDescent="0.25">
      <c r="A67">
        <v>203</v>
      </c>
      <c r="B67" t="s">
        <v>340</v>
      </c>
      <c r="C67" t="s">
        <v>292</v>
      </c>
      <c r="D67" t="s">
        <v>341</v>
      </c>
      <c r="E67" t="s">
        <v>334</v>
      </c>
      <c r="F67" s="2">
        <v>46196</v>
      </c>
      <c r="G67" s="2">
        <v>46205</v>
      </c>
      <c r="H67" s="3">
        <v>0.56000000000000005</v>
      </c>
      <c r="J67" t="s">
        <v>41</v>
      </c>
      <c r="M67" t="s">
        <v>66</v>
      </c>
      <c r="N67" s="2">
        <v>46188</v>
      </c>
      <c r="P67" t="s">
        <v>179</v>
      </c>
      <c r="Q67" t="s">
        <v>55</v>
      </c>
      <c r="R67" t="s">
        <v>290</v>
      </c>
      <c r="S67" s="2">
        <v>46167</v>
      </c>
      <c r="T67" s="2">
        <v>46175</v>
      </c>
      <c r="AB67">
        <v>0.56000000000000005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205</v>
      </c>
      <c r="B68" t="s">
        <v>344</v>
      </c>
      <c r="C68" t="s">
        <v>343</v>
      </c>
      <c r="D68" t="s">
        <v>104</v>
      </c>
      <c r="E68" t="s">
        <v>52</v>
      </c>
      <c r="F68" s="2">
        <v>46199</v>
      </c>
      <c r="G68" s="2">
        <v>46202</v>
      </c>
      <c r="H68" s="3">
        <v>0.5</v>
      </c>
      <c r="J68" t="s">
        <v>41</v>
      </c>
      <c r="K68">
        <v>204</v>
      </c>
      <c r="L68">
        <v>206</v>
      </c>
      <c r="M68" t="s">
        <v>182</v>
      </c>
      <c r="N68" s="2">
        <v>46183</v>
      </c>
      <c r="P68" t="s">
        <v>179</v>
      </c>
      <c r="Q68" t="s">
        <v>55</v>
      </c>
      <c r="R68" t="s">
        <v>290</v>
      </c>
      <c r="S68" s="2">
        <v>46170</v>
      </c>
      <c r="T68" s="2">
        <v>46170</v>
      </c>
      <c r="AB68">
        <v>0.5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206</v>
      </c>
      <c r="B69" t="s">
        <v>345</v>
      </c>
      <c r="C69" t="s">
        <v>343</v>
      </c>
      <c r="D69" t="s">
        <v>108</v>
      </c>
      <c r="E69" t="s">
        <v>115</v>
      </c>
      <c r="F69" s="2">
        <v>46202</v>
      </c>
      <c r="G69" s="2">
        <v>46204</v>
      </c>
      <c r="H69" s="3">
        <v>0</v>
      </c>
      <c r="J69" t="s">
        <v>41</v>
      </c>
      <c r="K69">
        <v>205</v>
      </c>
      <c r="L69">
        <v>207</v>
      </c>
      <c r="M69" t="s">
        <v>152</v>
      </c>
      <c r="N69" s="2">
        <v>46185</v>
      </c>
      <c r="P69" t="s">
        <v>67</v>
      </c>
      <c r="Q69" t="s">
        <v>55</v>
      </c>
      <c r="R69" t="s">
        <v>290</v>
      </c>
      <c r="S69" s="2">
        <v>46171</v>
      </c>
      <c r="T69" s="2">
        <v>46174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>
        <v>207</v>
      </c>
      <c r="B70" t="s">
        <v>346</v>
      </c>
      <c r="C70" t="s">
        <v>343</v>
      </c>
      <c r="D70" t="s">
        <v>114</v>
      </c>
      <c r="E70" t="s">
        <v>52</v>
      </c>
      <c r="F70" s="2">
        <v>46204</v>
      </c>
      <c r="G70" s="2">
        <v>46205</v>
      </c>
      <c r="H70" s="3">
        <v>0</v>
      </c>
      <c r="J70" t="s">
        <v>41</v>
      </c>
      <c r="K70">
        <v>206</v>
      </c>
      <c r="M70" t="s">
        <v>226</v>
      </c>
      <c r="N70" s="2">
        <v>46188</v>
      </c>
      <c r="P70" t="s">
        <v>67</v>
      </c>
      <c r="Q70" t="s">
        <v>55</v>
      </c>
      <c r="R70" t="s">
        <v>290</v>
      </c>
      <c r="S70" s="2">
        <v>46175</v>
      </c>
      <c r="T70" s="2">
        <v>46175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</row>
    <row r="71" spans="1:39" x14ac:dyDescent="0.25">
      <c r="A71">
        <v>208</v>
      </c>
      <c r="B71" t="s">
        <v>347</v>
      </c>
      <c r="C71" t="s">
        <v>292</v>
      </c>
      <c r="D71" t="s">
        <v>348</v>
      </c>
      <c r="E71" t="s">
        <v>334</v>
      </c>
      <c r="F71" s="2">
        <v>46196</v>
      </c>
      <c r="G71" s="2">
        <v>46205</v>
      </c>
      <c r="H71" s="3">
        <v>0.44</v>
      </c>
      <c r="J71" t="s">
        <v>41</v>
      </c>
      <c r="M71" t="s">
        <v>66</v>
      </c>
      <c r="N71" s="2">
        <v>46188</v>
      </c>
      <c r="P71" t="s">
        <v>179</v>
      </c>
      <c r="Q71" t="s">
        <v>55</v>
      </c>
      <c r="R71" t="s">
        <v>290</v>
      </c>
      <c r="S71" s="2">
        <v>46167</v>
      </c>
      <c r="T71" s="2">
        <v>46175</v>
      </c>
      <c r="AB71">
        <v>0.44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209</v>
      </c>
      <c r="B72" t="s">
        <v>349</v>
      </c>
      <c r="C72" t="s">
        <v>350</v>
      </c>
      <c r="D72" t="s">
        <v>100</v>
      </c>
      <c r="E72" t="s">
        <v>167</v>
      </c>
      <c r="F72" s="2">
        <v>46196</v>
      </c>
      <c r="G72" s="2">
        <v>46199</v>
      </c>
      <c r="H72" s="3">
        <v>0.75</v>
      </c>
      <c r="J72" t="s">
        <v>41</v>
      </c>
      <c r="K72">
        <v>160</v>
      </c>
      <c r="L72">
        <v>210</v>
      </c>
      <c r="M72" t="s">
        <v>66</v>
      </c>
      <c r="N72" s="2">
        <v>46182</v>
      </c>
      <c r="P72" t="s">
        <v>179</v>
      </c>
      <c r="Q72" t="s">
        <v>44</v>
      </c>
      <c r="R72" t="s">
        <v>290</v>
      </c>
      <c r="S72" s="2">
        <v>46167</v>
      </c>
      <c r="T72" s="2">
        <v>46169</v>
      </c>
      <c r="AB72">
        <v>0.75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210</v>
      </c>
      <c r="B73" t="s">
        <v>351</v>
      </c>
      <c r="C73" t="s">
        <v>350</v>
      </c>
      <c r="D73" t="s">
        <v>104</v>
      </c>
      <c r="E73" t="s">
        <v>52</v>
      </c>
      <c r="F73" s="2">
        <v>46199</v>
      </c>
      <c r="G73" s="2">
        <v>46202</v>
      </c>
      <c r="H73" s="3">
        <v>0.5</v>
      </c>
      <c r="J73" t="s">
        <v>41</v>
      </c>
      <c r="K73">
        <v>209</v>
      </c>
      <c r="L73">
        <v>211</v>
      </c>
      <c r="M73" t="s">
        <v>182</v>
      </c>
      <c r="N73" s="2">
        <v>46183</v>
      </c>
      <c r="P73" t="s">
        <v>179</v>
      </c>
      <c r="Q73" t="s">
        <v>55</v>
      </c>
      <c r="R73" t="s">
        <v>290</v>
      </c>
      <c r="S73" s="2">
        <v>46170</v>
      </c>
      <c r="T73" s="2">
        <v>46170</v>
      </c>
      <c r="AB73">
        <v>0.5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>
        <v>211</v>
      </c>
      <c r="B74" t="s">
        <v>352</v>
      </c>
      <c r="C74" t="s">
        <v>350</v>
      </c>
      <c r="D74" t="s">
        <v>108</v>
      </c>
      <c r="E74" t="s">
        <v>115</v>
      </c>
      <c r="F74" s="2">
        <v>46202</v>
      </c>
      <c r="G74" s="2">
        <v>46204</v>
      </c>
      <c r="H74" s="3">
        <v>0</v>
      </c>
      <c r="J74" t="s">
        <v>41</v>
      </c>
      <c r="K74">
        <v>210</v>
      </c>
      <c r="L74">
        <v>212</v>
      </c>
      <c r="M74" t="s">
        <v>152</v>
      </c>
      <c r="N74" s="2">
        <v>46185</v>
      </c>
      <c r="P74" t="s">
        <v>67</v>
      </c>
      <c r="Q74" t="s">
        <v>55</v>
      </c>
      <c r="R74" t="s">
        <v>290</v>
      </c>
      <c r="S74" s="2">
        <v>46171</v>
      </c>
      <c r="T74" s="2">
        <v>46174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</row>
    <row r="75" spans="1:39" x14ac:dyDescent="0.25">
      <c r="A75">
        <v>212</v>
      </c>
      <c r="B75" t="s">
        <v>353</v>
      </c>
      <c r="C75" t="s">
        <v>350</v>
      </c>
      <c r="D75" t="s">
        <v>114</v>
      </c>
      <c r="E75" t="s">
        <v>52</v>
      </c>
      <c r="F75" s="2">
        <v>46204</v>
      </c>
      <c r="G75" s="2">
        <v>46205</v>
      </c>
      <c r="H75" s="3">
        <v>0</v>
      </c>
      <c r="J75" t="s">
        <v>41</v>
      </c>
      <c r="K75">
        <v>211</v>
      </c>
      <c r="M75" t="s">
        <v>226</v>
      </c>
      <c r="N75" s="2">
        <v>46188</v>
      </c>
      <c r="P75" t="s">
        <v>67</v>
      </c>
      <c r="Q75" t="s">
        <v>55</v>
      </c>
      <c r="R75" t="s">
        <v>290</v>
      </c>
      <c r="S75" s="2">
        <v>46175</v>
      </c>
      <c r="T75" s="2">
        <v>46175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</row>
    <row r="76" spans="1:39" x14ac:dyDescent="0.25">
      <c r="A76">
        <v>228</v>
      </c>
      <c r="B76" t="s">
        <v>354</v>
      </c>
      <c r="C76" t="s">
        <v>292</v>
      </c>
      <c r="D76" t="s">
        <v>355</v>
      </c>
      <c r="E76" t="s">
        <v>174</v>
      </c>
      <c r="F76" s="2">
        <v>46202</v>
      </c>
      <c r="G76" s="2">
        <v>46210</v>
      </c>
      <c r="H76" s="3">
        <v>0.43</v>
      </c>
      <c r="J76" t="s">
        <v>41</v>
      </c>
      <c r="M76" t="s">
        <v>66</v>
      </c>
      <c r="N76" s="2">
        <v>46188</v>
      </c>
      <c r="P76" t="s">
        <v>179</v>
      </c>
      <c r="Q76" t="s">
        <v>55</v>
      </c>
      <c r="R76" t="s">
        <v>290</v>
      </c>
      <c r="S76" s="2">
        <v>46167</v>
      </c>
      <c r="T76" s="2">
        <v>46175</v>
      </c>
      <c r="AB76">
        <v>0.43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230</v>
      </c>
      <c r="B77" t="s">
        <v>359</v>
      </c>
      <c r="C77" t="s">
        <v>357</v>
      </c>
      <c r="D77" t="s">
        <v>104</v>
      </c>
      <c r="E77" t="s">
        <v>52</v>
      </c>
      <c r="F77" s="2">
        <v>46205</v>
      </c>
      <c r="G77" s="2">
        <v>46205</v>
      </c>
      <c r="H77" s="3">
        <v>0</v>
      </c>
      <c r="J77" t="s">
        <v>41</v>
      </c>
      <c r="K77">
        <v>229</v>
      </c>
      <c r="L77">
        <v>231</v>
      </c>
      <c r="M77" t="s">
        <v>182</v>
      </c>
      <c r="N77" s="2">
        <v>46183</v>
      </c>
      <c r="P77" t="s">
        <v>67</v>
      </c>
      <c r="Q77" t="s">
        <v>55</v>
      </c>
      <c r="R77" t="s">
        <v>290</v>
      </c>
      <c r="S77" s="2">
        <v>46170</v>
      </c>
      <c r="T77" s="2">
        <v>46170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231</v>
      </c>
      <c r="B78" t="s">
        <v>360</v>
      </c>
      <c r="C78" t="s">
        <v>357</v>
      </c>
      <c r="D78" t="s">
        <v>108</v>
      </c>
      <c r="E78" t="s">
        <v>115</v>
      </c>
      <c r="F78" s="2">
        <v>46206</v>
      </c>
      <c r="G78" s="2">
        <v>46209</v>
      </c>
      <c r="H78" s="3">
        <v>0</v>
      </c>
      <c r="J78" t="s">
        <v>41</v>
      </c>
      <c r="K78">
        <v>230</v>
      </c>
      <c r="L78">
        <v>232</v>
      </c>
      <c r="M78" t="s">
        <v>152</v>
      </c>
      <c r="N78" s="2">
        <v>46185</v>
      </c>
      <c r="P78" t="s">
        <v>67</v>
      </c>
      <c r="Q78" t="s">
        <v>55</v>
      </c>
      <c r="R78" t="s">
        <v>290</v>
      </c>
      <c r="S78" s="2">
        <v>46171</v>
      </c>
      <c r="T78" s="2">
        <v>46174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</row>
    <row r="79" spans="1:39" x14ac:dyDescent="0.25">
      <c r="A79">
        <v>232</v>
      </c>
      <c r="B79" t="s">
        <v>361</v>
      </c>
      <c r="C79" t="s">
        <v>357</v>
      </c>
      <c r="D79" t="s">
        <v>114</v>
      </c>
      <c r="E79" t="s">
        <v>52</v>
      </c>
      <c r="F79" s="2">
        <v>46210</v>
      </c>
      <c r="G79" s="2">
        <v>46210</v>
      </c>
      <c r="H79" s="3">
        <v>0</v>
      </c>
      <c r="J79" t="s">
        <v>41</v>
      </c>
      <c r="K79">
        <v>231</v>
      </c>
      <c r="M79" t="s">
        <v>226</v>
      </c>
      <c r="N79" s="2">
        <v>46188</v>
      </c>
      <c r="P79" t="s">
        <v>67</v>
      </c>
      <c r="Q79" t="s">
        <v>55</v>
      </c>
      <c r="R79" t="s">
        <v>290</v>
      </c>
      <c r="S79" s="2">
        <v>46175</v>
      </c>
      <c r="T79" s="2">
        <v>46175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</row>
    <row r="80" spans="1:39" x14ac:dyDescent="0.25">
      <c r="A80">
        <v>238</v>
      </c>
      <c r="B80" t="s">
        <v>362</v>
      </c>
      <c r="C80" t="s">
        <v>50</v>
      </c>
      <c r="D80" t="s">
        <v>363</v>
      </c>
      <c r="E80" t="s">
        <v>364</v>
      </c>
      <c r="F80" s="2">
        <v>46191</v>
      </c>
      <c r="G80" s="2">
        <v>46218</v>
      </c>
      <c r="H80" s="3">
        <v>0.44</v>
      </c>
      <c r="J80" t="s">
        <v>41</v>
      </c>
      <c r="M80" t="s">
        <v>152</v>
      </c>
      <c r="N80" s="2">
        <v>46210</v>
      </c>
      <c r="P80" t="s">
        <v>73</v>
      </c>
      <c r="Q80" t="s">
        <v>55</v>
      </c>
      <c r="R80" t="s">
        <v>365</v>
      </c>
      <c r="S80" s="2">
        <v>46147</v>
      </c>
      <c r="T80" s="2">
        <v>46202</v>
      </c>
      <c r="AB80">
        <v>0.44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244</v>
      </c>
      <c r="B81" t="s">
        <v>366</v>
      </c>
      <c r="C81" t="s">
        <v>367</v>
      </c>
      <c r="D81" t="s">
        <v>368</v>
      </c>
      <c r="E81" t="s">
        <v>369</v>
      </c>
      <c r="F81" s="2">
        <v>46192</v>
      </c>
      <c r="G81" s="2">
        <v>46199</v>
      </c>
      <c r="H81" s="3">
        <v>0</v>
      </c>
      <c r="J81" t="s">
        <v>41</v>
      </c>
      <c r="M81" t="s">
        <v>152</v>
      </c>
      <c r="N81" s="2">
        <v>46196</v>
      </c>
      <c r="P81" t="s">
        <v>179</v>
      </c>
      <c r="Q81" t="s">
        <v>55</v>
      </c>
      <c r="R81" t="s">
        <v>365</v>
      </c>
      <c r="S81" s="2">
        <v>46176</v>
      </c>
      <c r="T81" s="2">
        <v>46188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245</v>
      </c>
      <c r="B82" t="s">
        <v>370</v>
      </c>
      <c r="C82" t="s">
        <v>371</v>
      </c>
      <c r="D82" t="s">
        <v>100</v>
      </c>
      <c r="E82" t="s">
        <v>101</v>
      </c>
      <c r="F82" s="2">
        <v>46192</v>
      </c>
      <c r="G82" s="2">
        <v>46196</v>
      </c>
      <c r="H82" s="3">
        <v>0</v>
      </c>
      <c r="J82" t="s">
        <v>41</v>
      </c>
      <c r="K82" t="s">
        <v>372</v>
      </c>
      <c r="L82" t="s">
        <v>373</v>
      </c>
      <c r="M82" t="s">
        <v>152</v>
      </c>
      <c r="N82" s="2">
        <v>46190</v>
      </c>
      <c r="P82" t="s">
        <v>179</v>
      </c>
      <c r="Q82" t="s">
        <v>55</v>
      </c>
      <c r="R82" t="s">
        <v>365</v>
      </c>
      <c r="S82" s="2">
        <v>46176</v>
      </c>
      <c r="T82" s="2">
        <v>46182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246</v>
      </c>
      <c r="B83" t="s">
        <v>374</v>
      </c>
      <c r="C83" t="s">
        <v>371</v>
      </c>
      <c r="D83" t="s">
        <v>104</v>
      </c>
      <c r="E83" t="s">
        <v>52</v>
      </c>
      <c r="F83" s="2">
        <v>46197</v>
      </c>
      <c r="G83" s="2">
        <v>46197</v>
      </c>
      <c r="H83" s="3">
        <v>0</v>
      </c>
      <c r="J83" t="s">
        <v>41</v>
      </c>
      <c r="K83">
        <v>245</v>
      </c>
      <c r="L83" t="s">
        <v>375</v>
      </c>
      <c r="M83" t="s">
        <v>186</v>
      </c>
      <c r="N83" s="2">
        <v>46191</v>
      </c>
      <c r="P83" t="s">
        <v>67</v>
      </c>
      <c r="Q83" t="s">
        <v>55</v>
      </c>
      <c r="R83" t="s">
        <v>365</v>
      </c>
      <c r="S83" s="2">
        <v>46183</v>
      </c>
      <c r="T83" s="2">
        <v>46183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247</v>
      </c>
      <c r="B84" t="s">
        <v>376</v>
      </c>
      <c r="C84" t="s">
        <v>371</v>
      </c>
      <c r="D84" t="s">
        <v>108</v>
      </c>
      <c r="E84" t="s">
        <v>52</v>
      </c>
      <c r="F84" s="2">
        <v>46198</v>
      </c>
      <c r="G84" s="2">
        <v>46198</v>
      </c>
      <c r="H84" s="3">
        <v>0</v>
      </c>
      <c r="J84" t="s">
        <v>41</v>
      </c>
      <c r="K84">
        <v>246</v>
      </c>
      <c r="L84">
        <v>248</v>
      </c>
      <c r="M84" t="s">
        <v>304</v>
      </c>
      <c r="N84" s="2">
        <v>46195</v>
      </c>
      <c r="P84" t="s">
        <v>67</v>
      </c>
      <c r="Q84" t="s">
        <v>55</v>
      </c>
      <c r="R84" t="s">
        <v>365</v>
      </c>
      <c r="S84" s="2">
        <v>46184</v>
      </c>
      <c r="T84" s="2">
        <v>46185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</row>
    <row r="85" spans="1:39" x14ac:dyDescent="0.25">
      <c r="A85">
        <v>248</v>
      </c>
      <c r="B85" t="s">
        <v>377</v>
      </c>
      <c r="C85" t="s">
        <v>371</v>
      </c>
      <c r="D85" t="s">
        <v>114</v>
      </c>
      <c r="E85" t="s">
        <v>52</v>
      </c>
      <c r="F85" s="2">
        <v>46199</v>
      </c>
      <c r="G85" s="2">
        <v>46199</v>
      </c>
      <c r="H85" s="3">
        <v>0</v>
      </c>
      <c r="J85" t="s">
        <v>41</v>
      </c>
      <c r="K85">
        <v>247</v>
      </c>
      <c r="M85" t="s">
        <v>251</v>
      </c>
      <c r="N85" s="2">
        <v>46196</v>
      </c>
      <c r="P85" t="s">
        <v>67</v>
      </c>
      <c r="Q85" t="s">
        <v>55</v>
      </c>
      <c r="R85" t="s">
        <v>365</v>
      </c>
      <c r="S85" s="2">
        <v>46188</v>
      </c>
      <c r="T85" s="2">
        <v>46188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</row>
    <row r="86" spans="1:39" x14ac:dyDescent="0.25">
      <c r="A86">
        <v>249</v>
      </c>
      <c r="B86" t="s">
        <v>378</v>
      </c>
      <c r="C86" t="s">
        <v>367</v>
      </c>
      <c r="D86" t="s">
        <v>379</v>
      </c>
      <c r="E86" t="s">
        <v>369</v>
      </c>
      <c r="F86" s="2">
        <v>46209</v>
      </c>
      <c r="G86" s="2">
        <v>46218</v>
      </c>
      <c r="H86" s="3">
        <v>0.5</v>
      </c>
      <c r="J86" t="s">
        <v>41</v>
      </c>
      <c r="M86" t="s">
        <v>311</v>
      </c>
      <c r="N86" s="2">
        <v>46210</v>
      </c>
      <c r="P86" t="s">
        <v>67</v>
      </c>
      <c r="Q86" t="s">
        <v>55</v>
      </c>
      <c r="R86" t="s">
        <v>365</v>
      </c>
      <c r="S86" s="2">
        <v>46192</v>
      </c>
      <c r="T86" s="2">
        <v>46202</v>
      </c>
      <c r="AB86">
        <v>0.5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>
        <v>251</v>
      </c>
      <c r="B87" t="s">
        <v>382</v>
      </c>
      <c r="C87" t="s">
        <v>381</v>
      </c>
      <c r="D87" t="s">
        <v>104</v>
      </c>
      <c r="E87" t="s">
        <v>52</v>
      </c>
      <c r="F87" s="2">
        <v>46216</v>
      </c>
      <c r="G87" s="2">
        <v>46216</v>
      </c>
      <c r="H87" s="3">
        <v>0</v>
      </c>
      <c r="J87" t="s">
        <v>41</v>
      </c>
      <c r="K87">
        <v>250</v>
      </c>
      <c r="L87">
        <v>252</v>
      </c>
      <c r="M87" t="s">
        <v>383</v>
      </c>
      <c r="N87" s="2">
        <v>46205</v>
      </c>
      <c r="P87" t="s">
        <v>194</v>
      </c>
      <c r="Q87" t="s">
        <v>55</v>
      </c>
      <c r="R87" t="s">
        <v>365</v>
      </c>
      <c r="S87" s="2">
        <v>46197</v>
      </c>
      <c r="T87" s="2">
        <v>46197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252</v>
      </c>
      <c r="B88" t="s">
        <v>384</v>
      </c>
      <c r="C88" t="s">
        <v>381</v>
      </c>
      <c r="D88" t="s">
        <v>108</v>
      </c>
      <c r="E88" t="s">
        <v>52</v>
      </c>
      <c r="F88" s="2">
        <v>46217</v>
      </c>
      <c r="G88" s="2">
        <v>46217</v>
      </c>
      <c r="H88" s="3">
        <v>0</v>
      </c>
      <c r="J88" t="s">
        <v>192</v>
      </c>
      <c r="K88">
        <v>251</v>
      </c>
      <c r="L88">
        <v>253</v>
      </c>
      <c r="M88" t="s">
        <v>385</v>
      </c>
      <c r="N88" s="2">
        <v>46209</v>
      </c>
      <c r="P88" t="s">
        <v>194</v>
      </c>
      <c r="Q88" t="s">
        <v>55</v>
      </c>
      <c r="R88" t="s">
        <v>365</v>
      </c>
      <c r="S88" s="2">
        <v>46198</v>
      </c>
      <c r="T88" s="2">
        <v>46199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>
        <v>253</v>
      </c>
      <c r="B89" t="s">
        <v>386</v>
      </c>
      <c r="C89" t="s">
        <v>381</v>
      </c>
      <c r="D89" t="s">
        <v>114</v>
      </c>
      <c r="E89" t="s">
        <v>52</v>
      </c>
      <c r="F89" s="2">
        <v>46218</v>
      </c>
      <c r="G89" s="2">
        <v>46218</v>
      </c>
      <c r="H89" s="3">
        <v>0</v>
      </c>
      <c r="J89" t="s">
        <v>196</v>
      </c>
      <c r="K89">
        <v>252</v>
      </c>
      <c r="M89" t="s">
        <v>387</v>
      </c>
      <c r="N89" s="2">
        <v>46210</v>
      </c>
      <c r="P89" t="s">
        <v>194</v>
      </c>
      <c r="Q89" t="s">
        <v>55</v>
      </c>
      <c r="R89" t="s">
        <v>365</v>
      </c>
      <c r="S89" s="2">
        <v>46202</v>
      </c>
      <c r="T89" s="2">
        <v>46202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>
        <v>259</v>
      </c>
      <c r="B90" t="s">
        <v>388</v>
      </c>
      <c r="C90" t="s">
        <v>367</v>
      </c>
      <c r="D90" t="s">
        <v>389</v>
      </c>
      <c r="E90" t="s">
        <v>390</v>
      </c>
      <c r="F90" s="2">
        <v>46191</v>
      </c>
      <c r="G90" s="2">
        <v>46197</v>
      </c>
      <c r="H90" s="3">
        <v>0.4</v>
      </c>
      <c r="J90" t="s">
        <v>41</v>
      </c>
      <c r="M90" t="s">
        <v>152</v>
      </c>
      <c r="N90" s="2">
        <v>46192</v>
      </c>
      <c r="P90" t="s">
        <v>73</v>
      </c>
      <c r="Q90" t="s">
        <v>55</v>
      </c>
      <c r="R90" t="s">
        <v>365</v>
      </c>
      <c r="S90" s="2">
        <v>46171</v>
      </c>
      <c r="T90" s="2">
        <v>46181</v>
      </c>
      <c r="AB90">
        <v>0.4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>
        <v>261</v>
      </c>
      <c r="B91" t="s">
        <v>395</v>
      </c>
      <c r="C91" t="s">
        <v>392</v>
      </c>
      <c r="D91" t="s">
        <v>104</v>
      </c>
      <c r="E91" t="s">
        <v>52</v>
      </c>
      <c r="F91" s="2">
        <v>46195</v>
      </c>
      <c r="G91" s="2">
        <v>46195</v>
      </c>
      <c r="H91" s="3">
        <v>0</v>
      </c>
      <c r="J91" t="s">
        <v>41</v>
      </c>
      <c r="K91">
        <v>260</v>
      </c>
      <c r="L91">
        <v>262</v>
      </c>
      <c r="M91" t="s">
        <v>228</v>
      </c>
      <c r="N91" s="2">
        <v>46189</v>
      </c>
      <c r="P91" t="s">
        <v>179</v>
      </c>
      <c r="Q91" t="s">
        <v>55</v>
      </c>
      <c r="R91" t="s">
        <v>365</v>
      </c>
      <c r="S91" s="2">
        <v>46176</v>
      </c>
      <c r="T91" s="2">
        <v>46176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>
        <v>262</v>
      </c>
      <c r="B92" t="s">
        <v>396</v>
      </c>
      <c r="C92" t="s">
        <v>392</v>
      </c>
      <c r="D92" t="s">
        <v>108</v>
      </c>
      <c r="E92" t="s">
        <v>52</v>
      </c>
      <c r="F92" s="2">
        <v>46196</v>
      </c>
      <c r="G92" s="2">
        <v>46196</v>
      </c>
      <c r="H92" s="3">
        <v>0</v>
      </c>
      <c r="J92" t="s">
        <v>41</v>
      </c>
      <c r="K92">
        <v>261</v>
      </c>
      <c r="L92">
        <v>263</v>
      </c>
      <c r="M92" t="s">
        <v>248</v>
      </c>
      <c r="N92" s="2">
        <v>46191</v>
      </c>
      <c r="P92" t="s">
        <v>179</v>
      </c>
      <c r="Q92" t="s">
        <v>55</v>
      </c>
      <c r="R92" t="s">
        <v>365</v>
      </c>
      <c r="S92" s="2">
        <v>46177</v>
      </c>
      <c r="T92" s="2">
        <v>46178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</row>
    <row r="93" spans="1:39" x14ac:dyDescent="0.25">
      <c r="A93">
        <v>263</v>
      </c>
      <c r="B93" t="s">
        <v>397</v>
      </c>
      <c r="C93" t="s">
        <v>392</v>
      </c>
      <c r="D93" t="s">
        <v>114</v>
      </c>
      <c r="E93" t="s">
        <v>52</v>
      </c>
      <c r="F93" s="2">
        <v>46197</v>
      </c>
      <c r="G93" s="2">
        <v>46197</v>
      </c>
      <c r="H93" s="3">
        <v>0</v>
      </c>
      <c r="J93" t="s">
        <v>41</v>
      </c>
      <c r="K93">
        <v>262</v>
      </c>
      <c r="M93" t="s">
        <v>304</v>
      </c>
      <c r="N93" s="2">
        <v>46192</v>
      </c>
      <c r="P93" t="s">
        <v>179</v>
      </c>
      <c r="Q93" t="s">
        <v>55</v>
      </c>
      <c r="R93" t="s">
        <v>365</v>
      </c>
      <c r="S93" s="2">
        <v>46181</v>
      </c>
      <c r="T93" s="2">
        <v>46181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</row>
    <row r="94" spans="1:39" x14ac:dyDescent="0.25">
      <c r="A94">
        <v>264</v>
      </c>
      <c r="B94" t="s">
        <v>398</v>
      </c>
      <c r="C94" t="s">
        <v>367</v>
      </c>
      <c r="D94" t="s">
        <v>399</v>
      </c>
      <c r="E94" t="s">
        <v>369</v>
      </c>
      <c r="F94" s="2">
        <v>46203</v>
      </c>
      <c r="G94" s="2">
        <v>46210</v>
      </c>
      <c r="H94" s="3">
        <v>0.5</v>
      </c>
      <c r="J94" t="s">
        <v>41</v>
      </c>
      <c r="M94" t="s">
        <v>251</v>
      </c>
      <c r="N94" s="2">
        <v>46206</v>
      </c>
      <c r="P94" t="s">
        <v>67</v>
      </c>
      <c r="Q94" t="s">
        <v>55</v>
      </c>
      <c r="R94" t="s">
        <v>365</v>
      </c>
      <c r="S94" s="2">
        <v>46188</v>
      </c>
      <c r="T94" s="2">
        <v>46198</v>
      </c>
      <c r="AB94">
        <v>0.5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266</v>
      </c>
      <c r="B95" t="s">
        <v>402</v>
      </c>
      <c r="C95" t="s">
        <v>401</v>
      </c>
      <c r="D95" t="s">
        <v>104</v>
      </c>
      <c r="E95" t="s">
        <v>52</v>
      </c>
      <c r="F95" s="2">
        <v>46206</v>
      </c>
      <c r="G95" s="2">
        <v>46206</v>
      </c>
      <c r="H95" s="3">
        <v>0</v>
      </c>
      <c r="J95" t="s">
        <v>41</v>
      </c>
      <c r="K95">
        <v>265</v>
      </c>
      <c r="L95">
        <v>267</v>
      </c>
      <c r="M95" t="s">
        <v>197</v>
      </c>
      <c r="N95" s="2">
        <v>46203</v>
      </c>
      <c r="P95" t="s">
        <v>67</v>
      </c>
      <c r="Q95" t="s">
        <v>55</v>
      </c>
      <c r="R95" t="s">
        <v>365</v>
      </c>
      <c r="S95" s="2">
        <v>46195</v>
      </c>
      <c r="T95" s="2">
        <v>46195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267</v>
      </c>
      <c r="B96" t="s">
        <v>403</v>
      </c>
      <c r="C96" t="s">
        <v>401</v>
      </c>
      <c r="D96" t="s">
        <v>108</v>
      </c>
      <c r="E96" t="s">
        <v>52</v>
      </c>
      <c r="F96" s="2">
        <v>46209</v>
      </c>
      <c r="G96" s="2">
        <v>46209</v>
      </c>
      <c r="H96" s="3">
        <v>0</v>
      </c>
      <c r="J96" t="s">
        <v>41</v>
      </c>
      <c r="K96">
        <v>266</v>
      </c>
      <c r="L96">
        <v>268</v>
      </c>
      <c r="M96" t="s">
        <v>404</v>
      </c>
      <c r="N96" s="2">
        <v>46205</v>
      </c>
      <c r="P96" t="s">
        <v>194</v>
      </c>
      <c r="Q96" t="s">
        <v>55</v>
      </c>
      <c r="R96" t="s">
        <v>365</v>
      </c>
      <c r="S96" s="2">
        <v>46196</v>
      </c>
      <c r="T96" s="2">
        <v>46197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</row>
    <row r="97" spans="1:39" x14ac:dyDescent="0.25">
      <c r="A97">
        <v>268</v>
      </c>
      <c r="B97" t="s">
        <v>405</v>
      </c>
      <c r="C97" t="s">
        <v>401</v>
      </c>
      <c r="D97" t="s">
        <v>114</v>
      </c>
      <c r="E97" t="s">
        <v>52</v>
      </c>
      <c r="F97" s="2">
        <v>46210</v>
      </c>
      <c r="G97" s="2">
        <v>46210</v>
      </c>
      <c r="H97" s="3">
        <v>0</v>
      </c>
      <c r="J97" t="s">
        <v>41</v>
      </c>
      <c r="K97">
        <v>267</v>
      </c>
      <c r="M97" t="s">
        <v>385</v>
      </c>
      <c r="N97" s="2">
        <v>46206</v>
      </c>
      <c r="P97" t="s">
        <v>194</v>
      </c>
      <c r="Q97" t="s">
        <v>55</v>
      </c>
      <c r="R97" t="s">
        <v>365</v>
      </c>
      <c r="S97" s="2">
        <v>46198</v>
      </c>
      <c r="T97" s="2">
        <v>46198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</row>
    <row r="98" spans="1:39" x14ac:dyDescent="0.25">
      <c r="A98">
        <v>269</v>
      </c>
      <c r="B98" t="s">
        <v>406</v>
      </c>
      <c r="C98" t="s">
        <v>367</v>
      </c>
      <c r="D98" t="s">
        <v>407</v>
      </c>
      <c r="E98" t="s">
        <v>369</v>
      </c>
      <c r="F98" s="2">
        <v>46209</v>
      </c>
      <c r="G98" s="2">
        <v>46218</v>
      </c>
      <c r="H98" s="3">
        <v>0.5</v>
      </c>
      <c r="J98" t="s">
        <v>41</v>
      </c>
      <c r="M98" t="s">
        <v>251</v>
      </c>
      <c r="N98" s="2">
        <v>46206</v>
      </c>
      <c r="P98" t="s">
        <v>67</v>
      </c>
      <c r="Q98" t="s">
        <v>55</v>
      </c>
      <c r="R98" t="s">
        <v>365</v>
      </c>
      <c r="S98" s="2">
        <v>46188</v>
      </c>
      <c r="T98" s="2">
        <v>46198</v>
      </c>
      <c r="AB98">
        <v>0.5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271</v>
      </c>
      <c r="B99" t="s">
        <v>410</v>
      </c>
      <c r="C99" t="s">
        <v>409</v>
      </c>
      <c r="D99" t="s">
        <v>104</v>
      </c>
      <c r="E99" t="s">
        <v>52</v>
      </c>
      <c r="F99" s="2">
        <v>46216</v>
      </c>
      <c r="G99" s="2">
        <v>46216</v>
      </c>
      <c r="H99" s="3">
        <v>0</v>
      </c>
      <c r="J99" t="s">
        <v>41</v>
      </c>
      <c r="K99">
        <v>270</v>
      </c>
      <c r="L99">
        <v>272</v>
      </c>
      <c r="M99" t="s">
        <v>197</v>
      </c>
      <c r="N99" s="2">
        <v>46203</v>
      </c>
      <c r="P99" t="s">
        <v>67</v>
      </c>
      <c r="Q99" t="s">
        <v>55</v>
      </c>
      <c r="R99" t="s">
        <v>365</v>
      </c>
      <c r="S99" s="2">
        <v>46195</v>
      </c>
      <c r="T99" s="2">
        <v>46195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272</v>
      </c>
      <c r="B100" t="s">
        <v>411</v>
      </c>
      <c r="C100" t="s">
        <v>409</v>
      </c>
      <c r="D100" t="s">
        <v>108</v>
      </c>
      <c r="E100" t="s">
        <v>52</v>
      </c>
      <c r="F100" s="2">
        <v>46217</v>
      </c>
      <c r="G100" s="2">
        <v>46217</v>
      </c>
      <c r="H100" s="3">
        <v>0</v>
      </c>
      <c r="J100" t="s">
        <v>192</v>
      </c>
      <c r="K100">
        <v>271</v>
      </c>
      <c r="L100">
        <v>273</v>
      </c>
      <c r="M100" t="s">
        <v>404</v>
      </c>
      <c r="N100" s="2">
        <v>46205</v>
      </c>
      <c r="P100" t="s">
        <v>194</v>
      </c>
      <c r="Q100" t="s">
        <v>55</v>
      </c>
      <c r="R100" t="s">
        <v>365</v>
      </c>
      <c r="S100" s="2">
        <v>46196</v>
      </c>
      <c r="T100" s="2">
        <v>46197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273</v>
      </c>
      <c r="B101" t="s">
        <v>412</v>
      </c>
      <c r="C101" t="s">
        <v>409</v>
      </c>
      <c r="D101" t="s">
        <v>114</v>
      </c>
      <c r="E101" t="s">
        <v>52</v>
      </c>
      <c r="F101" s="2">
        <v>46218</v>
      </c>
      <c r="G101" s="2">
        <v>46218</v>
      </c>
      <c r="H101" s="3">
        <v>0</v>
      </c>
      <c r="J101" t="s">
        <v>196</v>
      </c>
      <c r="K101">
        <v>272</v>
      </c>
      <c r="M101" t="s">
        <v>385</v>
      </c>
      <c r="N101" s="2">
        <v>46206</v>
      </c>
      <c r="P101" t="s">
        <v>194</v>
      </c>
      <c r="Q101" t="s">
        <v>55</v>
      </c>
      <c r="R101" t="s">
        <v>365</v>
      </c>
      <c r="S101" s="2">
        <v>46198</v>
      </c>
      <c r="T101" s="2">
        <v>46198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274</v>
      </c>
      <c r="B102" t="s">
        <v>413</v>
      </c>
      <c r="C102" t="s">
        <v>367</v>
      </c>
      <c r="D102" t="s">
        <v>414</v>
      </c>
      <c r="E102" t="s">
        <v>369</v>
      </c>
      <c r="F102" s="2">
        <v>46209</v>
      </c>
      <c r="G102" s="2">
        <v>46218</v>
      </c>
      <c r="H102" s="3">
        <v>0.5</v>
      </c>
      <c r="J102" t="s">
        <v>41</v>
      </c>
      <c r="M102" t="s">
        <v>251</v>
      </c>
      <c r="N102" s="2">
        <v>46206</v>
      </c>
      <c r="P102" t="s">
        <v>67</v>
      </c>
      <c r="Q102" t="s">
        <v>55</v>
      </c>
      <c r="R102" t="s">
        <v>365</v>
      </c>
      <c r="S102" s="2">
        <v>46188</v>
      </c>
      <c r="T102" s="2">
        <v>46198</v>
      </c>
      <c r="AB102">
        <v>0.5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25">
      <c r="A103">
        <v>276</v>
      </c>
      <c r="B103" t="s">
        <v>417</v>
      </c>
      <c r="C103" t="s">
        <v>416</v>
      </c>
      <c r="D103" t="s">
        <v>104</v>
      </c>
      <c r="E103" t="s">
        <v>52</v>
      </c>
      <c r="F103" s="2">
        <v>46216</v>
      </c>
      <c r="G103" s="2">
        <v>46216</v>
      </c>
      <c r="H103" s="3">
        <v>0</v>
      </c>
      <c r="J103" t="s">
        <v>41</v>
      </c>
      <c r="K103">
        <v>275</v>
      </c>
      <c r="L103">
        <v>277</v>
      </c>
      <c r="M103" t="s">
        <v>197</v>
      </c>
      <c r="N103" s="2">
        <v>46203</v>
      </c>
      <c r="P103" t="s">
        <v>67</v>
      </c>
      <c r="Q103" t="s">
        <v>55</v>
      </c>
      <c r="R103" t="s">
        <v>365</v>
      </c>
      <c r="S103" s="2">
        <v>46195</v>
      </c>
      <c r="T103" s="2">
        <v>46195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277</v>
      </c>
      <c r="B104" t="s">
        <v>418</v>
      </c>
      <c r="C104" t="s">
        <v>416</v>
      </c>
      <c r="D104" t="s">
        <v>108</v>
      </c>
      <c r="E104" t="s">
        <v>52</v>
      </c>
      <c r="F104" s="2">
        <v>46217</v>
      </c>
      <c r="G104" s="2">
        <v>46217</v>
      </c>
      <c r="H104" s="3">
        <v>0</v>
      </c>
      <c r="J104" t="s">
        <v>192</v>
      </c>
      <c r="K104">
        <v>276</v>
      </c>
      <c r="L104">
        <v>278</v>
      </c>
      <c r="M104" t="s">
        <v>404</v>
      </c>
      <c r="N104" s="2">
        <v>46205</v>
      </c>
      <c r="P104" t="s">
        <v>194</v>
      </c>
      <c r="Q104" t="s">
        <v>55</v>
      </c>
      <c r="R104" t="s">
        <v>365</v>
      </c>
      <c r="S104" s="2">
        <v>46196</v>
      </c>
      <c r="T104" s="2">
        <v>46197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5">
      <c r="A105">
        <v>278</v>
      </c>
      <c r="B105" t="s">
        <v>419</v>
      </c>
      <c r="C105" t="s">
        <v>416</v>
      </c>
      <c r="D105" t="s">
        <v>114</v>
      </c>
      <c r="E105" t="s">
        <v>52</v>
      </c>
      <c r="F105" s="2">
        <v>46218</v>
      </c>
      <c r="G105" s="2">
        <v>46218</v>
      </c>
      <c r="H105" s="3">
        <v>0</v>
      </c>
      <c r="J105" t="s">
        <v>196</v>
      </c>
      <c r="K105">
        <v>277</v>
      </c>
      <c r="M105" t="s">
        <v>385</v>
      </c>
      <c r="N105" s="2">
        <v>46206</v>
      </c>
      <c r="P105" t="s">
        <v>194</v>
      </c>
      <c r="Q105" t="s">
        <v>55</v>
      </c>
      <c r="R105" t="s">
        <v>365</v>
      </c>
      <c r="S105" s="2">
        <v>46198</v>
      </c>
      <c r="T105" s="2">
        <v>46198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279</v>
      </c>
      <c r="B106" t="s">
        <v>420</v>
      </c>
      <c r="C106" t="s">
        <v>367</v>
      </c>
      <c r="D106" t="s">
        <v>421</v>
      </c>
      <c r="E106" t="s">
        <v>369</v>
      </c>
      <c r="F106" s="2">
        <v>46209</v>
      </c>
      <c r="G106" s="2">
        <v>46218</v>
      </c>
      <c r="H106" s="3">
        <v>0.5</v>
      </c>
      <c r="J106" t="s">
        <v>41</v>
      </c>
      <c r="M106" t="s">
        <v>251</v>
      </c>
      <c r="N106" s="2">
        <v>46206</v>
      </c>
      <c r="P106" t="s">
        <v>67</v>
      </c>
      <c r="Q106" t="s">
        <v>55</v>
      </c>
      <c r="R106" t="s">
        <v>365</v>
      </c>
      <c r="S106" s="2">
        <v>46188</v>
      </c>
      <c r="T106" s="2">
        <v>46198</v>
      </c>
      <c r="AB106">
        <v>0.5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5">
      <c r="A107">
        <v>281</v>
      </c>
      <c r="B107" t="s">
        <v>424</v>
      </c>
      <c r="C107" t="s">
        <v>423</v>
      </c>
      <c r="D107" t="s">
        <v>104</v>
      </c>
      <c r="E107" t="s">
        <v>52</v>
      </c>
      <c r="F107" s="2">
        <v>46216</v>
      </c>
      <c r="G107" s="2">
        <v>46216</v>
      </c>
      <c r="H107" s="3">
        <v>0</v>
      </c>
      <c r="J107" t="s">
        <v>41</v>
      </c>
      <c r="K107">
        <v>280</v>
      </c>
      <c r="L107">
        <v>282</v>
      </c>
      <c r="M107" t="s">
        <v>197</v>
      </c>
      <c r="N107" s="2">
        <v>46203</v>
      </c>
      <c r="P107" t="s">
        <v>67</v>
      </c>
      <c r="Q107" t="s">
        <v>55</v>
      </c>
      <c r="R107" t="s">
        <v>365</v>
      </c>
      <c r="S107" s="2">
        <v>46195</v>
      </c>
      <c r="T107" s="2">
        <v>46195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282</v>
      </c>
      <c r="B108" t="s">
        <v>425</v>
      </c>
      <c r="C108" t="s">
        <v>423</v>
      </c>
      <c r="D108" t="s">
        <v>108</v>
      </c>
      <c r="E108" t="s">
        <v>52</v>
      </c>
      <c r="F108" s="2">
        <v>46217</v>
      </c>
      <c r="G108" s="2">
        <v>46217</v>
      </c>
      <c r="H108" s="3">
        <v>0</v>
      </c>
      <c r="J108" t="s">
        <v>192</v>
      </c>
      <c r="K108">
        <v>281</v>
      </c>
      <c r="L108">
        <v>283</v>
      </c>
      <c r="M108" t="s">
        <v>404</v>
      </c>
      <c r="N108" s="2">
        <v>46205</v>
      </c>
      <c r="P108" t="s">
        <v>194</v>
      </c>
      <c r="Q108" t="s">
        <v>55</v>
      </c>
      <c r="R108" t="s">
        <v>365</v>
      </c>
      <c r="S108" s="2">
        <v>46196</v>
      </c>
      <c r="T108" s="2">
        <v>46197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283</v>
      </c>
      <c r="B109" t="s">
        <v>426</v>
      </c>
      <c r="C109" t="s">
        <v>423</v>
      </c>
      <c r="D109" t="s">
        <v>114</v>
      </c>
      <c r="E109" t="s">
        <v>52</v>
      </c>
      <c r="F109" s="2">
        <v>46218</v>
      </c>
      <c r="G109" s="2">
        <v>46218</v>
      </c>
      <c r="H109" s="3">
        <v>0</v>
      </c>
      <c r="J109" t="s">
        <v>196</v>
      </c>
      <c r="K109">
        <v>282</v>
      </c>
      <c r="M109" t="s">
        <v>385</v>
      </c>
      <c r="N109" s="2">
        <v>46206</v>
      </c>
      <c r="P109" t="s">
        <v>194</v>
      </c>
      <c r="Q109" t="s">
        <v>55</v>
      </c>
      <c r="R109" t="s">
        <v>365</v>
      </c>
      <c r="S109" s="2">
        <v>46198</v>
      </c>
      <c r="T109" s="2">
        <v>46198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>
        <v>289</v>
      </c>
      <c r="B110" t="s">
        <v>427</v>
      </c>
      <c r="C110" t="s">
        <v>367</v>
      </c>
      <c r="D110" t="s">
        <v>428</v>
      </c>
      <c r="E110" t="s">
        <v>174</v>
      </c>
      <c r="F110" s="2">
        <v>46206</v>
      </c>
      <c r="G110" s="2">
        <v>46218</v>
      </c>
      <c r="H110" s="3">
        <v>0.56999999999999995</v>
      </c>
      <c r="J110" t="s">
        <v>41</v>
      </c>
      <c r="M110" t="s">
        <v>251</v>
      </c>
      <c r="N110" s="2">
        <v>46206</v>
      </c>
      <c r="P110" t="s">
        <v>67</v>
      </c>
      <c r="Q110" t="s">
        <v>55</v>
      </c>
      <c r="R110" t="s">
        <v>365</v>
      </c>
      <c r="S110" s="2">
        <v>46188</v>
      </c>
      <c r="T110" s="2">
        <v>46198</v>
      </c>
      <c r="AB110">
        <v>0.56999999999999995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>
        <v>291</v>
      </c>
      <c r="B111" t="s">
        <v>432</v>
      </c>
      <c r="C111" t="s">
        <v>430</v>
      </c>
      <c r="D111" t="s">
        <v>104</v>
      </c>
      <c r="E111" t="s">
        <v>52</v>
      </c>
      <c r="F111" s="2">
        <v>46216</v>
      </c>
      <c r="G111" s="2">
        <v>46216</v>
      </c>
      <c r="H111" s="3">
        <v>0</v>
      </c>
      <c r="J111" t="s">
        <v>41</v>
      </c>
      <c r="K111">
        <v>290</v>
      </c>
      <c r="L111">
        <v>292</v>
      </c>
      <c r="M111" t="s">
        <v>197</v>
      </c>
      <c r="N111" s="2">
        <v>46203</v>
      </c>
      <c r="P111" t="s">
        <v>67</v>
      </c>
      <c r="Q111" t="s">
        <v>55</v>
      </c>
      <c r="R111" t="s">
        <v>365</v>
      </c>
      <c r="S111" s="2">
        <v>46195</v>
      </c>
      <c r="T111" s="2">
        <v>46195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292</v>
      </c>
      <c r="B112" t="s">
        <v>433</v>
      </c>
      <c r="C112" t="s">
        <v>430</v>
      </c>
      <c r="D112" t="s">
        <v>108</v>
      </c>
      <c r="E112" t="s">
        <v>52</v>
      </c>
      <c r="F112" s="2">
        <v>46217</v>
      </c>
      <c r="G112" s="2">
        <v>46217</v>
      </c>
      <c r="H112" s="3">
        <v>0</v>
      </c>
      <c r="J112" t="s">
        <v>192</v>
      </c>
      <c r="K112">
        <v>291</v>
      </c>
      <c r="L112">
        <v>293</v>
      </c>
      <c r="M112" t="s">
        <v>404</v>
      </c>
      <c r="N112" s="2">
        <v>46205</v>
      </c>
      <c r="P112" t="s">
        <v>194</v>
      </c>
      <c r="Q112" t="s">
        <v>55</v>
      </c>
      <c r="R112" t="s">
        <v>365</v>
      </c>
      <c r="S112" s="2">
        <v>46196</v>
      </c>
      <c r="T112" s="2">
        <v>46197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293</v>
      </c>
      <c r="B113" t="s">
        <v>434</v>
      </c>
      <c r="C113" t="s">
        <v>430</v>
      </c>
      <c r="D113" t="s">
        <v>114</v>
      </c>
      <c r="E113" t="s">
        <v>52</v>
      </c>
      <c r="F113" s="2">
        <v>46218</v>
      </c>
      <c r="G113" s="2">
        <v>46218</v>
      </c>
      <c r="H113" s="3">
        <v>0</v>
      </c>
      <c r="J113" t="s">
        <v>196</v>
      </c>
      <c r="K113">
        <v>292</v>
      </c>
      <c r="M113" t="s">
        <v>385</v>
      </c>
      <c r="N113" s="2">
        <v>46206</v>
      </c>
      <c r="P113" t="s">
        <v>194</v>
      </c>
      <c r="Q113" t="s">
        <v>55</v>
      </c>
      <c r="R113" t="s">
        <v>365</v>
      </c>
      <c r="S113" s="2">
        <v>46198</v>
      </c>
      <c r="T113" s="2">
        <v>46198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294</v>
      </c>
      <c r="B114" t="s">
        <v>435</v>
      </c>
      <c r="C114" t="s">
        <v>50</v>
      </c>
      <c r="D114" t="s">
        <v>436</v>
      </c>
      <c r="E114" t="s">
        <v>437</v>
      </c>
      <c r="F114" s="2">
        <v>46170</v>
      </c>
      <c r="G114" s="2">
        <v>46218</v>
      </c>
      <c r="H114" s="3">
        <v>0.57999999999999996</v>
      </c>
      <c r="J114" t="s">
        <v>41</v>
      </c>
      <c r="M114" t="s">
        <v>134</v>
      </c>
      <c r="N114" s="2">
        <v>46210</v>
      </c>
      <c r="P114" t="s">
        <v>135</v>
      </c>
      <c r="Q114" t="s">
        <v>55</v>
      </c>
      <c r="R114" t="s">
        <v>438</v>
      </c>
      <c r="S114" s="2">
        <v>46147</v>
      </c>
      <c r="T114" s="2">
        <v>46210</v>
      </c>
      <c r="AB114">
        <v>0.57999999999999996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300</v>
      </c>
      <c r="B115" t="s">
        <v>439</v>
      </c>
      <c r="C115" t="s">
        <v>440</v>
      </c>
      <c r="D115" t="s">
        <v>441</v>
      </c>
      <c r="E115" t="s">
        <v>369</v>
      </c>
      <c r="F115" s="2">
        <v>46209</v>
      </c>
      <c r="G115" s="2">
        <v>46218</v>
      </c>
      <c r="H115" s="3">
        <v>0</v>
      </c>
      <c r="J115" t="s">
        <v>41</v>
      </c>
      <c r="M115" t="s">
        <v>245</v>
      </c>
      <c r="N115" s="2">
        <v>46197</v>
      </c>
      <c r="P115" t="s">
        <v>179</v>
      </c>
      <c r="Q115" t="s">
        <v>55</v>
      </c>
      <c r="R115" t="s">
        <v>438</v>
      </c>
      <c r="S115" s="2">
        <v>46185</v>
      </c>
      <c r="T115" s="2">
        <v>46197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301</v>
      </c>
      <c r="B116" t="s">
        <v>442</v>
      </c>
      <c r="C116" t="s">
        <v>443</v>
      </c>
      <c r="D116" t="s">
        <v>100</v>
      </c>
      <c r="E116" t="s">
        <v>101</v>
      </c>
      <c r="F116" s="2">
        <v>46209</v>
      </c>
      <c r="G116" s="2">
        <v>46211</v>
      </c>
      <c r="H116" s="3">
        <v>0</v>
      </c>
      <c r="J116" t="s">
        <v>41</v>
      </c>
      <c r="K116" t="s">
        <v>444</v>
      </c>
      <c r="L116">
        <v>302</v>
      </c>
      <c r="M116" t="s">
        <v>245</v>
      </c>
      <c r="N116" s="2">
        <v>46191</v>
      </c>
      <c r="P116" t="s">
        <v>179</v>
      </c>
      <c r="Q116" t="s">
        <v>55</v>
      </c>
      <c r="R116" t="s">
        <v>438</v>
      </c>
      <c r="S116" s="2">
        <v>46185</v>
      </c>
      <c r="T116" s="2">
        <v>46191</v>
      </c>
      <c r="AB116">
        <v>0</v>
      </c>
      <c r="AC116">
        <v>1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5">
      <c r="A117">
        <v>302</v>
      </c>
      <c r="B117" t="s">
        <v>445</v>
      </c>
      <c r="C117" t="s">
        <v>443</v>
      </c>
      <c r="D117" t="s">
        <v>104</v>
      </c>
      <c r="E117" t="s">
        <v>52</v>
      </c>
      <c r="F117" s="2">
        <v>46216</v>
      </c>
      <c r="G117" s="2">
        <v>46216</v>
      </c>
      <c r="H117" s="3">
        <v>0</v>
      </c>
      <c r="J117" t="s">
        <v>41</v>
      </c>
      <c r="K117">
        <v>301</v>
      </c>
      <c r="L117">
        <v>303</v>
      </c>
      <c r="M117" t="s">
        <v>304</v>
      </c>
      <c r="N117" s="2">
        <v>46192</v>
      </c>
      <c r="P117" t="s">
        <v>67</v>
      </c>
      <c r="Q117" t="s">
        <v>55</v>
      </c>
      <c r="R117" t="s">
        <v>438</v>
      </c>
      <c r="S117" s="2">
        <v>46192</v>
      </c>
      <c r="T117" s="2">
        <v>46192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303</v>
      </c>
      <c r="B118" t="s">
        <v>446</v>
      </c>
      <c r="C118" t="s">
        <v>443</v>
      </c>
      <c r="D118" t="s">
        <v>108</v>
      </c>
      <c r="E118" t="s">
        <v>52</v>
      </c>
      <c r="F118" s="2">
        <v>46217</v>
      </c>
      <c r="G118" s="2">
        <v>46217</v>
      </c>
      <c r="H118" s="3">
        <v>0</v>
      </c>
      <c r="J118" t="s">
        <v>192</v>
      </c>
      <c r="K118">
        <v>302</v>
      </c>
      <c r="L118">
        <v>304</v>
      </c>
      <c r="M118" t="s">
        <v>284</v>
      </c>
      <c r="N118" s="2">
        <v>46196</v>
      </c>
      <c r="P118" t="s">
        <v>67</v>
      </c>
      <c r="Q118" t="s">
        <v>55</v>
      </c>
      <c r="R118" t="s">
        <v>438</v>
      </c>
      <c r="S118" s="2">
        <v>46195</v>
      </c>
      <c r="T118" s="2">
        <v>46196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304</v>
      </c>
      <c r="B119" t="s">
        <v>447</v>
      </c>
      <c r="C119" t="s">
        <v>443</v>
      </c>
      <c r="D119" t="s">
        <v>114</v>
      </c>
      <c r="E119" t="s">
        <v>52</v>
      </c>
      <c r="F119" s="2">
        <v>46218</v>
      </c>
      <c r="G119" s="2">
        <v>46218</v>
      </c>
      <c r="H119" s="3">
        <v>0</v>
      </c>
      <c r="J119" t="s">
        <v>196</v>
      </c>
      <c r="K119">
        <v>303</v>
      </c>
      <c r="M119" t="s">
        <v>308</v>
      </c>
      <c r="N119" s="2">
        <v>46197</v>
      </c>
      <c r="P119" t="s">
        <v>194</v>
      </c>
      <c r="Q119" t="s">
        <v>55</v>
      </c>
      <c r="R119" t="s">
        <v>438</v>
      </c>
      <c r="S119" s="2">
        <v>46197</v>
      </c>
      <c r="T119" s="2">
        <v>46197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305</v>
      </c>
      <c r="B120" t="s">
        <v>448</v>
      </c>
      <c r="C120" t="s">
        <v>440</v>
      </c>
      <c r="D120" t="s">
        <v>449</v>
      </c>
      <c r="E120" t="s">
        <v>450</v>
      </c>
      <c r="F120" s="2">
        <v>46175</v>
      </c>
      <c r="G120" s="2">
        <v>46210</v>
      </c>
      <c r="H120" s="3">
        <v>0.79</v>
      </c>
      <c r="J120" t="s">
        <v>41</v>
      </c>
      <c r="M120" t="s">
        <v>171</v>
      </c>
      <c r="N120" s="2">
        <v>46183</v>
      </c>
      <c r="P120" t="s">
        <v>118</v>
      </c>
      <c r="Q120" t="s">
        <v>55</v>
      </c>
      <c r="R120" t="s">
        <v>438</v>
      </c>
      <c r="S120" s="2">
        <v>46163</v>
      </c>
      <c r="T120" s="2">
        <v>46171</v>
      </c>
      <c r="AB120">
        <v>0.79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308</v>
      </c>
      <c r="B121" t="s">
        <v>456</v>
      </c>
      <c r="C121" t="s">
        <v>452</v>
      </c>
      <c r="D121" t="s">
        <v>108</v>
      </c>
      <c r="E121" t="s">
        <v>52</v>
      </c>
      <c r="F121" s="2">
        <v>46209</v>
      </c>
      <c r="G121" s="2">
        <v>46210</v>
      </c>
      <c r="H121" s="3">
        <v>0.5</v>
      </c>
      <c r="J121" t="s">
        <v>41</v>
      </c>
      <c r="K121">
        <v>307</v>
      </c>
      <c r="L121" t="s">
        <v>457</v>
      </c>
      <c r="M121" t="s">
        <v>148</v>
      </c>
      <c r="N121" s="2">
        <v>46182</v>
      </c>
      <c r="P121" t="s">
        <v>76</v>
      </c>
      <c r="Q121" t="s">
        <v>55</v>
      </c>
      <c r="R121" t="s">
        <v>438</v>
      </c>
      <c r="S121" s="2">
        <v>46169</v>
      </c>
      <c r="T121" s="2">
        <v>46170</v>
      </c>
      <c r="AB121">
        <v>0.5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</row>
    <row r="122" spans="1:39" x14ac:dyDescent="0.25">
      <c r="A122">
        <v>309</v>
      </c>
      <c r="B122" t="s">
        <v>458</v>
      </c>
      <c r="C122" t="s">
        <v>452</v>
      </c>
      <c r="D122" t="s">
        <v>114</v>
      </c>
      <c r="E122" t="s">
        <v>52</v>
      </c>
      <c r="F122" s="2">
        <v>46209</v>
      </c>
      <c r="G122" s="2">
        <v>46210</v>
      </c>
      <c r="H122" s="3">
        <v>0</v>
      </c>
      <c r="J122" t="s">
        <v>41</v>
      </c>
      <c r="K122" t="s">
        <v>459</v>
      </c>
      <c r="M122" t="s">
        <v>182</v>
      </c>
      <c r="N122" s="2">
        <v>46183</v>
      </c>
      <c r="P122" t="s">
        <v>76</v>
      </c>
      <c r="Q122" t="s">
        <v>55</v>
      </c>
      <c r="R122" t="s">
        <v>438</v>
      </c>
      <c r="S122" s="2">
        <v>46171</v>
      </c>
      <c r="T122" s="2">
        <v>46171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</row>
    <row r="123" spans="1:39" x14ac:dyDescent="0.25">
      <c r="A123">
        <v>315</v>
      </c>
      <c r="B123" t="s">
        <v>460</v>
      </c>
      <c r="C123" t="s">
        <v>440</v>
      </c>
      <c r="D123" t="s">
        <v>461</v>
      </c>
      <c r="E123" t="s">
        <v>390</v>
      </c>
      <c r="F123" s="2">
        <v>46170</v>
      </c>
      <c r="G123" s="2">
        <v>46176</v>
      </c>
      <c r="H123" s="3">
        <v>0.75</v>
      </c>
      <c r="J123" t="s">
        <v>41</v>
      </c>
      <c r="M123" t="s">
        <v>134</v>
      </c>
      <c r="N123" s="2">
        <v>46178</v>
      </c>
      <c r="P123" t="s">
        <v>135</v>
      </c>
      <c r="Q123" t="s">
        <v>55</v>
      </c>
      <c r="R123" t="s">
        <v>438</v>
      </c>
      <c r="S123" s="2">
        <v>46160</v>
      </c>
      <c r="T123" s="2">
        <v>46168</v>
      </c>
      <c r="AB123">
        <v>0.75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318</v>
      </c>
      <c r="B124" t="s">
        <v>466</v>
      </c>
      <c r="C124" t="s">
        <v>463</v>
      </c>
      <c r="D124" t="s">
        <v>108</v>
      </c>
      <c r="E124" t="s">
        <v>52</v>
      </c>
      <c r="F124" s="2">
        <v>46176</v>
      </c>
      <c r="G124" s="2">
        <v>46176</v>
      </c>
      <c r="H124" s="3">
        <v>0.5</v>
      </c>
      <c r="J124" t="s">
        <v>41</v>
      </c>
      <c r="K124">
        <v>317</v>
      </c>
      <c r="L124" t="s">
        <v>467</v>
      </c>
      <c r="M124" t="s">
        <v>221</v>
      </c>
      <c r="N124" s="2">
        <v>46177</v>
      </c>
      <c r="P124" t="s">
        <v>118</v>
      </c>
      <c r="Q124" t="s">
        <v>55</v>
      </c>
      <c r="R124" t="s">
        <v>438</v>
      </c>
      <c r="S124" s="2">
        <v>46164</v>
      </c>
      <c r="T124" s="2">
        <v>46167</v>
      </c>
      <c r="AB124">
        <v>0.5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</row>
    <row r="125" spans="1:39" x14ac:dyDescent="0.25">
      <c r="A125">
        <v>319</v>
      </c>
      <c r="B125" t="s">
        <v>468</v>
      </c>
      <c r="C125" t="s">
        <v>463</v>
      </c>
      <c r="D125" t="s">
        <v>114</v>
      </c>
      <c r="E125" t="s">
        <v>52</v>
      </c>
      <c r="F125" s="2">
        <v>46176</v>
      </c>
      <c r="G125" s="2">
        <v>46176</v>
      </c>
      <c r="H125" s="3">
        <v>0</v>
      </c>
      <c r="J125" t="s">
        <v>41</v>
      </c>
      <c r="K125" t="s">
        <v>469</v>
      </c>
      <c r="M125" t="s">
        <v>66</v>
      </c>
      <c r="N125" s="2">
        <v>46178</v>
      </c>
      <c r="P125" t="s">
        <v>118</v>
      </c>
      <c r="Q125" t="s">
        <v>55</v>
      </c>
      <c r="R125" t="s">
        <v>438</v>
      </c>
      <c r="S125" s="2">
        <v>46168</v>
      </c>
      <c r="T125" s="2">
        <v>46168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</row>
    <row r="126" spans="1:39" x14ac:dyDescent="0.25">
      <c r="A126">
        <v>320</v>
      </c>
      <c r="B126" t="s">
        <v>470</v>
      </c>
      <c r="C126" t="s">
        <v>440</v>
      </c>
      <c r="D126" t="s">
        <v>471</v>
      </c>
      <c r="E126" t="s">
        <v>138</v>
      </c>
      <c r="F126" s="2">
        <v>46210</v>
      </c>
      <c r="G126" s="2">
        <v>46217</v>
      </c>
      <c r="H126" s="3">
        <v>0.4</v>
      </c>
      <c r="J126" t="s">
        <v>41</v>
      </c>
      <c r="M126" t="s">
        <v>193</v>
      </c>
      <c r="N126" s="2">
        <v>46205</v>
      </c>
      <c r="P126" t="s">
        <v>194</v>
      </c>
      <c r="Q126" t="s">
        <v>55</v>
      </c>
      <c r="R126" t="s">
        <v>438</v>
      </c>
      <c r="S126" s="2">
        <v>46199</v>
      </c>
      <c r="T126" s="2">
        <v>46205</v>
      </c>
      <c r="AB126">
        <v>0.4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>
        <v>322</v>
      </c>
      <c r="B127" t="s">
        <v>475</v>
      </c>
      <c r="C127" t="s">
        <v>473</v>
      </c>
      <c r="D127" t="s">
        <v>104</v>
      </c>
      <c r="E127" t="s">
        <v>52</v>
      </c>
      <c r="F127" s="2">
        <v>46216</v>
      </c>
      <c r="G127" s="2">
        <v>46216</v>
      </c>
      <c r="H127" s="3">
        <v>0</v>
      </c>
      <c r="J127" t="s">
        <v>41</v>
      </c>
      <c r="K127">
        <v>321</v>
      </c>
      <c r="L127">
        <v>323</v>
      </c>
      <c r="M127" t="s">
        <v>311</v>
      </c>
      <c r="N127" s="2">
        <v>46202</v>
      </c>
      <c r="P127" t="s">
        <v>194</v>
      </c>
      <c r="Q127" t="s">
        <v>55</v>
      </c>
      <c r="R127" t="s">
        <v>438</v>
      </c>
      <c r="S127" s="2">
        <v>46202</v>
      </c>
      <c r="T127" s="2">
        <v>46202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323</v>
      </c>
      <c r="B128" t="s">
        <v>476</v>
      </c>
      <c r="C128" t="s">
        <v>473</v>
      </c>
      <c r="D128" t="s">
        <v>108</v>
      </c>
      <c r="E128" t="s">
        <v>52</v>
      </c>
      <c r="F128" s="2">
        <v>46217</v>
      </c>
      <c r="G128" s="2">
        <v>46217</v>
      </c>
      <c r="H128" s="3">
        <v>0</v>
      </c>
      <c r="J128" t="s">
        <v>192</v>
      </c>
      <c r="K128">
        <v>322</v>
      </c>
      <c r="L128" t="s">
        <v>477</v>
      </c>
      <c r="M128" t="s">
        <v>197</v>
      </c>
      <c r="N128" s="2">
        <v>46204</v>
      </c>
      <c r="P128" t="s">
        <v>478</v>
      </c>
      <c r="Q128" t="s">
        <v>55</v>
      </c>
      <c r="R128" t="s">
        <v>438</v>
      </c>
      <c r="S128" s="2">
        <v>46203</v>
      </c>
      <c r="T128" s="2">
        <v>46204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324</v>
      </c>
      <c r="B129" t="s">
        <v>479</v>
      </c>
      <c r="C129" t="s">
        <v>473</v>
      </c>
      <c r="D129" t="s">
        <v>114</v>
      </c>
      <c r="E129" t="s">
        <v>52</v>
      </c>
      <c r="F129" s="2">
        <v>46217</v>
      </c>
      <c r="G129" s="2">
        <v>46217</v>
      </c>
      <c r="H129" s="3">
        <v>0</v>
      </c>
      <c r="J129" t="s">
        <v>192</v>
      </c>
      <c r="K129" t="s">
        <v>480</v>
      </c>
      <c r="M129" t="s">
        <v>383</v>
      </c>
      <c r="N129" s="2">
        <v>46205</v>
      </c>
      <c r="P129" t="s">
        <v>478</v>
      </c>
      <c r="Q129" t="s">
        <v>55</v>
      </c>
      <c r="R129" t="s">
        <v>438</v>
      </c>
      <c r="S129" s="2">
        <v>46205</v>
      </c>
      <c r="T129" s="2">
        <v>46205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325</v>
      </c>
      <c r="B130" t="s">
        <v>481</v>
      </c>
      <c r="C130" t="s">
        <v>440</v>
      </c>
      <c r="D130" t="s">
        <v>482</v>
      </c>
      <c r="E130" t="s">
        <v>390</v>
      </c>
      <c r="F130" s="2">
        <v>46209</v>
      </c>
      <c r="G130" s="2">
        <v>46217</v>
      </c>
      <c r="H130" s="3">
        <v>0.5</v>
      </c>
      <c r="J130" t="s">
        <v>41</v>
      </c>
      <c r="M130" t="s">
        <v>311</v>
      </c>
      <c r="N130" s="2">
        <v>46210</v>
      </c>
      <c r="P130" t="s">
        <v>194</v>
      </c>
      <c r="Q130" t="s">
        <v>55</v>
      </c>
      <c r="R130" t="s">
        <v>438</v>
      </c>
      <c r="S130" s="2">
        <v>46202</v>
      </c>
      <c r="T130" s="2">
        <v>46210</v>
      </c>
      <c r="AB130">
        <v>0.5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327</v>
      </c>
      <c r="B131" t="s">
        <v>486</v>
      </c>
      <c r="C131" t="s">
        <v>484</v>
      </c>
      <c r="D131" t="s">
        <v>104</v>
      </c>
      <c r="E131" t="s">
        <v>52</v>
      </c>
      <c r="F131" s="2">
        <v>46216</v>
      </c>
      <c r="G131" s="2">
        <v>46216</v>
      </c>
      <c r="H131" s="3">
        <v>0</v>
      </c>
      <c r="J131" t="s">
        <v>41</v>
      </c>
      <c r="K131">
        <v>326</v>
      </c>
      <c r="L131">
        <v>328</v>
      </c>
      <c r="M131" t="s">
        <v>383</v>
      </c>
      <c r="N131" s="2">
        <v>46205</v>
      </c>
      <c r="P131" t="s">
        <v>478</v>
      </c>
      <c r="Q131" t="s">
        <v>55</v>
      </c>
      <c r="R131" t="s">
        <v>438</v>
      </c>
      <c r="S131" s="2">
        <v>46205</v>
      </c>
      <c r="T131" s="2">
        <v>46205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328</v>
      </c>
      <c r="B132" t="s">
        <v>487</v>
      </c>
      <c r="C132" t="s">
        <v>484</v>
      </c>
      <c r="D132" t="s">
        <v>108</v>
      </c>
      <c r="E132" t="s">
        <v>52</v>
      </c>
      <c r="F132" s="2">
        <v>46217</v>
      </c>
      <c r="G132" s="2">
        <v>46217</v>
      </c>
      <c r="H132" s="3">
        <v>0</v>
      </c>
      <c r="J132" t="s">
        <v>192</v>
      </c>
      <c r="K132">
        <v>327</v>
      </c>
      <c r="L132" t="s">
        <v>488</v>
      </c>
      <c r="M132" t="s">
        <v>385</v>
      </c>
      <c r="N132" s="2">
        <v>46209</v>
      </c>
      <c r="P132" t="s">
        <v>478</v>
      </c>
      <c r="Q132" t="s">
        <v>55</v>
      </c>
      <c r="R132" t="s">
        <v>438</v>
      </c>
      <c r="S132" s="2">
        <v>46206</v>
      </c>
      <c r="T132" s="2">
        <v>46209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329</v>
      </c>
      <c r="B133" t="s">
        <v>489</v>
      </c>
      <c r="C133" t="s">
        <v>484</v>
      </c>
      <c r="D133" t="s">
        <v>114</v>
      </c>
      <c r="E133" t="s">
        <v>52</v>
      </c>
      <c r="F133" s="2">
        <v>46217</v>
      </c>
      <c r="G133" s="2">
        <v>46217</v>
      </c>
      <c r="H133" s="3">
        <v>0</v>
      </c>
      <c r="J133" t="s">
        <v>192</v>
      </c>
      <c r="K133" t="s">
        <v>490</v>
      </c>
      <c r="M133" t="s">
        <v>387</v>
      </c>
      <c r="N133" s="2">
        <v>46210</v>
      </c>
      <c r="P133" t="s">
        <v>478</v>
      </c>
      <c r="Q133" t="s">
        <v>55</v>
      </c>
      <c r="R133" t="s">
        <v>438</v>
      </c>
      <c r="S133" s="2">
        <v>46210</v>
      </c>
      <c r="T133" s="2">
        <v>46210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335</v>
      </c>
      <c r="B134" t="s">
        <v>491</v>
      </c>
      <c r="C134" t="s">
        <v>440</v>
      </c>
      <c r="D134" t="s">
        <v>492</v>
      </c>
      <c r="E134" t="s">
        <v>390</v>
      </c>
      <c r="F134" s="2">
        <v>46204</v>
      </c>
      <c r="G134" s="2">
        <v>46210</v>
      </c>
      <c r="H134" s="3">
        <v>0.5</v>
      </c>
      <c r="J134" t="s">
        <v>41</v>
      </c>
      <c r="M134" t="s">
        <v>248</v>
      </c>
      <c r="N134" s="2">
        <v>46199</v>
      </c>
      <c r="P134" t="s">
        <v>179</v>
      </c>
      <c r="Q134" t="s">
        <v>55</v>
      </c>
      <c r="R134" t="s">
        <v>438</v>
      </c>
      <c r="S134" s="2">
        <v>46178</v>
      </c>
      <c r="T134" s="2">
        <v>46190</v>
      </c>
      <c r="AB134">
        <v>0.5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5">
      <c r="A135">
        <v>337</v>
      </c>
      <c r="B135" t="s">
        <v>496</v>
      </c>
      <c r="C135" t="s">
        <v>494</v>
      </c>
      <c r="D135" t="s">
        <v>104</v>
      </c>
      <c r="E135" t="s">
        <v>52</v>
      </c>
      <c r="F135" s="2">
        <v>46209</v>
      </c>
      <c r="G135" s="2">
        <v>46209</v>
      </c>
      <c r="H135" s="3">
        <v>0</v>
      </c>
      <c r="J135" t="s">
        <v>41</v>
      </c>
      <c r="K135">
        <v>336</v>
      </c>
      <c r="L135">
        <v>338</v>
      </c>
      <c r="M135" t="s">
        <v>251</v>
      </c>
      <c r="N135" s="2">
        <v>46196</v>
      </c>
      <c r="P135" t="s">
        <v>179</v>
      </c>
      <c r="Q135" t="s">
        <v>55</v>
      </c>
      <c r="R135" t="s">
        <v>438</v>
      </c>
      <c r="S135" s="2">
        <v>46185</v>
      </c>
      <c r="T135" s="2">
        <v>46185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338</v>
      </c>
      <c r="B136" t="s">
        <v>497</v>
      </c>
      <c r="C136" t="s">
        <v>494</v>
      </c>
      <c r="D136" t="s">
        <v>108</v>
      </c>
      <c r="E136" t="s">
        <v>52</v>
      </c>
      <c r="F136" s="2">
        <v>46210</v>
      </c>
      <c r="G136" s="2">
        <v>46210</v>
      </c>
      <c r="H136" s="3">
        <v>0</v>
      </c>
      <c r="J136" t="s">
        <v>41</v>
      </c>
      <c r="K136">
        <v>337</v>
      </c>
      <c r="L136" t="s">
        <v>498</v>
      </c>
      <c r="M136" t="s">
        <v>308</v>
      </c>
      <c r="N136" s="2">
        <v>46198</v>
      </c>
      <c r="P136" t="s">
        <v>179</v>
      </c>
      <c r="Q136" t="s">
        <v>55</v>
      </c>
      <c r="R136" t="s">
        <v>438</v>
      </c>
      <c r="S136" s="2">
        <v>46188</v>
      </c>
      <c r="T136" s="2">
        <v>46189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</row>
    <row r="137" spans="1:39" x14ac:dyDescent="0.25">
      <c r="A137">
        <v>339</v>
      </c>
      <c r="B137" t="s">
        <v>499</v>
      </c>
      <c r="C137" t="s">
        <v>494</v>
      </c>
      <c r="D137" t="s">
        <v>114</v>
      </c>
      <c r="E137" t="s">
        <v>52</v>
      </c>
      <c r="F137" s="2">
        <v>46210</v>
      </c>
      <c r="G137" s="2">
        <v>46210</v>
      </c>
      <c r="H137" s="3">
        <v>0</v>
      </c>
      <c r="J137" t="s">
        <v>41</v>
      </c>
      <c r="K137" t="s">
        <v>500</v>
      </c>
      <c r="M137" t="s">
        <v>193</v>
      </c>
      <c r="N137" s="2">
        <v>46199</v>
      </c>
      <c r="P137" t="s">
        <v>179</v>
      </c>
      <c r="Q137" t="s">
        <v>55</v>
      </c>
      <c r="R137" t="s">
        <v>438</v>
      </c>
      <c r="S137" s="2">
        <v>46190</v>
      </c>
      <c r="T137" s="2">
        <v>46190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</row>
    <row r="138" spans="1:39" x14ac:dyDescent="0.25">
      <c r="A138">
        <v>340</v>
      </c>
      <c r="B138" t="s">
        <v>501</v>
      </c>
      <c r="C138" t="s">
        <v>440</v>
      </c>
      <c r="D138" t="s">
        <v>502</v>
      </c>
      <c r="E138" t="s">
        <v>390</v>
      </c>
      <c r="F138" s="2">
        <v>46204</v>
      </c>
      <c r="G138" s="2">
        <v>46210</v>
      </c>
      <c r="H138" s="3">
        <v>0.5</v>
      </c>
      <c r="J138" t="s">
        <v>41</v>
      </c>
      <c r="M138" t="s">
        <v>248</v>
      </c>
      <c r="N138" s="2">
        <v>46202</v>
      </c>
      <c r="P138" t="s">
        <v>179</v>
      </c>
      <c r="Q138" t="s">
        <v>55</v>
      </c>
      <c r="R138" t="s">
        <v>438</v>
      </c>
      <c r="S138" s="2">
        <v>46178</v>
      </c>
      <c r="T138" s="2">
        <v>46190</v>
      </c>
      <c r="AB138">
        <v>0.5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342</v>
      </c>
      <c r="B139" t="s">
        <v>506</v>
      </c>
      <c r="C139" t="s">
        <v>504</v>
      </c>
      <c r="D139" t="s">
        <v>104</v>
      </c>
      <c r="E139" t="s">
        <v>52</v>
      </c>
      <c r="F139" s="2">
        <v>46209</v>
      </c>
      <c r="G139" s="2">
        <v>46209</v>
      </c>
      <c r="H139" s="3">
        <v>0</v>
      </c>
      <c r="J139" t="s">
        <v>41</v>
      </c>
      <c r="K139">
        <v>341</v>
      </c>
      <c r="L139">
        <v>343</v>
      </c>
      <c r="M139" t="s">
        <v>308</v>
      </c>
      <c r="N139" s="2">
        <v>46197</v>
      </c>
      <c r="P139" t="s">
        <v>179</v>
      </c>
      <c r="Q139" t="s">
        <v>55</v>
      </c>
      <c r="R139" t="s">
        <v>438</v>
      </c>
      <c r="S139" s="2">
        <v>46185</v>
      </c>
      <c r="T139" s="2">
        <v>46185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343</v>
      </c>
      <c r="B140" t="s">
        <v>507</v>
      </c>
      <c r="C140" t="s">
        <v>504</v>
      </c>
      <c r="D140" t="s">
        <v>108</v>
      </c>
      <c r="E140" t="s">
        <v>52</v>
      </c>
      <c r="F140" s="2">
        <v>46210</v>
      </c>
      <c r="G140" s="2">
        <v>46210</v>
      </c>
      <c r="H140" s="3">
        <v>0</v>
      </c>
      <c r="J140" t="s">
        <v>41</v>
      </c>
      <c r="K140">
        <v>342</v>
      </c>
      <c r="L140" t="s">
        <v>508</v>
      </c>
      <c r="M140" t="s">
        <v>190</v>
      </c>
      <c r="N140" s="2">
        <v>46199</v>
      </c>
      <c r="P140" t="s">
        <v>179</v>
      </c>
      <c r="Q140" t="s">
        <v>55</v>
      </c>
      <c r="R140" t="s">
        <v>438</v>
      </c>
      <c r="S140" s="2">
        <v>46188</v>
      </c>
      <c r="T140" s="2">
        <v>46189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</row>
    <row r="141" spans="1:39" x14ac:dyDescent="0.25">
      <c r="A141">
        <v>344</v>
      </c>
      <c r="B141" t="s">
        <v>509</v>
      </c>
      <c r="C141" t="s">
        <v>504</v>
      </c>
      <c r="D141" t="s">
        <v>114</v>
      </c>
      <c r="E141" t="s">
        <v>52</v>
      </c>
      <c r="F141" s="2">
        <v>46210</v>
      </c>
      <c r="G141" s="2">
        <v>46210</v>
      </c>
      <c r="H141" s="3">
        <v>0</v>
      </c>
      <c r="J141" t="s">
        <v>41</v>
      </c>
      <c r="K141" t="s">
        <v>510</v>
      </c>
      <c r="M141" t="s">
        <v>311</v>
      </c>
      <c r="N141" s="2">
        <v>46202</v>
      </c>
      <c r="P141" t="s">
        <v>179</v>
      </c>
      <c r="Q141" t="s">
        <v>55</v>
      </c>
      <c r="R141" t="s">
        <v>438</v>
      </c>
      <c r="S141" s="2">
        <v>46190</v>
      </c>
      <c r="T141" s="2">
        <v>46190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</row>
    <row r="142" spans="1:39" x14ac:dyDescent="0.25">
      <c r="A142">
        <v>345</v>
      </c>
      <c r="B142" t="s">
        <v>511</v>
      </c>
      <c r="C142" t="s">
        <v>440</v>
      </c>
      <c r="D142" t="s">
        <v>512</v>
      </c>
      <c r="E142" t="s">
        <v>185</v>
      </c>
      <c r="F142" s="2">
        <v>46202</v>
      </c>
      <c r="G142" s="2">
        <v>46217</v>
      </c>
      <c r="H142" s="3">
        <v>0.73</v>
      </c>
      <c r="J142" t="s">
        <v>41</v>
      </c>
      <c r="M142" t="s">
        <v>304</v>
      </c>
      <c r="N142" s="2">
        <v>46203</v>
      </c>
      <c r="P142" t="s">
        <v>67</v>
      </c>
      <c r="Q142" t="s">
        <v>55</v>
      </c>
      <c r="R142" t="s">
        <v>438</v>
      </c>
      <c r="S142" s="2">
        <v>46192</v>
      </c>
      <c r="T142" s="2">
        <v>46203</v>
      </c>
      <c r="AB142">
        <v>0.73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5">
      <c r="A143">
        <v>347</v>
      </c>
      <c r="B143" t="s">
        <v>516</v>
      </c>
      <c r="C143" t="s">
        <v>514</v>
      </c>
      <c r="D143" t="s">
        <v>104</v>
      </c>
      <c r="E143" t="s">
        <v>52</v>
      </c>
      <c r="F143" s="2">
        <v>46216</v>
      </c>
      <c r="G143" s="2">
        <v>46216</v>
      </c>
      <c r="H143" s="3">
        <v>0</v>
      </c>
      <c r="J143" t="s">
        <v>41</v>
      </c>
      <c r="K143">
        <v>346</v>
      </c>
      <c r="L143" t="s">
        <v>517</v>
      </c>
      <c r="M143" t="s">
        <v>190</v>
      </c>
      <c r="N143" s="2">
        <v>46198</v>
      </c>
      <c r="P143" t="s">
        <v>194</v>
      </c>
      <c r="Q143" t="s">
        <v>55</v>
      </c>
      <c r="R143" t="s">
        <v>438</v>
      </c>
      <c r="S143" s="2">
        <v>46198</v>
      </c>
      <c r="T143" s="2">
        <v>46198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>
        <v>348</v>
      </c>
      <c r="B144" t="s">
        <v>518</v>
      </c>
      <c r="C144" t="s">
        <v>514</v>
      </c>
      <c r="D144" t="s">
        <v>108</v>
      </c>
      <c r="E144" t="s">
        <v>52</v>
      </c>
      <c r="F144" s="2">
        <v>46217</v>
      </c>
      <c r="G144" s="2">
        <v>46217</v>
      </c>
      <c r="H144" s="3">
        <v>0</v>
      </c>
      <c r="J144" t="s">
        <v>192</v>
      </c>
      <c r="K144">
        <v>347</v>
      </c>
      <c r="L144" t="s">
        <v>519</v>
      </c>
      <c r="M144" t="s">
        <v>193</v>
      </c>
      <c r="N144" s="2">
        <v>46202</v>
      </c>
      <c r="P144" t="s">
        <v>194</v>
      </c>
      <c r="Q144" t="s">
        <v>55</v>
      </c>
      <c r="R144" t="s">
        <v>438</v>
      </c>
      <c r="S144" s="2">
        <v>46199</v>
      </c>
      <c r="T144" s="2">
        <v>46202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349</v>
      </c>
      <c r="B145" t="s">
        <v>520</v>
      </c>
      <c r="C145" t="s">
        <v>514</v>
      </c>
      <c r="D145" t="s">
        <v>114</v>
      </c>
      <c r="E145" t="s">
        <v>52</v>
      </c>
      <c r="F145" s="2">
        <v>46217</v>
      </c>
      <c r="G145" s="2">
        <v>46217</v>
      </c>
      <c r="H145" s="3">
        <v>0</v>
      </c>
      <c r="J145" t="s">
        <v>192</v>
      </c>
      <c r="K145" t="s">
        <v>521</v>
      </c>
      <c r="M145" t="s">
        <v>197</v>
      </c>
      <c r="N145" s="2">
        <v>46203</v>
      </c>
      <c r="P145" t="s">
        <v>194</v>
      </c>
      <c r="Q145" t="s">
        <v>55</v>
      </c>
      <c r="R145" t="s">
        <v>438</v>
      </c>
      <c r="S145" s="2">
        <v>46203</v>
      </c>
      <c r="T145" s="2">
        <v>46203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5">
      <c r="A146">
        <v>350</v>
      </c>
      <c r="B146" t="s">
        <v>522</v>
      </c>
      <c r="C146" t="s">
        <v>440</v>
      </c>
      <c r="D146" t="s">
        <v>523</v>
      </c>
      <c r="E146" t="s">
        <v>185</v>
      </c>
      <c r="F146" s="2">
        <v>46202</v>
      </c>
      <c r="G146" s="2">
        <v>46217</v>
      </c>
      <c r="H146" s="3">
        <v>0.73</v>
      </c>
      <c r="J146" t="s">
        <v>41</v>
      </c>
      <c r="M146" t="s">
        <v>304</v>
      </c>
      <c r="N146" s="2">
        <v>46203</v>
      </c>
      <c r="P146" t="s">
        <v>73</v>
      </c>
      <c r="Q146" t="s">
        <v>55</v>
      </c>
      <c r="R146" t="s">
        <v>438</v>
      </c>
      <c r="S146" s="2">
        <v>46192</v>
      </c>
      <c r="T146" s="2">
        <v>46203</v>
      </c>
      <c r="AB146">
        <v>0.73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352</v>
      </c>
      <c r="B147" t="s">
        <v>527</v>
      </c>
      <c r="C147" t="s">
        <v>525</v>
      </c>
      <c r="D147" t="s">
        <v>104</v>
      </c>
      <c r="E147" t="s">
        <v>52</v>
      </c>
      <c r="F147" s="2">
        <v>46216</v>
      </c>
      <c r="G147" s="2">
        <v>46216</v>
      </c>
      <c r="H147" s="3">
        <v>0</v>
      </c>
      <c r="J147" t="s">
        <v>41</v>
      </c>
      <c r="K147">
        <v>351</v>
      </c>
      <c r="L147">
        <v>353</v>
      </c>
      <c r="M147" t="s">
        <v>190</v>
      </c>
      <c r="N147" s="2">
        <v>46198</v>
      </c>
      <c r="P147" t="s">
        <v>179</v>
      </c>
      <c r="Q147" t="s">
        <v>55</v>
      </c>
      <c r="R147" t="s">
        <v>438</v>
      </c>
      <c r="S147" s="2">
        <v>46198</v>
      </c>
      <c r="T147" s="2">
        <v>46198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353</v>
      </c>
      <c r="B148" t="s">
        <v>528</v>
      </c>
      <c r="C148" t="s">
        <v>525</v>
      </c>
      <c r="D148" t="s">
        <v>108</v>
      </c>
      <c r="E148" t="s">
        <v>52</v>
      </c>
      <c r="F148" s="2">
        <v>46217</v>
      </c>
      <c r="G148" s="2">
        <v>46217</v>
      </c>
      <c r="H148" s="3">
        <v>0</v>
      </c>
      <c r="J148" t="s">
        <v>192</v>
      </c>
      <c r="K148">
        <v>352</v>
      </c>
      <c r="L148" t="s">
        <v>529</v>
      </c>
      <c r="M148" t="s">
        <v>193</v>
      </c>
      <c r="N148" s="2">
        <v>46202</v>
      </c>
      <c r="P148" t="s">
        <v>179</v>
      </c>
      <c r="Q148" t="s">
        <v>55</v>
      </c>
      <c r="R148" t="s">
        <v>438</v>
      </c>
      <c r="S148" s="2">
        <v>46199</v>
      </c>
      <c r="T148" s="2">
        <v>46202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354</v>
      </c>
      <c r="B149" t="s">
        <v>530</v>
      </c>
      <c r="C149" t="s">
        <v>525</v>
      </c>
      <c r="D149" t="s">
        <v>114</v>
      </c>
      <c r="E149" t="s">
        <v>52</v>
      </c>
      <c r="F149" s="2">
        <v>46217</v>
      </c>
      <c r="G149" s="2">
        <v>46217</v>
      </c>
      <c r="H149" s="3">
        <v>0</v>
      </c>
      <c r="J149" t="s">
        <v>192</v>
      </c>
      <c r="K149" t="s">
        <v>531</v>
      </c>
      <c r="M149" t="s">
        <v>197</v>
      </c>
      <c r="N149" s="2">
        <v>46203</v>
      </c>
      <c r="P149" t="s">
        <v>179</v>
      </c>
      <c r="Q149" t="s">
        <v>55</v>
      </c>
      <c r="R149" t="s">
        <v>438</v>
      </c>
      <c r="S149" s="2">
        <v>46203</v>
      </c>
      <c r="T149" s="2">
        <v>46203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355</v>
      </c>
      <c r="B150" t="s">
        <v>532</v>
      </c>
      <c r="C150" t="s">
        <v>440</v>
      </c>
      <c r="D150" t="s">
        <v>533</v>
      </c>
      <c r="E150" t="s">
        <v>369</v>
      </c>
      <c r="F150" s="2">
        <v>46202</v>
      </c>
      <c r="G150" s="2">
        <v>46209</v>
      </c>
      <c r="H150" s="3">
        <v>0.56999999999999995</v>
      </c>
      <c r="J150" t="s">
        <v>41</v>
      </c>
      <c r="M150" t="s">
        <v>304</v>
      </c>
      <c r="N150" s="2">
        <v>46203</v>
      </c>
      <c r="P150" t="s">
        <v>73</v>
      </c>
      <c r="Q150" t="s">
        <v>55</v>
      </c>
      <c r="R150" t="s">
        <v>438</v>
      </c>
      <c r="S150" s="2">
        <v>46192</v>
      </c>
      <c r="T150" s="2">
        <v>46203</v>
      </c>
      <c r="AB150">
        <v>0.56999999999999995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5">
      <c r="A151">
        <v>357</v>
      </c>
      <c r="B151" t="s">
        <v>536</v>
      </c>
      <c r="C151" t="s">
        <v>535</v>
      </c>
      <c r="D151" t="s">
        <v>104</v>
      </c>
      <c r="E151" t="s">
        <v>52</v>
      </c>
      <c r="F151" s="2">
        <v>46206</v>
      </c>
      <c r="G151" s="2">
        <v>46206</v>
      </c>
      <c r="H151" s="3">
        <v>0</v>
      </c>
      <c r="J151" t="s">
        <v>41</v>
      </c>
      <c r="K151">
        <v>356</v>
      </c>
      <c r="L151">
        <v>358</v>
      </c>
      <c r="M151" t="s">
        <v>190</v>
      </c>
      <c r="N151" s="2">
        <v>46198</v>
      </c>
      <c r="P151" t="s">
        <v>179</v>
      </c>
      <c r="Q151" t="s">
        <v>55</v>
      </c>
      <c r="R151" t="s">
        <v>438</v>
      </c>
      <c r="S151" s="2">
        <v>46198</v>
      </c>
      <c r="T151" s="2">
        <v>46198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358</v>
      </c>
      <c r="B152" t="s">
        <v>537</v>
      </c>
      <c r="C152" t="s">
        <v>535</v>
      </c>
      <c r="D152" t="s">
        <v>108</v>
      </c>
      <c r="E152" t="s">
        <v>52</v>
      </c>
      <c r="F152" s="2">
        <v>46209</v>
      </c>
      <c r="G152" s="2">
        <v>46209</v>
      </c>
      <c r="H152" s="3">
        <v>0</v>
      </c>
      <c r="J152" t="s">
        <v>41</v>
      </c>
      <c r="K152">
        <v>357</v>
      </c>
      <c r="L152" t="s">
        <v>538</v>
      </c>
      <c r="M152" t="s">
        <v>193</v>
      </c>
      <c r="N152" s="2">
        <v>46202</v>
      </c>
      <c r="P152" t="s">
        <v>179</v>
      </c>
      <c r="Q152" t="s">
        <v>55</v>
      </c>
      <c r="R152" t="s">
        <v>438</v>
      </c>
      <c r="S152" s="2">
        <v>46199</v>
      </c>
      <c r="T152" s="2">
        <v>46202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</row>
    <row r="153" spans="1:39" x14ac:dyDescent="0.25">
      <c r="A153">
        <v>359</v>
      </c>
      <c r="B153" t="s">
        <v>539</v>
      </c>
      <c r="C153" t="s">
        <v>535</v>
      </c>
      <c r="D153" t="s">
        <v>114</v>
      </c>
      <c r="E153" t="s">
        <v>52</v>
      </c>
      <c r="F153" s="2">
        <v>46209</v>
      </c>
      <c r="G153" s="2">
        <v>46209</v>
      </c>
      <c r="H153" s="3">
        <v>0</v>
      </c>
      <c r="J153" t="s">
        <v>41</v>
      </c>
      <c r="K153" t="s">
        <v>540</v>
      </c>
      <c r="M153" t="s">
        <v>197</v>
      </c>
      <c r="N153" s="2">
        <v>46203</v>
      </c>
      <c r="P153" t="s">
        <v>179</v>
      </c>
      <c r="Q153" t="s">
        <v>55</v>
      </c>
      <c r="R153" t="s">
        <v>438</v>
      </c>
      <c r="S153" s="2">
        <v>46203</v>
      </c>
      <c r="T153" s="2">
        <v>46203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</row>
    <row r="154" spans="1:39" x14ac:dyDescent="0.25">
      <c r="A154">
        <v>360</v>
      </c>
      <c r="B154" t="s">
        <v>541</v>
      </c>
      <c r="C154" t="s">
        <v>440</v>
      </c>
      <c r="D154" t="s">
        <v>542</v>
      </c>
      <c r="E154" t="s">
        <v>369</v>
      </c>
      <c r="F154" s="2">
        <v>46202</v>
      </c>
      <c r="G154" s="2">
        <v>46209</v>
      </c>
      <c r="H154" s="3">
        <v>0.56999999999999995</v>
      </c>
      <c r="J154" t="s">
        <v>41</v>
      </c>
      <c r="M154" t="s">
        <v>304</v>
      </c>
      <c r="N154" s="2">
        <v>46203</v>
      </c>
      <c r="P154" t="s">
        <v>73</v>
      </c>
      <c r="Q154" t="s">
        <v>55</v>
      </c>
      <c r="R154" t="s">
        <v>438</v>
      </c>
      <c r="S154" s="2">
        <v>46192</v>
      </c>
      <c r="T154" s="2">
        <v>46203</v>
      </c>
      <c r="U154" t="s">
        <v>77</v>
      </c>
      <c r="AB154">
        <v>0.56999999999999995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362</v>
      </c>
      <c r="B155" t="s">
        <v>545</v>
      </c>
      <c r="C155" t="s">
        <v>544</v>
      </c>
      <c r="D155" t="s">
        <v>104</v>
      </c>
      <c r="E155" t="s">
        <v>52</v>
      </c>
      <c r="F155" s="2">
        <v>46206</v>
      </c>
      <c r="G155" s="2">
        <v>46206</v>
      </c>
      <c r="H155" s="3">
        <v>0</v>
      </c>
      <c r="J155" t="s">
        <v>41</v>
      </c>
      <c r="K155">
        <v>361</v>
      </c>
      <c r="L155">
        <v>363</v>
      </c>
      <c r="M155" t="s">
        <v>190</v>
      </c>
      <c r="N155" s="2">
        <v>46198</v>
      </c>
      <c r="P155" t="s">
        <v>179</v>
      </c>
      <c r="Q155" t="s">
        <v>55</v>
      </c>
      <c r="R155" t="s">
        <v>438</v>
      </c>
      <c r="S155" s="2">
        <v>46198</v>
      </c>
      <c r="T155" s="2">
        <v>46198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5">
      <c r="A156">
        <v>363</v>
      </c>
      <c r="B156" t="s">
        <v>546</v>
      </c>
      <c r="C156" t="s">
        <v>544</v>
      </c>
      <c r="D156" t="s">
        <v>108</v>
      </c>
      <c r="E156" t="s">
        <v>52</v>
      </c>
      <c r="F156" s="2">
        <v>46209</v>
      </c>
      <c r="G156" s="2">
        <v>46209</v>
      </c>
      <c r="H156" s="3">
        <v>0</v>
      </c>
      <c r="J156" t="s">
        <v>41</v>
      </c>
      <c r="K156">
        <v>362</v>
      </c>
      <c r="L156" t="s">
        <v>547</v>
      </c>
      <c r="M156" t="s">
        <v>193</v>
      </c>
      <c r="N156" s="2">
        <v>46202</v>
      </c>
      <c r="P156" t="s">
        <v>179</v>
      </c>
      <c r="Q156" t="s">
        <v>55</v>
      </c>
      <c r="R156" t="s">
        <v>438</v>
      </c>
      <c r="S156" s="2">
        <v>46199</v>
      </c>
      <c r="T156" s="2">
        <v>46202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</row>
    <row r="157" spans="1:39" x14ac:dyDescent="0.25">
      <c r="A157">
        <v>364</v>
      </c>
      <c r="B157" t="s">
        <v>548</v>
      </c>
      <c r="C157" t="s">
        <v>544</v>
      </c>
      <c r="D157" t="s">
        <v>114</v>
      </c>
      <c r="E157" t="s">
        <v>52</v>
      </c>
      <c r="F157" s="2">
        <v>46209</v>
      </c>
      <c r="G157" s="2">
        <v>46209</v>
      </c>
      <c r="H157" s="3">
        <v>0</v>
      </c>
      <c r="J157" t="s">
        <v>41</v>
      </c>
      <c r="K157" t="s">
        <v>549</v>
      </c>
      <c r="M157" t="s">
        <v>197</v>
      </c>
      <c r="N157" s="2">
        <v>46203</v>
      </c>
      <c r="P157" t="s">
        <v>179</v>
      </c>
      <c r="Q157" t="s">
        <v>55</v>
      </c>
      <c r="R157" t="s">
        <v>438</v>
      </c>
      <c r="S157" s="2">
        <v>46203</v>
      </c>
      <c r="T157" s="2">
        <v>46203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</row>
    <row r="158" spans="1:39" x14ac:dyDescent="0.25">
      <c r="A158">
        <v>365</v>
      </c>
      <c r="B158" t="s">
        <v>550</v>
      </c>
      <c r="C158" t="s">
        <v>440</v>
      </c>
      <c r="D158" t="s">
        <v>551</v>
      </c>
      <c r="E158" t="s">
        <v>369</v>
      </c>
      <c r="F158" s="2">
        <v>46196</v>
      </c>
      <c r="G158" s="2">
        <v>46203</v>
      </c>
      <c r="H158" s="3">
        <v>0.57999999999999996</v>
      </c>
      <c r="J158" t="s">
        <v>41</v>
      </c>
      <c r="M158" t="s">
        <v>66</v>
      </c>
      <c r="N158" s="2">
        <v>46188</v>
      </c>
      <c r="P158" t="s">
        <v>73</v>
      </c>
      <c r="Q158" t="s">
        <v>55</v>
      </c>
      <c r="R158" t="s">
        <v>438</v>
      </c>
      <c r="S158" s="2">
        <v>46168</v>
      </c>
      <c r="T158" s="2">
        <v>46176</v>
      </c>
      <c r="AB158">
        <v>0.57999999999999996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367</v>
      </c>
      <c r="B159" t="s">
        <v>555</v>
      </c>
      <c r="C159" t="s">
        <v>553</v>
      </c>
      <c r="D159" t="s">
        <v>104</v>
      </c>
      <c r="E159" t="s">
        <v>52</v>
      </c>
      <c r="F159" s="2">
        <v>46199</v>
      </c>
      <c r="G159" s="2">
        <v>46199</v>
      </c>
      <c r="H159" s="3">
        <v>0.5</v>
      </c>
      <c r="J159" t="s">
        <v>41</v>
      </c>
      <c r="K159">
        <v>366</v>
      </c>
      <c r="L159">
        <v>368</v>
      </c>
      <c r="M159" t="s">
        <v>182</v>
      </c>
      <c r="N159" s="2">
        <v>46183</v>
      </c>
      <c r="P159" t="s">
        <v>179</v>
      </c>
      <c r="Q159" t="s">
        <v>55</v>
      </c>
      <c r="R159" t="s">
        <v>438</v>
      </c>
      <c r="S159" s="2">
        <v>46171</v>
      </c>
      <c r="T159" s="2">
        <v>46171</v>
      </c>
      <c r="AB159">
        <v>0.5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368</v>
      </c>
      <c r="B160" t="s">
        <v>556</v>
      </c>
      <c r="C160" t="s">
        <v>553</v>
      </c>
      <c r="D160" t="s">
        <v>108</v>
      </c>
      <c r="E160" t="s">
        <v>52</v>
      </c>
      <c r="F160" s="2">
        <v>46202</v>
      </c>
      <c r="G160" s="2">
        <v>46202</v>
      </c>
      <c r="H160" s="3">
        <v>0</v>
      </c>
      <c r="J160" t="s">
        <v>41</v>
      </c>
      <c r="K160">
        <v>367</v>
      </c>
      <c r="L160">
        <v>369</v>
      </c>
      <c r="M160" t="s">
        <v>152</v>
      </c>
      <c r="N160" s="2">
        <v>46185</v>
      </c>
      <c r="P160" t="s">
        <v>179</v>
      </c>
      <c r="Q160" t="s">
        <v>55</v>
      </c>
      <c r="R160" t="s">
        <v>438</v>
      </c>
      <c r="S160" s="2">
        <v>46174</v>
      </c>
      <c r="T160" s="2">
        <v>46175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</row>
    <row r="161" spans="1:39" x14ac:dyDescent="0.25">
      <c r="A161">
        <v>369</v>
      </c>
      <c r="B161" t="s">
        <v>557</v>
      </c>
      <c r="C161" t="s">
        <v>553</v>
      </c>
      <c r="D161" t="s">
        <v>114</v>
      </c>
      <c r="E161" t="s">
        <v>52</v>
      </c>
      <c r="F161" s="2">
        <v>46203</v>
      </c>
      <c r="G161" s="2">
        <v>46203</v>
      </c>
      <c r="H161" s="3">
        <v>0</v>
      </c>
      <c r="J161" t="s">
        <v>41</v>
      </c>
      <c r="K161">
        <v>368</v>
      </c>
      <c r="M161" t="s">
        <v>226</v>
      </c>
      <c r="N161" s="2">
        <v>46188</v>
      </c>
      <c r="P161" t="s">
        <v>179</v>
      </c>
      <c r="Q161" t="s">
        <v>55</v>
      </c>
      <c r="R161" t="s">
        <v>438</v>
      </c>
      <c r="S161" s="2">
        <v>46176</v>
      </c>
      <c r="T161" s="2">
        <v>46176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</row>
    <row r="162" spans="1:39" x14ac:dyDescent="0.25">
      <c r="A162">
        <v>385</v>
      </c>
      <c r="B162" t="s">
        <v>558</v>
      </c>
      <c r="C162" t="s">
        <v>440</v>
      </c>
      <c r="D162" t="s">
        <v>559</v>
      </c>
      <c r="E162" t="s">
        <v>369</v>
      </c>
      <c r="F162" s="2">
        <v>46195</v>
      </c>
      <c r="G162" s="2">
        <v>46202</v>
      </c>
      <c r="H162" s="3">
        <v>0.64</v>
      </c>
      <c r="J162" t="s">
        <v>41</v>
      </c>
      <c r="M162" t="s">
        <v>182</v>
      </c>
      <c r="N162" s="2">
        <v>46195</v>
      </c>
      <c r="P162" t="s">
        <v>179</v>
      </c>
      <c r="Q162" t="s">
        <v>55</v>
      </c>
      <c r="R162" t="s">
        <v>438</v>
      </c>
      <c r="S162" s="2">
        <v>46171</v>
      </c>
      <c r="T162" s="2">
        <v>46183</v>
      </c>
      <c r="AB162">
        <v>0.64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387</v>
      </c>
      <c r="B163" t="s">
        <v>562</v>
      </c>
      <c r="C163" t="s">
        <v>561</v>
      </c>
      <c r="D163" t="s">
        <v>104</v>
      </c>
      <c r="E163" t="s">
        <v>52</v>
      </c>
      <c r="F163" s="2">
        <v>46199</v>
      </c>
      <c r="G163" s="2">
        <v>46199</v>
      </c>
      <c r="H163" s="3">
        <v>0.5</v>
      </c>
      <c r="J163" t="s">
        <v>41</v>
      </c>
      <c r="K163">
        <v>386</v>
      </c>
      <c r="L163">
        <v>388</v>
      </c>
      <c r="M163" t="s">
        <v>248</v>
      </c>
      <c r="N163" s="2">
        <v>46190</v>
      </c>
      <c r="P163" t="s">
        <v>179</v>
      </c>
      <c r="Q163" t="s">
        <v>55</v>
      </c>
      <c r="R163" t="s">
        <v>438</v>
      </c>
      <c r="S163" s="2">
        <v>46178</v>
      </c>
      <c r="T163" s="2">
        <v>46178</v>
      </c>
      <c r="AB163">
        <v>0.5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388</v>
      </c>
      <c r="B164" t="s">
        <v>563</v>
      </c>
      <c r="C164" t="s">
        <v>561</v>
      </c>
      <c r="D164" t="s">
        <v>108</v>
      </c>
      <c r="E164" t="s">
        <v>52</v>
      </c>
      <c r="F164" s="2">
        <v>46202</v>
      </c>
      <c r="G164" s="2">
        <v>46202</v>
      </c>
      <c r="H164" s="3">
        <v>0</v>
      </c>
      <c r="J164" t="s">
        <v>41</v>
      </c>
      <c r="K164">
        <v>387</v>
      </c>
      <c r="L164" t="s">
        <v>564</v>
      </c>
      <c r="M164" t="s">
        <v>186</v>
      </c>
      <c r="N164" s="2">
        <v>46192</v>
      </c>
      <c r="P164" t="s">
        <v>67</v>
      </c>
      <c r="Q164" t="s">
        <v>55</v>
      </c>
      <c r="R164" t="s">
        <v>438</v>
      </c>
      <c r="S164" s="2">
        <v>46181</v>
      </c>
      <c r="T164" s="2">
        <v>46182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</row>
    <row r="165" spans="1:39" x14ac:dyDescent="0.25">
      <c r="A165">
        <v>389</v>
      </c>
      <c r="B165" t="s">
        <v>565</v>
      </c>
      <c r="C165" t="s">
        <v>561</v>
      </c>
      <c r="D165" t="s">
        <v>114</v>
      </c>
      <c r="E165" t="s">
        <v>52</v>
      </c>
      <c r="F165" s="2">
        <v>46202</v>
      </c>
      <c r="G165" s="2">
        <v>46202</v>
      </c>
      <c r="H165" s="3">
        <v>0</v>
      </c>
      <c r="J165" t="s">
        <v>41</v>
      </c>
      <c r="K165" t="s">
        <v>566</v>
      </c>
      <c r="M165" t="s">
        <v>284</v>
      </c>
      <c r="N165" s="2">
        <v>46195</v>
      </c>
      <c r="P165" t="s">
        <v>67</v>
      </c>
      <c r="Q165" t="s">
        <v>55</v>
      </c>
      <c r="R165" t="s">
        <v>438</v>
      </c>
      <c r="S165" s="2">
        <v>46183</v>
      </c>
      <c r="T165" s="2">
        <v>46183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</row>
    <row r="166" spans="1:39" x14ac:dyDescent="0.25">
      <c r="A166">
        <v>410</v>
      </c>
      <c r="B166" t="s">
        <v>567</v>
      </c>
      <c r="C166" t="s">
        <v>50</v>
      </c>
      <c r="D166" t="s">
        <v>568</v>
      </c>
      <c r="E166" t="s">
        <v>437</v>
      </c>
      <c r="F166" s="2">
        <v>46171</v>
      </c>
      <c r="G166" s="2">
        <v>46219</v>
      </c>
      <c r="H166" s="3">
        <v>0.73</v>
      </c>
      <c r="J166" t="s">
        <v>41</v>
      </c>
      <c r="M166" t="s">
        <v>171</v>
      </c>
      <c r="N166" s="2">
        <v>46211</v>
      </c>
      <c r="P166" t="s">
        <v>135</v>
      </c>
      <c r="Q166" t="s">
        <v>44</v>
      </c>
      <c r="R166" t="s">
        <v>569</v>
      </c>
      <c r="S166" s="2">
        <v>46147</v>
      </c>
      <c r="T166" s="2">
        <v>46210</v>
      </c>
      <c r="AB166">
        <v>0.73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416</v>
      </c>
      <c r="B167" t="s">
        <v>570</v>
      </c>
      <c r="C167" t="s">
        <v>571</v>
      </c>
      <c r="D167" t="s">
        <v>572</v>
      </c>
      <c r="E167" t="s">
        <v>573</v>
      </c>
      <c r="F167" s="2">
        <v>46189</v>
      </c>
      <c r="G167" s="2">
        <v>46205</v>
      </c>
      <c r="H167" s="3">
        <v>0.88</v>
      </c>
      <c r="J167" t="s">
        <v>41</v>
      </c>
      <c r="M167" t="s">
        <v>66</v>
      </c>
      <c r="N167" s="2">
        <v>46188</v>
      </c>
      <c r="P167" t="s">
        <v>73</v>
      </c>
      <c r="Q167" t="s">
        <v>55</v>
      </c>
      <c r="R167" t="s">
        <v>569</v>
      </c>
      <c r="S167" s="2">
        <v>46162</v>
      </c>
      <c r="T167" s="2">
        <v>46170</v>
      </c>
      <c r="AB167">
        <v>0.88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419</v>
      </c>
      <c r="B168" t="s">
        <v>579</v>
      </c>
      <c r="C168" t="s">
        <v>575</v>
      </c>
      <c r="D168" t="s">
        <v>108</v>
      </c>
      <c r="E168" t="s">
        <v>52</v>
      </c>
      <c r="F168" s="2">
        <v>46204</v>
      </c>
      <c r="G168" s="2">
        <v>46204</v>
      </c>
      <c r="H168" s="3">
        <v>0.5</v>
      </c>
      <c r="J168" t="s">
        <v>41</v>
      </c>
      <c r="K168" t="s">
        <v>580</v>
      </c>
      <c r="L168">
        <v>420</v>
      </c>
      <c r="M168" t="s">
        <v>152</v>
      </c>
      <c r="N168" s="2">
        <v>46185</v>
      </c>
      <c r="P168" t="s">
        <v>179</v>
      </c>
      <c r="Q168" t="s">
        <v>55</v>
      </c>
      <c r="R168" t="s">
        <v>569</v>
      </c>
      <c r="S168" s="2">
        <v>46168</v>
      </c>
      <c r="T168" s="2">
        <v>46169</v>
      </c>
      <c r="AB168">
        <v>0.5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</row>
    <row r="169" spans="1:39" x14ac:dyDescent="0.25">
      <c r="A169">
        <v>420</v>
      </c>
      <c r="B169" t="s">
        <v>581</v>
      </c>
      <c r="C169" t="s">
        <v>575</v>
      </c>
      <c r="D169" t="s">
        <v>114</v>
      </c>
      <c r="E169" t="s">
        <v>52</v>
      </c>
      <c r="F169" s="2">
        <v>46205</v>
      </c>
      <c r="G169" s="2">
        <v>46205</v>
      </c>
      <c r="H169" s="3">
        <v>0</v>
      </c>
      <c r="J169" t="s">
        <v>41</v>
      </c>
      <c r="K169">
        <v>419</v>
      </c>
      <c r="M169" t="s">
        <v>226</v>
      </c>
      <c r="N169" s="2">
        <v>46188</v>
      </c>
      <c r="P169" t="s">
        <v>179</v>
      </c>
      <c r="Q169" t="s">
        <v>55</v>
      </c>
      <c r="R169" t="s">
        <v>569</v>
      </c>
      <c r="S169" s="2">
        <v>46170</v>
      </c>
      <c r="T169" s="2">
        <v>46170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</row>
    <row r="170" spans="1:39" x14ac:dyDescent="0.25">
      <c r="A170">
        <v>421</v>
      </c>
      <c r="B170" t="s">
        <v>582</v>
      </c>
      <c r="C170" t="s">
        <v>571</v>
      </c>
      <c r="D170" t="s">
        <v>583</v>
      </c>
      <c r="E170" t="s">
        <v>161</v>
      </c>
      <c r="F170" s="2">
        <v>46188</v>
      </c>
      <c r="G170" s="2">
        <v>46197</v>
      </c>
      <c r="H170" s="3">
        <v>0.5</v>
      </c>
      <c r="J170" t="s">
        <v>41</v>
      </c>
      <c r="M170" t="s">
        <v>193</v>
      </c>
      <c r="N170" s="2">
        <v>46206</v>
      </c>
      <c r="P170" t="s">
        <v>73</v>
      </c>
      <c r="Q170" t="s">
        <v>55</v>
      </c>
      <c r="R170" t="s">
        <v>569</v>
      </c>
      <c r="S170" s="2">
        <v>46192</v>
      </c>
      <c r="T170" s="2">
        <v>46202</v>
      </c>
      <c r="AB170">
        <v>0.5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25">
      <c r="A171">
        <v>423</v>
      </c>
      <c r="B171" t="s">
        <v>586</v>
      </c>
      <c r="C171" t="s">
        <v>585</v>
      </c>
      <c r="D171" t="s">
        <v>104</v>
      </c>
      <c r="E171" t="s">
        <v>52</v>
      </c>
      <c r="F171" s="2">
        <v>46192</v>
      </c>
      <c r="G171" s="2">
        <v>46192</v>
      </c>
      <c r="H171" s="3">
        <v>0</v>
      </c>
      <c r="J171" t="s">
        <v>41</v>
      </c>
      <c r="K171">
        <v>422</v>
      </c>
      <c r="L171">
        <v>424</v>
      </c>
      <c r="M171" t="s">
        <v>197</v>
      </c>
      <c r="N171" s="2">
        <v>46203</v>
      </c>
      <c r="P171" t="s">
        <v>73</v>
      </c>
      <c r="Q171" t="s">
        <v>55</v>
      </c>
      <c r="R171" t="s">
        <v>569</v>
      </c>
      <c r="S171" s="2">
        <v>46197</v>
      </c>
      <c r="T171" s="2">
        <v>46197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424</v>
      </c>
      <c r="B172" t="s">
        <v>587</v>
      </c>
      <c r="C172" t="s">
        <v>585</v>
      </c>
      <c r="D172" t="s">
        <v>108</v>
      </c>
      <c r="E172" t="s">
        <v>115</v>
      </c>
      <c r="F172" s="2">
        <v>46195</v>
      </c>
      <c r="G172" s="2">
        <v>46196</v>
      </c>
      <c r="H172" s="3">
        <v>0</v>
      </c>
      <c r="J172" t="s">
        <v>41</v>
      </c>
      <c r="K172">
        <v>423</v>
      </c>
      <c r="L172">
        <v>425</v>
      </c>
      <c r="M172" t="s">
        <v>404</v>
      </c>
      <c r="N172" s="2">
        <v>46205</v>
      </c>
      <c r="P172" t="s">
        <v>179</v>
      </c>
      <c r="Q172" t="s">
        <v>55</v>
      </c>
      <c r="R172" t="s">
        <v>569</v>
      </c>
      <c r="S172" s="2">
        <v>46198</v>
      </c>
      <c r="T172" s="2">
        <v>46199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</row>
    <row r="173" spans="1:39" x14ac:dyDescent="0.25">
      <c r="A173">
        <v>425</v>
      </c>
      <c r="B173" t="s">
        <v>588</v>
      </c>
      <c r="C173" t="s">
        <v>585</v>
      </c>
      <c r="D173" t="s">
        <v>114</v>
      </c>
      <c r="E173" t="s">
        <v>52</v>
      </c>
      <c r="F173" s="2">
        <v>46197</v>
      </c>
      <c r="G173" s="2">
        <v>46197</v>
      </c>
      <c r="H173" s="3">
        <v>0</v>
      </c>
      <c r="J173" t="s">
        <v>41</v>
      </c>
      <c r="K173">
        <v>424</v>
      </c>
      <c r="M173" t="s">
        <v>385</v>
      </c>
      <c r="N173" s="2">
        <v>46206</v>
      </c>
      <c r="P173" t="s">
        <v>179</v>
      </c>
      <c r="Q173" t="s">
        <v>55</v>
      </c>
      <c r="R173" t="s">
        <v>569</v>
      </c>
      <c r="S173" s="2">
        <v>46202</v>
      </c>
      <c r="T173" s="2">
        <v>46202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</row>
    <row r="174" spans="1:39" x14ac:dyDescent="0.25">
      <c r="A174">
        <v>426</v>
      </c>
      <c r="B174" t="s">
        <v>589</v>
      </c>
      <c r="C174" t="s">
        <v>571</v>
      </c>
      <c r="D174" t="s">
        <v>590</v>
      </c>
      <c r="E174" t="s">
        <v>161</v>
      </c>
      <c r="F174" s="2">
        <v>46199</v>
      </c>
      <c r="G174" s="2">
        <v>46210</v>
      </c>
      <c r="H174" s="3">
        <v>0.5</v>
      </c>
      <c r="J174" t="s">
        <v>41</v>
      </c>
      <c r="M174" t="s">
        <v>284</v>
      </c>
      <c r="N174" s="2">
        <v>46202</v>
      </c>
      <c r="P174" t="s">
        <v>76</v>
      </c>
      <c r="Q174" t="s">
        <v>55</v>
      </c>
      <c r="R174" t="s">
        <v>569</v>
      </c>
      <c r="S174" s="2">
        <v>46184</v>
      </c>
      <c r="T174" s="2">
        <v>46192</v>
      </c>
      <c r="U174" t="s">
        <v>77</v>
      </c>
      <c r="AB174">
        <v>0.5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428</v>
      </c>
      <c r="B175" t="s">
        <v>595</v>
      </c>
      <c r="C175" t="s">
        <v>592</v>
      </c>
      <c r="D175" t="s">
        <v>104</v>
      </c>
      <c r="E175" t="s">
        <v>52</v>
      </c>
      <c r="F175" s="2">
        <v>46205</v>
      </c>
      <c r="G175" s="2">
        <v>46205</v>
      </c>
      <c r="H175" s="3">
        <v>0</v>
      </c>
      <c r="J175" t="s">
        <v>41</v>
      </c>
      <c r="K175">
        <v>427</v>
      </c>
      <c r="L175">
        <v>429</v>
      </c>
      <c r="M175" t="s">
        <v>383</v>
      </c>
      <c r="N175" s="2">
        <v>46205</v>
      </c>
      <c r="P175" t="s">
        <v>73</v>
      </c>
      <c r="Q175" t="s">
        <v>55</v>
      </c>
      <c r="R175" t="s">
        <v>569</v>
      </c>
      <c r="S175" s="2">
        <v>46205</v>
      </c>
      <c r="T175" s="2">
        <v>46205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25">
      <c r="A176">
        <v>429</v>
      </c>
      <c r="B176" t="s">
        <v>596</v>
      </c>
      <c r="C176" t="s">
        <v>592</v>
      </c>
      <c r="D176" t="s">
        <v>108</v>
      </c>
      <c r="E176" t="s">
        <v>115</v>
      </c>
      <c r="F176" s="2">
        <v>46206</v>
      </c>
      <c r="G176" s="2">
        <v>46209</v>
      </c>
      <c r="H176" s="3">
        <v>0</v>
      </c>
      <c r="J176" t="s">
        <v>41</v>
      </c>
      <c r="K176">
        <v>428</v>
      </c>
      <c r="L176">
        <v>430</v>
      </c>
      <c r="M176" t="s">
        <v>385</v>
      </c>
      <c r="N176" s="2">
        <v>46209</v>
      </c>
      <c r="P176" t="s">
        <v>73</v>
      </c>
      <c r="Q176" t="s">
        <v>55</v>
      </c>
      <c r="R176" t="s">
        <v>569</v>
      </c>
      <c r="S176" s="2">
        <v>46206</v>
      </c>
      <c r="T176" s="2">
        <v>46209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</row>
    <row r="177" spans="1:39" x14ac:dyDescent="0.25">
      <c r="A177">
        <v>430</v>
      </c>
      <c r="B177" t="s">
        <v>597</v>
      </c>
      <c r="C177" t="s">
        <v>592</v>
      </c>
      <c r="D177" t="s">
        <v>114</v>
      </c>
      <c r="E177" t="s">
        <v>52</v>
      </c>
      <c r="F177" s="2">
        <v>46210</v>
      </c>
      <c r="G177" s="2">
        <v>46210</v>
      </c>
      <c r="H177" s="3">
        <v>0</v>
      </c>
      <c r="J177" t="s">
        <v>41</v>
      </c>
      <c r="K177">
        <v>429</v>
      </c>
      <c r="M177" t="s">
        <v>387</v>
      </c>
      <c r="N177" s="2">
        <v>46210</v>
      </c>
      <c r="P177" t="s">
        <v>73</v>
      </c>
      <c r="Q177" t="s">
        <v>55</v>
      </c>
      <c r="R177" t="s">
        <v>569</v>
      </c>
      <c r="S177" s="2">
        <v>46210</v>
      </c>
      <c r="T177" s="2">
        <v>46210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</row>
    <row r="178" spans="1:39" x14ac:dyDescent="0.25">
      <c r="A178">
        <v>441</v>
      </c>
      <c r="B178" t="s">
        <v>598</v>
      </c>
      <c r="C178" t="s">
        <v>571</v>
      </c>
      <c r="D178" t="s">
        <v>599</v>
      </c>
      <c r="E178" t="s">
        <v>294</v>
      </c>
      <c r="F178" s="2">
        <v>46199</v>
      </c>
      <c r="G178" s="2">
        <v>46217</v>
      </c>
      <c r="H178" s="3">
        <v>0.73</v>
      </c>
      <c r="J178" t="s">
        <v>41</v>
      </c>
      <c r="M178" t="s">
        <v>251</v>
      </c>
      <c r="N178" s="2">
        <v>46202</v>
      </c>
      <c r="P178" t="s">
        <v>179</v>
      </c>
      <c r="Q178" t="s">
        <v>55</v>
      </c>
      <c r="R178" t="s">
        <v>569</v>
      </c>
      <c r="S178" s="2">
        <v>46204</v>
      </c>
      <c r="T178" s="2">
        <v>46210</v>
      </c>
      <c r="AB178">
        <v>0.73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443</v>
      </c>
      <c r="B179" t="s">
        <v>603</v>
      </c>
      <c r="C179" t="s">
        <v>601</v>
      </c>
      <c r="D179" t="s">
        <v>104</v>
      </c>
      <c r="E179" t="s">
        <v>52</v>
      </c>
      <c r="F179" s="2">
        <v>46211</v>
      </c>
      <c r="G179" s="2">
        <v>46211</v>
      </c>
      <c r="H179" s="3">
        <v>0</v>
      </c>
      <c r="J179" t="s">
        <v>41</v>
      </c>
      <c r="K179">
        <v>442</v>
      </c>
      <c r="L179">
        <v>444</v>
      </c>
      <c r="M179" t="s">
        <v>308</v>
      </c>
      <c r="N179" s="2">
        <v>46197</v>
      </c>
      <c r="P179" t="s">
        <v>67</v>
      </c>
      <c r="Q179" t="s">
        <v>55</v>
      </c>
      <c r="R179" t="s">
        <v>569</v>
      </c>
      <c r="S179" s="2">
        <v>46205</v>
      </c>
      <c r="T179" s="2">
        <v>46205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444</v>
      </c>
      <c r="B180" t="s">
        <v>604</v>
      </c>
      <c r="C180" t="s">
        <v>601</v>
      </c>
      <c r="D180" t="s">
        <v>108</v>
      </c>
      <c r="E180" t="s">
        <v>52</v>
      </c>
      <c r="F180" s="2">
        <v>46216</v>
      </c>
      <c r="G180" s="2">
        <v>46216</v>
      </c>
      <c r="H180" s="3">
        <v>0</v>
      </c>
      <c r="J180" t="s">
        <v>41</v>
      </c>
      <c r="K180">
        <v>443</v>
      </c>
      <c r="L180">
        <v>445</v>
      </c>
      <c r="M180" t="s">
        <v>190</v>
      </c>
      <c r="N180" s="2">
        <v>46199</v>
      </c>
      <c r="P180" t="s">
        <v>194</v>
      </c>
      <c r="Q180" t="s">
        <v>55</v>
      </c>
      <c r="R180" t="s">
        <v>569</v>
      </c>
      <c r="S180" s="2">
        <v>46206</v>
      </c>
      <c r="T180" s="2">
        <v>46209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</row>
    <row r="181" spans="1:39" x14ac:dyDescent="0.25">
      <c r="A181">
        <v>445</v>
      </c>
      <c r="B181" t="s">
        <v>605</v>
      </c>
      <c r="C181" t="s">
        <v>601</v>
      </c>
      <c r="D181" t="s">
        <v>114</v>
      </c>
      <c r="E181" t="s">
        <v>52</v>
      </c>
      <c r="F181" s="2">
        <v>46217</v>
      </c>
      <c r="G181" s="2">
        <v>46217</v>
      </c>
      <c r="H181" s="3">
        <v>0</v>
      </c>
      <c r="J181" t="s">
        <v>192</v>
      </c>
      <c r="K181">
        <v>444</v>
      </c>
      <c r="M181" t="s">
        <v>311</v>
      </c>
      <c r="N181" s="2">
        <v>46202</v>
      </c>
      <c r="P181" t="s">
        <v>194</v>
      </c>
      <c r="Q181" t="s">
        <v>55</v>
      </c>
      <c r="R181" t="s">
        <v>569</v>
      </c>
      <c r="S181" s="2">
        <v>46210</v>
      </c>
      <c r="T181" s="2">
        <v>46210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446</v>
      </c>
      <c r="B182" t="s">
        <v>606</v>
      </c>
      <c r="C182" t="s">
        <v>571</v>
      </c>
      <c r="D182" t="s">
        <v>607</v>
      </c>
      <c r="E182" t="s">
        <v>608</v>
      </c>
      <c r="F182" s="2">
        <v>46189</v>
      </c>
      <c r="G182" s="2">
        <v>46204</v>
      </c>
      <c r="H182" s="3">
        <v>0.46</v>
      </c>
      <c r="J182" t="s">
        <v>41</v>
      </c>
      <c r="M182" t="s">
        <v>171</v>
      </c>
      <c r="N182" s="2">
        <v>46185</v>
      </c>
      <c r="P182" t="s">
        <v>73</v>
      </c>
      <c r="Q182" t="s">
        <v>55</v>
      </c>
      <c r="R182" t="s">
        <v>569</v>
      </c>
      <c r="S182" s="2">
        <v>46157</v>
      </c>
      <c r="T182" s="2">
        <v>46169</v>
      </c>
      <c r="AB182">
        <v>0.46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448</v>
      </c>
      <c r="B183" t="s">
        <v>612</v>
      </c>
      <c r="C183" t="s">
        <v>610</v>
      </c>
      <c r="D183" t="s">
        <v>104</v>
      </c>
      <c r="E183" t="s">
        <v>167</v>
      </c>
      <c r="F183" s="2">
        <v>46197</v>
      </c>
      <c r="G183" s="2">
        <v>46202</v>
      </c>
      <c r="H183" s="3">
        <v>0</v>
      </c>
      <c r="J183" t="s">
        <v>41</v>
      </c>
      <c r="K183">
        <v>447</v>
      </c>
      <c r="L183">
        <v>449</v>
      </c>
      <c r="M183" t="s">
        <v>150</v>
      </c>
      <c r="N183" s="2">
        <v>46182</v>
      </c>
      <c r="P183" t="s">
        <v>179</v>
      </c>
      <c r="Q183" t="s">
        <v>55</v>
      </c>
      <c r="R183" t="s">
        <v>569</v>
      </c>
      <c r="S183" s="2">
        <v>46164</v>
      </c>
      <c r="T183" s="2">
        <v>46164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449</v>
      </c>
      <c r="B184" t="s">
        <v>613</v>
      </c>
      <c r="C184" t="s">
        <v>610</v>
      </c>
      <c r="D184" t="s">
        <v>108</v>
      </c>
      <c r="E184" t="s">
        <v>115</v>
      </c>
      <c r="F184" s="2">
        <v>46203</v>
      </c>
      <c r="G184" s="2">
        <v>46204</v>
      </c>
      <c r="H184" s="3">
        <v>0</v>
      </c>
      <c r="J184" t="s">
        <v>41</v>
      </c>
      <c r="K184">
        <v>448</v>
      </c>
      <c r="L184" t="s">
        <v>614</v>
      </c>
      <c r="M184" t="s">
        <v>182</v>
      </c>
      <c r="N184" s="2">
        <v>46184</v>
      </c>
      <c r="P184" t="s">
        <v>179</v>
      </c>
      <c r="Q184" t="s">
        <v>55</v>
      </c>
      <c r="R184" t="s">
        <v>569</v>
      </c>
      <c r="S184" s="2">
        <v>46167</v>
      </c>
      <c r="T184" s="2">
        <v>46168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</row>
    <row r="185" spans="1:39" x14ac:dyDescent="0.25">
      <c r="A185">
        <v>450</v>
      </c>
      <c r="B185" t="s">
        <v>615</v>
      </c>
      <c r="C185" t="s">
        <v>610</v>
      </c>
      <c r="D185" t="s">
        <v>114</v>
      </c>
      <c r="E185" t="s">
        <v>52</v>
      </c>
      <c r="F185" s="2">
        <v>46204</v>
      </c>
      <c r="G185" s="2">
        <v>46204</v>
      </c>
      <c r="H185" s="3">
        <v>0</v>
      </c>
      <c r="J185" t="s">
        <v>41</v>
      </c>
      <c r="K185" t="s">
        <v>616</v>
      </c>
      <c r="M185" t="s">
        <v>245</v>
      </c>
      <c r="N185" s="2">
        <v>46185</v>
      </c>
      <c r="P185" t="s">
        <v>179</v>
      </c>
      <c r="Q185" t="s">
        <v>55</v>
      </c>
      <c r="R185" t="s">
        <v>569</v>
      </c>
      <c r="S185" s="2">
        <v>46169</v>
      </c>
      <c r="T185" s="2">
        <v>46169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</row>
    <row r="186" spans="1:39" x14ac:dyDescent="0.25">
      <c r="A186">
        <v>451</v>
      </c>
      <c r="B186" t="s">
        <v>617</v>
      </c>
      <c r="C186" t="s">
        <v>571</v>
      </c>
      <c r="D186" t="s">
        <v>618</v>
      </c>
      <c r="E186" t="s">
        <v>185</v>
      </c>
      <c r="F186" s="2">
        <v>46171</v>
      </c>
      <c r="G186" s="2">
        <v>46188</v>
      </c>
      <c r="H186" s="3">
        <v>0.6</v>
      </c>
      <c r="J186" t="s">
        <v>41</v>
      </c>
      <c r="M186" t="s">
        <v>171</v>
      </c>
      <c r="N186" s="2">
        <v>46183</v>
      </c>
      <c r="P186" t="s">
        <v>135</v>
      </c>
      <c r="Q186" t="s">
        <v>55</v>
      </c>
      <c r="R186" t="s">
        <v>569</v>
      </c>
      <c r="S186" s="2">
        <v>46157</v>
      </c>
      <c r="T186" s="2">
        <v>46167</v>
      </c>
      <c r="AB186">
        <v>0.6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5">
      <c r="A187">
        <v>453</v>
      </c>
      <c r="B187" t="s">
        <v>622</v>
      </c>
      <c r="C187" t="s">
        <v>620</v>
      </c>
      <c r="D187" t="s">
        <v>104</v>
      </c>
      <c r="E187" t="s">
        <v>52</v>
      </c>
      <c r="F187" s="2">
        <v>46183</v>
      </c>
      <c r="G187" s="2">
        <v>46183</v>
      </c>
      <c r="H187" s="3">
        <v>0</v>
      </c>
      <c r="J187" t="s">
        <v>41</v>
      </c>
      <c r="K187">
        <v>452</v>
      </c>
      <c r="L187">
        <v>454</v>
      </c>
      <c r="M187" t="s">
        <v>66</v>
      </c>
      <c r="N187" s="2">
        <v>46178</v>
      </c>
      <c r="P187" t="s">
        <v>76</v>
      </c>
      <c r="Q187" t="s">
        <v>55</v>
      </c>
      <c r="R187" t="s">
        <v>569</v>
      </c>
      <c r="S187" s="2">
        <v>46162</v>
      </c>
      <c r="T187" s="2">
        <v>46162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454</v>
      </c>
      <c r="B188" t="s">
        <v>623</v>
      </c>
      <c r="C188" t="s">
        <v>620</v>
      </c>
      <c r="D188" t="s">
        <v>108</v>
      </c>
      <c r="E188" t="s">
        <v>115</v>
      </c>
      <c r="F188" s="2">
        <v>46184</v>
      </c>
      <c r="G188" s="2">
        <v>46185</v>
      </c>
      <c r="H188" s="3">
        <v>0</v>
      </c>
      <c r="J188" t="s">
        <v>41</v>
      </c>
      <c r="K188">
        <v>453</v>
      </c>
      <c r="L188">
        <v>455</v>
      </c>
      <c r="M188" t="s">
        <v>148</v>
      </c>
      <c r="N188" s="2">
        <v>46182</v>
      </c>
      <c r="P188" t="s">
        <v>76</v>
      </c>
      <c r="Q188" t="s">
        <v>55</v>
      </c>
      <c r="R188" t="s">
        <v>569</v>
      </c>
      <c r="S188" s="2">
        <v>46163</v>
      </c>
      <c r="T188" s="2">
        <v>46164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</row>
    <row r="189" spans="1:39" x14ac:dyDescent="0.25">
      <c r="A189">
        <v>455</v>
      </c>
      <c r="B189" t="s">
        <v>624</v>
      </c>
      <c r="C189" t="s">
        <v>620</v>
      </c>
      <c r="D189" t="s">
        <v>114</v>
      </c>
      <c r="E189" t="s">
        <v>52</v>
      </c>
      <c r="F189" s="2">
        <v>46188</v>
      </c>
      <c r="G189" s="2">
        <v>46188</v>
      </c>
      <c r="H189" s="3">
        <v>0</v>
      </c>
      <c r="J189" t="s">
        <v>41</v>
      </c>
      <c r="K189">
        <v>454</v>
      </c>
      <c r="M189" t="s">
        <v>182</v>
      </c>
      <c r="N189" s="2">
        <v>46183</v>
      </c>
      <c r="P189" t="s">
        <v>73</v>
      </c>
      <c r="Q189" t="s">
        <v>55</v>
      </c>
      <c r="R189" t="s">
        <v>569</v>
      </c>
      <c r="S189" s="2">
        <v>46167</v>
      </c>
      <c r="T189" s="2">
        <v>46167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</row>
    <row r="190" spans="1:39" x14ac:dyDescent="0.25">
      <c r="A190">
        <v>456</v>
      </c>
      <c r="B190" t="s">
        <v>625</v>
      </c>
      <c r="C190" t="s">
        <v>571</v>
      </c>
      <c r="D190" t="s">
        <v>626</v>
      </c>
      <c r="E190" t="s">
        <v>185</v>
      </c>
      <c r="F190" s="2">
        <v>46176</v>
      </c>
      <c r="G190" s="2">
        <v>46191</v>
      </c>
      <c r="H190" s="3">
        <v>0.6</v>
      </c>
      <c r="J190" t="s">
        <v>41</v>
      </c>
      <c r="M190" t="s">
        <v>171</v>
      </c>
      <c r="N190" s="2">
        <v>46185</v>
      </c>
      <c r="P190" t="s">
        <v>118</v>
      </c>
      <c r="Q190" t="s">
        <v>55</v>
      </c>
      <c r="R190" t="s">
        <v>569</v>
      </c>
      <c r="S190" s="2">
        <v>46157</v>
      </c>
      <c r="T190" s="2">
        <v>46169</v>
      </c>
      <c r="AB190">
        <v>0.6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458</v>
      </c>
      <c r="B191" t="s">
        <v>629</v>
      </c>
      <c r="C191" t="s">
        <v>628</v>
      </c>
      <c r="D191" t="s">
        <v>104</v>
      </c>
      <c r="E191" t="s">
        <v>52</v>
      </c>
      <c r="F191" s="2">
        <v>46188</v>
      </c>
      <c r="G191" s="2">
        <v>46188</v>
      </c>
      <c r="H191" s="3">
        <v>0</v>
      </c>
      <c r="J191" t="s">
        <v>41</v>
      </c>
      <c r="K191">
        <v>457</v>
      </c>
      <c r="L191">
        <v>459</v>
      </c>
      <c r="M191" t="s">
        <v>150</v>
      </c>
      <c r="N191" s="2">
        <v>46182</v>
      </c>
      <c r="P191" t="s">
        <v>73</v>
      </c>
      <c r="Q191" t="s">
        <v>55</v>
      </c>
      <c r="R191" t="s">
        <v>569</v>
      </c>
      <c r="S191" s="2">
        <v>46164</v>
      </c>
      <c r="T191" s="2">
        <v>46164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459</v>
      </c>
      <c r="B192" t="s">
        <v>630</v>
      </c>
      <c r="C192" t="s">
        <v>628</v>
      </c>
      <c r="D192" t="s">
        <v>108</v>
      </c>
      <c r="E192" t="s">
        <v>115</v>
      </c>
      <c r="F192" s="2">
        <v>46189</v>
      </c>
      <c r="G192" s="2">
        <v>46190</v>
      </c>
      <c r="H192" s="3">
        <v>0</v>
      </c>
      <c r="J192" t="s">
        <v>41</v>
      </c>
      <c r="K192">
        <v>458</v>
      </c>
      <c r="L192">
        <v>460</v>
      </c>
      <c r="M192" t="s">
        <v>182</v>
      </c>
      <c r="N192" s="2">
        <v>46184</v>
      </c>
      <c r="P192" t="s">
        <v>73</v>
      </c>
      <c r="Q192" t="s">
        <v>55</v>
      </c>
      <c r="R192" t="s">
        <v>569</v>
      </c>
      <c r="S192" s="2">
        <v>46167</v>
      </c>
      <c r="T192" s="2">
        <v>46168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</row>
    <row r="193" spans="1:39" x14ac:dyDescent="0.25">
      <c r="A193">
        <v>460</v>
      </c>
      <c r="B193" t="s">
        <v>631</v>
      </c>
      <c r="C193" t="s">
        <v>628</v>
      </c>
      <c r="D193" t="s">
        <v>114</v>
      </c>
      <c r="E193" t="s">
        <v>52</v>
      </c>
      <c r="F193" s="2">
        <v>46191</v>
      </c>
      <c r="G193" s="2">
        <v>46191</v>
      </c>
      <c r="H193" s="3">
        <v>0</v>
      </c>
      <c r="J193" t="s">
        <v>41</v>
      </c>
      <c r="K193">
        <v>459</v>
      </c>
      <c r="M193" t="s">
        <v>245</v>
      </c>
      <c r="N193" s="2">
        <v>46185</v>
      </c>
      <c r="P193" t="s">
        <v>73</v>
      </c>
      <c r="Q193" t="s">
        <v>55</v>
      </c>
      <c r="R193" t="s">
        <v>569</v>
      </c>
      <c r="S193" s="2">
        <v>46169</v>
      </c>
      <c r="T193" s="2">
        <v>46169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</row>
    <row r="194" spans="1:39" x14ac:dyDescent="0.25">
      <c r="A194">
        <v>461</v>
      </c>
      <c r="B194" t="s">
        <v>632</v>
      </c>
      <c r="C194" t="s">
        <v>571</v>
      </c>
      <c r="D194" t="s">
        <v>633</v>
      </c>
      <c r="E194" t="s">
        <v>294</v>
      </c>
      <c r="F194" s="2">
        <v>46196</v>
      </c>
      <c r="G194" s="2">
        <v>46210</v>
      </c>
      <c r="H194" s="3">
        <v>0.82</v>
      </c>
      <c r="J194" t="s">
        <v>41</v>
      </c>
      <c r="M194" t="s">
        <v>182</v>
      </c>
      <c r="N194" s="2">
        <v>46202</v>
      </c>
      <c r="P194" t="s">
        <v>179</v>
      </c>
      <c r="Q194" t="s">
        <v>55</v>
      </c>
      <c r="R194" t="s">
        <v>569</v>
      </c>
      <c r="S194" s="2">
        <v>46167</v>
      </c>
      <c r="T194" s="2">
        <v>46184</v>
      </c>
      <c r="AB194">
        <v>0.82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464</v>
      </c>
      <c r="B195" t="s">
        <v>637</v>
      </c>
      <c r="C195" t="s">
        <v>635</v>
      </c>
      <c r="D195" t="s">
        <v>108</v>
      </c>
      <c r="E195" t="s">
        <v>115</v>
      </c>
      <c r="F195" s="2">
        <v>46206</v>
      </c>
      <c r="G195" s="2">
        <v>46209</v>
      </c>
      <c r="H195" s="3">
        <v>0.5</v>
      </c>
      <c r="J195" t="s">
        <v>41</v>
      </c>
      <c r="K195">
        <v>463</v>
      </c>
      <c r="L195">
        <v>465</v>
      </c>
      <c r="M195" t="s">
        <v>190</v>
      </c>
      <c r="N195" s="2">
        <v>46199</v>
      </c>
      <c r="P195" t="s">
        <v>67</v>
      </c>
      <c r="Q195" t="s">
        <v>55</v>
      </c>
      <c r="R195" t="s">
        <v>569</v>
      </c>
      <c r="S195" s="2">
        <v>46182</v>
      </c>
      <c r="T195" s="2">
        <v>46183</v>
      </c>
      <c r="AB195">
        <v>0.5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</row>
    <row r="196" spans="1:39" x14ac:dyDescent="0.25">
      <c r="A196">
        <v>465</v>
      </c>
      <c r="B196" t="s">
        <v>638</v>
      </c>
      <c r="C196" t="s">
        <v>635</v>
      </c>
      <c r="D196" t="s">
        <v>114</v>
      </c>
      <c r="E196" t="s">
        <v>52</v>
      </c>
      <c r="F196" s="2">
        <v>46210</v>
      </c>
      <c r="G196" s="2">
        <v>46210</v>
      </c>
      <c r="H196" s="3">
        <v>0</v>
      </c>
      <c r="J196" t="s">
        <v>41</v>
      </c>
      <c r="K196">
        <v>464</v>
      </c>
      <c r="M196" t="s">
        <v>311</v>
      </c>
      <c r="N196" s="2">
        <v>46202</v>
      </c>
      <c r="P196" t="s">
        <v>67</v>
      </c>
      <c r="Q196" t="s">
        <v>55</v>
      </c>
      <c r="R196" t="s">
        <v>569</v>
      </c>
      <c r="S196" s="2">
        <v>46184</v>
      </c>
      <c r="T196" s="2">
        <v>46184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</row>
    <row r="197" spans="1:39" x14ac:dyDescent="0.25">
      <c r="A197">
        <v>466</v>
      </c>
      <c r="B197" t="s">
        <v>639</v>
      </c>
      <c r="C197" t="s">
        <v>571</v>
      </c>
      <c r="D197" t="s">
        <v>640</v>
      </c>
      <c r="E197" t="s">
        <v>161</v>
      </c>
      <c r="F197" s="2">
        <v>46196</v>
      </c>
      <c r="G197" s="2">
        <v>46205</v>
      </c>
      <c r="H197" s="3">
        <v>0.5</v>
      </c>
      <c r="J197" t="s">
        <v>41</v>
      </c>
      <c r="M197" t="s">
        <v>182</v>
      </c>
      <c r="N197" s="2">
        <v>46202</v>
      </c>
      <c r="P197" t="s">
        <v>179</v>
      </c>
      <c r="Q197" t="s">
        <v>55</v>
      </c>
      <c r="R197" t="s">
        <v>569</v>
      </c>
      <c r="S197" s="2">
        <v>46167</v>
      </c>
      <c r="T197" s="2">
        <v>46184</v>
      </c>
      <c r="AB197">
        <v>0.5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468</v>
      </c>
      <c r="B198" t="s">
        <v>643</v>
      </c>
      <c r="C198" t="s">
        <v>642</v>
      </c>
      <c r="D198" t="s">
        <v>104</v>
      </c>
      <c r="E198" t="s">
        <v>52</v>
      </c>
      <c r="F198" s="2">
        <v>46202</v>
      </c>
      <c r="G198" s="2">
        <v>46202</v>
      </c>
      <c r="H198" s="3">
        <v>0</v>
      </c>
      <c r="J198" t="s">
        <v>41</v>
      </c>
      <c r="K198">
        <v>467</v>
      </c>
      <c r="L198">
        <v>469</v>
      </c>
      <c r="M198" t="s">
        <v>308</v>
      </c>
      <c r="N198" s="2">
        <v>46197</v>
      </c>
      <c r="P198" t="s">
        <v>179</v>
      </c>
      <c r="Q198" t="s">
        <v>55</v>
      </c>
      <c r="R198" t="s">
        <v>569</v>
      </c>
      <c r="S198" s="2">
        <v>46181</v>
      </c>
      <c r="T198" s="2">
        <v>46181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469</v>
      </c>
      <c r="B199" t="s">
        <v>644</v>
      </c>
      <c r="C199" t="s">
        <v>642</v>
      </c>
      <c r="D199" t="s">
        <v>108</v>
      </c>
      <c r="E199" t="s">
        <v>115</v>
      </c>
      <c r="F199" s="2">
        <v>46203</v>
      </c>
      <c r="G199" s="2">
        <v>46204</v>
      </c>
      <c r="H199" s="3">
        <v>0</v>
      </c>
      <c r="J199" t="s">
        <v>41</v>
      </c>
      <c r="K199">
        <v>468</v>
      </c>
      <c r="L199">
        <v>470</v>
      </c>
      <c r="M199" t="s">
        <v>190</v>
      </c>
      <c r="N199" s="2">
        <v>46199</v>
      </c>
      <c r="P199" t="s">
        <v>179</v>
      </c>
      <c r="Q199" t="s">
        <v>55</v>
      </c>
      <c r="R199" t="s">
        <v>569</v>
      </c>
      <c r="S199" s="2">
        <v>46182</v>
      </c>
      <c r="T199" s="2">
        <v>46183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</row>
    <row r="200" spans="1:39" x14ac:dyDescent="0.25">
      <c r="A200">
        <v>470</v>
      </c>
      <c r="B200" t="s">
        <v>645</v>
      </c>
      <c r="C200" t="s">
        <v>642</v>
      </c>
      <c r="D200" t="s">
        <v>114</v>
      </c>
      <c r="E200" t="s">
        <v>52</v>
      </c>
      <c r="F200" s="2">
        <v>46205</v>
      </c>
      <c r="G200" s="2">
        <v>46205</v>
      </c>
      <c r="H200" s="3">
        <v>0</v>
      </c>
      <c r="J200" t="s">
        <v>41</v>
      </c>
      <c r="K200">
        <v>469</v>
      </c>
      <c r="M200" t="s">
        <v>311</v>
      </c>
      <c r="N200" s="2">
        <v>46202</v>
      </c>
      <c r="P200" t="s">
        <v>67</v>
      </c>
      <c r="Q200" t="s">
        <v>55</v>
      </c>
      <c r="R200" t="s">
        <v>569</v>
      </c>
      <c r="S200" s="2">
        <v>46184</v>
      </c>
      <c r="T200" s="2">
        <v>46184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</row>
    <row r="201" spans="1:39" x14ac:dyDescent="0.25">
      <c r="A201">
        <v>471</v>
      </c>
      <c r="B201" t="s">
        <v>646</v>
      </c>
      <c r="C201" t="s">
        <v>571</v>
      </c>
      <c r="D201" t="s">
        <v>647</v>
      </c>
      <c r="E201" t="s">
        <v>161</v>
      </c>
      <c r="F201" s="2">
        <v>46196</v>
      </c>
      <c r="G201" s="2">
        <v>46205</v>
      </c>
      <c r="H201" s="3">
        <v>0.5</v>
      </c>
      <c r="J201" t="s">
        <v>41</v>
      </c>
      <c r="M201" t="s">
        <v>182</v>
      </c>
      <c r="N201" s="2">
        <v>46202</v>
      </c>
      <c r="P201" t="s">
        <v>179</v>
      </c>
      <c r="Q201" t="s">
        <v>55</v>
      </c>
      <c r="R201" t="s">
        <v>569</v>
      </c>
      <c r="S201" s="2">
        <v>46167</v>
      </c>
      <c r="T201" s="2">
        <v>46184</v>
      </c>
      <c r="AB201">
        <v>0.5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5">
      <c r="A202">
        <v>473</v>
      </c>
      <c r="B202" t="s">
        <v>650</v>
      </c>
      <c r="C202" t="s">
        <v>649</v>
      </c>
      <c r="D202" t="s">
        <v>104</v>
      </c>
      <c r="E202" t="s">
        <v>52</v>
      </c>
      <c r="F202" s="2">
        <v>46202</v>
      </c>
      <c r="G202" s="2">
        <v>46202</v>
      </c>
      <c r="H202" s="3">
        <v>0</v>
      </c>
      <c r="J202" t="s">
        <v>41</v>
      </c>
      <c r="K202">
        <v>472</v>
      </c>
      <c r="L202">
        <v>474</v>
      </c>
      <c r="M202" t="s">
        <v>308</v>
      </c>
      <c r="N202" s="2">
        <v>46197</v>
      </c>
      <c r="P202" t="s">
        <v>179</v>
      </c>
      <c r="Q202" t="s">
        <v>55</v>
      </c>
      <c r="R202" t="s">
        <v>569</v>
      </c>
      <c r="S202" s="2">
        <v>46181</v>
      </c>
      <c r="T202" s="2">
        <v>46181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474</v>
      </c>
      <c r="B203" t="s">
        <v>651</v>
      </c>
      <c r="C203" t="s">
        <v>649</v>
      </c>
      <c r="D203" t="s">
        <v>108</v>
      </c>
      <c r="E203" t="s">
        <v>115</v>
      </c>
      <c r="F203" s="2">
        <v>46203</v>
      </c>
      <c r="G203" s="2">
        <v>46204</v>
      </c>
      <c r="H203" s="3">
        <v>0</v>
      </c>
      <c r="J203" t="s">
        <v>41</v>
      </c>
      <c r="K203">
        <v>473</v>
      </c>
      <c r="L203">
        <v>475</v>
      </c>
      <c r="M203" t="s">
        <v>190</v>
      </c>
      <c r="N203" s="2">
        <v>46199</v>
      </c>
      <c r="P203" t="s">
        <v>179</v>
      </c>
      <c r="Q203" t="s">
        <v>55</v>
      </c>
      <c r="R203" t="s">
        <v>569</v>
      </c>
      <c r="S203" s="2">
        <v>46182</v>
      </c>
      <c r="T203" s="2">
        <v>46183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</row>
    <row r="204" spans="1:39" x14ac:dyDescent="0.25">
      <c r="A204">
        <v>475</v>
      </c>
      <c r="B204" t="s">
        <v>652</v>
      </c>
      <c r="C204" t="s">
        <v>649</v>
      </c>
      <c r="D204" t="s">
        <v>114</v>
      </c>
      <c r="E204" t="s">
        <v>52</v>
      </c>
      <c r="F204" s="2">
        <v>46205</v>
      </c>
      <c r="G204" s="2">
        <v>46205</v>
      </c>
      <c r="H204" s="3">
        <v>0</v>
      </c>
      <c r="J204" t="s">
        <v>41</v>
      </c>
      <c r="K204">
        <v>474</v>
      </c>
      <c r="M204" t="s">
        <v>311</v>
      </c>
      <c r="N204" s="2">
        <v>46202</v>
      </c>
      <c r="P204" t="s">
        <v>67</v>
      </c>
      <c r="Q204" t="s">
        <v>55</v>
      </c>
      <c r="R204" t="s">
        <v>569</v>
      </c>
      <c r="S204" s="2">
        <v>46184</v>
      </c>
      <c r="T204" s="2">
        <v>46184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</row>
    <row r="205" spans="1:39" x14ac:dyDescent="0.25">
      <c r="A205">
        <v>481</v>
      </c>
      <c r="B205" t="s">
        <v>653</v>
      </c>
      <c r="C205" t="s">
        <v>571</v>
      </c>
      <c r="D205" t="s">
        <v>654</v>
      </c>
      <c r="E205" t="s">
        <v>161</v>
      </c>
      <c r="F205" s="2">
        <v>46204</v>
      </c>
      <c r="G205" s="2">
        <v>46217</v>
      </c>
      <c r="H205" s="3">
        <v>0.5</v>
      </c>
      <c r="J205" t="s">
        <v>41</v>
      </c>
      <c r="M205" t="s">
        <v>308</v>
      </c>
      <c r="N205" s="2">
        <v>46205</v>
      </c>
      <c r="P205" t="s">
        <v>73</v>
      </c>
      <c r="Q205" t="s">
        <v>55</v>
      </c>
      <c r="R205" t="s">
        <v>569</v>
      </c>
      <c r="S205" s="2">
        <v>46181</v>
      </c>
      <c r="T205" s="2">
        <v>46189</v>
      </c>
      <c r="AB205">
        <v>0.5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483</v>
      </c>
      <c r="B206" t="s">
        <v>658</v>
      </c>
      <c r="C206" t="s">
        <v>656</v>
      </c>
      <c r="D206" t="s">
        <v>104</v>
      </c>
      <c r="E206" t="s">
        <v>52</v>
      </c>
      <c r="F206" s="2">
        <v>46210</v>
      </c>
      <c r="G206" s="2">
        <v>46210</v>
      </c>
      <c r="H206" s="3">
        <v>0</v>
      </c>
      <c r="J206" t="s">
        <v>41</v>
      </c>
      <c r="K206">
        <v>482</v>
      </c>
      <c r="L206">
        <v>484</v>
      </c>
      <c r="M206" t="s">
        <v>311</v>
      </c>
      <c r="N206" s="2">
        <v>46202</v>
      </c>
      <c r="P206" t="s">
        <v>179</v>
      </c>
      <c r="Q206" t="s">
        <v>55</v>
      </c>
      <c r="R206" t="s">
        <v>569</v>
      </c>
      <c r="S206" s="2">
        <v>46184</v>
      </c>
      <c r="T206" s="2">
        <v>46184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484</v>
      </c>
      <c r="B207" t="s">
        <v>659</v>
      </c>
      <c r="C207" t="s">
        <v>656</v>
      </c>
      <c r="D207" t="s">
        <v>108</v>
      </c>
      <c r="E207" t="s">
        <v>115</v>
      </c>
      <c r="F207" s="2">
        <v>46211</v>
      </c>
      <c r="G207" s="2">
        <v>46216</v>
      </c>
      <c r="H207" s="3">
        <v>0</v>
      </c>
      <c r="J207" t="s">
        <v>41</v>
      </c>
      <c r="K207">
        <v>483</v>
      </c>
      <c r="L207">
        <v>485</v>
      </c>
      <c r="M207" t="s">
        <v>197</v>
      </c>
      <c r="N207" s="2">
        <v>46204</v>
      </c>
      <c r="P207" t="s">
        <v>179</v>
      </c>
      <c r="Q207" t="s">
        <v>55</v>
      </c>
      <c r="R207" t="s">
        <v>569</v>
      </c>
      <c r="S207" s="2">
        <v>46185</v>
      </c>
      <c r="T207" s="2">
        <v>46188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</row>
    <row r="208" spans="1:39" x14ac:dyDescent="0.25">
      <c r="A208">
        <v>485</v>
      </c>
      <c r="B208" t="s">
        <v>660</v>
      </c>
      <c r="C208" t="s">
        <v>656</v>
      </c>
      <c r="D208" t="s">
        <v>114</v>
      </c>
      <c r="E208" t="s">
        <v>52</v>
      </c>
      <c r="F208" s="2">
        <v>46217</v>
      </c>
      <c r="G208" s="2">
        <v>46217</v>
      </c>
      <c r="H208" s="3">
        <v>0</v>
      </c>
      <c r="J208" t="s">
        <v>192</v>
      </c>
      <c r="K208">
        <v>484</v>
      </c>
      <c r="M208" t="s">
        <v>383</v>
      </c>
      <c r="N208" s="2">
        <v>46205</v>
      </c>
      <c r="P208" t="s">
        <v>179</v>
      </c>
      <c r="Q208" t="s">
        <v>55</v>
      </c>
      <c r="R208" t="s">
        <v>569</v>
      </c>
      <c r="S208" s="2">
        <v>46189</v>
      </c>
      <c r="T208" s="2">
        <v>46189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5">
      <c r="A209">
        <v>496</v>
      </c>
      <c r="B209" t="s">
        <v>661</v>
      </c>
      <c r="C209" t="s">
        <v>571</v>
      </c>
      <c r="D209" t="s">
        <v>662</v>
      </c>
      <c r="E209" t="s">
        <v>254</v>
      </c>
      <c r="F209" s="2">
        <v>46203</v>
      </c>
      <c r="G209" s="2">
        <v>46217</v>
      </c>
      <c r="H209" s="3">
        <v>0.67</v>
      </c>
      <c r="J209" t="s">
        <v>41</v>
      </c>
      <c r="M209" t="s">
        <v>193</v>
      </c>
      <c r="N209" s="2">
        <v>46206</v>
      </c>
      <c r="P209" t="s">
        <v>179</v>
      </c>
      <c r="Q209" t="s">
        <v>55</v>
      </c>
      <c r="R209" t="s">
        <v>569</v>
      </c>
      <c r="S209" s="2">
        <v>46202</v>
      </c>
      <c r="T209" s="2">
        <v>46209</v>
      </c>
      <c r="AB209">
        <v>0.67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498</v>
      </c>
      <c r="B210" t="s">
        <v>667</v>
      </c>
      <c r="C210" t="s">
        <v>664</v>
      </c>
      <c r="D210" t="s">
        <v>104</v>
      </c>
      <c r="E210" t="s">
        <v>52</v>
      </c>
      <c r="F210" s="2">
        <v>46211</v>
      </c>
      <c r="G210" s="2">
        <v>46211</v>
      </c>
      <c r="H210" s="3">
        <v>0</v>
      </c>
      <c r="J210" t="s">
        <v>41</v>
      </c>
      <c r="K210">
        <v>497</v>
      </c>
      <c r="L210">
        <v>499</v>
      </c>
      <c r="M210" t="s">
        <v>197</v>
      </c>
      <c r="N210" s="2">
        <v>46203</v>
      </c>
      <c r="P210" t="s">
        <v>67</v>
      </c>
      <c r="Q210" t="s">
        <v>55</v>
      </c>
      <c r="R210" t="s">
        <v>569</v>
      </c>
      <c r="S210" s="2">
        <v>46204</v>
      </c>
      <c r="T210" s="2">
        <v>46204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499</v>
      </c>
      <c r="B211" t="s">
        <v>668</v>
      </c>
      <c r="C211" t="s">
        <v>664</v>
      </c>
      <c r="D211" t="s">
        <v>108</v>
      </c>
      <c r="E211" t="s">
        <v>52</v>
      </c>
      <c r="F211" s="2">
        <v>46216</v>
      </c>
      <c r="G211" s="2">
        <v>46216</v>
      </c>
      <c r="H211" s="3">
        <v>0</v>
      </c>
      <c r="J211" t="s">
        <v>41</v>
      </c>
      <c r="K211">
        <v>498</v>
      </c>
      <c r="L211">
        <v>500</v>
      </c>
      <c r="M211" t="s">
        <v>404</v>
      </c>
      <c r="N211" s="2">
        <v>46205</v>
      </c>
      <c r="P211" t="s">
        <v>67</v>
      </c>
      <c r="Q211" t="s">
        <v>55</v>
      </c>
      <c r="R211" t="s">
        <v>569</v>
      </c>
      <c r="S211" s="2">
        <v>46205</v>
      </c>
      <c r="T211" s="2">
        <v>46206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</row>
    <row r="212" spans="1:39" x14ac:dyDescent="0.25">
      <c r="A212">
        <v>500</v>
      </c>
      <c r="B212" t="s">
        <v>669</v>
      </c>
      <c r="C212" t="s">
        <v>664</v>
      </c>
      <c r="D212" t="s">
        <v>114</v>
      </c>
      <c r="E212" t="s">
        <v>52</v>
      </c>
      <c r="F212" s="2">
        <v>46217</v>
      </c>
      <c r="G212" s="2">
        <v>46217</v>
      </c>
      <c r="H212" s="3">
        <v>0</v>
      </c>
      <c r="J212" t="s">
        <v>192</v>
      </c>
      <c r="K212">
        <v>499</v>
      </c>
      <c r="M212" t="s">
        <v>385</v>
      </c>
      <c r="N212" s="2">
        <v>46206</v>
      </c>
      <c r="P212" t="s">
        <v>194</v>
      </c>
      <c r="Q212" t="s">
        <v>55</v>
      </c>
      <c r="R212" t="s">
        <v>569</v>
      </c>
      <c r="S212" s="2">
        <v>46209</v>
      </c>
      <c r="T212" s="2">
        <v>46209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501</v>
      </c>
      <c r="B213" t="s">
        <v>670</v>
      </c>
      <c r="C213" t="s">
        <v>571</v>
      </c>
      <c r="D213" t="s">
        <v>671</v>
      </c>
      <c r="E213" t="s">
        <v>174</v>
      </c>
      <c r="F213" s="2">
        <v>46203</v>
      </c>
      <c r="G213" s="2">
        <v>46211</v>
      </c>
      <c r="H213" s="3">
        <v>0</v>
      </c>
      <c r="J213" t="s">
        <v>41</v>
      </c>
      <c r="M213" t="s">
        <v>308</v>
      </c>
      <c r="N213" s="2">
        <v>46204</v>
      </c>
      <c r="P213" t="s">
        <v>73</v>
      </c>
      <c r="Q213" t="s">
        <v>55</v>
      </c>
      <c r="R213" t="s">
        <v>569</v>
      </c>
      <c r="S213" s="2">
        <v>46189</v>
      </c>
      <c r="T213" s="2">
        <v>46197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502</v>
      </c>
      <c r="B214" t="s">
        <v>672</v>
      </c>
      <c r="C214" t="s">
        <v>673</v>
      </c>
      <c r="D214" t="s">
        <v>100</v>
      </c>
      <c r="E214" t="s">
        <v>167</v>
      </c>
      <c r="F214" s="2">
        <v>46203</v>
      </c>
      <c r="G214" s="2">
        <v>46206</v>
      </c>
      <c r="H214" s="3">
        <v>0</v>
      </c>
      <c r="J214" t="s">
        <v>41</v>
      </c>
      <c r="K214" t="s">
        <v>665</v>
      </c>
      <c r="L214">
        <v>503</v>
      </c>
      <c r="M214" t="s">
        <v>308</v>
      </c>
      <c r="N214" s="2">
        <v>46198</v>
      </c>
      <c r="P214" t="s">
        <v>73</v>
      </c>
      <c r="Q214" t="s">
        <v>55</v>
      </c>
      <c r="R214" t="s">
        <v>569</v>
      </c>
      <c r="S214" s="2">
        <v>46189</v>
      </c>
      <c r="T214" s="2">
        <v>46191</v>
      </c>
      <c r="AB214">
        <v>0</v>
      </c>
      <c r="AC214">
        <v>1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5">
      <c r="A215">
        <v>503</v>
      </c>
      <c r="B215" t="s">
        <v>674</v>
      </c>
      <c r="C215" t="s">
        <v>673</v>
      </c>
      <c r="D215" t="s">
        <v>104</v>
      </c>
      <c r="E215" t="s">
        <v>52</v>
      </c>
      <c r="F215" s="2">
        <v>46209</v>
      </c>
      <c r="G215" s="2">
        <v>46209</v>
      </c>
      <c r="H215" s="3">
        <v>0</v>
      </c>
      <c r="J215" t="s">
        <v>41</v>
      </c>
      <c r="K215">
        <v>502</v>
      </c>
      <c r="L215">
        <v>504</v>
      </c>
      <c r="M215" t="s">
        <v>193</v>
      </c>
      <c r="N215" s="2">
        <v>46199</v>
      </c>
      <c r="P215" t="s">
        <v>179</v>
      </c>
      <c r="Q215" t="s">
        <v>55</v>
      </c>
      <c r="R215" t="s">
        <v>569</v>
      </c>
      <c r="S215" s="2">
        <v>46192</v>
      </c>
      <c r="T215" s="2">
        <v>46192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504</v>
      </c>
      <c r="B216" t="s">
        <v>675</v>
      </c>
      <c r="C216" t="s">
        <v>673</v>
      </c>
      <c r="D216" t="s">
        <v>108</v>
      </c>
      <c r="E216" t="s">
        <v>52</v>
      </c>
      <c r="F216" s="2">
        <v>46210</v>
      </c>
      <c r="G216" s="2">
        <v>46210</v>
      </c>
      <c r="H216" s="3">
        <v>0</v>
      </c>
      <c r="J216" t="s">
        <v>41</v>
      </c>
      <c r="K216">
        <v>503</v>
      </c>
      <c r="L216">
        <v>505</v>
      </c>
      <c r="M216" t="s">
        <v>311</v>
      </c>
      <c r="N216" s="2">
        <v>46203</v>
      </c>
      <c r="P216" t="s">
        <v>179</v>
      </c>
      <c r="Q216" t="s">
        <v>55</v>
      </c>
      <c r="R216" t="s">
        <v>569</v>
      </c>
      <c r="S216" s="2">
        <v>46195</v>
      </c>
      <c r="T216" s="2">
        <v>46196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</row>
    <row r="217" spans="1:39" x14ac:dyDescent="0.25">
      <c r="A217">
        <v>505</v>
      </c>
      <c r="B217" t="s">
        <v>676</v>
      </c>
      <c r="C217" t="s">
        <v>673</v>
      </c>
      <c r="D217" t="s">
        <v>114</v>
      </c>
      <c r="E217" t="s">
        <v>52</v>
      </c>
      <c r="F217" s="2">
        <v>46211</v>
      </c>
      <c r="G217" s="2">
        <v>46211</v>
      </c>
      <c r="H217" s="3">
        <v>0</v>
      </c>
      <c r="J217" t="s">
        <v>41</v>
      </c>
      <c r="K217">
        <v>504</v>
      </c>
      <c r="M217" t="s">
        <v>404</v>
      </c>
      <c r="N217" s="2">
        <v>46204</v>
      </c>
      <c r="P217" t="s">
        <v>179</v>
      </c>
      <c r="Q217" t="s">
        <v>55</v>
      </c>
      <c r="R217" t="s">
        <v>569</v>
      </c>
      <c r="S217" s="2">
        <v>46197</v>
      </c>
      <c r="T217" s="2">
        <v>46197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</row>
    <row r="218" spans="1:39" x14ac:dyDescent="0.25">
      <c r="A218">
        <v>506</v>
      </c>
      <c r="B218" t="s">
        <v>677</v>
      </c>
      <c r="C218" t="s">
        <v>571</v>
      </c>
      <c r="D218" t="s">
        <v>678</v>
      </c>
      <c r="E218" t="s">
        <v>679</v>
      </c>
      <c r="F218" s="2">
        <v>46191</v>
      </c>
      <c r="G218" s="2">
        <v>46211</v>
      </c>
      <c r="H218" s="3">
        <v>0.8</v>
      </c>
      <c r="J218" t="s">
        <v>41</v>
      </c>
      <c r="M218" t="s">
        <v>308</v>
      </c>
      <c r="N218" s="2">
        <v>46211</v>
      </c>
      <c r="P218" t="s">
        <v>73</v>
      </c>
      <c r="Q218" t="s">
        <v>55</v>
      </c>
      <c r="R218" t="s">
        <v>569</v>
      </c>
      <c r="S218" s="2">
        <v>46189</v>
      </c>
      <c r="T218" s="2">
        <v>46206</v>
      </c>
      <c r="AB218">
        <v>0.8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509</v>
      </c>
      <c r="B219" t="s">
        <v>685</v>
      </c>
      <c r="C219" t="s">
        <v>681</v>
      </c>
      <c r="D219" t="s">
        <v>108</v>
      </c>
      <c r="E219" t="s">
        <v>115</v>
      </c>
      <c r="F219" s="2">
        <v>46209</v>
      </c>
      <c r="G219" s="2">
        <v>46210</v>
      </c>
      <c r="H219" s="3">
        <v>0</v>
      </c>
      <c r="J219" t="s">
        <v>41</v>
      </c>
      <c r="K219">
        <v>508</v>
      </c>
      <c r="L219">
        <v>510</v>
      </c>
      <c r="M219" t="s">
        <v>686</v>
      </c>
      <c r="N219" s="2">
        <v>46210</v>
      </c>
      <c r="P219" t="s">
        <v>67</v>
      </c>
      <c r="Q219" t="s">
        <v>55</v>
      </c>
      <c r="R219" t="s">
        <v>569</v>
      </c>
      <c r="S219" s="2">
        <v>46204</v>
      </c>
      <c r="T219" s="2">
        <v>46205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</row>
    <row r="220" spans="1:39" x14ac:dyDescent="0.25">
      <c r="A220">
        <v>510</v>
      </c>
      <c r="B220" t="s">
        <v>687</v>
      </c>
      <c r="C220" t="s">
        <v>681</v>
      </c>
      <c r="D220" t="s">
        <v>114</v>
      </c>
      <c r="E220" t="s">
        <v>52</v>
      </c>
      <c r="F220" s="2">
        <v>46211</v>
      </c>
      <c r="G220" s="2">
        <v>46211</v>
      </c>
      <c r="H220" s="3">
        <v>0</v>
      </c>
      <c r="J220" t="s">
        <v>41</v>
      </c>
      <c r="K220">
        <v>509</v>
      </c>
      <c r="M220" t="s">
        <v>688</v>
      </c>
      <c r="N220" s="2">
        <v>46211</v>
      </c>
      <c r="P220" t="s">
        <v>67</v>
      </c>
      <c r="Q220" t="s">
        <v>55</v>
      </c>
      <c r="R220" t="s">
        <v>569</v>
      </c>
      <c r="S220" s="2">
        <v>46206</v>
      </c>
      <c r="T220" s="2">
        <v>46206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</row>
    <row r="221" spans="1:39" x14ac:dyDescent="0.25">
      <c r="A221">
        <v>511</v>
      </c>
      <c r="B221" t="s">
        <v>689</v>
      </c>
      <c r="C221" t="s">
        <v>571</v>
      </c>
      <c r="D221" t="s">
        <v>690</v>
      </c>
      <c r="E221" t="s">
        <v>679</v>
      </c>
      <c r="F221" s="2">
        <v>46191</v>
      </c>
      <c r="G221" s="2">
        <v>46211</v>
      </c>
      <c r="H221" s="3">
        <v>0.8</v>
      </c>
      <c r="J221" t="s">
        <v>41</v>
      </c>
      <c r="M221" t="s">
        <v>308</v>
      </c>
      <c r="N221" s="2">
        <v>46211</v>
      </c>
      <c r="P221" t="s">
        <v>73</v>
      </c>
      <c r="Q221" t="s">
        <v>55</v>
      </c>
      <c r="R221" t="s">
        <v>569</v>
      </c>
      <c r="S221" s="2">
        <v>46189</v>
      </c>
      <c r="T221" s="2">
        <v>46206</v>
      </c>
      <c r="AB221">
        <v>0.8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514</v>
      </c>
      <c r="B222" t="s">
        <v>695</v>
      </c>
      <c r="C222" t="s">
        <v>692</v>
      </c>
      <c r="D222" t="s">
        <v>108</v>
      </c>
      <c r="E222" t="s">
        <v>115</v>
      </c>
      <c r="F222" s="2">
        <v>46209</v>
      </c>
      <c r="G222" s="2">
        <v>46210</v>
      </c>
      <c r="H222" s="3">
        <v>0</v>
      </c>
      <c r="J222" t="s">
        <v>41</v>
      </c>
      <c r="K222">
        <v>513</v>
      </c>
      <c r="L222">
        <v>515</v>
      </c>
      <c r="M222" t="s">
        <v>686</v>
      </c>
      <c r="N222" s="2">
        <v>46210</v>
      </c>
      <c r="P222" t="s">
        <v>67</v>
      </c>
      <c r="Q222" t="s">
        <v>55</v>
      </c>
      <c r="R222" t="s">
        <v>569</v>
      </c>
      <c r="S222" s="2">
        <v>46204</v>
      </c>
      <c r="T222" s="2">
        <v>46205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</row>
    <row r="223" spans="1:39" x14ac:dyDescent="0.25">
      <c r="A223">
        <v>515</v>
      </c>
      <c r="B223" t="s">
        <v>696</v>
      </c>
      <c r="C223" t="s">
        <v>692</v>
      </c>
      <c r="D223" t="s">
        <v>114</v>
      </c>
      <c r="E223" t="s">
        <v>52</v>
      </c>
      <c r="F223" s="2">
        <v>46211</v>
      </c>
      <c r="G223" s="2">
        <v>46211</v>
      </c>
      <c r="H223" s="3">
        <v>0</v>
      </c>
      <c r="J223" t="s">
        <v>41</v>
      </c>
      <c r="K223">
        <v>514</v>
      </c>
      <c r="M223" t="s">
        <v>688</v>
      </c>
      <c r="N223" s="2">
        <v>46211</v>
      </c>
      <c r="P223" t="s">
        <v>67</v>
      </c>
      <c r="Q223" t="s">
        <v>55</v>
      </c>
      <c r="R223" t="s">
        <v>569</v>
      </c>
      <c r="S223" s="2">
        <v>46206</v>
      </c>
      <c r="T223" s="2">
        <v>46206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</row>
    <row r="224" spans="1:39" x14ac:dyDescent="0.25">
      <c r="A224">
        <v>516</v>
      </c>
      <c r="B224" t="s">
        <v>697</v>
      </c>
      <c r="C224" t="s">
        <v>571</v>
      </c>
      <c r="D224" t="s">
        <v>698</v>
      </c>
      <c r="E224" t="s">
        <v>679</v>
      </c>
      <c r="F224" s="2">
        <v>46191</v>
      </c>
      <c r="G224" s="2">
        <v>46211</v>
      </c>
      <c r="H224" s="3">
        <v>0.8</v>
      </c>
      <c r="J224" t="s">
        <v>41</v>
      </c>
      <c r="M224" t="s">
        <v>308</v>
      </c>
      <c r="N224" s="2">
        <v>46211</v>
      </c>
      <c r="P224" t="s">
        <v>73</v>
      </c>
      <c r="Q224" t="s">
        <v>55</v>
      </c>
      <c r="R224" t="s">
        <v>569</v>
      </c>
      <c r="S224" s="2">
        <v>46189</v>
      </c>
      <c r="T224" s="2">
        <v>46206</v>
      </c>
      <c r="AB224">
        <v>0.8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519</v>
      </c>
      <c r="B225" t="s">
        <v>702</v>
      </c>
      <c r="C225" t="s">
        <v>700</v>
      </c>
      <c r="D225" t="s">
        <v>108</v>
      </c>
      <c r="E225" t="s">
        <v>115</v>
      </c>
      <c r="F225" s="2">
        <v>46209</v>
      </c>
      <c r="G225" s="2">
        <v>46210</v>
      </c>
      <c r="H225" s="3">
        <v>0</v>
      </c>
      <c r="J225" t="s">
        <v>41</v>
      </c>
      <c r="K225">
        <v>518</v>
      </c>
      <c r="L225">
        <v>520</v>
      </c>
      <c r="M225" t="s">
        <v>686</v>
      </c>
      <c r="N225" s="2">
        <v>46210</v>
      </c>
      <c r="P225" t="s">
        <v>179</v>
      </c>
      <c r="Q225" t="s">
        <v>55</v>
      </c>
      <c r="R225" t="s">
        <v>569</v>
      </c>
      <c r="S225" s="2">
        <v>46204</v>
      </c>
      <c r="T225" s="2">
        <v>46205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</row>
    <row r="226" spans="1:39" x14ac:dyDescent="0.25">
      <c r="A226">
        <v>520</v>
      </c>
      <c r="B226" t="s">
        <v>703</v>
      </c>
      <c r="C226" t="s">
        <v>700</v>
      </c>
      <c r="D226" t="s">
        <v>114</v>
      </c>
      <c r="E226" t="s">
        <v>52</v>
      </c>
      <c r="F226" s="2">
        <v>46211</v>
      </c>
      <c r="G226" s="2">
        <v>46211</v>
      </c>
      <c r="H226" s="3">
        <v>0</v>
      </c>
      <c r="J226" t="s">
        <v>41</v>
      </c>
      <c r="K226">
        <v>519</v>
      </c>
      <c r="M226" t="s">
        <v>688</v>
      </c>
      <c r="N226" s="2">
        <v>46211</v>
      </c>
      <c r="P226" t="s">
        <v>67</v>
      </c>
      <c r="Q226" t="s">
        <v>55</v>
      </c>
      <c r="R226" t="s">
        <v>569</v>
      </c>
      <c r="S226" s="2">
        <v>46206</v>
      </c>
      <c r="T226" s="2">
        <v>46206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</row>
    <row r="227" spans="1:39" x14ac:dyDescent="0.25">
      <c r="A227">
        <v>521</v>
      </c>
      <c r="B227" t="s">
        <v>704</v>
      </c>
      <c r="C227" t="s">
        <v>571</v>
      </c>
      <c r="D227" t="s">
        <v>705</v>
      </c>
      <c r="E227" t="s">
        <v>679</v>
      </c>
      <c r="F227" s="2">
        <v>46191</v>
      </c>
      <c r="G227" s="2">
        <v>46211</v>
      </c>
      <c r="H227" s="3">
        <v>0.8</v>
      </c>
      <c r="J227" t="s">
        <v>41</v>
      </c>
      <c r="M227" t="s">
        <v>308</v>
      </c>
      <c r="N227" s="2">
        <v>46211</v>
      </c>
      <c r="P227" t="s">
        <v>73</v>
      </c>
      <c r="Q227" t="s">
        <v>55</v>
      </c>
      <c r="R227" t="s">
        <v>569</v>
      </c>
      <c r="S227" s="2">
        <v>46189</v>
      </c>
      <c r="T227" s="2">
        <v>46206</v>
      </c>
      <c r="AB227">
        <v>0.8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524</v>
      </c>
      <c r="B228" t="s">
        <v>709</v>
      </c>
      <c r="C228" t="s">
        <v>707</v>
      </c>
      <c r="D228" t="s">
        <v>108</v>
      </c>
      <c r="E228" t="s">
        <v>115</v>
      </c>
      <c r="F228" s="2">
        <v>46209</v>
      </c>
      <c r="G228" s="2">
        <v>46210</v>
      </c>
      <c r="H228" s="3">
        <v>0</v>
      </c>
      <c r="J228" t="s">
        <v>41</v>
      </c>
      <c r="K228">
        <v>523</v>
      </c>
      <c r="L228">
        <v>525</v>
      </c>
      <c r="M228" t="s">
        <v>686</v>
      </c>
      <c r="N228" s="2">
        <v>46210</v>
      </c>
      <c r="P228" t="s">
        <v>67</v>
      </c>
      <c r="Q228" t="s">
        <v>55</v>
      </c>
      <c r="R228" t="s">
        <v>569</v>
      </c>
      <c r="S228" s="2">
        <v>46204</v>
      </c>
      <c r="T228" s="2">
        <v>46205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</row>
    <row r="229" spans="1:39" x14ac:dyDescent="0.25">
      <c r="A229">
        <v>525</v>
      </c>
      <c r="B229" t="s">
        <v>710</v>
      </c>
      <c r="C229" t="s">
        <v>707</v>
      </c>
      <c r="D229" t="s">
        <v>114</v>
      </c>
      <c r="E229" t="s">
        <v>52</v>
      </c>
      <c r="F229" s="2">
        <v>46211</v>
      </c>
      <c r="G229" s="2">
        <v>46211</v>
      </c>
      <c r="H229" s="3">
        <v>0</v>
      </c>
      <c r="J229" t="s">
        <v>41</v>
      </c>
      <c r="K229">
        <v>524</v>
      </c>
      <c r="M229" t="s">
        <v>688</v>
      </c>
      <c r="N229" s="2">
        <v>46211</v>
      </c>
      <c r="P229" t="s">
        <v>67</v>
      </c>
      <c r="Q229" t="s">
        <v>55</v>
      </c>
      <c r="R229" t="s">
        <v>569</v>
      </c>
      <c r="S229" s="2">
        <v>46206</v>
      </c>
      <c r="T229" s="2">
        <v>46206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</row>
    <row r="230" spans="1:39" x14ac:dyDescent="0.25">
      <c r="A230">
        <v>526</v>
      </c>
      <c r="B230" t="s">
        <v>711</v>
      </c>
      <c r="C230" t="s">
        <v>571</v>
      </c>
      <c r="D230" t="s">
        <v>712</v>
      </c>
      <c r="E230" t="s">
        <v>679</v>
      </c>
      <c r="F230" s="2">
        <v>46191</v>
      </c>
      <c r="G230" s="2">
        <v>46211</v>
      </c>
      <c r="H230" s="3">
        <v>0.8</v>
      </c>
      <c r="J230" t="s">
        <v>41</v>
      </c>
      <c r="M230" t="s">
        <v>308</v>
      </c>
      <c r="N230" s="2">
        <v>46211</v>
      </c>
      <c r="P230" t="s">
        <v>73</v>
      </c>
      <c r="Q230" t="s">
        <v>55</v>
      </c>
      <c r="R230" t="s">
        <v>569</v>
      </c>
      <c r="S230" s="2">
        <v>46189</v>
      </c>
      <c r="T230" s="2">
        <v>46206</v>
      </c>
      <c r="AB230">
        <v>0.8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529</v>
      </c>
      <c r="B231" t="s">
        <v>716</v>
      </c>
      <c r="C231" t="s">
        <v>714</v>
      </c>
      <c r="D231" t="s">
        <v>108</v>
      </c>
      <c r="E231" t="s">
        <v>115</v>
      </c>
      <c r="F231" s="2">
        <v>46209</v>
      </c>
      <c r="G231" s="2">
        <v>46210</v>
      </c>
      <c r="H231" s="3">
        <v>0</v>
      </c>
      <c r="J231" t="s">
        <v>41</v>
      </c>
      <c r="K231">
        <v>528</v>
      </c>
      <c r="L231">
        <v>530</v>
      </c>
      <c r="M231" t="s">
        <v>686</v>
      </c>
      <c r="N231" s="2">
        <v>46210</v>
      </c>
      <c r="P231" t="s">
        <v>67</v>
      </c>
      <c r="Q231" t="s">
        <v>55</v>
      </c>
      <c r="R231" t="s">
        <v>569</v>
      </c>
      <c r="S231" s="2">
        <v>46204</v>
      </c>
      <c r="T231" s="2">
        <v>46205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</row>
    <row r="232" spans="1:39" x14ac:dyDescent="0.25">
      <c r="A232">
        <v>530</v>
      </c>
      <c r="B232" t="s">
        <v>717</v>
      </c>
      <c r="C232" t="s">
        <v>714</v>
      </c>
      <c r="D232" t="s">
        <v>114</v>
      </c>
      <c r="E232" t="s">
        <v>52</v>
      </c>
      <c r="F232" s="2">
        <v>46211</v>
      </c>
      <c r="G232" s="2">
        <v>46211</v>
      </c>
      <c r="H232" s="3">
        <v>0</v>
      </c>
      <c r="J232" t="s">
        <v>41</v>
      </c>
      <c r="K232">
        <v>529</v>
      </c>
      <c r="M232" t="s">
        <v>688</v>
      </c>
      <c r="N232" s="2">
        <v>46211</v>
      </c>
      <c r="P232" t="s">
        <v>67</v>
      </c>
      <c r="Q232" t="s">
        <v>55</v>
      </c>
      <c r="R232" t="s">
        <v>569</v>
      </c>
      <c r="S232" s="2">
        <v>46206</v>
      </c>
      <c r="T232" s="2">
        <v>46206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</row>
    <row r="233" spans="1:39" x14ac:dyDescent="0.25">
      <c r="A233">
        <v>531</v>
      </c>
      <c r="B233" t="s">
        <v>718</v>
      </c>
      <c r="C233" t="s">
        <v>571</v>
      </c>
      <c r="D233" t="s">
        <v>719</v>
      </c>
      <c r="E233" t="s">
        <v>679</v>
      </c>
      <c r="F233" s="2">
        <v>46191</v>
      </c>
      <c r="G233" s="2">
        <v>46211</v>
      </c>
      <c r="H233" s="3">
        <v>0.8</v>
      </c>
      <c r="J233" t="s">
        <v>41</v>
      </c>
      <c r="M233" t="s">
        <v>308</v>
      </c>
      <c r="N233" s="2">
        <v>46211</v>
      </c>
      <c r="P233" t="s">
        <v>73</v>
      </c>
      <c r="Q233" t="s">
        <v>55</v>
      </c>
      <c r="R233" t="s">
        <v>569</v>
      </c>
      <c r="S233" s="2">
        <v>46189</v>
      </c>
      <c r="T233" s="2">
        <v>46206</v>
      </c>
      <c r="AB233">
        <v>0.8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534</v>
      </c>
      <c r="B234" t="s">
        <v>723</v>
      </c>
      <c r="C234" t="s">
        <v>721</v>
      </c>
      <c r="D234" t="s">
        <v>108</v>
      </c>
      <c r="E234" t="s">
        <v>115</v>
      </c>
      <c r="F234" s="2">
        <v>46209</v>
      </c>
      <c r="G234" s="2">
        <v>46210</v>
      </c>
      <c r="H234" s="3">
        <v>0</v>
      </c>
      <c r="J234" t="s">
        <v>41</v>
      </c>
      <c r="K234">
        <v>533</v>
      </c>
      <c r="L234">
        <v>535</v>
      </c>
      <c r="M234" t="s">
        <v>686</v>
      </c>
      <c r="N234" s="2">
        <v>46210</v>
      </c>
      <c r="P234" t="s">
        <v>67</v>
      </c>
      <c r="Q234" t="s">
        <v>55</v>
      </c>
      <c r="R234" t="s">
        <v>569</v>
      </c>
      <c r="S234" s="2">
        <v>46204</v>
      </c>
      <c r="T234" s="2">
        <v>46205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</row>
    <row r="235" spans="1:39" x14ac:dyDescent="0.25">
      <c r="A235">
        <v>535</v>
      </c>
      <c r="B235" t="s">
        <v>724</v>
      </c>
      <c r="C235" t="s">
        <v>721</v>
      </c>
      <c r="D235" t="s">
        <v>114</v>
      </c>
      <c r="E235" t="s">
        <v>52</v>
      </c>
      <c r="F235" s="2">
        <v>46211</v>
      </c>
      <c r="G235" s="2">
        <v>46211</v>
      </c>
      <c r="H235" s="3">
        <v>0</v>
      </c>
      <c r="J235" t="s">
        <v>41</v>
      </c>
      <c r="K235">
        <v>534</v>
      </c>
      <c r="M235" t="s">
        <v>688</v>
      </c>
      <c r="N235" s="2">
        <v>46211</v>
      </c>
      <c r="P235" t="s">
        <v>67</v>
      </c>
      <c r="Q235" t="s">
        <v>55</v>
      </c>
      <c r="R235" t="s">
        <v>569</v>
      </c>
      <c r="S235" s="2">
        <v>46206</v>
      </c>
      <c r="T235" s="2">
        <v>46206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</row>
    <row r="236" spans="1:39" x14ac:dyDescent="0.25">
      <c r="A236">
        <v>536</v>
      </c>
      <c r="B236" t="s">
        <v>725</v>
      </c>
      <c r="C236" t="s">
        <v>571</v>
      </c>
      <c r="D236" t="s">
        <v>726</v>
      </c>
      <c r="E236" t="s">
        <v>679</v>
      </c>
      <c r="F236" s="2">
        <v>46191</v>
      </c>
      <c r="G236" s="2">
        <v>46211</v>
      </c>
      <c r="H236" s="3">
        <v>0.8</v>
      </c>
      <c r="J236" t="s">
        <v>41</v>
      </c>
      <c r="M236" t="s">
        <v>308</v>
      </c>
      <c r="N236" s="2">
        <v>46211</v>
      </c>
      <c r="P236" t="s">
        <v>73</v>
      </c>
      <c r="Q236" t="s">
        <v>55</v>
      </c>
      <c r="R236" t="s">
        <v>569</v>
      </c>
      <c r="S236" s="2">
        <v>46189</v>
      </c>
      <c r="T236" s="2">
        <v>46206</v>
      </c>
      <c r="AB236">
        <v>0.8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5">
      <c r="A237">
        <v>539</v>
      </c>
      <c r="B237" t="s">
        <v>730</v>
      </c>
      <c r="C237" t="s">
        <v>728</v>
      </c>
      <c r="D237" t="s">
        <v>108</v>
      </c>
      <c r="E237" t="s">
        <v>115</v>
      </c>
      <c r="F237" s="2">
        <v>46209</v>
      </c>
      <c r="G237" s="2">
        <v>46210</v>
      </c>
      <c r="H237" s="3">
        <v>0</v>
      </c>
      <c r="J237" t="s">
        <v>41</v>
      </c>
      <c r="K237">
        <v>538</v>
      </c>
      <c r="L237">
        <v>540</v>
      </c>
      <c r="M237" t="s">
        <v>686</v>
      </c>
      <c r="N237" s="2">
        <v>46210</v>
      </c>
      <c r="P237" t="s">
        <v>67</v>
      </c>
      <c r="Q237" t="s">
        <v>55</v>
      </c>
      <c r="R237" t="s">
        <v>569</v>
      </c>
      <c r="S237" s="2">
        <v>46204</v>
      </c>
      <c r="T237" s="2">
        <v>46205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</row>
    <row r="238" spans="1:39" x14ac:dyDescent="0.25">
      <c r="A238">
        <v>540</v>
      </c>
      <c r="B238" t="s">
        <v>731</v>
      </c>
      <c r="C238" t="s">
        <v>728</v>
      </c>
      <c r="D238" t="s">
        <v>114</v>
      </c>
      <c r="E238" t="s">
        <v>52</v>
      </c>
      <c r="F238" s="2">
        <v>46211</v>
      </c>
      <c r="G238" s="2">
        <v>46211</v>
      </c>
      <c r="H238" s="3">
        <v>0</v>
      </c>
      <c r="J238" t="s">
        <v>41</v>
      </c>
      <c r="K238">
        <v>539</v>
      </c>
      <c r="M238" t="s">
        <v>688</v>
      </c>
      <c r="N238" s="2">
        <v>46211</v>
      </c>
      <c r="P238" t="s">
        <v>67</v>
      </c>
      <c r="Q238" t="s">
        <v>55</v>
      </c>
      <c r="R238" t="s">
        <v>569</v>
      </c>
      <c r="S238" s="2">
        <v>46206</v>
      </c>
      <c r="T238" s="2">
        <v>46206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</row>
    <row r="239" spans="1:39" x14ac:dyDescent="0.25">
      <c r="A239">
        <v>541</v>
      </c>
      <c r="B239" t="s">
        <v>732</v>
      </c>
      <c r="C239" t="s">
        <v>571</v>
      </c>
      <c r="D239" t="s">
        <v>733</v>
      </c>
      <c r="E239" t="s">
        <v>679</v>
      </c>
      <c r="F239" s="2">
        <v>46191</v>
      </c>
      <c r="G239" s="2">
        <v>46211</v>
      </c>
      <c r="H239" s="3">
        <v>0.8</v>
      </c>
      <c r="J239" t="s">
        <v>41</v>
      </c>
      <c r="M239" t="s">
        <v>308</v>
      </c>
      <c r="N239" s="2">
        <v>46211</v>
      </c>
      <c r="P239" t="s">
        <v>73</v>
      </c>
      <c r="Q239" t="s">
        <v>55</v>
      </c>
      <c r="R239" t="s">
        <v>569</v>
      </c>
      <c r="S239" s="2">
        <v>46189</v>
      </c>
      <c r="T239" s="2">
        <v>46206</v>
      </c>
      <c r="AB239">
        <v>0.8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5">
      <c r="A240">
        <v>544</v>
      </c>
      <c r="B240" t="s">
        <v>737</v>
      </c>
      <c r="C240" t="s">
        <v>735</v>
      </c>
      <c r="D240" t="s">
        <v>108</v>
      </c>
      <c r="E240" t="s">
        <v>115</v>
      </c>
      <c r="F240" s="2">
        <v>46209</v>
      </c>
      <c r="G240" s="2">
        <v>46210</v>
      </c>
      <c r="H240" s="3">
        <v>0</v>
      </c>
      <c r="J240" t="s">
        <v>41</v>
      </c>
      <c r="K240">
        <v>543</v>
      </c>
      <c r="L240">
        <v>545</v>
      </c>
      <c r="M240" t="s">
        <v>686</v>
      </c>
      <c r="N240" s="2">
        <v>46210</v>
      </c>
      <c r="P240" t="s">
        <v>67</v>
      </c>
      <c r="Q240" t="s">
        <v>55</v>
      </c>
      <c r="R240" t="s">
        <v>569</v>
      </c>
      <c r="S240" s="2">
        <v>46204</v>
      </c>
      <c r="T240" s="2">
        <v>46205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</row>
    <row r="241" spans="1:39" x14ac:dyDescent="0.25">
      <c r="A241">
        <v>545</v>
      </c>
      <c r="B241" t="s">
        <v>738</v>
      </c>
      <c r="C241" t="s">
        <v>735</v>
      </c>
      <c r="D241" t="s">
        <v>114</v>
      </c>
      <c r="E241" t="s">
        <v>52</v>
      </c>
      <c r="F241" s="2">
        <v>46211</v>
      </c>
      <c r="G241" s="2">
        <v>46211</v>
      </c>
      <c r="H241" s="3">
        <v>0</v>
      </c>
      <c r="J241" t="s">
        <v>41</v>
      </c>
      <c r="K241">
        <v>544</v>
      </c>
      <c r="M241" t="s">
        <v>688</v>
      </c>
      <c r="N241" s="2">
        <v>46211</v>
      </c>
      <c r="P241" t="s">
        <v>67</v>
      </c>
      <c r="Q241" t="s">
        <v>55</v>
      </c>
      <c r="R241" t="s">
        <v>569</v>
      </c>
      <c r="S241" s="2">
        <v>46206</v>
      </c>
      <c r="T241" s="2">
        <v>46206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</row>
    <row r="242" spans="1:39" x14ac:dyDescent="0.25">
      <c r="A242">
        <v>546</v>
      </c>
      <c r="B242" t="s">
        <v>739</v>
      </c>
      <c r="C242" t="s">
        <v>571</v>
      </c>
      <c r="D242" t="s">
        <v>740</v>
      </c>
      <c r="E242" t="s">
        <v>679</v>
      </c>
      <c r="F242" s="2">
        <v>46191</v>
      </c>
      <c r="G242" s="2">
        <v>46211</v>
      </c>
      <c r="H242" s="3">
        <v>0.8</v>
      </c>
      <c r="J242" t="s">
        <v>41</v>
      </c>
      <c r="M242" t="s">
        <v>308</v>
      </c>
      <c r="N242" s="2">
        <v>46211</v>
      </c>
      <c r="P242" t="s">
        <v>73</v>
      </c>
      <c r="Q242" t="s">
        <v>55</v>
      </c>
      <c r="R242" t="s">
        <v>569</v>
      </c>
      <c r="S242" s="2">
        <v>46189</v>
      </c>
      <c r="T242" s="2">
        <v>46206</v>
      </c>
      <c r="AB242">
        <v>0.8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549</v>
      </c>
      <c r="B243" t="s">
        <v>744</v>
      </c>
      <c r="C243" t="s">
        <v>742</v>
      </c>
      <c r="D243" t="s">
        <v>108</v>
      </c>
      <c r="E243" t="s">
        <v>115</v>
      </c>
      <c r="F243" s="2">
        <v>46209</v>
      </c>
      <c r="G243" s="2">
        <v>46210</v>
      </c>
      <c r="H243" s="3">
        <v>0</v>
      </c>
      <c r="J243" t="s">
        <v>41</v>
      </c>
      <c r="K243">
        <v>548</v>
      </c>
      <c r="L243">
        <v>550</v>
      </c>
      <c r="M243" t="s">
        <v>686</v>
      </c>
      <c r="N243" s="2">
        <v>46210</v>
      </c>
      <c r="P243" t="s">
        <v>67</v>
      </c>
      <c r="Q243" t="s">
        <v>55</v>
      </c>
      <c r="R243" t="s">
        <v>569</v>
      </c>
      <c r="S243" s="2">
        <v>46204</v>
      </c>
      <c r="T243" s="2">
        <v>46205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</row>
    <row r="244" spans="1:39" x14ac:dyDescent="0.25">
      <c r="A244">
        <v>550</v>
      </c>
      <c r="B244" t="s">
        <v>745</v>
      </c>
      <c r="C244" t="s">
        <v>742</v>
      </c>
      <c r="D244" t="s">
        <v>114</v>
      </c>
      <c r="E244" t="s">
        <v>52</v>
      </c>
      <c r="F244" s="2">
        <v>46211</v>
      </c>
      <c r="G244" s="2">
        <v>46211</v>
      </c>
      <c r="H244" s="3">
        <v>0</v>
      </c>
      <c r="J244" t="s">
        <v>41</v>
      </c>
      <c r="K244">
        <v>549</v>
      </c>
      <c r="M244" t="s">
        <v>688</v>
      </c>
      <c r="N244" s="2">
        <v>46211</v>
      </c>
      <c r="P244" t="s">
        <v>67</v>
      </c>
      <c r="Q244" t="s">
        <v>55</v>
      </c>
      <c r="R244" t="s">
        <v>569</v>
      </c>
      <c r="S244" s="2">
        <v>46206</v>
      </c>
      <c r="T244" s="2">
        <v>46206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</row>
    <row r="245" spans="1:39" x14ac:dyDescent="0.25">
      <c r="A245">
        <v>551</v>
      </c>
      <c r="B245" t="s">
        <v>746</v>
      </c>
      <c r="C245" t="s">
        <v>571</v>
      </c>
      <c r="D245" t="s">
        <v>747</v>
      </c>
      <c r="E245" t="s">
        <v>679</v>
      </c>
      <c r="F245" s="2">
        <v>46191</v>
      </c>
      <c r="G245" s="2">
        <v>46211</v>
      </c>
      <c r="H245" s="3">
        <v>0.8</v>
      </c>
      <c r="J245" t="s">
        <v>41</v>
      </c>
      <c r="M245" t="s">
        <v>308</v>
      </c>
      <c r="N245" s="2">
        <v>46211</v>
      </c>
      <c r="P245" t="s">
        <v>73</v>
      </c>
      <c r="Q245" t="s">
        <v>55</v>
      </c>
      <c r="R245" t="s">
        <v>569</v>
      </c>
      <c r="S245" s="2">
        <v>46189</v>
      </c>
      <c r="T245" s="2">
        <v>46206</v>
      </c>
      <c r="AB245">
        <v>0.8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554</v>
      </c>
      <c r="B246" t="s">
        <v>751</v>
      </c>
      <c r="C246" t="s">
        <v>749</v>
      </c>
      <c r="D246" t="s">
        <v>108</v>
      </c>
      <c r="E246" t="s">
        <v>115</v>
      </c>
      <c r="F246" s="2">
        <v>46209</v>
      </c>
      <c r="G246" s="2">
        <v>46210</v>
      </c>
      <c r="H246" s="3">
        <v>0</v>
      </c>
      <c r="J246" t="s">
        <v>41</v>
      </c>
      <c r="K246">
        <v>553</v>
      </c>
      <c r="L246">
        <v>555</v>
      </c>
      <c r="M246" t="s">
        <v>686</v>
      </c>
      <c r="N246" s="2">
        <v>46210</v>
      </c>
      <c r="P246" t="s">
        <v>67</v>
      </c>
      <c r="Q246" t="s">
        <v>55</v>
      </c>
      <c r="R246" t="s">
        <v>569</v>
      </c>
      <c r="S246" s="2">
        <v>46204</v>
      </c>
      <c r="T246" s="2">
        <v>46205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</row>
    <row r="247" spans="1:39" x14ac:dyDescent="0.25">
      <c r="A247">
        <v>555</v>
      </c>
      <c r="B247" t="s">
        <v>752</v>
      </c>
      <c r="C247" t="s">
        <v>749</v>
      </c>
      <c r="D247" t="s">
        <v>114</v>
      </c>
      <c r="E247" t="s">
        <v>52</v>
      </c>
      <c r="F247" s="2">
        <v>46211</v>
      </c>
      <c r="G247" s="2">
        <v>46211</v>
      </c>
      <c r="H247" s="3">
        <v>0</v>
      </c>
      <c r="J247" t="s">
        <v>41</v>
      </c>
      <c r="K247">
        <v>554</v>
      </c>
      <c r="M247" t="s">
        <v>688</v>
      </c>
      <c r="N247" s="2">
        <v>46211</v>
      </c>
      <c r="P247" t="s">
        <v>67</v>
      </c>
      <c r="Q247" t="s">
        <v>55</v>
      </c>
      <c r="R247" t="s">
        <v>569</v>
      </c>
      <c r="S247" s="2">
        <v>46206</v>
      </c>
      <c r="T247" s="2">
        <v>46206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</row>
    <row r="248" spans="1:39" x14ac:dyDescent="0.25">
      <c r="A248">
        <v>556</v>
      </c>
      <c r="B248" t="s">
        <v>753</v>
      </c>
      <c r="C248" t="s">
        <v>571</v>
      </c>
      <c r="D248" t="s">
        <v>754</v>
      </c>
      <c r="E248" t="s">
        <v>679</v>
      </c>
      <c r="F248" s="2">
        <v>46191</v>
      </c>
      <c r="G248" s="2">
        <v>46211</v>
      </c>
      <c r="H248" s="3">
        <v>0.8</v>
      </c>
      <c r="J248" t="s">
        <v>41</v>
      </c>
      <c r="M248" t="s">
        <v>308</v>
      </c>
      <c r="N248" s="2">
        <v>46211</v>
      </c>
      <c r="P248" t="s">
        <v>73</v>
      </c>
      <c r="Q248" t="s">
        <v>55</v>
      </c>
      <c r="R248" t="s">
        <v>569</v>
      </c>
      <c r="S248" s="2">
        <v>46189</v>
      </c>
      <c r="T248" s="2">
        <v>46206</v>
      </c>
      <c r="AB248">
        <v>0.8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559</v>
      </c>
      <c r="B249" t="s">
        <v>758</v>
      </c>
      <c r="C249" t="s">
        <v>756</v>
      </c>
      <c r="D249" t="s">
        <v>108</v>
      </c>
      <c r="E249" t="s">
        <v>115</v>
      </c>
      <c r="F249" s="2">
        <v>46209</v>
      </c>
      <c r="G249" s="2">
        <v>46210</v>
      </c>
      <c r="H249" s="3">
        <v>0</v>
      </c>
      <c r="J249" t="s">
        <v>41</v>
      </c>
      <c r="K249">
        <v>558</v>
      </c>
      <c r="L249">
        <v>560</v>
      </c>
      <c r="M249" t="s">
        <v>686</v>
      </c>
      <c r="N249" s="2">
        <v>46210</v>
      </c>
      <c r="P249" t="s">
        <v>67</v>
      </c>
      <c r="Q249" t="s">
        <v>55</v>
      </c>
      <c r="R249" t="s">
        <v>569</v>
      </c>
      <c r="S249" s="2">
        <v>46204</v>
      </c>
      <c r="T249" s="2">
        <v>46205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</row>
    <row r="250" spans="1:39" x14ac:dyDescent="0.25">
      <c r="A250">
        <v>560</v>
      </c>
      <c r="B250" t="s">
        <v>759</v>
      </c>
      <c r="C250" t="s">
        <v>756</v>
      </c>
      <c r="D250" t="s">
        <v>114</v>
      </c>
      <c r="E250" t="s">
        <v>52</v>
      </c>
      <c r="F250" s="2">
        <v>46211</v>
      </c>
      <c r="G250" s="2">
        <v>46211</v>
      </c>
      <c r="H250" s="3">
        <v>0</v>
      </c>
      <c r="J250" t="s">
        <v>41</v>
      </c>
      <c r="K250">
        <v>559</v>
      </c>
      <c r="M250" t="s">
        <v>688</v>
      </c>
      <c r="N250" s="2">
        <v>46211</v>
      </c>
      <c r="P250" t="s">
        <v>67</v>
      </c>
      <c r="Q250" t="s">
        <v>55</v>
      </c>
      <c r="R250" t="s">
        <v>569</v>
      </c>
      <c r="S250" s="2">
        <v>46206</v>
      </c>
      <c r="T250" s="2">
        <v>46206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</row>
    <row r="251" spans="1:39" x14ac:dyDescent="0.25">
      <c r="A251">
        <v>561</v>
      </c>
      <c r="B251" t="s">
        <v>760</v>
      </c>
      <c r="C251" t="s">
        <v>571</v>
      </c>
      <c r="D251" t="s">
        <v>761</v>
      </c>
      <c r="E251" t="s">
        <v>679</v>
      </c>
      <c r="F251" s="2">
        <v>46191</v>
      </c>
      <c r="G251" s="2">
        <v>46211</v>
      </c>
      <c r="H251" s="3">
        <v>0.8</v>
      </c>
      <c r="J251" t="s">
        <v>41</v>
      </c>
      <c r="M251" t="s">
        <v>308</v>
      </c>
      <c r="N251" s="2">
        <v>46211</v>
      </c>
      <c r="P251" t="s">
        <v>73</v>
      </c>
      <c r="Q251" t="s">
        <v>55</v>
      </c>
      <c r="R251" t="s">
        <v>569</v>
      </c>
      <c r="S251" s="2">
        <v>46189</v>
      </c>
      <c r="T251" s="2">
        <v>46206</v>
      </c>
      <c r="AB251">
        <v>0.8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564</v>
      </c>
      <c r="B252" t="s">
        <v>765</v>
      </c>
      <c r="C252" t="s">
        <v>763</v>
      </c>
      <c r="D252" t="s">
        <v>108</v>
      </c>
      <c r="E252" t="s">
        <v>115</v>
      </c>
      <c r="F252" s="2">
        <v>46209</v>
      </c>
      <c r="G252" s="2">
        <v>46210</v>
      </c>
      <c r="H252" s="3">
        <v>0</v>
      </c>
      <c r="J252" t="s">
        <v>41</v>
      </c>
      <c r="K252">
        <v>563</v>
      </c>
      <c r="L252">
        <v>565</v>
      </c>
      <c r="M252" t="s">
        <v>686</v>
      </c>
      <c r="N252" s="2">
        <v>46210</v>
      </c>
      <c r="P252" t="s">
        <v>67</v>
      </c>
      <c r="Q252" t="s">
        <v>55</v>
      </c>
      <c r="R252" t="s">
        <v>569</v>
      </c>
      <c r="S252" s="2">
        <v>46204</v>
      </c>
      <c r="T252" s="2">
        <v>46205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>
        <v>565</v>
      </c>
      <c r="B253" t="s">
        <v>766</v>
      </c>
      <c r="C253" t="s">
        <v>763</v>
      </c>
      <c r="D253" t="s">
        <v>114</v>
      </c>
      <c r="E253" t="s">
        <v>52</v>
      </c>
      <c r="F253" s="2">
        <v>46211</v>
      </c>
      <c r="G253" s="2">
        <v>46211</v>
      </c>
      <c r="H253" s="3">
        <v>0</v>
      </c>
      <c r="J253" t="s">
        <v>41</v>
      </c>
      <c r="K253">
        <v>564</v>
      </c>
      <c r="M253" t="s">
        <v>688</v>
      </c>
      <c r="N253" s="2">
        <v>46211</v>
      </c>
      <c r="P253" t="s">
        <v>67</v>
      </c>
      <c r="Q253" t="s">
        <v>55</v>
      </c>
      <c r="R253" t="s">
        <v>569</v>
      </c>
      <c r="S253" s="2">
        <v>46206</v>
      </c>
      <c r="T253" s="2">
        <v>46206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</row>
    <row r="254" spans="1:39" x14ac:dyDescent="0.25">
      <c r="A254">
        <v>566</v>
      </c>
      <c r="B254" t="s">
        <v>767</v>
      </c>
      <c r="C254" t="s">
        <v>571</v>
      </c>
      <c r="D254" t="s">
        <v>768</v>
      </c>
      <c r="E254" t="s">
        <v>679</v>
      </c>
      <c r="F254" s="2">
        <v>46191</v>
      </c>
      <c r="G254" s="2">
        <v>46211</v>
      </c>
      <c r="H254" s="3">
        <v>0.8</v>
      </c>
      <c r="J254" t="s">
        <v>41</v>
      </c>
      <c r="M254" t="s">
        <v>308</v>
      </c>
      <c r="N254" s="2">
        <v>46211</v>
      </c>
      <c r="P254" t="s">
        <v>73</v>
      </c>
      <c r="Q254" t="s">
        <v>55</v>
      </c>
      <c r="R254" t="s">
        <v>569</v>
      </c>
      <c r="S254" s="2">
        <v>46189</v>
      </c>
      <c r="T254" s="2">
        <v>46206</v>
      </c>
      <c r="AB254">
        <v>0.8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569</v>
      </c>
      <c r="B255" t="s">
        <v>772</v>
      </c>
      <c r="C255" t="s">
        <v>770</v>
      </c>
      <c r="D255" t="s">
        <v>108</v>
      </c>
      <c r="E255" t="s">
        <v>115</v>
      </c>
      <c r="F255" s="2">
        <v>46209</v>
      </c>
      <c r="G255" s="2">
        <v>46210</v>
      </c>
      <c r="H255" s="3">
        <v>0</v>
      </c>
      <c r="J255" t="s">
        <v>41</v>
      </c>
      <c r="K255">
        <v>568</v>
      </c>
      <c r="L255">
        <v>570</v>
      </c>
      <c r="M255" t="s">
        <v>686</v>
      </c>
      <c r="N255" s="2">
        <v>46210</v>
      </c>
      <c r="P255" t="s">
        <v>67</v>
      </c>
      <c r="Q255" t="s">
        <v>55</v>
      </c>
      <c r="R255" t="s">
        <v>569</v>
      </c>
      <c r="S255" s="2">
        <v>46204</v>
      </c>
      <c r="T255" s="2">
        <v>46205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</row>
    <row r="256" spans="1:39" x14ac:dyDescent="0.25">
      <c r="A256">
        <v>570</v>
      </c>
      <c r="B256" t="s">
        <v>773</v>
      </c>
      <c r="C256" t="s">
        <v>770</v>
      </c>
      <c r="D256" t="s">
        <v>114</v>
      </c>
      <c r="E256" t="s">
        <v>52</v>
      </c>
      <c r="F256" s="2">
        <v>46211</v>
      </c>
      <c r="G256" s="2">
        <v>46211</v>
      </c>
      <c r="H256" s="3">
        <v>0</v>
      </c>
      <c r="J256" t="s">
        <v>41</v>
      </c>
      <c r="K256">
        <v>569</v>
      </c>
      <c r="M256" t="s">
        <v>688</v>
      </c>
      <c r="N256" s="2">
        <v>46211</v>
      </c>
      <c r="P256" t="s">
        <v>67</v>
      </c>
      <c r="Q256" t="s">
        <v>55</v>
      </c>
      <c r="R256" t="s">
        <v>569</v>
      </c>
      <c r="S256" s="2">
        <v>46206</v>
      </c>
      <c r="T256" s="2">
        <v>46206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</row>
    <row r="257" spans="1:39" x14ac:dyDescent="0.25">
      <c r="A257">
        <v>571</v>
      </c>
      <c r="B257" t="s">
        <v>774</v>
      </c>
      <c r="C257" t="s">
        <v>571</v>
      </c>
      <c r="D257" t="s">
        <v>775</v>
      </c>
      <c r="E257" t="s">
        <v>679</v>
      </c>
      <c r="F257" s="2">
        <v>46191</v>
      </c>
      <c r="G257" s="2">
        <v>46211</v>
      </c>
      <c r="H257" s="3">
        <v>0.8</v>
      </c>
      <c r="J257" t="s">
        <v>41</v>
      </c>
      <c r="M257" t="s">
        <v>308</v>
      </c>
      <c r="N257" s="2">
        <v>46211</v>
      </c>
      <c r="P257" t="s">
        <v>73</v>
      </c>
      <c r="Q257" t="s">
        <v>55</v>
      </c>
      <c r="R257" t="s">
        <v>569</v>
      </c>
      <c r="S257" s="2">
        <v>46189</v>
      </c>
      <c r="T257" s="2">
        <v>46206</v>
      </c>
      <c r="AB257">
        <v>0.8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574</v>
      </c>
      <c r="B258" t="s">
        <v>779</v>
      </c>
      <c r="C258" t="s">
        <v>777</v>
      </c>
      <c r="D258" t="s">
        <v>108</v>
      </c>
      <c r="E258" t="s">
        <v>115</v>
      </c>
      <c r="F258" s="2">
        <v>46209</v>
      </c>
      <c r="G258" s="2">
        <v>46210</v>
      </c>
      <c r="H258" s="3">
        <v>0</v>
      </c>
      <c r="J258" t="s">
        <v>41</v>
      </c>
      <c r="K258">
        <v>573</v>
      </c>
      <c r="L258">
        <v>575</v>
      </c>
      <c r="M258" t="s">
        <v>686</v>
      </c>
      <c r="N258" s="2">
        <v>46210</v>
      </c>
      <c r="P258" t="s">
        <v>67</v>
      </c>
      <c r="Q258" t="s">
        <v>55</v>
      </c>
      <c r="R258" t="s">
        <v>569</v>
      </c>
      <c r="S258" s="2">
        <v>46204</v>
      </c>
      <c r="T258" s="2">
        <v>46205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</row>
    <row r="259" spans="1:39" x14ac:dyDescent="0.25">
      <c r="A259">
        <v>575</v>
      </c>
      <c r="B259" t="s">
        <v>780</v>
      </c>
      <c r="C259" t="s">
        <v>777</v>
      </c>
      <c r="D259" t="s">
        <v>114</v>
      </c>
      <c r="E259" t="s">
        <v>52</v>
      </c>
      <c r="F259" s="2">
        <v>46211</v>
      </c>
      <c r="G259" s="2">
        <v>46211</v>
      </c>
      <c r="H259" s="3">
        <v>0</v>
      </c>
      <c r="J259" t="s">
        <v>41</v>
      </c>
      <c r="K259">
        <v>574</v>
      </c>
      <c r="M259" t="s">
        <v>688</v>
      </c>
      <c r="N259" s="2">
        <v>46211</v>
      </c>
      <c r="P259" t="s">
        <v>67</v>
      </c>
      <c r="Q259" t="s">
        <v>55</v>
      </c>
      <c r="R259" t="s">
        <v>569</v>
      </c>
      <c r="S259" s="2">
        <v>46206</v>
      </c>
      <c r="T259" s="2">
        <v>46206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</row>
    <row r="260" spans="1:39" x14ac:dyDescent="0.25">
      <c r="A260">
        <v>576</v>
      </c>
      <c r="B260" t="s">
        <v>781</v>
      </c>
      <c r="C260" t="s">
        <v>571</v>
      </c>
      <c r="D260" t="s">
        <v>782</v>
      </c>
      <c r="E260" t="s">
        <v>679</v>
      </c>
      <c r="F260" s="2">
        <v>46191</v>
      </c>
      <c r="G260" s="2">
        <v>46211</v>
      </c>
      <c r="H260" s="3">
        <v>0.8</v>
      </c>
      <c r="J260" t="s">
        <v>41</v>
      </c>
      <c r="M260" t="s">
        <v>308</v>
      </c>
      <c r="N260" s="2">
        <v>46211</v>
      </c>
      <c r="P260" t="s">
        <v>73</v>
      </c>
      <c r="Q260" t="s">
        <v>55</v>
      </c>
      <c r="R260" t="s">
        <v>569</v>
      </c>
      <c r="S260" s="2">
        <v>46189</v>
      </c>
      <c r="T260" s="2">
        <v>46206</v>
      </c>
      <c r="AB260">
        <v>0.8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579</v>
      </c>
      <c r="B261" t="s">
        <v>786</v>
      </c>
      <c r="C261" t="s">
        <v>784</v>
      </c>
      <c r="D261" t="s">
        <v>108</v>
      </c>
      <c r="E261" t="s">
        <v>115</v>
      </c>
      <c r="F261" s="2">
        <v>46209</v>
      </c>
      <c r="G261" s="2">
        <v>46210</v>
      </c>
      <c r="H261" s="3">
        <v>0</v>
      </c>
      <c r="J261" t="s">
        <v>41</v>
      </c>
      <c r="K261">
        <v>578</v>
      </c>
      <c r="L261">
        <v>580</v>
      </c>
      <c r="M261" t="s">
        <v>686</v>
      </c>
      <c r="N261" s="2">
        <v>46210</v>
      </c>
      <c r="P261" t="s">
        <v>67</v>
      </c>
      <c r="Q261" t="s">
        <v>55</v>
      </c>
      <c r="R261" t="s">
        <v>569</v>
      </c>
      <c r="S261" s="2">
        <v>46204</v>
      </c>
      <c r="T261" s="2">
        <v>46205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</row>
    <row r="262" spans="1:39" x14ac:dyDescent="0.25">
      <c r="A262">
        <v>580</v>
      </c>
      <c r="B262" t="s">
        <v>787</v>
      </c>
      <c r="C262" t="s">
        <v>784</v>
      </c>
      <c r="D262" t="s">
        <v>114</v>
      </c>
      <c r="E262" t="s">
        <v>52</v>
      </c>
      <c r="F262" s="2">
        <v>46211</v>
      </c>
      <c r="G262" s="2">
        <v>46211</v>
      </c>
      <c r="H262" s="3">
        <v>0</v>
      </c>
      <c r="J262" t="s">
        <v>41</v>
      </c>
      <c r="K262">
        <v>579</v>
      </c>
      <c r="M262" t="s">
        <v>688</v>
      </c>
      <c r="N262" s="2">
        <v>46211</v>
      </c>
      <c r="P262" t="s">
        <v>67</v>
      </c>
      <c r="Q262" t="s">
        <v>55</v>
      </c>
      <c r="R262" t="s">
        <v>569</v>
      </c>
      <c r="S262" s="2">
        <v>46206</v>
      </c>
      <c r="T262" s="2">
        <v>46206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</row>
    <row r="263" spans="1:39" x14ac:dyDescent="0.25">
      <c r="A263">
        <v>581</v>
      </c>
      <c r="B263" t="s">
        <v>788</v>
      </c>
      <c r="C263" t="s">
        <v>571</v>
      </c>
      <c r="D263" t="s">
        <v>789</v>
      </c>
      <c r="E263" t="s">
        <v>679</v>
      </c>
      <c r="F263" s="2">
        <v>46191</v>
      </c>
      <c r="G263" s="2">
        <v>46211</v>
      </c>
      <c r="H263" s="3">
        <v>0.8</v>
      </c>
      <c r="J263" t="s">
        <v>41</v>
      </c>
      <c r="M263" t="s">
        <v>308</v>
      </c>
      <c r="N263" s="2">
        <v>46211</v>
      </c>
      <c r="P263" t="s">
        <v>73</v>
      </c>
      <c r="Q263" t="s">
        <v>55</v>
      </c>
      <c r="R263" t="s">
        <v>569</v>
      </c>
      <c r="S263" s="2">
        <v>46189</v>
      </c>
      <c r="T263" s="2">
        <v>46206</v>
      </c>
      <c r="AB263">
        <v>0.8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584</v>
      </c>
      <c r="B264" t="s">
        <v>793</v>
      </c>
      <c r="C264" t="s">
        <v>791</v>
      </c>
      <c r="D264" t="s">
        <v>108</v>
      </c>
      <c r="E264" t="s">
        <v>115</v>
      </c>
      <c r="F264" s="2">
        <v>46209</v>
      </c>
      <c r="G264" s="2">
        <v>46210</v>
      </c>
      <c r="H264" s="3">
        <v>0</v>
      </c>
      <c r="J264" t="s">
        <v>41</v>
      </c>
      <c r="K264">
        <v>583</v>
      </c>
      <c r="L264">
        <v>585</v>
      </c>
      <c r="M264" t="s">
        <v>686</v>
      </c>
      <c r="N264" s="2">
        <v>46210</v>
      </c>
      <c r="P264" t="s">
        <v>67</v>
      </c>
      <c r="Q264" t="s">
        <v>55</v>
      </c>
      <c r="R264" t="s">
        <v>569</v>
      </c>
      <c r="S264" s="2">
        <v>46204</v>
      </c>
      <c r="T264" s="2">
        <v>46205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</row>
    <row r="265" spans="1:39" x14ac:dyDescent="0.25">
      <c r="A265">
        <v>585</v>
      </c>
      <c r="B265" t="s">
        <v>794</v>
      </c>
      <c r="C265" t="s">
        <v>791</v>
      </c>
      <c r="D265" t="s">
        <v>114</v>
      </c>
      <c r="E265" t="s">
        <v>52</v>
      </c>
      <c r="F265" s="2">
        <v>46211</v>
      </c>
      <c r="G265" s="2">
        <v>46211</v>
      </c>
      <c r="H265" s="3">
        <v>0</v>
      </c>
      <c r="J265" t="s">
        <v>41</v>
      </c>
      <c r="K265">
        <v>584</v>
      </c>
      <c r="M265" t="s">
        <v>688</v>
      </c>
      <c r="N265" s="2">
        <v>46211</v>
      </c>
      <c r="P265" t="s">
        <v>67</v>
      </c>
      <c r="Q265" t="s">
        <v>55</v>
      </c>
      <c r="R265" t="s">
        <v>569</v>
      </c>
      <c r="S265" s="2">
        <v>46206</v>
      </c>
      <c r="T265" s="2">
        <v>46206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</row>
    <row r="266" spans="1:39" x14ac:dyDescent="0.25">
      <c r="A266">
        <v>586</v>
      </c>
      <c r="B266" t="s">
        <v>795</v>
      </c>
      <c r="C266" t="s">
        <v>571</v>
      </c>
      <c r="D266" t="s">
        <v>796</v>
      </c>
      <c r="E266" t="s">
        <v>679</v>
      </c>
      <c r="F266" s="2">
        <v>46191</v>
      </c>
      <c r="G266" s="2">
        <v>46211</v>
      </c>
      <c r="H266" s="3">
        <v>0.8</v>
      </c>
      <c r="J266" t="s">
        <v>41</v>
      </c>
      <c r="M266" t="s">
        <v>308</v>
      </c>
      <c r="N266" s="2">
        <v>46211</v>
      </c>
      <c r="P266" t="s">
        <v>73</v>
      </c>
      <c r="Q266" t="s">
        <v>55</v>
      </c>
      <c r="R266" t="s">
        <v>569</v>
      </c>
      <c r="S266" s="2">
        <v>46189</v>
      </c>
      <c r="T266" s="2">
        <v>46206</v>
      </c>
      <c r="U266" t="s">
        <v>77</v>
      </c>
      <c r="AB266">
        <v>0.8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589</v>
      </c>
      <c r="B267" t="s">
        <v>800</v>
      </c>
      <c r="C267" t="s">
        <v>798</v>
      </c>
      <c r="D267" t="s">
        <v>108</v>
      </c>
      <c r="E267" t="s">
        <v>115</v>
      </c>
      <c r="F267" s="2">
        <v>46209</v>
      </c>
      <c r="G267" s="2">
        <v>46210</v>
      </c>
      <c r="H267" s="3">
        <v>0</v>
      </c>
      <c r="J267" t="s">
        <v>41</v>
      </c>
      <c r="K267">
        <v>588</v>
      </c>
      <c r="L267">
        <v>590</v>
      </c>
      <c r="M267" t="s">
        <v>404</v>
      </c>
      <c r="N267" s="2">
        <v>46204</v>
      </c>
      <c r="P267" t="s">
        <v>67</v>
      </c>
      <c r="Q267" t="s">
        <v>55</v>
      </c>
      <c r="R267" t="s">
        <v>569</v>
      </c>
      <c r="S267" s="2">
        <v>46204</v>
      </c>
      <c r="T267" s="2">
        <v>46204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</row>
    <row r="268" spans="1:39" x14ac:dyDescent="0.25">
      <c r="A268">
        <v>590</v>
      </c>
      <c r="B268" t="s">
        <v>801</v>
      </c>
      <c r="C268" t="s">
        <v>798</v>
      </c>
      <c r="D268" t="s">
        <v>114</v>
      </c>
      <c r="E268" t="s">
        <v>52</v>
      </c>
      <c r="F268" s="2">
        <v>46211</v>
      </c>
      <c r="G268" s="2">
        <v>46211</v>
      </c>
      <c r="H268" s="3">
        <v>0</v>
      </c>
      <c r="J268" t="s">
        <v>41</v>
      </c>
      <c r="K268">
        <v>589</v>
      </c>
      <c r="M268" t="s">
        <v>383</v>
      </c>
      <c r="N268" s="2">
        <v>46205</v>
      </c>
      <c r="P268" t="s">
        <v>67</v>
      </c>
      <c r="Q268" t="s">
        <v>55</v>
      </c>
      <c r="R268" t="s">
        <v>569</v>
      </c>
      <c r="S268" s="2">
        <v>46205</v>
      </c>
      <c r="T268" s="2">
        <v>46205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</row>
    <row r="269" spans="1:39" x14ac:dyDescent="0.25">
      <c r="A269">
        <v>591</v>
      </c>
      <c r="B269" t="s">
        <v>802</v>
      </c>
      <c r="C269" t="s">
        <v>571</v>
      </c>
      <c r="D269" t="s">
        <v>803</v>
      </c>
      <c r="E269" t="s">
        <v>679</v>
      </c>
      <c r="F269" s="2">
        <v>46191</v>
      </c>
      <c r="G269" s="2">
        <v>46211</v>
      </c>
      <c r="H269" s="3">
        <v>0.8</v>
      </c>
      <c r="J269" t="s">
        <v>41</v>
      </c>
      <c r="M269" t="s">
        <v>308</v>
      </c>
      <c r="N269" s="2">
        <v>46211</v>
      </c>
      <c r="P269" t="s">
        <v>73</v>
      </c>
      <c r="Q269" t="s">
        <v>55</v>
      </c>
      <c r="R269" t="s">
        <v>569</v>
      </c>
      <c r="S269" s="2">
        <v>46189</v>
      </c>
      <c r="T269" s="2">
        <v>46206</v>
      </c>
      <c r="U269" t="s">
        <v>77</v>
      </c>
      <c r="AB269">
        <v>0.8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>
        <v>594</v>
      </c>
      <c r="B270" t="s">
        <v>807</v>
      </c>
      <c r="C270" t="s">
        <v>805</v>
      </c>
      <c r="D270" t="s">
        <v>108</v>
      </c>
      <c r="E270" t="s">
        <v>115</v>
      </c>
      <c r="F270" s="2">
        <v>46209</v>
      </c>
      <c r="G270" s="2">
        <v>46210</v>
      </c>
      <c r="H270" s="3">
        <v>0</v>
      </c>
      <c r="J270" t="s">
        <v>41</v>
      </c>
      <c r="K270">
        <v>593</v>
      </c>
      <c r="L270">
        <v>595</v>
      </c>
      <c r="M270" t="s">
        <v>383</v>
      </c>
      <c r="N270" s="2">
        <v>46205</v>
      </c>
      <c r="P270" t="s">
        <v>67</v>
      </c>
      <c r="Q270" t="s">
        <v>55</v>
      </c>
      <c r="R270" t="s">
        <v>569</v>
      </c>
      <c r="S270" s="2">
        <v>46205</v>
      </c>
      <c r="T270" s="2">
        <v>46205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</row>
    <row r="271" spans="1:39" x14ac:dyDescent="0.25">
      <c r="A271">
        <v>595</v>
      </c>
      <c r="B271" t="s">
        <v>808</v>
      </c>
      <c r="C271" t="s">
        <v>805</v>
      </c>
      <c r="D271" t="s">
        <v>114</v>
      </c>
      <c r="E271" t="s">
        <v>52</v>
      </c>
      <c r="F271" s="2">
        <v>46211</v>
      </c>
      <c r="G271" s="2">
        <v>46211</v>
      </c>
      <c r="H271" s="3">
        <v>0</v>
      </c>
      <c r="J271" t="s">
        <v>41</v>
      </c>
      <c r="K271">
        <v>594</v>
      </c>
      <c r="M271" t="s">
        <v>385</v>
      </c>
      <c r="N271" s="2">
        <v>46206</v>
      </c>
      <c r="P271" t="s">
        <v>67</v>
      </c>
      <c r="Q271" t="s">
        <v>55</v>
      </c>
      <c r="R271" t="s">
        <v>569</v>
      </c>
      <c r="S271" s="2">
        <v>46206</v>
      </c>
      <c r="T271" s="2">
        <v>46206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</row>
    <row r="272" spans="1:39" x14ac:dyDescent="0.25">
      <c r="A272">
        <v>596</v>
      </c>
      <c r="B272" t="s">
        <v>809</v>
      </c>
      <c r="C272" t="s">
        <v>571</v>
      </c>
      <c r="D272" t="s">
        <v>810</v>
      </c>
      <c r="E272" t="s">
        <v>679</v>
      </c>
      <c r="F272" s="2">
        <v>46191</v>
      </c>
      <c r="G272" s="2">
        <v>46211</v>
      </c>
      <c r="H272" s="3">
        <v>0.8</v>
      </c>
      <c r="J272" t="s">
        <v>41</v>
      </c>
      <c r="M272" t="s">
        <v>308</v>
      </c>
      <c r="N272" s="2">
        <v>46211</v>
      </c>
      <c r="P272" t="s">
        <v>73</v>
      </c>
      <c r="Q272" t="s">
        <v>55</v>
      </c>
      <c r="R272" t="s">
        <v>569</v>
      </c>
      <c r="S272" s="2">
        <v>46189</v>
      </c>
      <c r="T272" s="2">
        <v>46206</v>
      </c>
      <c r="U272" t="s">
        <v>77</v>
      </c>
      <c r="AB272">
        <v>0.8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599</v>
      </c>
      <c r="B273" t="s">
        <v>814</v>
      </c>
      <c r="C273" t="s">
        <v>812</v>
      </c>
      <c r="D273" t="s">
        <v>108</v>
      </c>
      <c r="E273" t="s">
        <v>115</v>
      </c>
      <c r="F273" s="2">
        <v>46209</v>
      </c>
      <c r="G273" s="2">
        <v>46210</v>
      </c>
      <c r="H273" s="3">
        <v>0</v>
      </c>
      <c r="J273" t="s">
        <v>41</v>
      </c>
      <c r="K273">
        <v>598</v>
      </c>
      <c r="L273">
        <v>600</v>
      </c>
      <c r="M273" t="s">
        <v>383</v>
      </c>
      <c r="N273" s="2">
        <v>46205</v>
      </c>
      <c r="P273" t="s">
        <v>67</v>
      </c>
      <c r="Q273" t="s">
        <v>55</v>
      </c>
      <c r="R273" t="s">
        <v>569</v>
      </c>
      <c r="S273" s="2">
        <v>46205</v>
      </c>
      <c r="T273" s="2">
        <v>46205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</row>
    <row r="274" spans="1:39" x14ac:dyDescent="0.25">
      <c r="A274">
        <v>600</v>
      </c>
      <c r="B274" t="s">
        <v>815</v>
      </c>
      <c r="C274" t="s">
        <v>812</v>
      </c>
      <c r="D274" t="s">
        <v>114</v>
      </c>
      <c r="E274" t="s">
        <v>52</v>
      </c>
      <c r="F274" s="2">
        <v>46211</v>
      </c>
      <c r="G274" s="2">
        <v>46211</v>
      </c>
      <c r="H274" s="3">
        <v>0</v>
      </c>
      <c r="J274" t="s">
        <v>41</v>
      </c>
      <c r="K274">
        <v>599</v>
      </c>
      <c r="M274" t="s">
        <v>385</v>
      </c>
      <c r="N274" s="2">
        <v>46206</v>
      </c>
      <c r="P274" t="s">
        <v>67</v>
      </c>
      <c r="Q274" t="s">
        <v>55</v>
      </c>
      <c r="R274" t="s">
        <v>569</v>
      </c>
      <c r="S274" s="2">
        <v>46206</v>
      </c>
      <c r="T274" s="2">
        <v>46206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</row>
    <row r="275" spans="1:39" x14ac:dyDescent="0.25">
      <c r="A275">
        <v>601</v>
      </c>
      <c r="B275" t="s">
        <v>816</v>
      </c>
      <c r="C275" t="s">
        <v>571</v>
      </c>
      <c r="D275" t="s">
        <v>817</v>
      </c>
      <c r="E275" t="s">
        <v>679</v>
      </c>
      <c r="F275" s="2">
        <v>46191</v>
      </c>
      <c r="G275" s="2">
        <v>46211</v>
      </c>
      <c r="H275" s="3">
        <v>0.8</v>
      </c>
      <c r="J275" t="s">
        <v>41</v>
      </c>
      <c r="M275" t="s">
        <v>308</v>
      </c>
      <c r="N275" s="2">
        <v>46211</v>
      </c>
      <c r="P275" t="s">
        <v>73</v>
      </c>
      <c r="Q275" t="s">
        <v>55</v>
      </c>
      <c r="R275" t="s">
        <v>569</v>
      </c>
      <c r="S275" s="2">
        <v>46189</v>
      </c>
      <c r="T275" s="2">
        <v>46206</v>
      </c>
      <c r="U275" t="s">
        <v>77</v>
      </c>
      <c r="AB275">
        <v>0.8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5">
      <c r="A276">
        <v>604</v>
      </c>
      <c r="B276" t="s">
        <v>821</v>
      </c>
      <c r="C276" t="s">
        <v>819</v>
      </c>
      <c r="D276" t="s">
        <v>108</v>
      </c>
      <c r="E276" t="s">
        <v>115</v>
      </c>
      <c r="F276" s="2">
        <v>46209</v>
      </c>
      <c r="G276" s="2">
        <v>46210</v>
      </c>
      <c r="H276" s="3">
        <v>0</v>
      </c>
      <c r="J276" t="s">
        <v>41</v>
      </c>
      <c r="K276">
        <v>603</v>
      </c>
      <c r="L276">
        <v>605</v>
      </c>
      <c r="M276" t="s">
        <v>404</v>
      </c>
      <c r="N276" s="2">
        <v>46204</v>
      </c>
      <c r="P276" t="s">
        <v>67</v>
      </c>
      <c r="Q276" t="s">
        <v>55</v>
      </c>
      <c r="R276" t="s">
        <v>569</v>
      </c>
      <c r="S276" s="2">
        <v>46204</v>
      </c>
      <c r="T276" s="2">
        <v>46204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</row>
    <row r="277" spans="1:39" x14ac:dyDescent="0.25">
      <c r="A277">
        <v>605</v>
      </c>
      <c r="B277" t="s">
        <v>822</v>
      </c>
      <c r="C277" t="s">
        <v>819</v>
      </c>
      <c r="D277" t="s">
        <v>114</v>
      </c>
      <c r="E277" t="s">
        <v>52</v>
      </c>
      <c r="F277" s="2">
        <v>46211</v>
      </c>
      <c r="G277" s="2">
        <v>46211</v>
      </c>
      <c r="H277" s="3">
        <v>0</v>
      </c>
      <c r="J277" t="s">
        <v>41</v>
      </c>
      <c r="K277">
        <v>604</v>
      </c>
      <c r="M277" t="s">
        <v>383</v>
      </c>
      <c r="N277" s="2">
        <v>46205</v>
      </c>
      <c r="P277" t="s">
        <v>67</v>
      </c>
      <c r="Q277" t="s">
        <v>55</v>
      </c>
      <c r="R277" t="s">
        <v>569</v>
      </c>
      <c r="S277" s="2">
        <v>46205</v>
      </c>
      <c r="T277" s="2">
        <v>46205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</row>
    <row r="278" spans="1:39" x14ac:dyDescent="0.25">
      <c r="A278">
        <v>606</v>
      </c>
      <c r="B278" t="s">
        <v>823</v>
      </c>
      <c r="C278" t="s">
        <v>571</v>
      </c>
      <c r="D278" t="s">
        <v>824</v>
      </c>
      <c r="E278" t="s">
        <v>185</v>
      </c>
      <c r="F278" s="2">
        <v>46192</v>
      </c>
      <c r="G278" s="2">
        <v>46205</v>
      </c>
      <c r="H278" s="3">
        <v>0.8</v>
      </c>
      <c r="J278" t="s">
        <v>41</v>
      </c>
      <c r="M278" t="s">
        <v>308</v>
      </c>
      <c r="N278" s="2">
        <v>46211</v>
      </c>
      <c r="P278" t="s">
        <v>73</v>
      </c>
      <c r="Q278" t="s">
        <v>55</v>
      </c>
      <c r="R278" t="s">
        <v>569</v>
      </c>
      <c r="S278" s="2">
        <v>46189</v>
      </c>
      <c r="T278" s="2">
        <v>46206</v>
      </c>
      <c r="U278" t="s">
        <v>77</v>
      </c>
      <c r="AB278">
        <v>0.8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609</v>
      </c>
      <c r="B279" t="s">
        <v>828</v>
      </c>
      <c r="C279" t="s">
        <v>826</v>
      </c>
      <c r="D279" t="s">
        <v>108</v>
      </c>
      <c r="E279" t="s">
        <v>52</v>
      </c>
      <c r="F279" s="2">
        <v>46204</v>
      </c>
      <c r="G279" s="2">
        <v>46204</v>
      </c>
      <c r="H279" s="3">
        <v>0</v>
      </c>
      <c r="J279" t="s">
        <v>41</v>
      </c>
      <c r="K279">
        <v>608</v>
      </c>
      <c r="L279">
        <v>610</v>
      </c>
      <c r="M279" t="s">
        <v>404</v>
      </c>
      <c r="N279" s="2">
        <v>46204</v>
      </c>
      <c r="P279" t="s">
        <v>67</v>
      </c>
      <c r="Q279" t="s">
        <v>55</v>
      </c>
      <c r="R279" t="s">
        <v>569</v>
      </c>
      <c r="S279" s="2">
        <v>46204</v>
      </c>
      <c r="T279" s="2">
        <v>46204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</row>
    <row r="280" spans="1:39" x14ac:dyDescent="0.25">
      <c r="A280">
        <v>610</v>
      </c>
      <c r="B280" t="s">
        <v>829</v>
      </c>
      <c r="C280" t="s">
        <v>826</v>
      </c>
      <c r="D280" t="s">
        <v>114</v>
      </c>
      <c r="E280" t="s">
        <v>52</v>
      </c>
      <c r="F280" s="2">
        <v>46205</v>
      </c>
      <c r="G280" s="2">
        <v>46205</v>
      </c>
      <c r="H280" s="3">
        <v>0</v>
      </c>
      <c r="J280" t="s">
        <v>41</v>
      </c>
      <c r="K280">
        <v>609</v>
      </c>
      <c r="M280" t="s">
        <v>383</v>
      </c>
      <c r="N280" s="2">
        <v>46205</v>
      </c>
      <c r="P280" t="s">
        <v>67</v>
      </c>
      <c r="Q280" t="s">
        <v>55</v>
      </c>
      <c r="R280" t="s">
        <v>569</v>
      </c>
      <c r="S280" s="2">
        <v>46205</v>
      </c>
      <c r="T280" s="2">
        <v>46205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</row>
    <row r="281" spans="1:39" x14ac:dyDescent="0.25">
      <c r="A281">
        <v>611</v>
      </c>
      <c r="B281" t="s">
        <v>830</v>
      </c>
      <c r="C281" t="s">
        <v>571</v>
      </c>
      <c r="D281" t="s">
        <v>831</v>
      </c>
      <c r="E281" t="s">
        <v>185</v>
      </c>
      <c r="F281" s="2">
        <v>46191</v>
      </c>
      <c r="G281" s="2">
        <v>46204</v>
      </c>
      <c r="H281" s="3">
        <v>0.7</v>
      </c>
      <c r="J281" t="s">
        <v>41</v>
      </c>
      <c r="M281" t="s">
        <v>308</v>
      </c>
      <c r="N281" s="2">
        <v>46211</v>
      </c>
      <c r="P281" t="s">
        <v>73</v>
      </c>
      <c r="Q281" t="s">
        <v>55</v>
      </c>
      <c r="R281" t="s">
        <v>569</v>
      </c>
      <c r="S281" s="2">
        <v>46189</v>
      </c>
      <c r="T281" s="2">
        <v>46206</v>
      </c>
      <c r="U281" t="s">
        <v>77</v>
      </c>
      <c r="AB281">
        <v>0.7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5">
      <c r="A282">
        <v>613</v>
      </c>
      <c r="B282" t="s">
        <v>834</v>
      </c>
      <c r="C282" t="s">
        <v>833</v>
      </c>
      <c r="D282" t="s">
        <v>104</v>
      </c>
      <c r="E282" t="s">
        <v>52</v>
      </c>
      <c r="F282" s="2">
        <v>46202</v>
      </c>
      <c r="G282" s="2">
        <v>46202</v>
      </c>
      <c r="H282" s="3">
        <v>0</v>
      </c>
      <c r="J282" t="s">
        <v>41</v>
      </c>
      <c r="K282">
        <v>612</v>
      </c>
      <c r="L282">
        <v>614</v>
      </c>
      <c r="M282" t="s">
        <v>197</v>
      </c>
      <c r="N282" s="2">
        <v>46203</v>
      </c>
      <c r="P282" t="s">
        <v>179</v>
      </c>
      <c r="Q282" t="s">
        <v>55</v>
      </c>
      <c r="R282" t="s">
        <v>569</v>
      </c>
      <c r="S282" s="2">
        <v>46203</v>
      </c>
      <c r="T282" s="2">
        <v>46203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614</v>
      </c>
      <c r="B283" t="s">
        <v>835</v>
      </c>
      <c r="C283" t="s">
        <v>833</v>
      </c>
      <c r="D283" t="s">
        <v>108</v>
      </c>
      <c r="E283" t="s">
        <v>52</v>
      </c>
      <c r="F283" s="2">
        <v>46203</v>
      </c>
      <c r="G283" s="2">
        <v>46203</v>
      </c>
      <c r="H283" s="3">
        <v>0</v>
      </c>
      <c r="J283" t="s">
        <v>41</v>
      </c>
      <c r="K283">
        <v>613</v>
      </c>
      <c r="L283">
        <v>615</v>
      </c>
      <c r="M283" t="s">
        <v>404</v>
      </c>
      <c r="N283" s="2">
        <v>46204</v>
      </c>
      <c r="P283" t="s">
        <v>67</v>
      </c>
      <c r="Q283" t="s">
        <v>55</v>
      </c>
      <c r="R283" t="s">
        <v>569</v>
      </c>
      <c r="S283" s="2">
        <v>46204</v>
      </c>
      <c r="T283" s="2">
        <v>46204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</row>
    <row r="284" spans="1:39" x14ac:dyDescent="0.25">
      <c r="A284">
        <v>615</v>
      </c>
      <c r="B284" t="s">
        <v>836</v>
      </c>
      <c r="C284" t="s">
        <v>833</v>
      </c>
      <c r="D284" t="s">
        <v>114</v>
      </c>
      <c r="E284" t="s">
        <v>52</v>
      </c>
      <c r="F284" s="2">
        <v>46204</v>
      </c>
      <c r="G284" s="2">
        <v>46204</v>
      </c>
      <c r="H284" s="3">
        <v>0</v>
      </c>
      <c r="J284" t="s">
        <v>41</v>
      </c>
      <c r="K284">
        <v>614</v>
      </c>
      <c r="M284" t="s">
        <v>383</v>
      </c>
      <c r="N284" s="2">
        <v>46205</v>
      </c>
      <c r="P284" t="s">
        <v>67</v>
      </c>
      <c r="Q284" t="s">
        <v>55</v>
      </c>
      <c r="R284" t="s">
        <v>569</v>
      </c>
      <c r="S284" s="2">
        <v>46205</v>
      </c>
      <c r="T284" s="2">
        <v>46205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</row>
    <row r="285" spans="1:39" x14ac:dyDescent="0.25">
      <c r="A285">
        <v>616</v>
      </c>
      <c r="B285" t="s">
        <v>837</v>
      </c>
      <c r="C285" t="s">
        <v>571</v>
      </c>
      <c r="D285" t="s">
        <v>838</v>
      </c>
      <c r="E285" t="s">
        <v>294</v>
      </c>
      <c r="F285" s="2">
        <v>46192</v>
      </c>
      <c r="G285" s="2">
        <v>46206</v>
      </c>
      <c r="H285" s="3">
        <v>0.73</v>
      </c>
      <c r="J285" t="s">
        <v>41</v>
      </c>
      <c r="M285" t="s">
        <v>308</v>
      </c>
      <c r="N285" s="2">
        <v>46211</v>
      </c>
      <c r="P285" t="s">
        <v>73</v>
      </c>
      <c r="Q285" t="s">
        <v>55</v>
      </c>
      <c r="R285" t="s">
        <v>569</v>
      </c>
      <c r="S285" s="2">
        <v>46189</v>
      </c>
      <c r="T285" s="2">
        <v>46206</v>
      </c>
      <c r="U285" t="s">
        <v>77</v>
      </c>
      <c r="AB285">
        <v>0.73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618</v>
      </c>
      <c r="B286" t="s">
        <v>841</v>
      </c>
      <c r="C286" t="s">
        <v>840</v>
      </c>
      <c r="D286" t="s">
        <v>104</v>
      </c>
      <c r="E286" t="s">
        <v>52</v>
      </c>
      <c r="F286" s="2">
        <v>46204</v>
      </c>
      <c r="G286" s="2">
        <v>46204</v>
      </c>
      <c r="H286" s="3">
        <v>0</v>
      </c>
      <c r="J286" t="s">
        <v>41</v>
      </c>
      <c r="K286">
        <v>617</v>
      </c>
      <c r="L286">
        <v>619</v>
      </c>
      <c r="M286" t="s">
        <v>197</v>
      </c>
      <c r="N286" s="2">
        <v>46203</v>
      </c>
      <c r="P286" t="s">
        <v>179</v>
      </c>
      <c r="Q286" t="s">
        <v>55</v>
      </c>
      <c r="R286" t="s">
        <v>569</v>
      </c>
      <c r="S286" s="2">
        <v>46203</v>
      </c>
      <c r="T286" s="2">
        <v>46203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619</v>
      </c>
      <c r="B287" t="s">
        <v>842</v>
      </c>
      <c r="C287" t="s">
        <v>840</v>
      </c>
      <c r="D287" t="s">
        <v>108</v>
      </c>
      <c r="E287" t="s">
        <v>52</v>
      </c>
      <c r="F287" s="2">
        <v>46205</v>
      </c>
      <c r="G287" s="2">
        <v>46205</v>
      </c>
      <c r="H287" s="3">
        <v>0</v>
      </c>
      <c r="J287" t="s">
        <v>41</v>
      </c>
      <c r="K287">
        <v>618</v>
      </c>
      <c r="L287">
        <v>620</v>
      </c>
      <c r="M287" t="s">
        <v>404</v>
      </c>
      <c r="N287" s="2">
        <v>46204</v>
      </c>
      <c r="P287" t="s">
        <v>67</v>
      </c>
      <c r="Q287" t="s">
        <v>55</v>
      </c>
      <c r="R287" t="s">
        <v>569</v>
      </c>
      <c r="S287" s="2">
        <v>46204</v>
      </c>
      <c r="T287" s="2">
        <v>46204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</row>
    <row r="288" spans="1:39" x14ac:dyDescent="0.25">
      <c r="A288">
        <v>620</v>
      </c>
      <c r="B288" t="s">
        <v>843</v>
      </c>
      <c r="C288" t="s">
        <v>840</v>
      </c>
      <c r="D288" t="s">
        <v>114</v>
      </c>
      <c r="E288" t="s">
        <v>52</v>
      </c>
      <c r="F288" s="2">
        <v>46206</v>
      </c>
      <c r="G288" s="2">
        <v>46206</v>
      </c>
      <c r="H288" s="3">
        <v>0</v>
      </c>
      <c r="J288" t="s">
        <v>41</v>
      </c>
      <c r="K288">
        <v>619</v>
      </c>
      <c r="M288" t="s">
        <v>383</v>
      </c>
      <c r="N288" s="2">
        <v>46205</v>
      </c>
      <c r="P288" t="s">
        <v>67</v>
      </c>
      <c r="Q288" t="s">
        <v>55</v>
      </c>
      <c r="R288" t="s">
        <v>569</v>
      </c>
      <c r="S288" s="2">
        <v>46205</v>
      </c>
      <c r="T288" s="2">
        <v>46205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</row>
    <row r="289" spans="1:39" x14ac:dyDescent="0.25">
      <c r="A289">
        <v>621</v>
      </c>
      <c r="B289" t="s">
        <v>844</v>
      </c>
      <c r="C289" t="s">
        <v>571</v>
      </c>
      <c r="D289" t="s">
        <v>845</v>
      </c>
      <c r="E289" t="s">
        <v>294</v>
      </c>
      <c r="F289" s="2">
        <v>46203</v>
      </c>
      <c r="G289" s="2">
        <v>46219</v>
      </c>
      <c r="H289" s="3">
        <v>0.49</v>
      </c>
      <c r="J289" t="s">
        <v>41</v>
      </c>
      <c r="M289" t="s">
        <v>197</v>
      </c>
      <c r="N289" s="2">
        <v>46211</v>
      </c>
      <c r="P289" t="s">
        <v>179</v>
      </c>
      <c r="Q289" t="s">
        <v>44</v>
      </c>
      <c r="R289" t="s">
        <v>569</v>
      </c>
      <c r="S289" s="2">
        <v>46197</v>
      </c>
      <c r="T289" s="2">
        <v>46205</v>
      </c>
      <c r="U289" t="s">
        <v>77</v>
      </c>
      <c r="AB289">
        <v>0.49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25">
      <c r="A290">
        <v>623</v>
      </c>
      <c r="B290" t="s">
        <v>849</v>
      </c>
      <c r="C290" t="s">
        <v>847</v>
      </c>
      <c r="D290" t="s">
        <v>104</v>
      </c>
      <c r="E290" t="s">
        <v>52</v>
      </c>
      <c r="F290" s="2">
        <v>46216</v>
      </c>
      <c r="G290" s="2">
        <v>46216</v>
      </c>
      <c r="H290" s="3">
        <v>0</v>
      </c>
      <c r="J290" t="s">
        <v>41</v>
      </c>
      <c r="K290">
        <v>622</v>
      </c>
      <c r="L290">
        <v>624</v>
      </c>
      <c r="M290" t="s">
        <v>686</v>
      </c>
      <c r="N290" s="2">
        <v>46210</v>
      </c>
      <c r="P290" t="s">
        <v>179</v>
      </c>
      <c r="Q290" t="s">
        <v>44</v>
      </c>
      <c r="R290" t="s">
        <v>569</v>
      </c>
      <c r="S290" s="2">
        <v>46209</v>
      </c>
      <c r="T290" s="2">
        <v>46210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624</v>
      </c>
      <c r="B291" t="s">
        <v>850</v>
      </c>
      <c r="C291" t="s">
        <v>847</v>
      </c>
      <c r="D291" t="s">
        <v>108</v>
      </c>
      <c r="E291" t="s">
        <v>115</v>
      </c>
      <c r="F291" s="2">
        <v>46217</v>
      </c>
      <c r="G291" s="2">
        <v>46218</v>
      </c>
      <c r="H291" s="3">
        <v>0</v>
      </c>
      <c r="J291" t="s">
        <v>192</v>
      </c>
      <c r="K291">
        <v>623</v>
      </c>
      <c r="L291">
        <v>625</v>
      </c>
      <c r="M291" t="s">
        <v>387</v>
      </c>
      <c r="N291" s="2">
        <v>46216</v>
      </c>
      <c r="P291" t="s">
        <v>179</v>
      </c>
      <c r="Q291" t="s">
        <v>44</v>
      </c>
      <c r="R291" t="s">
        <v>569</v>
      </c>
      <c r="S291" s="2">
        <v>46210</v>
      </c>
      <c r="T291" s="2">
        <v>46216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625</v>
      </c>
      <c r="B292" t="s">
        <v>851</v>
      </c>
      <c r="C292" t="s">
        <v>847</v>
      </c>
      <c r="D292" t="s">
        <v>114</v>
      </c>
      <c r="E292" t="s">
        <v>52</v>
      </c>
      <c r="F292" s="2">
        <v>46219</v>
      </c>
      <c r="G292" s="2">
        <v>46219</v>
      </c>
      <c r="H292" s="3">
        <v>0</v>
      </c>
      <c r="J292" t="s">
        <v>196</v>
      </c>
      <c r="K292">
        <v>624</v>
      </c>
      <c r="M292" t="s">
        <v>852</v>
      </c>
      <c r="N292" s="2">
        <v>46217</v>
      </c>
      <c r="P292" t="s">
        <v>67</v>
      </c>
      <c r="Q292" t="s">
        <v>44</v>
      </c>
      <c r="R292" t="s">
        <v>569</v>
      </c>
      <c r="S292" s="2">
        <v>46216</v>
      </c>
      <c r="T292" s="2">
        <v>46217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5">
      <c r="A293">
        <v>626</v>
      </c>
      <c r="B293" t="s">
        <v>853</v>
      </c>
      <c r="C293" t="s">
        <v>571</v>
      </c>
      <c r="D293" t="s">
        <v>854</v>
      </c>
      <c r="E293" t="s">
        <v>573</v>
      </c>
      <c r="F293" s="2">
        <v>46189</v>
      </c>
      <c r="G293" s="2">
        <v>46205</v>
      </c>
      <c r="H293" s="3">
        <v>0.85</v>
      </c>
      <c r="J293" t="s">
        <v>41</v>
      </c>
      <c r="M293" t="s">
        <v>197</v>
      </c>
      <c r="N293" s="2">
        <v>46211</v>
      </c>
      <c r="P293" t="s">
        <v>73</v>
      </c>
      <c r="Q293" t="s">
        <v>55</v>
      </c>
      <c r="R293" t="s">
        <v>569</v>
      </c>
      <c r="S293" s="2">
        <v>46197</v>
      </c>
      <c r="T293" s="2">
        <v>46205</v>
      </c>
      <c r="U293" t="s">
        <v>77</v>
      </c>
      <c r="AB293">
        <v>0.85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629</v>
      </c>
      <c r="B294" t="s">
        <v>858</v>
      </c>
      <c r="C294" t="s">
        <v>856</v>
      </c>
      <c r="D294" t="s">
        <v>108</v>
      </c>
      <c r="E294" t="s">
        <v>115</v>
      </c>
      <c r="F294" s="2">
        <v>46203</v>
      </c>
      <c r="G294" s="2">
        <v>46204</v>
      </c>
      <c r="H294" s="3">
        <v>0.5</v>
      </c>
      <c r="J294" t="s">
        <v>41</v>
      </c>
      <c r="K294">
        <v>628</v>
      </c>
      <c r="L294">
        <v>630</v>
      </c>
      <c r="M294" t="s">
        <v>251</v>
      </c>
      <c r="N294" s="2">
        <v>46197</v>
      </c>
      <c r="P294" t="s">
        <v>179</v>
      </c>
      <c r="Q294" t="s">
        <v>55</v>
      </c>
      <c r="R294" t="s">
        <v>569</v>
      </c>
      <c r="S294" s="2">
        <v>46196</v>
      </c>
      <c r="T294" s="2">
        <v>46197</v>
      </c>
      <c r="AB294">
        <v>0.5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</row>
    <row r="295" spans="1:39" x14ac:dyDescent="0.25">
      <c r="A295">
        <v>630</v>
      </c>
      <c r="B295" t="s">
        <v>859</v>
      </c>
      <c r="C295" t="s">
        <v>856</v>
      </c>
      <c r="D295" t="s">
        <v>114</v>
      </c>
      <c r="E295" t="s">
        <v>52</v>
      </c>
      <c r="F295" s="2">
        <v>46205</v>
      </c>
      <c r="G295" s="2">
        <v>46205</v>
      </c>
      <c r="H295" s="3">
        <v>0</v>
      </c>
      <c r="J295" t="s">
        <v>41</v>
      </c>
      <c r="K295">
        <v>629</v>
      </c>
      <c r="M295" t="s">
        <v>190</v>
      </c>
      <c r="N295" s="2">
        <v>46198</v>
      </c>
      <c r="P295" t="s">
        <v>179</v>
      </c>
      <c r="Q295" t="s">
        <v>55</v>
      </c>
      <c r="R295" t="s">
        <v>569</v>
      </c>
      <c r="S295" s="2">
        <v>46198</v>
      </c>
      <c r="T295" s="2">
        <v>46198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</row>
    <row r="296" spans="1:39" x14ac:dyDescent="0.25">
      <c r="A296">
        <v>631</v>
      </c>
      <c r="B296" t="s">
        <v>860</v>
      </c>
      <c r="C296" t="s">
        <v>571</v>
      </c>
      <c r="D296" t="s">
        <v>861</v>
      </c>
      <c r="E296" t="s">
        <v>608</v>
      </c>
      <c r="F296" s="2">
        <v>46202</v>
      </c>
      <c r="G296" s="2">
        <v>46219</v>
      </c>
      <c r="H296" s="3">
        <v>0.67</v>
      </c>
      <c r="J296" t="s">
        <v>41</v>
      </c>
      <c r="M296" t="s">
        <v>197</v>
      </c>
      <c r="N296" s="2">
        <v>46211</v>
      </c>
      <c r="P296" t="s">
        <v>73</v>
      </c>
      <c r="Q296" t="s">
        <v>44</v>
      </c>
      <c r="R296" t="s">
        <v>569</v>
      </c>
      <c r="S296" s="2">
        <v>46197</v>
      </c>
      <c r="T296" s="2">
        <v>46205</v>
      </c>
      <c r="AB296">
        <v>0.67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633</v>
      </c>
      <c r="B297" t="s">
        <v>864</v>
      </c>
      <c r="C297" t="s">
        <v>863</v>
      </c>
      <c r="D297" t="s">
        <v>104</v>
      </c>
      <c r="E297" t="s">
        <v>52</v>
      </c>
      <c r="F297" s="2">
        <v>46216</v>
      </c>
      <c r="G297" s="2">
        <v>46216</v>
      </c>
      <c r="H297" s="3">
        <v>0</v>
      </c>
      <c r="J297" t="s">
        <v>41</v>
      </c>
      <c r="K297">
        <v>632</v>
      </c>
      <c r="L297">
        <v>634</v>
      </c>
      <c r="M297" t="s">
        <v>385</v>
      </c>
      <c r="N297" s="2">
        <v>46206</v>
      </c>
      <c r="P297" t="s">
        <v>179</v>
      </c>
      <c r="Q297" t="s">
        <v>44</v>
      </c>
      <c r="R297" t="s">
        <v>569</v>
      </c>
      <c r="S297" s="2">
        <v>46202</v>
      </c>
      <c r="T297" s="2">
        <v>46202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634</v>
      </c>
      <c r="B298" t="s">
        <v>865</v>
      </c>
      <c r="C298" t="s">
        <v>863</v>
      </c>
      <c r="D298" t="s">
        <v>108</v>
      </c>
      <c r="E298" t="s">
        <v>115</v>
      </c>
      <c r="F298" s="2">
        <v>46217</v>
      </c>
      <c r="G298" s="2">
        <v>46218</v>
      </c>
      <c r="H298" s="3">
        <v>0</v>
      </c>
      <c r="J298" t="s">
        <v>192</v>
      </c>
      <c r="K298">
        <v>633</v>
      </c>
      <c r="L298">
        <v>635</v>
      </c>
      <c r="M298" t="s">
        <v>686</v>
      </c>
      <c r="N298" s="2">
        <v>46210</v>
      </c>
      <c r="P298" t="s">
        <v>179</v>
      </c>
      <c r="Q298" t="s">
        <v>44</v>
      </c>
      <c r="R298" t="s">
        <v>569</v>
      </c>
      <c r="S298" s="2">
        <v>46203</v>
      </c>
      <c r="T298" s="2">
        <v>46204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635</v>
      </c>
      <c r="B299" t="s">
        <v>866</v>
      </c>
      <c r="C299" t="s">
        <v>863</v>
      </c>
      <c r="D299" t="s">
        <v>114</v>
      </c>
      <c r="E299" t="s">
        <v>52</v>
      </c>
      <c r="F299" s="2">
        <v>46219</v>
      </c>
      <c r="G299" s="2">
        <v>46219</v>
      </c>
      <c r="H299" s="3">
        <v>0</v>
      </c>
      <c r="J299" t="s">
        <v>196</v>
      </c>
      <c r="K299">
        <v>634</v>
      </c>
      <c r="M299" t="s">
        <v>688</v>
      </c>
      <c r="N299" s="2">
        <v>46211</v>
      </c>
      <c r="P299" t="s">
        <v>67</v>
      </c>
      <c r="Q299" t="s">
        <v>44</v>
      </c>
      <c r="R299" t="s">
        <v>569</v>
      </c>
      <c r="S299" s="2">
        <v>46205</v>
      </c>
      <c r="T299" s="2">
        <v>46205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636</v>
      </c>
      <c r="B300" t="s">
        <v>867</v>
      </c>
      <c r="C300" t="s">
        <v>50</v>
      </c>
      <c r="D300" t="s">
        <v>868</v>
      </c>
      <c r="E300" t="s">
        <v>254</v>
      </c>
      <c r="F300" s="2">
        <v>46205</v>
      </c>
      <c r="G300" s="2">
        <v>46219</v>
      </c>
      <c r="H300" s="3">
        <v>0.5</v>
      </c>
      <c r="J300" t="s">
        <v>41</v>
      </c>
      <c r="M300" t="s">
        <v>228</v>
      </c>
      <c r="N300" s="2">
        <v>46205</v>
      </c>
      <c r="P300" t="s">
        <v>179</v>
      </c>
      <c r="Q300" t="s">
        <v>44</v>
      </c>
      <c r="R300" t="s">
        <v>869</v>
      </c>
      <c r="S300" s="2">
        <v>46176</v>
      </c>
      <c r="T300" s="2">
        <v>46192</v>
      </c>
      <c r="AB300">
        <v>0.5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>
        <v>637</v>
      </c>
      <c r="B301" t="s">
        <v>870</v>
      </c>
      <c r="C301" t="s">
        <v>871</v>
      </c>
      <c r="D301" t="s">
        <v>872</v>
      </c>
      <c r="E301" t="s">
        <v>254</v>
      </c>
      <c r="F301" s="2">
        <v>46205</v>
      </c>
      <c r="G301" s="2">
        <v>46219</v>
      </c>
      <c r="H301" s="3">
        <v>0.67</v>
      </c>
      <c r="J301" t="s">
        <v>192</v>
      </c>
      <c r="M301" t="s">
        <v>228</v>
      </c>
      <c r="N301" s="2">
        <v>46204</v>
      </c>
      <c r="P301" t="s">
        <v>179</v>
      </c>
      <c r="Q301" t="s">
        <v>44</v>
      </c>
      <c r="R301" t="s">
        <v>869</v>
      </c>
      <c r="S301" s="2">
        <v>46176</v>
      </c>
      <c r="T301" s="2">
        <v>46191</v>
      </c>
      <c r="AB301">
        <v>0.67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639</v>
      </c>
      <c r="B302" t="s">
        <v>877</v>
      </c>
      <c r="C302" t="s">
        <v>874</v>
      </c>
      <c r="D302" t="s">
        <v>104</v>
      </c>
      <c r="E302" t="s">
        <v>52</v>
      </c>
      <c r="F302" s="2">
        <v>46217</v>
      </c>
      <c r="G302" s="2">
        <v>46217</v>
      </c>
      <c r="H302" s="3">
        <v>0</v>
      </c>
      <c r="J302" t="s">
        <v>192</v>
      </c>
      <c r="K302">
        <v>638</v>
      </c>
      <c r="L302">
        <v>640</v>
      </c>
      <c r="M302" t="s">
        <v>193</v>
      </c>
      <c r="N302" s="2">
        <v>46199</v>
      </c>
      <c r="P302" t="s">
        <v>67</v>
      </c>
      <c r="Q302" t="s">
        <v>44</v>
      </c>
      <c r="R302" t="s">
        <v>869</v>
      </c>
      <c r="S302" s="2">
        <v>46188</v>
      </c>
      <c r="T302" s="2">
        <v>46188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5">
      <c r="A303">
        <v>640</v>
      </c>
      <c r="B303" t="s">
        <v>878</v>
      </c>
      <c r="C303" t="s">
        <v>874</v>
      </c>
      <c r="D303" t="s">
        <v>108</v>
      </c>
      <c r="E303" t="s">
        <v>52</v>
      </c>
      <c r="F303" s="2">
        <v>46218</v>
      </c>
      <c r="G303" s="2">
        <v>46218</v>
      </c>
      <c r="H303" s="3">
        <v>0</v>
      </c>
      <c r="J303" t="s">
        <v>196</v>
      </c>
      <c r="K303">
        <v>639</v>
      </c>
      <c r="L303">
        <v>641</v>
      </c>
      <c r="M303" t="s">
        <v>311</v>
      </c>
      <c r="N303" s="2">
        <v>46203</v>
      </c>
      <c r="P303" t="s">
        <v>67</v>
      </c>
      <c r="Q303" t="s">
        <v>44</v>
      </c>
      <c r="R303" t="s">
        <v>869</v>
      </c>
      <c r="S303" s="2">
        <v>46189</v>
      </c>
      <c r="T303" s="2">
        <v>46190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641</v>
      </c>
      <c r="B304" t="s">
        <v>879</v>
      </c>
      <c r="C304" t="s">
        <v>874</v>
      </c>
      <c r="D304" t="s">
        <v>114</v>
      </c>
      <c r="E304" t="s">
        <v>52</v>
      </c>
      <c r="F304" s="2">
        <v>46219</v>
      </c>
      <c r="G304" s="2">
        <v>46219</v>
      </c>
      <c r="H304" s="3">
        <v>0</v>
      </c>
      <c r="J304" t="s">
        <v>196</v>
      </c>
      <c r="K304">
        <v>640</v>
      </c>
      <c r="M304" t="s">
        <v>404</v>
      </c>
      <c r="N304" s="2">
        <v>46204</v>
      </c>
      <c r="P304" t="s">
        <v>67</v>
      </c>
      <c r="Q304" t="s">
        <v>44</v>
      </c>
      <c r="R304" t="s">
        <v>869</v>
      </c>
      <c r="S304" s="2">
        <v>46191</v>
      </c>
      <c r="T304" s="2">
        <v>46191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642</v>
      </c>
      <c r="B305" t="s">
        <v>880</v>
      </c>
      <c r="C305" t="s">
        <v>871</v>
      </c>
      <c r="D305" t="s">
        <v>881</v>
      </c>
      <c r="E305" t="s">
        <v>138</v>
      </c>
      <c r="F305" s="2">
        <v>46216</v>
      </c>
      <c r="G305" s="2">
        <v>46219</v>
      </c>
      <c r="H305" s="3">
        <v>0.13</v>
      </c>
      <c r="J305" t="s">
        <v>41</v>
      </c>
      <c r="M305" t="s">
        <v>193</v>
      </c>
      <c r="N305" s="2">
        <v>46205</v>
      </c>
      <c r="P305" t="s">
        <v>67</v>
      </c>
      <c r="Q305" t="s">
        <v>44</v>
      </c>
      <c r="R305" t="s">
        <v>869</v>
      </c>
      <c r="S305" s="2">
        <v>46188</v>
      </c>
      <c r="T305" s="2">
        <v>46192</v>
      </c>
      <c r="AB305">
        <v>0.13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643</v>
      </c>
      <c r="B306" t="s">
        <v>882</v>
      </c>
      <c r="C306" t="s">
        <v>883</v>
      </c>
      <c r="D306" t="s">
        <v>100</v>
      </c>
      <c r="E306" t="s">
        <v>52</v>
      </c>
      <c r="F306" s="2">
        <v>46216</v>
      </c>
      <c r="G306" s="2">
        <v>46216</v>
      </c>
      <c r="H306" s="3">
        <v>0.5</v>
      </c>
      <c r="J306" t="s">
        <v>41</v>
      </c>
      <c r="K306" t="s">
        <v>884</v>
      </c>
      <c r="L306">
        <v>644</v>
      </c>
      <c r="M306" t="s">
        <v>193</v>
      </c>
      <c r="N306" s="2">
        <v>46199</v>
      </c>
      <c r="P306" t="s">
        <v>67</v>
      </c>
      <c r="Q306" t="s">
        <v>44</v>
      </c>
      <c r="R306" t="s">
        <v>869</v>
      </c>
      <c r="S306" s="2">
        <v>46188</v>
      </c>
      <c r="T306" s="2">
        <v>46188</v>
      </c>
      <c r="AB306">
        <v>0.5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644</v>
      </c>
      <c r="B307" t="s">
        <v>885</v>
      </c>
      <c r="C307" t="s">
        <v>883</v>
      </c>
      <c r="D307" t="s">
        <v>104</v>
      </c>
      <c r="E307" t="s">
        <v>52</v>
      </c>
      <c r="F307" s="2">
        <v>46217</v>
      </c>
      <c r="G307" s="2">
        <v>46217</v>
      </c>
      <c r="H307" s="3">
        <v>0</v>
      </c>
      <c r="J307" t="s">
        <v>192</v>
      </c>
      <c r="K307">
        <v>643</v>
      </c>
      <c r="L307">
        <v>645</v>
      </c>
      <c r="M307" t="s">
        <v>311</v>
      </c>
      <c r="N307" s="2">
        <v>46202</v>
      </c>
      <c r="P307" t="s">
        <v>67</v>
      </c>
      <c r="Q307" t="s">
        <v>44</v>
      </c>
      <c r="R307" t="s">
        <v>869</v>
      </c>
      <c r="S307" s="2">
        <v>46189</v>
      </c>
      <c r="T307" s="2">
        <v>46189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645</v>
      </c>
      <c r="B308" t="s">
        <v>886</v>
      </c>
      <c r="C308" t="s">
        <v>883</v>
      </c>
      <c r="D308" t="s">
        <v>108</v>
      </c>
      <c r="E308" t="s">
        <v>52</v>
      </c>
      <c r="F308" s="2">
        <v>46218</v>
      </c>
      <c r="G308" s="2">
        <v>46218</v>
      </c>
      <c r="H308" s="3">
        <v>0</v>
      </c>
      <c r="J308" t="s">
        <v>196</v>
      </c>
      <c r="K308">
        <v>644</v>
      </c>
      <c r="L308">
        <v>646</v>
      </c>
      <c r="M308" t="s">
        <v>197</v>
      </c>
      <c r="N308" s="2">
        <v>46204</v>
      </c>
      <c r="P308" t="s">
        <v>67</v>
      </c>
      <c r="Q308" t="s">
        <v>44</v>
      </c>
      <c r="R308" t="s">
        <v>869</v>
      </c>
      <c r="S308" s="2">
        <v>46190</v>
      </c>
      <c r="T308" s="2">
        <v>46191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646</v>
      </c>
      <c r="B309" t="s">
        <v>887</v>
      </c>
      <c r="C309" t="s">
        <v>883</v>
      </c>
      <c r="D309" t="s">
        <v>114</v>
      </c>
      <c r="E309" t="s">
        <v>52</v>
      </c>
      <c r="F309" s="2">
        <v>46219</v>
      </c>
      <c r="G309" s="2">
        <v>46219</v>
      </c>
      <c r="H309" s="3">
        <v>0</v>
      </c>
      <c r="J309" t="s">
        <v>196</v>
      </c>
      <c r="K309">
        <v>645</v>
      </c>
      <c r="M309" t="s">
        <v>383</v>
      </c>
      <c r="N309" s="2">
        <v>46205</v>
      </c>
      <c r="P309" t="s">
        <v>67</v>
      </c>
      <c r="Q309" t="s">
        <v>44</v>
      </c>
      <c r="R309" t="s">
        <v>869</v>
      </c>
      <c r="S309" s="2">
        <v>46192</v>
      </c>
      <c r="T309" s="2">
        <v>46192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8</v>
      </c>
      <c r="B310" t="s">
        <v>74</v>
      </c>
      <c r="C310" t="s">
        <v>63</v>
      </c>
      <c r="D310" t="s">
        <v>75</v>
      </c>
      <c r="E310" t="s">
        <v>888</v>
      </c>
      <c r="F310" s="2">
        <v>46178</v>
      </c>
      <c r="G310" s="2">
        <v>46178</v>
      </c>
      <c r="H310" s="3">
        <v>0</v>
      </c>
      <c r="J310" t="s">
        <v>196</v>
      </c>
      <c r="L310">
        <v>393</v>
      </c>
      <c r="M310" t="s">
        <v>66</v>
      </c>
      <c r="N310" s="2">
        <v>46178</v>
      </c>
      <c r="P310" t="s">
        <v>314</v>
      </c>
      <c r="Q310" t="s">
        <v>55</v>
      </c>
      <c r="R310" t="s">
        <v>61</v>
      </c>
      <c r="S310" s="2">
        <v>46178</v>
      </c>
      <c r="T310" s="2">
        <v>46178</v>
      </c>
      <c r="U310" t="s">
        <v>889</v>
      </c>
      <c r="W310" t="s">
        <v>890</v>
      </c>
      <c r="X310" t="s">
        <v>63</v>
      </c>
      <c r="Y310" t="s">
        <v>891</v>
      </c>
      <c r="Z310" t="s">
        <v>892</v>
      </c>
      <c r="AA310" t="b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24</v>
      </c>
      <c r="B311" t="s">
        <v>893</v>
      </c>
      <c r="C311" t="s">
        <v>50</v>
      </c>
      <c r="D311" t="s">
        <v>894</v>
      </c>
      <c r="E311" t="s">
        <v>895</v>
      </c>
      <c r="F311" s="2">
        <v>46139</v>
      </c>
      <c r="G311" s="2">
        <v>46210</v>
      </c>
      <c r="H311" s="3">
        <v>0.11</v>
      </c>
      <c r="J311" t="s">
        <v>192</v>
      </c>
      <c r="M311" t="s">
        <v>42</v>
      </c>
      <c r="N311" s="2">
        <v>46210</v>
      </c>
      <c r="P311" t="s">
        <v>314</v>
      </c>
      <c r="Q311" t="s">
        <v>55</v>
      </c>
      <c r="R311" t="s">
        <v>896</v>
      </c>
      <c r="S311" s="2">
        <v>46139</v>
      </c>
      <c r="T311" s="2">
        <v>46204</v>
      </c>
      <c r="U311" t="s">
        <v>889</v>
      </c>
      <c r="W311" t="s">
        <v>897</v>
      </c>
      <c r="X311" t="s">
        <v>50</v>
      </c>
      <c r="Y311" t="s">
        <v>898</v>
      </c>
      <c r="Z311" t="s">
        <v>897</v>
      </c>
      <c r="AA311" t="b">
        <v>1</v>
      </c>
      <c r="AB311">
        <v>0.11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25</v>
      </c>
      <c r="B312" t="s">
        <v>899</v>
      </c>
      <c r="C312" t="s">
        <v>900</v>
      </c>
      <c r="D312" t="s">
        <v>901</v>
      </c>
      <c r="E312" t="s">
        <v>297</v>
      </c>
      <c r="F312" s="2">
        <v>46174</v>
      </c>
      <c r="G312" s="2">
        <v>46182</v>
      </c>
      <c r="H312" s="3">
        <v>0</v>
      </c>
      <c r="J312" t="s">
        <v>196</v>
      </c>
      <c r="M312" t="s">
        <v>902</v>
      </c>
      <c r="N312" s="2">
        <v>46182</v>
      </c>
      <c r="P312" t="s">
        <v>314</v>
      </c>
      <c r="Q312" t="s">
        <v>55</v>
      </c>
      <c r="R312" t="s">
        <v>896</v>
      </c>
      <c r="S312" s="2">
        <v>46167</v>
      </c>
      <c r="T312" s="2">
        <v>46175</v>
      </c>
      <c r="U312" t="s">
        <v>889</v>
      </c>
      <c r="W312" t="s">
        <v>903</v>
      </c>
      <c r="X312" t="s">
        <v>900</v>
      </c>
      <c r="Y312" t="s">
        <v>904</v>
      </c>
      <c r="Z312" t="s">
        <v>903</v>
      </c>
      <c r="AA312" t="b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>
        <v>30</v>
      </c>
      <c r="B313" t="s">
        <v>905</v>
      </c>
      <c r="C313" t="s">
        <v>900</v>
      </c>
      <c r="D313" t="s">
        <v>906</v>
      </c>
      <c r="E313" t="s">
        <v>297</v>
      </c>
      <c r="F313" s="2">
        <v>46191</v>
      </c>
      <c r="G313" s="2">
        <v>46199</v>
      </c>
      <c r="H313" s="3">
        <v>0</v>
      </c>
      <c r="J313" t="s">
        <v>196</v>
      </c>
      <c r="M313" t="s">
        <v>186</v>
      </c>
      <c r="N313" s="2">
        <v>46199</v>
      </c>
      <c r="P313" t="s">
        <v>314</v>
      </c>
      <c r="Q313" t="s">
        <v>55</v>
      </c>
      <c r="R313" t="s">
        <v>896</v>
      </c>
      <c r="S313" s="2">
        <v>46184</v>
      </c>
      <c r="T313" s="2">
        <v>46192</v>
      </c>
      <c r="U313" t="s">
        <v>889</v>
      </c>
      <c r="W313" t="s">
        <v>907</v>
      </c>
      <c r="X313" t="s">
        <v>900</v>
      </c>
      <c r="Y313" t="s">
        <v>908</v>
      </c>
      <c r="Z313" t="s">
        <v>907</v>
      </c>
      <c r="AA313" t="b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35</v>
      </c>
      <c r="B314" t="s">
        <v>909</v>
      </c>
      <c r="C314" t="s">
        <v>900</v>
      </c>
      <c r="D314" t="s">
        <v>910</v>
      </c>
      <c r="E314" t="s">
        <v>224</v>
      </c>
      <c r="F314" s="2">
        <v>46203</v>
      </c>
      <c r="G314" s="2">
        <v>46210</v>
      </c>
      <c r="H314" s="3">
        <v>0</v>
      </c>
      <c r="J314" t="s">
        <v>196</v>
      </c>
      <c r="M314" t="s">
        <v>197</v>
      </c>
      <c r="N314" s="2">
        <v>46210</v>
      </c>
      <c r="P314" t="s">
        <v>314</v>
      </c>
      <c r="Q314" t="s">
        <v>55</v>
      </c>
      <c r="R314" t="s">
        <v>896</v>
      </c>
      <c r="S314" s="2">
        <v>46196</v>
      </c>
      <c r="T314" s="2">
        <v>46204</v>
      </c>
      <c r="U314" t="s">
        <v>889</v>
      </c>
      <c r="W314" t="s">
        <v>911</v>
      </c>
      <c r="X314" t="s">
        <v>900</v>
      </c>
      <c r="Y314" t="s">
        <v>912</v>
      </c>
      <c r="Z314" t="s">
        <v>911</v>
      </c>
      <c r="AA314" t="b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40</v>
      </c>
      <c r="B315" t="s">
        <v>913</v>
      </c>
      <c r="C315" t="s">
        <v>900</v>
      </c>
      <c r="D315" t="s">
        <v>914</v>
      </c>
      <c r="E315" t="s">
        <v>915</v>
      </c>
      <c r="F315" s="2">
        <v>46139</v>
      </c>
      <c r="G315" s="2">
        <v>46203</v>
      </c>
      <c r="H315" s="3">
        <v>0.43</v>
      </c>
      <c r="J315" t="s">
        <v>192</v>
      </c>
      <c r="M315" t="s">
        <v>42</v>
      </c>
      <c r="N315" s="2">
        <v>46203</v>
      </c>
      <c r="P315" t="s">
        <v>314</v>
      </c>
      <c r="Q315" t="s">
        <v>55</v>
      </c>
      <c r="R315" t="s">
        <v>896</v>
      </c>
      <c r="S315" s="2">
        <v>46139</v>
      </c>
      <c r="T315" s="2">
        <v>46203</v>
      </c>
      <c r="U315" t="s">
        <v>889</v>
      </c>
      <c r="W315" t="s">
        <v>916</v>
      </c>
      <c r="X315" t="s">
        <v>900</v>
      </c>
      <c r="Y315" t="s">
        <v>917</v>
      </c>
      <c r="Z315" t="s">
        <v>916</v>
      </c>
      <c r="AA315" t="b">
        <v>1</v>
      </c>
      <c r="AB315">
        <v>0.43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>
        <v>107</v>
      </c>
      <c r="B316" t="s">
        <v>918</v>
      </c>
      <c r="C316" t="s">
        <v>159</v>
      </c>
      <c r="D316" t="s">
        <v>919</v>
      </c>
      <c r="E316" t="s">
        <v>920</v>
      </c>
      <c r="F316" s="2">
        <v>46176</v>
      </c>
      <c r="G316" s="2">
        <v>46191</v>
      </c>
      <c r="H316" s="3">
        <v>0</v>
      </c>
      <c r="J316" t="s">
        <v>196</v>
      </c>
      <c r="M316" t="s">
        <v>221</v>
      </c>
      <c r="N316" s="2">
        <v>46191</v>
      </c>
      <c r="P316" t="s">
        <v>314</v>
      </c>
      <c r="Q316" t="s">
        <v>55</v>
      </c>
      <c r="R316" t="s">
        <v>157</v>
      </c>
      <c r="S316" s="2">
        <v>46163</v>
      </c>
      <c r="T316" s="2">
        <v>46178</v>
      </c>
      <c r="U316" t="s">
        <v>889</v>
      </c>
      <c r="W316" t="s">
        <v>921</v>
      </c>
      <c r="X316" t="s">
        <v>159</v>
      </c>
      <c r="Y316" t="s">
        <v>922</v>
      </c>
      <c r="Z316" t="s">
        <v>921</v>
      </c>
      <c r="AA316" t="b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138</v>
      </c>
      <c r="B317" t="s">
        <v>923</v>
      </c>
      <c r="C317" t="s">
        <v>292</v>
      </c>
      <c r="D317" t="s">
        <v>924</v>
      </c>
      <c r="E317" t="s">
        <v>297</v>
      </c>
      <c r="F317" s="2">
        <v>46189</v>
      </c>
      <c r="G317" s="2">
        <v>46197</v>
      </c>
      <c r="H317" s="3">
        <v>0</v>
      </c>
      <c r="J317" t="s">
        <v>196</v>
      </c>
      <c r="M317" t="s">
        <v>228</v>
      </c>
      <c r="N317" s="2">
        <v>46197</v>
      </c>
      <c r="P317" t="s">
        <v>314</v>
      </c>
      <c r="Q317" t="s">
        <v>55</v>
      </c>
      <c r="R317" t="s">
        <v>290</v>
      </c>
      <c r="S317" s="2">
        <v>46176</v>
      </c>
      <c r="T317" s="2">
        <v>46184</v>
      </c>
      <c r="U317" t="s">
        <v>889</v>
      </c>
      <c r="W317" t="s">
        <v>925</v>
      </c>
      <c r="AA317" t="b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>
        <v>148</v>
      </c>
      <c r="B318" t="s">
        <v>926</v>
      </c>
      <c r="C318" t="s">
        <v>292</v>
      </c>
      <c r="D318" t="s">
        <v>927</v>
      </c>
      <c r="E318" t="s">
        <v>297</v>
      </c>
      <c r="F318" s="2">
        <v>46183</v>
      </c>
      <c r="G318" s="2">
        <v>46191</v>
      </c>
      <c r="H318" s="3">
        <v>0</v>
      </c>
      <c r="J318" t="s">
        <v>196</v>
      </c>
      <c r="M318" t="s">
        <v>182</v>
      </c>
      <c r="N318" s="2">
        <v>46191</v>
      </c>
      <c r="P318" t="s">
        <v>314</v>
      </c>
      <c r="Q318" t="s">
        <v>55</v>
      </c>
      <c r="R318" t="s">
        <v>290</v>
      </c>
      <c r="S318" s="2">
        <v>46170</v>
      </c>
      <c r="T318" s="2">
        <v>46178</v>
      </c>
      <c r="U318" t="s">
        <v>889</v>
      </c>
      <c r="W318" t="s">
        <v>928</v>
      </c>
      <c r="AA318" t="b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153</v>
      </c>
      <c r="B319" t="s">
        <v>929</v>
      </c>
      <c r="C319" t="s">
        <v>292</v>
      </c>
      <c r="D319" t="s">
        <v>930</v>
      </c>
      <c r="E319" t="s">
        <v>297</v>
      </c>
      <c r="F319" s="2">
        <v>46178</v>
      </c>
      <c r="G319" s="2">
        <v>46188</v>
      </c>
      <c r="H319" s="3">
        <v>0</v>
      </c>
      <c r="J319" t="s">
        <v>196</v>
      </c>
      <c r="M319" t="s">
        <v>66</v>
      </c>
      <c r="N319" s="2">
        <v>46188</v>
      </c>
      <c r="P319" t="s">
        <v>314</v>
      </c>
      <c r="Q319" t="s">
        <v>55</v>
      </c>
      <c r="R319" t="s">
        <v>290</v>
      </c>
      <c r="S319" s="2">
        <v>46167</v>
      </c>
      <c r="T319" s="2">
        <v>46175</v>
      </c>
      <c r="U319" t="s">
        <v>889</v>
      </c>
      <c r="W319" t="s">
        <v>931</v>
      </c>
      <c r="X319" t="s">
        <v>292</v>
      </c>
      <c r="Y319" t="s">
        <v>932</v>
      </c>
      <c r="Z319" t="s">
        <v>931</v>
      </c>
      <c r="AA319" t="b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>
        <v>158</v>
      </c>
      <c r="B320" t="s">
        <v>933</v>
      </c>
      <c r="C320" t="s">
        <v>292</v>
      </c>
      <c r="D320" t="s">
        <v>934</v>
      </c>
      <c r="E320" t="s">
        <v>297</v>
      </c>
      <c r="F320" s="2">
        <v>46178</v>
      </c>
      <c r="G320" s="2">
        <v>46188</v>
      </c>
      <c r="H320" s="3">
        <v>0</v>
      </c>
      <c r="J320" t="s">
        <v>196</v>
      </c>
      <c r="M320" t="s">
        <v>66</v>
      </c>
      <c r="N320" s="2">
        <v>46188</v>
      </c>
      <c r="P320" t="s">
        <v>314</v>
      </c>
      <c r="Q320" t="s">
        <v>55</v>
      </c>
      <c r="R320" t="s">
        <v>290</v>
      </c>
      <c r="S320" s="2">
        <v>46167</v>
      </c>
      <c r="T320" s="2">
        <v>46175</v>
      </c>
      <c r="U320" t="s">
        <v>889</v>
      </c>
      <c r="W320" t="s">
        <v>935</v>
      </c>
      <c r="AA320" t="b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178</v>
      </c>
      <c r="B321" t="s">
        <v>936</v>
      </c>
      <c r="C321" t="s">
        <v>292</v>
      </c>
      <c r="D321" t="s">
        <v>937</v>
      </c>
      <c r="E321" t="s">
        <v>938</v>
      </c>
      <c r="F321" s="2">
        <v>46181</v>
      </c>
      <c r="G321" s="2">
        <v>46198</v>
      </c>
      <c r="H321" s="3">
        <v>0</v>
      </c>
      <c r="J321" t="s">
        <v>196</v>
      </c>
      <c r="M321" t="s">
        <v>148</v>
      </c>
      <c r="N321" s="2">
        <v>46198</v>
      </c>
      <c r="P321" t="s">
        <v>314</v>
      </c>
      <c r="Q321" t="s">
        <v>55</v>
      </c>
      <c r="R321" t="s">
        <v>290</v>
      </c>
      <c r="S321" s="2">
        <v>46157</v>
      </c>
      <c r="T321" s="2">
        <v>46176</v>
      </c>
      <c r="U321" t="s">
        <v>889</v>
      </c>
      <c r="W321" t="s">
        <v>939</v>
      </c>
      <c r="AA321" t="b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198</v>
      </c>
      <c r="B322" t="s">
        <v>940</v>
      </c>
      <c r="C322" t="s">
        <v>292</v>
      </c>
      <c r="D322" t="s">
        <v>941</v>
      </c>
      <c r="E322" t="s">
        <v>297</v>
      </c>
      <c r="F322" s="2">
        <v>46178</v>
      </c>
      <c r="G322" s="2">
        <v>46188</v>
      </c>
      <c r="H322" s="3">
        <v>0</v>
      </c>
      <c r="J322" t="s">
        <v>196</v>
      </c>
      <c r="M322" t="s">
        <v>66</v>
      </c>
      <c r="N322" s="2">
        <v>46188</v>
      </c>
      <c r="P322" t="s">
        <v>314</v>
      </c>
      <c r="Q322" t="s">
        <v>55</v>
      </c>
      <c r="R322" t="s">
        <v>290</v>
      </c>
      <c r="S322" s="2">
        <v>46167</v>
      </c>
      <c r="T322" s="2">
        <v>46175</v>
      </c>
      <c r="U322" t="s">
        <v>889</v>
      </c>
      <c r="W322" t="s">
        <v>942</v>
      </c>
      <c r="AA322" t="b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203</v>
      </c>
      <c r="B323" t="s">
        <v>943</v>
      </c>
      <c r="C323" t="s">
        <v>292</v>
      </c>
      <c r="D323" t="s">
        <v>944</v>
      </c>
      <c r="E323" t="s">
        <v>297</v>
      </c>
      <c r="F323" s="2">
        <v>46178</v>
      </c>
      <c r="G323" s="2">
        <v>46188</v>
      </c>
      <c r="H323" s="3">
        <v>0</v>
      </c>
      <c r="J323" t="s">
        <v>196</v>
      </c>
      <c r="M323" t="s">
        <v>66</v>
      </c>
      <c r="N323" s="2">
        <v>46188</v>
      </c>
      <c r="P323" t="s">
        <v>314</v>
      </c>
      <c r="Q323" t="s">
        <v>55</v>
      </c>
      <c r="R323" t="s">
        <v>290</v>
      </c>
      <c r="S323" s="2">
        <v>46167</v>
      </c>
      <c r="T323" s="2">
        <v>46175</v>
      </c>
      <c r="U323" t="s">
        <v>889</v>
      </c>
      <c r="W323" t="s">
        <v>945</v>
      </c>
      <c r="AA323" t="b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208</v>
      </c>
      <c r="B324" t="s">
        <v>946</v>
      </c>
      <c r="C324" t="s">
        <v>292</v>
      </c>
      <c r="D324" t="s">
        <v>947</v>
      </c>
      <c r="E324" t="s">
        <v>297</v>
      </c>
      <c r="F324" s="2">
        <v>46178</v>
      </c>
      <c r="G324" s="2">
        <v>46188</v>
      </c>
      <c r="H324" s="3">
        <v>0</v>
      </c>
      <c r="J324" t="s">
        <v>196</v>
      </c>
      <c r="M324" t="s">
        <v>66</v>
      </c>
      <c r="N324" s="2">
        <v>46188</v>
      </c>
      <c r="P324" t="s">
        <v>314</v>
      </c>
      <c r="Q324" t="s">
        <v>55</v>
      </c>
      <c r="R324" t="s">
        <v>290</v>
      </c>
      <c r="S324" s="2">
        <v>46167</v>
      </c>
      <c r="T324" s="2">
        <v>46175</v>
      </c>
      <c r="U324" t="s">
        <v>889</v>
      </c>
      <c r="W324" t="s">
        <v>948</v>
      </c>
      <c r="AA324" t="b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5">
      <c r="A325">
        <v>218</v>
      </c>
      <c r="B325" t="s">
        <v>949</v>
      </c>
      <c r="C325" t="s">
        <v>292</v>
      </c>
      <c r="D325" t="s">
        <v>950</v>
      </c>
      <c r="E325" t="s">
        <v>938</v>
      </c>
      <c r="F325" s="2">
        <v>46175</v>
      </c>
      <c r="G325" s="2">
        <v>46192</v>
      </c>
      <c r="H325" s="3">
        <v>0</v>
      </c>
      <c r="J325" t="s">
        <v>196</v>
      </c>
      <c r="M325" t="s">
        <v>171</v>
      </c>
      <c r="N325" s="2">
        <v>46192</v>
      </c>
      <c r="P325" t="s">
        <v>314</v>
      </c>
      <c r="Q325" t="s">
        <v>55</v>
      </c>
      <c r="R325" t="s">
        <v>290</v>
      </c>
      <c r="S325" s="2">
        <v>46162</v>
      </c>
      <c r="T325" s="2">
        <v>46181</v>
      </c>
      <c r="U325" t="s">
        <v>889</v>
      </c>
      <c r="W325" t="s">
        <v>951</v>
      </c>
      <c r="AA325" t="b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239</v>
      </c>
      <c r="B326" t="s">
        <v>952</v>
      </c>
      <c r="C326" t="s">
        <v>367</v>
      </c>
      <c r="D326" t="s">
        <v>953</v>
      </c>
      <c r="E326" t="s">
        <v>297</v>
      </c>
      <c r="F326" s="2">
        <v>46197</v>
      </c>
      <c r="G326" s="2">
        <v>46205</v>
      </c>
      <c r="H326" s="3">
        <v>0</v>
      </c>
      <c r="J326" t="s">
        <v>196</v>
      </c>
      <c r="M326" t="s">
        <v>308</v>
      </c>
      <c r="N326" s="2">
        <v>46205</v>
      </c>
      <c r="P326" t="s">
        <v>314</v>
      </c>
      <c r="Q326" t="s">
        <v>55</v>
      </c>
      <c r="R326" t="s">
        <v>365</v>
      </c>
      <c r="S326" s="2">
        <v>46189</v>
      </c>
      <c r="T326" s="2">
        <v>46197</v>
      </c>
      <c r="U326" t="s">
        <v>889</v>
      </c>
      <c r="W326" t="s">
        <v>954</v>
      </c>
      <c r="X326" t="s">
        <v>367</v>
      </c>
      <c r="Y326" t="s">
        <v>955</v>
      </c>
      <c r="Z326" t="s">
        <v>954</v>
      </c>
      <c r="AA326" t="b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269</v>
      </c>
      <c r="B327" t="s">
        <v>956</v>
      </c>
      <c r="C327" t="s">
        <v>367</v>
      </c>
      <c r="D327" t="s">
        <v>957</v>
      </c>
      <c r="E327" t="s">
        <v>682</v>
      </c>
      <c r="F327" s="2">
        <v>46196</v>
      </c>
      <c r="G327" s="2">
        <v>46206</v>
      </c>
      <c r="H327" s="3">
        <v>0</v>
      </c>
      <c r="J327" t="s">
        <v>196</v>
      </c>
      <c r="M327" t="s">
        <v>251</v>
      </c>
      <c r="N327" s="2">
        <v>46206</v>
      </c>
      <c r="P327" t="s">
        <v>314</v>
      </c>
      <c r="Q327" t="s">
        <v>55</v>
      </c>
      <c r="R327" t="s">
        <v>365</v>
      </c>
      <c r="S327" s="2">
        <v>46188</v>
      </c>
      <c r="T327" s="2">
        <v>46198</v>
      </c>
      <c r="U327" t="s">
        <v>889</v>
      </c>
      <c r="W327" t="s">
        <v>958</v>
      </c>
      <c r="X327" t="s">
        <v>367</v>
      </c>
      <c r="Y327" t="s">
        <v>959</v>
      </c>
      <c r="Z327" t="s">
        <v>958</v>
      </c>
      <c r="AA327" t="b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5">
      <c r="A328">
        <v>295</v>
      </c>
      <c r="B328" t="s">
        <v>960</v>
      </c>
      <c r="C328" t="s">
        <v>440</v>
      </c>
      <c r="D328" t="s">
        <v>961</v>
      </c>
      <c r="E328" t="s">
        <v>297</v>
      </c>
      <c r="F328" s="2">
        <v>46197</v>
      </c>
      <c r="G328" s="2">
        <v>46205</v>
      </c>
      <c r="H328" s="3">
        <v>0</v>
      </c>
      <c r="J328" t="s">
        <v>196</v>
      </c>
      <c r="M328" t="s">
        <v>308</v>
      </c>
      <c r="N328" s="2">
        <v>46205</v>
      </c>
      <c r="P328" t="s">
        <v>314</v>
      </c>
      <c r="Q328" t="s">
        <v>55</v>
      </c>
      <c r="R328" t="s">
        <v>438</v>
      </c>
      <c r="S328" s="2">
        <v>46185</v>
      </c>
      <c r="T328" s="2">
        <v>46195</v>
      </c>
      <c r="U328" t="s">
        <v>889</v>
      </c>
      <c r="W328" t="s">
        <v>962</v>
      </c>
      <c r="X328" t="s">
        <v>440</v>
      </c>
      <c r="Y328" t="s">
        <v>963</v>
      </c>
      <c r="Z328" t="s">
        <v>962</v>
      </c>
      <c r="AA328" t="b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340</v>
      </c>
      <c r="B329" t="s">
        <v>532</v>
      </c>
      <c r="C329" t="s">
        <v>440</v>
      </c>
      <c r="D329" t="s">
        <v>964</v>
      </c>
      <c r="E329" t="s">
        <v>224</v>
      </c>
      <c r="F329" s="2">
        <v>46197</v>
      </c>
      <c r="G329" s="2">
        <v>46204</v>
      </c>
      <c r="H329" s="3">
        <v>0</v>
      </c>
      <c r="J329" t="s">
        <v>196</v>
      </c>
      <c r="M329" t="s">
        <v>308</v>
      </c>
      <c r="N329" s="2">
        <v>46204</v>
      </c>
      <c r="P329" t="s">
        <v>314</v>
      </c>
      <c r="Q329" t="s">
        <v>55</v>
      </c>
      <c r="R329" t="s">
        <v>438</v>
      </c>
      <c r="S329" s="2">
        <v>46185</v>
      </c>
      <c r="T329" s="2">
        <v>46197</v>
      </c>
      <c r="U329" t="s">
        <v>889</v>
      </c>
      <c r="W329" t="s">
        <v>965</v>
      </c>
      <c r="X329" t="s">
        <v>440</v>
      </c>
      <c r="Y329" t="s">
        <v>966</v>
      </c>
      <c r="Z329" t="s">
        <v>965</v>
      </c>
      <c r="AA329" t="b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5">
      <c r="A330">
        <v>345</v>
      </c>
      <c r="B330" t="s">
        <v>541</v>
      </c>
      <c r="C330" t="s">
        <v>440</v>
      </c>
      <c r="D330" t="s">
        <v>967</v>
      </c>
      <c r="E330" t="s">
        <v>682</v>
      </c>
      <c r="F330" s="2">
        <v>46197</v>
      </c>
      <c r="G330" s="2">
        <v>46209</v>
      </c>
      <c r="H330" s="3">
        <v>0</v>
      </c>
      <c r="J330" t="s">
        <v>196</v>
      </c>
      <c r="M330" t="s">
        <v>308</v>
      </c>
      <c r="N330" s="2">
        <v>46209</v>
      </c>
      <c r="P330" t="s">
        <v>314</v>
      </c>
      <c r="Q330" t="s">
        <v>55</v>
      </c>
      <c r="R330" t="s">
        <v>438</v>
      </c>
      <c r="S330" s="2">
        <v>46185</v>
      </c>
      <c r="T330" s="2">
        <v>46197</v>
      </c>
      <c r="U330" t="s">
        <v>889</v>
      </c>
      <c r="W330" t="s">
        <v>968</v>
      </c>
      <c r="X330" t="s">
        <v>440</v>
      </c>
      <c r="Y330" t="s">
        <v>969</v>
      </c>
      <c r="Z330" t="s">
        <v>968</v>
      </c>
      <c r="AA330" t="b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5">
      <c r="A331">
        <v>350</v>
      </c>
      <c r="B331" t="s">
        <v>550</v>
      </c>
      <c r="C331" t="s">
        <v>440</v>
      </c>
      <c r="D331" t="s">
        <v>970</v>
      </c>
      <c r="E331" t="s">
        <v>971</v>
      </c>
      <c r="F331" s="2">
        <v>46178</v>
      </c>
      <c r="G331" s="2">
        <v>46202</v>
      </c>
      <c r="H331" s="3">
        <v>0</v>
      </c>
      <c r="J331" t="s">
        <v>196</v>
      </c>
      <c r="M331" t="s">
        <v>66</v>
      </c>
      <c r="N331" s="2">
        <v>46202</v>
      </c>
      <c r="P331" t="s">
        <v>314</v>
      </c>
      <c r="Q331" t="s">
        <v>55</v>
      </c>
      <c r="R331" t="s">
        <v>438</v>
      </c>
      <c r="S331" s="2">
        <v>46168</v>
      </c>
      <c r="T331" s="2">
        <v>46190</v>
      </c>
      <c r="U331" t="s">
        <v>889</v>
      </c>
      <c r="W331" t="s">
        <v>972</v>
      </c>
      <c r="X331" t="s">
        <v>440</v>
      </c>
      <c r="Y331" t="s">
        <v>973</v>
      </c>
      <c r="Z331" t="s">
        <v>972</v>
      </c>
      <c r="AA331" t="b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370</v>
      </c>
      <c r="B332" t="s">
        <v>558</v>
      </c>
      <c r="C332" t="s">
        <v>440</v>
      </c>
      <c r="D332" t="s">
        <v>974</v>
      </c>
      <c r="E332" t="s">
        <v>682</v>
      </c>
      <c r="F332" s="2">
        <v>46183</v>
      </c>
      <c r="G332" s="2">
        <v>46195</v>
      </c>
      <c r="H332" s="3">
        <v>0</v>
      </c>
      <c r="J332" t="s">
        <v>196</v>
      </c>
      <c r="M332" t="s">
        <v>182</v>
      </c>
      <c r="N332" s="2">
        <v>46195</v>
      </c>
      <c r="P332" t="s">
        <v>314</v>
      </c>
      <c r="Q332" t="s">
        <v>55</v>
      </c>
      <c r="R332" t="s">
        <v>438</v>
      </c>
      <c r="S332" s="2">
        <v>46171</v>
      </c>
      <c r="T332" s="2">
        <v>46183</v>
      </c>
      <c r="U332" t="s">
        <v>889</v>
      </c>
      <c r="W332" t="s">
        <v>975</v>
      </c>
      <c r="X332" t="s">
        <v>440</v>
      </c>
      <c r="Y332" t="s">
        <v>976</v>
      </c>
      <c r="Z332" t="s">
        <v>975</v>
      </c>
      <c r="AA332" t="b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5">
      <c r="A333">
        <v>375</v>
      </c>
      <c r="B333" t="s">
        <v>977</v>
      </c>
      <c r="C333" t="s">
        <v>440</v>
      </c>
      <c r="D333" t="s">
        <v>978</v>
      </c>
      <c r="E333" t="s">
        <v>682</v>
      </c>
      <c r="F333" s="2">
        <v>46183</v>
      </c>
      <c r="G333" s="2">
        <v>46195</v>
      </c>
      <c r="H333" s="3">
        <v>0</v>
      </c>
      <c r="J333" t="s">
        <v>196</v>
      </c>
      <c r="M333" t="s">
        <v>182</v>
      </c>
      <c r="N333" s="2">
        <v>46195</v>
      </c>
      <c r="P333" t="s">
        <v>314</v>
      </c>
      <c r="Q333" t="s">
        <v>55</v>
      </c>
      <c r="R333" t="s">
        <v>438</v>
      </c>
      <c r="S333" s="2">
        <v>46171</v>
      </c>
      <c r="T333" s="2">
        <v>46183</v>
      </c>
      <c r="U333" t="s">
        <v>889</v>
      </c>
      <c r="W333" t="s">
        <v>979</v>
      </c>
      <c r="X333" t="s">
        <v>440</v>
      </c>
      <c r="Y333" t="s">
        <v>980</v>
      </c>
      <c r="Z333" t="s">
        <v>979</v>
      </c>
      <c r="AA333" t="b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380</v>
      </c>
      <c r="B334" t="s">
        <v>981</v>
      </c>
      <c r="C334" t="s">
        <v>440</v>
      </c>
      <c r="D334" t="s">
        <v>982</v>
      </c>
      <c r="E334" t="s">
        <v>682</v>
      </c>
      <c r="F334" s="2">
        <v>46183</v>
      </c>
      <c r="G334" s="2">
        <v>46195</v>
      </c>
      <c r="H334" s="3">
        <v>0</v>
      </c>
      <c r="J334" t="s">
        <v>196</v>
      </c>
      <c r="M334" t="s">
        <v>182</v>
      </c>
      <c r="N334" s="2">
        <v>46195</v>
      </c>
      <c r="P334" t="s">
        <v>314</v>
      </c>
      <c r="Q334" t="s">
        <v>55</v>
      </c>
      <c r="R334" t="s">
        <v>438</v>
      </c>
      <c r="S334" s="2">
        <v>46171</v>
      </c>
      <c r="T334" s="2">
        <v>46183</v>
      </c>
      <c r="U334" t="s">
        <v>889</v>
      </c>
      <c r="W334" t="s">
        <v>983</v>
      </c>
      <c r="X334" t="s">
        <v>440</v>
      </c>
      <c r="Y334" t="s">
        <v>984</v>
      </c>
      <c r="Z334" t="s">
        <v>983</v>
      </c>
      <c r="AA334" t="b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25">
      <c r="A335">
        <v>385</v>
      </c>
      <c r="B335" t="s">
        <v>985</v>
      </c>
      <c r="C335" t="s">
        <v>440</v>
      </c>
      <c r="D335" t="s">
        <v>986</v>
      </c>
      <c r="E335" t="s">
        <v>682</v>
      </c>
      <c r="F335" s="2">
        <v>46183</v>
      </c>
      <c r="G335" s="2">
        <v>46195</v>
      </c>
      <c r="H335" s="3">
        <v>0</v>
      </c>
      <c r="J335" t="s">
        <v>196</v>
      </c>
      <c r="M335" t="s">
        <v>182</v>
      </c>
      <c r="N335" s="2">
        <v>46195</v>
      </c>
      <c r="P335" t="s">
        <v>314</v>
      </c>
      <c r="Q335" t="s">
        <v>55</v>
      </c>
      <c r="R335" t="s">
        <v>438</v>
      </c>
      <c r="S335" s="2">
        <v>46171</v>
      </c>
      <c r="T335" s="2">
        <v>46183</v>
      </c>
      <c r="U335" t="s">
        <v>889</v>
      </c>
      <c r="W335" t="s">
        <v>987</v>
      </c>
      <c r="X335" t="s">
        <v>440</v>
      </c>
      <c r="Y335" t="s">
        <v>988</v>
      </c>
      <c r="Z335" t="s">
        <v>987</v>
      </c>
      <c r="AA335" t="b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406</v>
      </c>
      <c r="B336" t="s">
        <v>589</v>
      </c>
      <c r="C336" t="s">
        <v>571</v>
      </c>
      <c r="D336" t="s">
        <v>989</v>
      </c>
      <c r="E336" t="s">
        <v>224</v>
      </c>
      <c r="F336" s="2">
        <v>46195</v>
      </c>
      <c r="G336" s="2">
        <v>46202</v>
      </c>
      <c r="H336" s="3">
        <v>0</v>
      </c>
      <c r="J336" t="s">
        <v>196</v>
      </c>
      <c r="M336" t="s">
        <v>284</v>
      </c>
      <c r="N336" s="2">
        <v>46202</v>
      </c>
      <c r="P336" t="s">
        <v>314</v>
      </c>
      <c r="Q336" t="s">
        <v>44</v>
      </c>
      <c r="R336" t="s">
        <v>569</v>
      </c>
      <c r="S336" s="2">
        <v>46184</v>
      </c>
      <c r="T336" s="2">
        <v>46192</v>
      </c>
      <c r="U336" t="s">
        <v>889</v>
      </c>
      <c r="W336" t="s">
        <v>990</v>
      </c>
      <c r="X336" t="s">
        <v>571</v>
      </c>
      <c r="Y336" t="s">
        <v>991</v>
      </c>
      <c r="Z336" t="s">
        <v>990</v>
      </c>
      <c r="AA336" t="b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411</v>
      </c>
      <c r="B337" t="s">
        <v>992</v>
      </c>
      <c r="C337" t="s">
        <v>571</v>
      </c>
      <c r="D337" t="s">
        <v>993</v>
      </c>
      <c r="E337" t="s">
        <v>297</v>
      </c>
      <c r="F337" s="2">
        <v>46195</v>
      </c>
      <c r="G337" s="2">
        <v>46203</v>
      </c>
      <c r="H337" s="3">
        <v>0</v>
      </c>
      <c r="J337" t="s">
        <v>196</v>
      </c>
      <c r="M337" t="s">
        <v>284</v>
      </c>
      <c r="N337" s="2">
        <v>46203</v>
      </c>
      <c r="P337" t="s">
        <v>314</v>
      </c>
      <c r="Q337" t="s">
        <v>55</v>
      </c>
      <c r="R337" t="s">
        <v>569</v>
      </c>
      <c r="S337" s="2">
        <v>46192</v>
      </c>
      <c r="T337" s="2">
        <v>46202</v>
      </c>
      <c r="U337" t="s">
        <v>889</v>
      </c>
      <c r="W337" t="s">
        <v>994</v>
      </c>
      <c r="X337" t="s">
        <v>571</v>
      </c>
      <c r="Y337" t="s">
        <v>995</v>
      </c>
      <c r="Z337" t="s">
        <v>994</v>
      </c>
      <c r="AA337" t="b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5">
      <c r="A338">
        <v>451</v>
      </c>
      <c r="B338" t="s">
        <v>646</v>
      </c>
      <c r="C338" t="s">
        <v>571</v>
      </c>
      <c r="D338" t="s">
        <v>996</v>
      </c>
      <c r="E338" t="s">
        <v>938</v>
      </c>
      <c r="F338" s="2">
        <v>46183</v>
      </c>
      <c r="G338" s="2">
        <v>46202</v>
      </c>
      <c r="H338" s="3">
        <v>0</v>
      </c>
      <c r="J338" t="s">
        <v>196</v>
      </c>
      <c r="M338" t="s">
        <v>182</v>
      </c>
      <c r="N338" s="2">
        <v>46202</v>
      </c>
      <c r="P338" t="s">
        <v>314</v>
      </c>
      <c r="Q338" t="s">
        <v>55</v>
      </c>
      <c r="R338" t="s">
        <v>569</v>
      </c>
      <c r="S338" s="2">
        <v>46167</v>
      </c>
      <c r="T338" s="2">
        <v>46184</v>
      </c>
      <c r="U338" t="s">
        <v>889</v>
      </c>
      <c r="W338" t="s">
        <v>997</v>
      </c>
      <c r="X338" t="s">
        <v>571</v>
      </c>
      <c r="Y338" t="s">
        <v>998</v>
      </c>
      <c r="Z338" t="s">
        <v>997</v>
      </c>
      <c r="AA338" t="b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25">
      <c r="A339">
        <v>461</v>
      </c>
      <c r="B339" t="s">
        <v>653</v>
      </c>
      <c r="C339" t="s">
        <v>571</v>
      </c>
      <c r="D339" t="s">
        <v>999</v>
      </c>
      <c r="E339" t="s">
        <v>297</v>
      </c>
      <c r="F339" s="2">
        <v>46199</v>
      </c>
      <c r="G339" s="2">
        <v>46209</v>
      </c>
      <c r="H339" s="3">
        <v>0</v>
      </c>
      <c r="J339" t="s">
        <v>196</v>
      </c>
      <c r="M339" t="s">
        <v>193</v>
      </c>
      <c r="N339" s="2">
        <v>46209</v>
      </c>
      <c r="P339" t="s">
        <v>314</v>
      </c>
      <c r="Q339" t="s">
        <v>55</v>
      </c>
      <c r="R339" t="s">
        <v>569</v>
      </c>
      <c r="S339" s="2">
        <v>46192</v>
      </c>
      <c r="T339" s="2">
        <v>46202</v>
      </c>
      <c r="U339" t="s">
        <v>889</v>
      </c>
      <c r="W339" t="s">
        <v>1000</v>
      </c>
      <c r="X339" t="s">
        <v>571</v>
      </c>
      <c r="Y339" t="s">
        <v>1001</v>
      </c>
      <c r="Z339" t="s">
        <v>1000</v>
      </c>
      <c r="AA339" t="b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25">
      <c r="A340">
        <v>466</v>
      </c>
      <c r="B340" t="s">
        <v>1002</v>
      </c>
      <c r="C340" t="s">
        <v>571</v>
      </c>
      <c r="D340" t="s">
        <v>1003</v>
      </c>
      <c r="E340" t="s">
        <v>224</v>
      </c>
      <c r="F340" s="2">
        <v>46199</v>
      </c>
      <c r="G340" s="2">
        <v>46206</v>
      </c>
      <c r="H340" s="3">
        <v>0</v>
      </c>
      <c r="J340" t="s">
        <v>196</v>
      </c>
      <c r="M340" t="s">
        <v>193</v>
      </c>
      <c r="N340" s="2">
        <v>46206</v>
      </c>
      <c r="P340" t="s">
        <v>314</v>
      </c>
      <c r="Q340" t="s">
        <v>44</v>
      </c>
      <c r="R340" t="s">
        <v>569</v>
      </c>
      <c r="S340" s="2">
        <v>46192</v>
      </c>
      <c r="T340" s="2">
        <v>46202</v>
      </c>
      <c r="U340" t="s">
        <v>889</v>
      </c>
      <c r="W340" t="s">
        <v>1004</v>
      </c>
      <c r="X340" t="s">
        <v>571</v>
      </c>
      <c r="Y340" t="s">
        <v>1005</v>
      </c>
      <c r="Z340" t="s">
        <v>1004</v>
      </c>
      <c r="AA340" t="b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40"/>
  <sheetViews>
    <sheetView tabSelected="1" workbookViewId="0">
      <selection activeCell="N92" sqref="N92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10.28515625" bestFit="1" customWidth="1"/>
    <col min="4" max="4" width="28.140625" bestFit="1" customWidth="1"/>
    <col min="5" max="5" width="37.28515625" bestFit="1" customWidth="1"/>
    <col min="6" max="6" width="12.42578125" bestFit="1" customWidth="1"/>
    <col min="7" max="7" width="13.7109375" style="3" bestFit="1" customWidth="1"/>
    <col min="8" max="8" width="21.28515625" bestFit="1" customWidth="1"/>
    <col min="9" max="9" width="32.140625" bestFit="1" customWidth="1"/>
    <col min="10" max="10" width="8.85546875" bestFit="1" customWidth="1"/>
    <col min="11" max="11" width="14.42578125" bestFit="1" customWidth="1"/>
    <col min="12" max="12" width="20.5703125" bestFit="1" customWidth="1"/>
  </cols>
  <sheetData>
    <row r="1" spans="1:12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s="3" t="s">
        <v>7</v>
      </c>
      <c r="H1" t="s">
        <v>14</v>
      </c>
      <c r="I1" t="s">
        <v>17</v>
      </c>
      <c r="J1" t="s">
        <v>16</v>
      </c>
      <c r="K1" t="s">
        <v>1027</v>
      </c>
      <c r="L1" t="s">
        <v>1028</v>
      </c>
    </row>
    <row r="2" spans="1:12" hidden="1" x14ac:dyDescent="0.25">
      <c r="A2" t="s">
        <v>43</v>
      </c>
      <c r="B2">
        <v>1</v>
      </c>
      <c r="C2">
        <v>1</v>
      </c>
      <c r="E2" t="s">
        <v>39</v>
      </c>
      <c r="F2" t="s">
        <v>41</v>
      </c>
      <c r="G2" s="3">
        <v>0.67</v>
      </c>
      <c r="I2" t="s">
        <v>45</v>
      </c>
      <c r="J2" t="s">
        <v>44</v>
      </c>
    </row>
    <row r="3" spans="1:12" hidden="1" x14ac:dyDescent="0.25">
      <c r="A3" t="s">
        <v>43</v>
      </c>
      <c r="B3">
        <v>2</v>
      </c>
      <c r="C3" t="s">
        <v>46</v>
      </c>
      <c r="D3" t="s">
        <v>47</v>
      </c>
      <c r="E3" t="s">
        <v>48</v>
      </c>
      <c r="F3" t="s">
        <v>41</v>
      </c>
      <c r="G3" s="3">
        <v>0.67</v>
      </c>
      <c r="I3" t="s">
        <v>45</v>
      </c>
      <c r="J3" t="s">
        <v>44</v>
      </c>
    </row>
    <row r="4" spans="1:12" hidden="1" x14ac:dyDescent="0.25">
      <c r="A4" t="s">
        <v>60</v>
      </c>
      <c r="B4">
        <v>4</v>
      </c>
      <c r="C4" t="s">
        <v>56</v>
      </c>
      <c r="D4" t="s">
        <v>50</v>
      </c>
      <c r="E4" t="s">
        <v>57</v>
      </c>
      <c r="F4" t="s">
        <v>41</v>
      </c>
      <c r="G4" s="3">
        <v>0.78</v>
      </c>
      <c r="I4" t="s">
        <v>61</v>
      </c>
      <c r="J4" t="s">
        <v>44</v>
      </c>
    </row>
    <row r="5" spans="1:12" hidden="1" x14ac:dyDescent="0.25">
      <c r="A5" t="s">
        <v>67</v>
      </c>
      <c r="B5">
        <v>5</v>
      </c>
      <c r="C5" t="s">
        <v>62</v>
      </c>
      <c r="D5" t="s">
        <v>63</v>
      </c>
      <c r="E5" t="s">
        <v>64</v>
      </c>
      <c r="F5" t="s">
        <v>41</v>
      </c>
      <c r="G5" s="3">
        <v>0.7</v>
      </c>
      <c r="I5" t="s">
        <v>61</v>
      </c>
      <c r="J5" t="s">
        <v>55</v>
      </c>
    </row>
    <row r="6" spans="1:12" hidden="1" x14ac:dyDescent="0.25">
      <c r="A6" t="s">
        <v>43</v>
      </c>
      <c r="B6">
        <v>10</v>
      </c>
      <c r="C6" t="s">
        <v>81</v>
      </c>
      <c r="D6" t="s">
        <v>63</v>
      </c>
      <c r="E6" t="s">
        <v>82</v>
      </c>
      <c r="F6" t="s">
        <v>41</v>
      </c>
      <c r="G6" s="3">
        <v>0</v>
      </c>
      <c r="I6" t="s">
        <v>61</v>
      </c>
      <c r="J6" t="s">
        <v>55</v>
      </c>
    </row>
    <row r="7" spans="1:12" hidden="1" x14ac:dyDescent="0.25">
      <c r="A7" t="s">
        <v>135</v>
      </c>
      <c r="B7">
        <v>66</v>
      </c>
      <c r="C7" t="s">
        <v>153</v>
      </c>
      <c r="D7" t="s">
        <v>50</v>
      </c>
      <c r="E7" t="s">
        <v>154</v>
      </c>
      <c r="F7" t="s">
        <v>41</v>
      </c>
      <c r="G7" s="3">
        <v>0.62</v>
      </c>
      <c r="I7" t="s">
        <v>157</v>
      </c>
      <c r="J7" t="s">
        <v>55</v>
      </c>
    </row>
    <row r="8" spans="1:12" hidden="1" x14ac:dyDescent="0.25">
      <c r="A8" t="s">
        <v>76</v>
      </c>
      <c r="B8">
        <v>82</v>
      </c>
      <c r="C8" t="s">
        <v>172</v>
      </c>
      <c r="D8" t="s">
        <v>159</v>
      </c>
      <c r="E8" t="s">
        <v>173</v>
      </c>
      <c r="F8" t="s">
        <v>41</v>
      </c>
      <c r="G8" s="3">
        <v>0.5</v>
      </c>
      <c r="I8" t="s">
        <v>157</v>
      </c>
      <c r="J8" t="s">
        <v>55</v>
      </c>
    </row>
    <row r="9" spans="1:12" hidden="1" x14ac:dyDescent="0.25">
      <c r="A9" t="s">
        <v>179</v>
      </c>
      <c r="B9">
        <v>84</v>
      </c>
      <c r="C9" t="s">
        <v>178</v>
      </c>
      <c r="D9" t="s">
        <v>176</v>
      </c>
      <c r="E9" t="s">
        <v>104</v>
      </c>
      <c r="F9" t="s">
        <v>41</v>
      </c>
      <c r="G9" s="3">
        <v>0</v>
      </c>
      <c r="I9" t="s">
        <v>157</v>
      </c>
      <c r="J9" t="s">
        <v>55</v>
      </c>
    </row>
    <row r="10" spans="1:12" x14ac:dyDescent="0.25">
      <c r="A10" t="s">
        <v>179</v>
      </c>
      <c r="B10">
        <v>209</v>
      </c>
      <c r="C10" t="s">
        <v>349</v>
      </c>
      <c r="D10" t="s">
        <v>350</v>
      </c>
      <c r="E10" t="s">
        <v>100</v>
      </c>
      <c r="F10" t="s">
        <v>41</v>
      </c>
      <c r="G10" s="3">
        <v>1</v>
      </c>
      <c r="I10" t="s">
        <v>290</v>
      </c>
      <c r="J10" t="s">
        <v>44</v>
      </c>
    </row>
    <row r="11" spans="1:12" hidden="1" x14ac:dyDescent="0.25">
      <c r="A11" t="s">
        <v>67</v>
      </c>
      <c r="B11">
        <v>86</v>
      </c>
      <c r="C11" t="s">
        <v>181</v>
      </c>
      <c r="D11" t="s">
        <v>176</v>
      </c>
      <c r="E11" t="s">
        <v>114</v>
      </c>
      <c r="F11" t="s">
        <v>41</v>
      </c>
      <c r="G11" s="3">
        <v>0</v>
      </c>
      <c r="I11" t="s">
        <v>157</v>
      </c>
      <c r="J11" t="s">
        <v>55</v>
      </c>
    </row>
    <row r="12" spans="1:12" hidden="1" x14ac:dyDescent="0.25">
      <c r="A12" t="s">
        <v>67</v>
      </c>
      <c r="B12">
        <v>87</v>
      </c>
      <c r="C12" t="s">
        <v>183</v>
      </c>
      <c r="D12" t="s">
        <v>159</v>
      </c>
      <c r="E12" t="s">
        <v>184</v>
      </c>
      <c r="F12" t="s">
        <v>41</v>
      </c>
      <c r="G12" s="3">
        <v>0.4</v>
      </c>
      <c r="I12" t="s">
        <v>157</v>
      </c>
      <c r="J12" t="s">
        <v>55</v>
      </c>
    </row>
    <row r="13" spans="1:12" hidden="1" x14ac:dyDescent="0.25">
      <c r="A13" t="s">
        <v>67</v>
      </c>
      <c r="B13">
        <v>89</v>
      </c>
      <c r="C13" t="s">
        <v>189</v>
      </c>
      <c r="D13" t="s">
        <v>188</v>
      </c>
      <c r="E13" t="s">
        <v>104</v>
      </c>
      <c r="F13" t="s">
        <v>41</v>
      </c>
      <c r="G13" s="3">
        <v>0</v>
      </c>
      <c r="I13" t="s">
        <v>157</v>
      </c>
      <c r="J13" t="s">
        <v>55</v>
      </c>
    </row>
    <row r="14" spans="1:12" hidden="1" x14ac:dyDescent="0.25">
      <c r="A14" t="s">
        <v>179</v>
      </c>
      <c r="B14">
        <v>245</v>
      </c>
      <c r="C14" t="s">
        <v>370</v>
      </c>
      <c r="D14" t="s">
        <v>371</v>
      </c>
      <c r="E14" t="s">
        <v>100</v>
      </c>
      <c r="F14" t="s">
        <v>41</v>
      </c>
      <c r="G14" s="3">
        <v>1</v>
      </c>
      <c r="I14" t="s">
        <v>365</v>
      </c>
      <c r="J14" t="s">
        <v>55</v>
      </c>
    </row>
    <row r="15" spans="1:12" hidden="1" x14ac:dyDescent="0.25">
      <c r="A15" t="s">
        <v>194</v>
      </c>
      <c r="B15">
        <v>91</v>
      </c>
      <c r="C15" t="s">
        <v>195</v>
      </c>
      <c r="D15" t="s">
        <v>188</v>
      </c>
      <c r="E15" t="s">
        <v>114</v>
      </c>
      <c r="F15" t="s">
        <v>196</v>
      </c>
      <c r="G15" s="3">
        <v>0</v>
      </c>
      <c r="I15" t="s">
        <v>157</v>
      </c>
      <c r="J15" t="s">
        <v>55</v>
      </c>
    </row>
    <row r="16" spans="1:12" hidden="1" x14ac:dyDescent="0.25">
      <c r="A16" t="s">
        <v>67</v>
      </c>
      <c r="B16">
        <v>92</v>
      </c>
      <c r="C16" t="s">
        <v>198</v>
      </c>
      <c r="D16" t="s">
        <v>159</v>
      </c>
      <c r="E16" t="s">
        <v>199</v>
      </c>
      <c r="F16" t="s">
        <v>41</v>
      </c>
      <c r="G16" s="3">
        <v>0.4</v>
      </c>
      <c r="I16" t="s">
        <v>157</v>
      </c>
      <c r="J16" t="s">
        <v>55</v>
      </c>
    </row>
    <row r="17" spans="1:12" hidden="1" x14ac:dyDescent="0.25">
      <c r="A17" t="s">
        <v>67</v>
      </c>
      <c r="B17">
        <v>94</v>
      </c>
      <c r="C17" t="s">
        <v>202</v>
      </c>
      <c r="D17" t="s">
        <v>201</v>
      </c>
      <c r="E17" t="s">
        <v>104</v>
      </c>
      <c r="F17" t="s">
        <v>41</v>
      </c>
      <c r="G17" s="3">
        <v>0</v>
      </c>
      <c r="I17" t="s">
        <v>157</v>
      </c>
      <c r="J17" t="s">
        <v>55</v>
      </c>
    </row>
    <row r="18" spans="1:12" hidden="1" x14ac:dyDescent="0.25">
      <c r="A18" t="s">
        <v>179</v>
      </c>
      <c r="B18">
        <v>301</v>
      </c>
      <c r="C18" t="s">
        <v>442</v>
      </c>
      <c r="D18" t="s">
        <v>443</v>
      </c>
      <c r="E18" t="s">
        <v>100</v>
      </c>
      <c r="F18" t="s">
        <v>41</v>
      </c>
      <c r="G18" s="3">
        <v>0</v>
      </c>
      <c r="I18" t="s">
        <v>438</v>
      </c>
      <c r="J18" t="s">
        <v>55</v>
      </c>
    </row>
    <row r="19" spans="1:12" hidden="1" x14ac:dyDescent="0.25">
      <c r="A19" t="s">
        <v>194</v>
      </c>
      <c r="B19">
        <v>96</v>
      </c>
      <c r="C19" t="s">
        <v>204</v>
      </c>
      <c r="D19" t="s">
        <v>201</v>
      </c>
      <c r="E19" t="s">
        <v>114</v>
      </c>
      <c r="F19" t="s">
        <v>196</v>
      </c>
      <c r="G19" s="3">
        <v>0</v>
      </c>
      <c r="I19" t="s">
        <v>157</v>
      </c>
      <c r="J19" t="s">
        <v>55</v>
      </c>
    </row>
    <row r="20" spans="1:12" hidden="1" x14ac:dyDescent="0.25">
      <c r="A20" t="s">
        <v>67</v>
      </c>
      <c r="B20">
        <v>97</v>
      </c>
      <c r="C20" t="s">
        <v>205</v>
      </c>
      <c r="D20" t="s">
        <v>159</v>
      </c>
      <c r="E20" t="s">
        <v>206</v>
      </c>
      <c r="F20" t="s">
        <v>41</v>
      </c>
      <c r="G20" s="3">
        <v>0.4</v>
      </c>
      <c r="I20" t="s">
        <v>157</v>
      </c>
      <c r="J20" t="s">
        <v>55</v>
      </c>
    </row>
    <row r="21" spans="1:12" hidden="1" x14ac:dyDescent="0.25">
      <c r="A21" t="s">
        <v>67</v>
      </c>
      <c r="B21">
        <v>99</v>
      </c>
      <c r="C21" t="s">
        <v>209</v>
      </c>
      <c r="D21" t="s">
        <v>208</v>
      </c>
      <c r="E21" t="s">
        <v>104</v>
      </c>
      <c r="F21" t="s">
        <v>41</v>
      </c>
      <c r="G21" s="3">
        <v>0</v>
      </c>
      <c r="I21" t="s">
        <v>157</v>
      </c>
      <c r="J21" t="s">
        <v>55</v>
      </c>
    </row>
    <row r="22" spans="1:12" hidden="1" x14ac:dyDescent="0.25">
      <c r="A22" t="s">
        <v>73</v>
      </c>
      <c r="B22">
        <v>502</v>
      </c>
      <c r="C22" t="s">
        <v>672</v>
      </c>
      <c r="D22" t="s">
        <v>673</v>
      </c>
      <c r="E22" t="s">
        <v>100</v>
      </c>
      <c r="F22" t="s">
        <v>41</v>
      </c>
      <c r="G22" s="3">
        <v>0</v>
      </c>
      <c r="I22" t="s">
        <v>569</v>
      </c>
      <c r="J22" t="s">
        <v>55</v>
      </c>
      <c r="L22" t="s">
        <v>1030</v>
      </c>
    </row>
    <row r="23" spans="1:12" hidden="1" x14ac:dyDescent="0.25">
      <c r="A23" t="s">
        <v>194</v>
      </c>
      <c r="B23">
        <v>101</v>
      </c>
      <c r="C23" t="s">
        <v>211</v>
      </c>
      <c r="D23" t="s">
        <v>208</v>
      </c>
      <c r="E23" t="s">
        <v>114</v>
      </c>
      <c r="F23" t="s">
        <v>196</v>
      </c>
      <c r="G23" s="3">
        <v>0</v>
      </c>
      <c r="I23" t="s">
        <v>157</v>
      </c>
      <c r="J23" t="s">
        <v>55</v>
      </c>
    </row>
    <row r="24" spans="1:12" hidden="1" x14ac:dyDescent="0.25">
      <c r="A24" t="s">
        <v>67</v>
      </c>
      <c r="B24">
        <v>102</v>
      </c>
      <c r="C24" t="s">
        <v>212</v>
      </c>
      <c r="D24" t="s">
        <v>159</v>
      </c>
      <c r="E24" t="s">
        <v>213</v>
      </c>
      <c r="F24" t="s">
        <v>41</v>
      </c>
      <c r="G24" s="3">
        <v>0.4</v>
      </c>
      <c r="I24" t="s">
        <v>157</v>
      </c>
      <c r="J24" t="s">
        <v>55</v>
      </c>
    </row>
    <row r="25" spans="1:12" hidden="1" x14ac:dyDescent="0.25">
      <c r="A25" t="s">
        <v>67</v>
      </c>
      <c r="B25">
        <v>104</v>
      </c>
      <c r="C25" t="s">
        <v>216</v>
      </c>
      <c r="D25" t="s">
        <v>215</v>
      </c>
      <c r="E25" t="s">
        <v>104</v>
      </c>
      <c r="F25" t="s">
        <v>41</v>
      </c>
      <c r="G25" s="3">
        <v>0</v>
      </c>
      <c r="I25" t="s">
        <v>157</v>
      </c>
      <c r="J25" t="s">
        <v>55</v>
      </c>
    </row>
    <row r="26" spans="1:12" hidden="1" x14ac:dyDescent="0.25">
      <c r="A26" t="s">
        <v>67</v>
      </c>
      <c r="B26">
        <v>643</v>
      </c>
      <c r="C26" t="s">
        <v>882</v>
      </c>
      <c r="D26" t="s">
        <v>883</v>
      </c>
      <c r="E26" t="s">
        <v>100</v>
      </c>
      <c r="F26" t="s">
        <v>41</v>
      </c>
      <c r="G26" s="3">
        <v>1</v>
      </c>
      <c r="I26" t="s">
        <v>869</v>
      </c>
      <c r="J26" t="s">
        <v>44</v>
      </c>
      <c r="L26" t="s">
        <v>1029</v>
      </c>
    </row>
    <row r="27" spans="1:12" hidden="1" x14ac:dyDescent="0.25">
      <c r="A27" t="s">
        <v>194</v>
      </c>
      <c r="B27">
        <v>106</v>
      </c>
      <c r="C27" t="s">
        <v>218</v>
      </c>
      <c r="D27" t="s">
        <v>215</v>
      </c>
      <c r="E27" t="s">
        <v>114</v>
      </c>
      <c r="F27" t="s">
        <v>196</v>
      </c>
      <c r="G27" s="3">
        <v>0</v>
      </c>
      <c r="I27" t="s">
        <v>157</v>
      </c>
      <c r="J27" t="s">
        <v>55</v>
      </c>
    </row>
    <row r="28" spans="1:12" hidden="1" x14ac:dyDescent="0.25">
      <c r="A28" t="s">
        <v>76</v>
      </c>
      <c r="B28">
        <v>117</v>
      </c>
      <c r="C28" t="s">
        <v>230</v>
      </c>
      <c r="D28" t="s">
        <v>159</v>
      </c>
      <c r="E28" t="s">
        <v>231</v>
      </c>
      <c r="F28" t="s">
        <v>41</v>
      </c>
      <c r="G28" s="3">
        <v>0.67</v>
      </c>
      <c r="I28" t="s">
        <v>157</v>
      </c>
      <c r="J28" t="s">
        <v>55</v>
      </c>
    </row>
    <row r="29" spans="1:12" hidden="1" x14ac:dyDescent="0.25">
      <c r="A29" t="s">
        <v>179</v>
      </c>
      <c r="B29">
        <v>85</v>
      </c>
      <c r="C29" t="s">
        <v>180</v>
      </c>
      <c r="D29" t="s">
        <v>176</v>
      </c>
      <c r="E29" t="s">
        <v>108</v>
      </c>
      <c r="F29" t="s">
        <v>41</v>
      </c>
      <c r="G29" s="3">
        <v>0</v>
      </c>
      <c r="I29" t="s">
        <v>157</v>
      </c>
      <c r="J29" t="s">
        <v>55</v>
      </c>
      <c r="L29" t="s">
        <v>1029</v>
      </c>
    </row>
    <row r="30" spans="1:12" hidden="1" x14ac:dyDescent="0.25">
      <c r="A30" t="s">
        <v>179</v>
      </c>
      <c r="B30">
        <v>121</v>
      </c>
      <c r="C30" t="s">
        <v>239</v>
      </c>
      <c r="D30" t="s">
        <v>234</v>
      </c>
      <c r="E30" t="s">
        <v>114</v>
      </c>
      <c r="F30" t="s">
        <v>41</v>
      </c>
      <c r="G30" s="3">
        <v>0</v>
      </c>
      <c r="I30" t="s">
        <v>157</v>
      </c>
      <c r="J30" t="s">
        <v>55</v>
      </c>
    </row>
    <row r="31" spans="1:12" hidden="1" x14ac:dyDescent="0.25">
      <c r="A31" t="s">
        <v>76</v>
      </c>
      <c r="B31">
        <v>122</v>
      </c>
      <c r="C31" t="s">
        <v>240</v>
      </c>
      <c r="D31" t="s">
        <v>159</v>
      </c>
      <c r="E31" t="s">
        <v>241</v>
      </c>
      <c r="F31" t="s">
        <v>41</v>
      </c>
      <c r="G31" s="3">
        <v>0.67</v>
      </c>
      <c r="I31" t="s">
        <v>157</v>
      </c>
      <c r="J31" t="s">
        <v>55</v>
      </c>
    </row>
    <row r="32" spans="1:12" hidden="1" x14ac:dyDescent="0.25">
      <c r="A32" t="s">
        <v>194</v>
      </c>
      <c r="B32">
        <v>90</v>
      </c>
      <c r="C32" t="s">
        <v>191</v>
      </c>
      <c r="D32" t="s">
        <v>188</v>
      </c>
      <c r="E32" t="s">
        <v>108</v>
      </c>
      <c r="F32" t="s">
        <v>192</v>
      </c>
      <c r="G32" s="3">
        <v>0</v>
      </c>
      <c r="I32" t="s">
        <v>157</v>
      </c>
      <c r="J32" t="s">
        <v>55</v>
      </c>
      <c r="L32" t="s">
        <v>1029</v>
      </c>
    </row>
    <row r="33" spans="1:12" hidden="1" x14ac:dyDescent="0.25">
      <c r="A33" t="s">
        <v>179</v>
      </c>
      <c r="B33">
        <v>126</v>
      </c>
      <c r="C33" t="s">
        <v>250</v>
      </c>
      <c r="D33" t="s">
        <v>243</v>
      </c>
      <c r="E33" t="s">
        <v>114</v>
      </c>
      <c r="F33" t="s">
        <v>41</v>
      </c>
      <c r="G33" s="3">
        <v>0</v>
      </c>
      <c r="I33" t="s">
        <v>157</v>
      </c>
      <c r="J33" t="s">
        <v>55</v>
      </c>
    </row>
    <row r="34" spans="1:12" hidden="1" x14ac:dyDescent="0.25">
      <c r="A34" t="s">
        <v>73</v>
      </c>
      <c r="B34">
        <v>132</v>
      </c>
      <c r="C34" t="s">
        <v>264</v>
      </c>
      <c r="D34" t="s">
        <v>159</v>
      </c>
      <c r="E34" t="s">
        <v>265</v>
      </c>
      <c r="F34" t="s">
        <v>41</v>
      </c>
      <c r="G34" s="3">
        <v>0.5</v>
      </c>
      <c r="I34" t="s">
        <v>157</v>
      </c>
      <c r="J34" t="s">
        <v>55</v>
      </c>
    </row>
    <row r="35" spans="1:12" hidden="1" x14ac:dyDescent="0.25">
      <c r="A35" t="s">
        <v>179</v>
      </c>
      <c r="B35">
        <v>134</v>
      </c>
      <c r="C35" t="s">
        <v>269</v>
      </c>
      <c r="D35" t="s">
        <v>267</v>
      </c>
      <c r="E35" t="s">
        <v>104</v>
      </c>
      <c r="F35" t="s">
        <v>41</v>
      </c>
      <c r="G35" s="3">
        <v>0.5</v>
      </c>
      <c r="I35" t="s">
        <v>157</v>
      </c>
      <c r="J35" t="s">
        <v>55</v>
      </c>
    </row>
    <row r="36" spans="1:12" hidden="1" x14ac:dyDescent="0.25">
      <c r="A36" t="s">
        <v>194</v>
      </c>
      <c r="B36">
        <v>95</v>
      </c>
      <c r="C36" t="s">
        <v>203</v>
      </c>
      <c r="D36" t="s">
        <v>201</v>
      </c>
      <c r="E36" t="s">
        <v>108</v>
      </c>
      <c r="F36" t="s">
        <v>192</v>
      </c>
      <c r="G36" s="3">
        <v>0</v>
      </c>
      <c r="I36" t="s">
        <v>157</v>
      </c>
      <c r="J36" t="s">
        <v>55</v>
      </c>
      <c r="L36" t="s">
        <v>1029</v>
      </c>
    </row>
    <row r="37" spans="1:12" hidden="1" x14ac:dyDescent="0.25">
      <c r="A37" t="s">
        <v>179</v>
      </c>
      <c r="B37">
        <v>136</v>
      </c>
      <c r="C37" t="s">
        <v>271</v>
      </c>
      <c r="D37" t="s">
        <v>267</v>
      </c>
      <c r="E37" t="s">
        <v>114</v>
      </c>
      <c r="F37" t="s">
        <v>41</v>
      </c>
      <c r="G37" s="3">
        <v>0</v>
      </c>
      <c r="I37" t="s">
        <v>157</v>
      </c>
      <c r="J37" t="s">
        <v>55</v>
      </c>
    </row>
    <row r="38" spans="1:12" hidden="1" x14ac:dyDescent="0.25">
      <c r="A38" t="s">
        <v>73</v>
      </c>
      <c r="B38">
        <v>137</v>
      </c>
      <c r="C38" t="s">
        <v>272</v>
      </c>
      <c r="D38" t="s">
        <v>159</v>
      </c>
      <c r="E38" t="s">
        <v>273</v>
      </c>
      <c r="F38" t="s">
        <v>41</v>
      </c>
      <c r="G38" s="3">
        <v>0.5</v>
      </c>
      <c r="I38" t="s">
        <v>157</v>
      </c>
      <c r="J38" t="s">
        <v>55</v>
      </c>
    </row>
    <row r="39" spans="1:12" hidden="1" x14ac:dyDescent="0.25">
      <c r="A39" t="s">
        <v>179</v>
      </c>
      <c r="B39">
        <v>139</v>
      </c>
      <c r="C39" t="s">
        <v>276</v>
      </c>
      <c r="D39" t="s">
        <v>275</v>
      </c>
      <c r="E39" t="s">
        <v>104</v>
      </c>
      <c r="F39" t="s">
        <v>41</v>
      </c>
      <c r="G39" s="3">
        <v>0.5</v>
      </c>
      <c r="I39" t="s">
        <v>157</v>
      </c>
      <c r="J39" t="s">
        <v>55</v>
      </c>
    </row>
    <row r="40" spans="1:12" hidden="1" x14ac:dyDescent="0.25">
      <c r="A40" t="s">
        <v>194</v>
      </c>
      <c r="B40">
        <v>100</v>
      </c>
      <c r="C40" t="s">
        <v>210</v>
      </c>
      <c r="D40" t="s">
        <v>208</v>
      </c>
      <c r="E40" t="s">
        <v>108</v>
      </c>
      <c r="F40" t="s">
        <v>192</v>
      </c>
      <c r="G40" s="3">
        <v>0</v>
      </c>
      <c r="I40" t="s">
        <v>157</v>
      </c>
      <c r="J40" t="s">
        <v>55</v>
      </c>
      <c r="L40" t="s">
        <v>1029</v>
      </c>
    </row>
    <row r="41" spans="1:12" hidden="1" x14ac:dyDescent="0.25">
      <c r="A41" t="s">
        <v>179</v>
      </c>
      <c r="B41">
        <v>141</v>
      </c>
      <c r="C41" t="s">
        <v>278</v>
      </c>
      <c r="D41" t="s">
        <v>275</v>
      </c>
      <c r="E41" t="s">
        <v>114</v>
      </c>
      <c r="F41" t="s">
        <v>41</v>
      </c>
      <c r="G41" s="3">
        <v>0</v>
      </c>
      <c r="I41" t="s">
        <v>157</v>
      </c>
      <c r="J41" t="s">
        <v>55</v>
      </c>
    </row>
    <row r="42" spans="1:12" hidden="1" x14ac:dyDescent="0.25">
      <c r="A42" t="s">
        <v>73</v>
      </c>
      <c r="B42">
        <v>142</v>
      </c>
      <c r="C42" t="s">
        <v>279</v>
      </c>
      <c r="D42" t="s">
        <v>159</v>
      </c>
      <c r="E42" t="s">
        <v>280</v>
      </c>
      <c r="F42" t="s">
        <v>41</v>
      </c>
      <c r="G42" s="3">
        <v>0.5</v>
      </c>
      <c r="I42" t="s">
        <v>157</v>
      </c>
      <c r="J42" t="s">
        <v>55</v>
      </c>
    </row>
    <row r="43" spans="1:12" hidden="1" x14ac:dyDescent="0.25">
      <c r="A43" t="s">
        <v>179</v>
      </c>
      <c r="B43">
        <v>144</v>
      </c>
      <c r="C43" t="s">
        <v>283</v>
      </c>
      <c r="D43" t="s">
        <v>282</v>
      </c>
      <c r="E43" t="s">
        <v>104</v>
      </c>
      <c r="F43" t="s">
        <v>41</v>
      </c>
      <c r="G43" s="3">
        <v>0.5</v>
      </c>
      <c r="I43" t="s">
        <v>157</v>
      </c>
      <c r="J43" t="s">
        <v>55</v>
      </c>
    </row>
    <row r="44" spans="1:12" hidden="1" x14ac:dyDescent="0.25">
      <c r="A44" t="s">
        <v>194</v>
      </c>
      <c r="B44">
        <v>105</v>
      </c>
      <c r="C44" t="s">
        <v>217</v>
      </c>
      <c r="D44" t="s">
        <v>215</v>
      </c>
      <c r="E44" t="s">
        <v>108</v>
      </c>
      <c r="F44" t="s">
        <v>192</v>
      </c>
      <c r="G44" s="3">
        <v>0</v>
      </c>
      <c r="I44" t="s">
        <v>157</v>
      </c>
      <c r="J44" t="s">
        <v>55</v>
      </c>
      <c r="L44" t="s">
        <v>1029</v>
      </c>
    </row>
    <row r="45" spans="1:12" hidden="1" x14ac:dyDescent="0.25">
      <c r="A45" t="s">
        <v>179</v>
      </c>
      <c r="B45">
        <v>146</v>
      </c>
      <c r="C45" t="s">
        <v>286</v>
      </c>
      <c r="D45" t="s">
        <v>282</v>
      </c>
      <c r="E45" t="s">
        <v>114</v>
      </c>
      <c r="F45" t="s">
        <v>41</v>
      </c>
      <c r="G45" s="3">
        <v>0</v>
      </c>
      <c r="I45" t="s">
        <v>157</v>
      </c>
      <c r="J45" t="s">
        <v>55</v>
      </c>
    </row>
    <row r="46" spans="1:12" hidden="1" x14ac:dyDescent="0.25">
      <c r="A46" t="s">
        <v>76</v>
      </c>
      <c r="B46">
        <v>147</v>
      </c>
      <c r="C46" t="s">
        <v>287</v>
      </c>
      <c r="D46" t="s">
        <v>50</v>
      </c>
      <c r="E46" t="s">
        <v>288</v>
      </c>
      <c r="F46" t="s">
        <v>41</v>
      </c>
      <c r="G46" s="3">
        <v>0.48</v>
      </c>
      <c r="I46" t="s">
        <v>290</v>
      </c>
      <c r="J46" t="s">
        <v>55</v>
      </c>
    </row>
    <row r="47" spans="1:12" hidden="1" x14ac:dyDescent="0.25">
      <c r="A47" t="s">
        <v>73</v>
      </c>
      <c r="B47">
        <v>158</v>
      </c>
      <c r="C47" t="s">
        <v>291</v>
      </c>
      <c r="D47" t="s">
        <v>292</v>
      </c>
      <c r="E47" t="s">
        <v>293</v>
      </c>
      <c r="F47" t="s">
        <v>41</v>
      </c>
      <c r="G47" s="3">
        <v>0.64</v>
      </c>
      <c r="I47" t="s">
        <v>290</v>
      </c>
      <c r="J47" t="s">
        <v>55</v>
      </c>
    </row>
    <row r="48" spans="1:12" hidden="1" x14ac:dyDescent="0.25">
      <c r="A48" t="s">
        <v>179</v>
      </c>
      <c r="B48">
        <v>160</v>
      </c>
      <c r="C48" t="s">
        <v>298</v>
      </c>
      <c r="D48" t="s">
        <v>296</v>
      </c>
      <c r="E48" t="s">
        <v>104</v>
      </c>
      <c r="F48" t="s">
        <v>41</v>
      </c>
      <c r="G48" s="3">
        <v>0</v>
      </c>
      <c r="I48" t="s">
        <v>290</v>
      </c>
      <c r="J48" t="s">
        <v>55</v>
      </c>
    </row>
    <row r="49" spans="1:12" hidden="1" x14ac:dyDescent="0.25">
      <c r="A49" t="s">
        <v>73</v>
      </c>
      <c r="B49">
        <v>120</v>
      </c>
      <c r="C49" t="s">
        <v>238</v>
      </c>
      <c r="D49" t="s">
        <v>234</v>
      </c>
      <c r="E49" t="s">
        <v>108</v>
      </c>
      <c r="F49" t="s">
        <v>41</v>
      </c>
      <c r="G49" s="3">
        <v>0.5</v>
      </c>
      <c r="I49" t="s">
        <v>157</v>
      </c>
      <c r="J49" t="s">
        <v>55</v>
      </c>
      <c r="L49" t="s">
        <v>1029</v>
      </c>
    </row>
    <row r="50" spans="1:12" hidden="1" x14ac:dyDescent="0.25">
      <c r="A50" t="s">
        <v>179</v>
      </c>
      <c r="B50">
        <v>162</v>
      </c>
      <c r="C50" t="s">
        <v>301</v>
      </c>
      <c r="D50" t="s">
        <v>296</v>
      </c>
      <c r="E50" t="s">
        <v>114</v>
      </c>
      <c r="F50" t="s">
        <v>41</v>
      </c>
      <c r="G50" s="3">
        <v>0</v>
      </c>
      <c r="I50" t="s">
        <v>290</v>
      </c>
      <c r="J50" t="s">
        <v>55</v>
      </c>
    </row>
    <row r="51" spans="1:12" hidden="1" x14ac:dyDescent="0.25">
      <c r="A51" t="s">
        <v>179</v>
      </c>
      <c r="B51">
        <v>178</v>
      </c>
      <c r="C51" t="s">
        <v>302</v>
      </c>
      <c r="D51" t="s">
        <v>292</v>
      </c>
      <c r="E51" t="s">
        <v>303</v>
      </c>
      <c r="F51" t="s">
        <v>41</v>
      </c>
      <c r="G51" s="3">
        <v>0.33</v>
      </c>
      <c r="I51" t="s">
        <v>290</v>
      </c>
      <c r="J51" t="s">
        <v>55</v>
      </c>
    </row>
    <row r="52" spans="1:12" hidden="1" x14ac:dyDescent="0.25">
      <c r="A52" t="s">
        <v>179</v>
      </c>
      <c r="B52">
        <v>180</v>
      </c>
      <c r="C52" t="s">
        <v>307</v>
      </c>
      <c r="D52" t="s">
        <v>306</v>
      </c>
      <c r="E52" t="s">
        <v>104</v>
      </c>
      <c r="F52" t="s">
        <v>41</v>
      </c>
      <c r="G52" s="3">
        <v>0</v>
      </c>
      <c r="I52" t="s">
        <v>290</v>
      </c>
      <c r="J52" t="s">
        <v>55</v>
      </c>
    </row>
    <row r="53" spans="1:12" hidden="1" x14ac:dyDescent="0.25">
      <c r="A53" t="s">
        <v>73</v>
      </c>
      <c r="B53">
        <v>125</v>
      </c>
      <c r="C53" t="s">
        <v>249</v>
      </c>
      <c r="D53" t="s">
        <v>243</v>
      </c>
      <c r="E53" t="s">
        <v>108</v>
      </c>
      <c r="F53" t="s">
        <v>41</v>
      </c>
      <c r="G53" s="3">
        <v>0.5</v>
      </c>
      <c r="I53" t="s">
        <v>157</v>
      </c>
      <c r="J53" t="s">
        <v>55</v>
      </c>
      <c r="L53" t="s">
        <v>1029</v>
      </c>
    </row>
    <row r="54" spans="1:12" hidden="1" x14ac:dyDescent="0.25">
      <c r="A54" t="s">
        <v>67</v>
      </c>
      <c r="B54">
        <v>182</v>
      </c>
      <c r="C54" t="s">
        <v>310</v>
      </c>
      <c r="D54" t="s">
        <v>306</v>
      </c>
      <c r="E54" t="s">
        <v>114</v>
      </c>
      <c r="F54" t="s">
        <v>41</v>
      </c>
      <c r="G54" s="3">
        <v>0</v>
      </c>
      <c r="I54" t="s">
        <v>290</v>
      </c>
      <c r="J54" t="s">
        <v>55</v>
      </c>
    </row>
    <row r="55" spans="1:12" hidden="1" x14ac:dyDescent="0.25">
      <c r="A55" t="s">
        <v>314</v>
      </c>
      <c r="B55">
        <v>183</v>
      </c>
      <c r="C55" t="s">
        <v>312</v>
      </c>
      <c r="D55" t="s">
        <v>292</v>
      </c>
      <c r="E55" t="s">
        <v>313</v>
      </c>
      <c r="F55" t="s">
        <v>41</v>
      </c>
      <c r="G55" s="3">
        <v>0.43</v>
      </c>
      <c r="I55" t="s">
        <v>290</v>
      </c>
      <c r="J55" t="s">
        <v>55</v>
      </c>
    </row>
    <row r="56" spans="1:12" hidden="1" x14ac:dyDescent="0.25">
      <c r="A56" t="s">
        <v>314</v>
      </c>
      <c r="B56">
        <v>185</v>
      </c>
      <c r="C56" t="s">
        <v>319</v>
      </c>
      <c r="D56" t="s">
        <v>316</v>
      </c>
      <c r="E56" t="s">
        <v>104</v>
      </c>
      <c r="F56" t="s">
        <v>41</v>
      </c>
      <c r="G56" s="3">
        <v>0</v>
      </c>
      <c r="I56" t="s">
        <v>290</v>
      </c>
      <c r="J56" t="s">
        <v>55</v>
      </c>
    </row>
    <row r="57" spans="1:12" hidden="1" x14ac:dyDescent="0.25">
      <c r="A57" t="s">
        <v>179</v>
      </c>
      <c r="B57">
        <v>135</v>
      </c>
      <c r="C57" t="s">
        <v>270</v>
      </c>
      <c r="D57" t="s">
        <v>267</v>
      </c>
      <c r="E57" t="s">
        <v>108</v>
      </c>
      <c r="F57" t="s">
        <v>41</v>
      </c>
      <c r="G57" s="3">
        <v>0</v>
      </c>
      <c r="I57" t="s">
        <v>157</v>
      </c>
      <c r="J57" t="s">
        <v>55</v>
      </c>
      <c r="L57" t="s">
        <v>1029</v>
      </c>
    </row>
    <row r="58" spans="1:12" hidden="1" x14ac:dyDescent="0.25">
      <c r="A58" t="s">
        <v>314</v>
      </c>
      <c r="B58">
        <v>187</v>
      </c>
      <c r="C58" t="s">
        <v>322</v>
      </c>
      <c r="D58" t="s">
        <v>316</v>
      </c>
      <c r="E58" t="s">
        <v>114</v>
      </c>
      <c r="F58" t="s">
        <v>41</v>
      </c>
      <c r="G58" s="3">
        <v>0</v>
      </c>
      <c r="I58" t="s">
        <v>290</v>
      </c>
      <c r="J58" t="s">
        <v>55</v>
      </c>
    </row>
    <row r="59" spans="1:12" hidden="1" x14ac:dyDescent="0.25">
      <c r="A59" t="s">
        <v>76</v>
      </c>
      <c r="B59">
        <v>188</v>
      </c>
      <c r="C59" t="s">
        <v>323</v>
      </c>
      <c r="D59" t="s">
        <v>292</v>
      </c>
      <c r="E59" t="s">
        <v>324</v>
      </c>
      <c r="F59" t="s">
        <v>41</v>
      </c>
      <c r="G59" s="3">
        <v>0.38</v>
      </c>
      <c r="I59" t="s">
        <v>290</v>
      </c>
      <c r="J59" t="s">
        <v>55</v>
      </c>
    </row>
    <row r="60" spans="1:12" hidden="1" x14ac:dyDescent="0.25">
      <c r="A60" t="s">
        <v>76</v>
      </c>
      <c r="B60">
        <v>190</v>
      </c>
      <c r="C60" t="s">
        <v>328</v>
      </c>
      <c r="D60" t="s">
        <v>326</v>
      </c>
      <c r="E60" t="s">
        <v>104</v>
      </c>
      <c r="F60" t="s">
        <v>41</v>
      </c>
      <c r="G60" s="3">
        <v>0</v>
      </c>
      <c r="I60" t="s">
        <v>290</v>
      </c>
      <c r="J60" t="s">
        <v>55</v>
      </c>
    </row>
    <row r="61" spans="1:12" hidden="1" x14ac:dyDescent="0.25">
      <c r="A61" t="s">
        <v>179</v>
      </c>
      <c r="B61">
        <v>140</v>
      </c>
      <c r="C61" t="s">
        <v>277</v>
      </c>
      <c r="D61" t="s">
        <v>275</v>
      </c>
      <c r="E61" t="s">
        <v>108</v>
      </c>
      <c r="F61" t="s">
        <v>41</v>
      </c>
      <c r="G61" s="3">
        <v>0</v>
      </c>
      <c r="I61" t="s">
        <v>157</v>
      </c>
      <c r="J61" t="s">
        <v>55</v>
      </c>
      <c r="L61" t="s">
        <v>1029</v>
      </c>
    </row>
    <row r="62" spans="1:12" hidden="1" x14ac:dyDescent="0.25">
      <c r="A62" t="s">
        <v>76</v>
      </c>
      <c r="B62">
        <v>192</v>
      </c>
      <c r="C62" t="s">
        <v>331</v>
      </c>
      <c r="D62" t="s">
        <v>326</v>
      </c>
      <c r="E62" t="s">
        <v>114</v>
      </c>
      <c r="F62" t="s">
        <v>41</v>
      </c>
      <c r="G62" s="3">
        <v>0</v>
      </c>
      <c r="I62" t="s">
        <v>290</v>
      </c>
      <c r="J62" t="s">
        <v>55</v>
      </c>
    </row>
    <row r="63" spans="1:12" hidden="1" x14ac:dyDescent="0.25">
      <c r="A63" t="s">
        <v>179</v>
      </c>
      <c r="B63">
        <v>198</v>
      </c>
      <c r="C63" t="s">
        <v>332</v>
      </c>
      <c r="D63" t="s">
        <v>292</v>
      </c>
      <c r="E63" t="s">
        <v>333</v>
      </c>
      <c r="F63" t="s">
        <v>41</v>
      </c>
      <c r="G63" s="3">
        <v>0.56000000000000005</v>
      </c>
      <c r="I63" t="s">
        <v>290</v>
      </c>
      <c r="J63" t="s">
        <v>55</v>
      </c>
    </row>
    <row r="64" spans="1:12" hidden="1" x14ac:dyDescent="0.25">
      <c r="A64" t="s">
        <v>179</v>
      </c>
      <c r="B64">
        <v>200</v>
      </c>
      <c r="C64" t="s">
        <v>337</v>
      </c>
      <c r="D64" t="s">
        <v>336</v>
      </c>
      <c r="E64" t="s">
        <v>104</v>
      </c>
      <c r="F64" t="s">
        <v>41</v>
      </c>
      <c r="G64" s="3">
        <v>0.5</v>
      </c>
      <c r="I64" t="s">
        <v>290</v>
      </c>
      <c r="J64" t="s">
        <v>55</v>
      </c>
    </row>
    <row r="65" spans="1:12" hidden="1" x14ac:dyDescent="0.25">
      <c r="A65" t="s">
        <v>179</v>
      </c>
      <c r="B65">
        <v>145</v>
      </c>
      <c r="C65" t="s">
        <v>285</v>
      </c>
      <c r="D65" t="s">
        <v>282</v>
      </c>
      <c r="E65" t="s">
        <v>108</v>
      </c>
      <c r="F65" t="s">
        <v>41</v>
      </c>
      <c r="G65" s="3">
        <v>0</v>
      </c>
      <c r="I65" t="s">
        <v>157</v>
      </c>
      <c r="J65" t="s">
        <v>55</v>
      </c>
      <c r="L65" t="s">
        <v>1029</v>
      </c>
    </row>
    <row r="66" spans="1:12" hidden="1" x14ac:dyDescent="0.25">
      <c r="A66" t="s">
        <v>67</v>
      </c>
      <c r="B66">
        <v>202</v>
      </c>
      <c r="C66" t="s">
        <v>339</v>
      </c>
      <c r="D66" t="s">
        <v>336</v>
      </c>
      <c r="E66" t="s">
        <v>114</v>
      </c>
      <c r="F66" t="s">
        <v>41</v>
      </c>
      <c r="G66" s="3">
        <v>0</v>
      </c>
      <c r="I66" t="s">
        <v>290</v>
      </c>
      <c r="J66" t="s">
        <v>55</v>
      </c>
    </row>
    <row r="67" spans="1:12" hidden="1" x14ac:dyDescent="0.25">
      <c r="A67" t="s">
        <v>179</v>
      </c>
      <c r="B67">
        <v>203</v>
      </c>
      <c r="C67" t="s">
        <v>340</v>
      </c>
      <c r="D67" t="s">
        <v>292</v>
      </c>
      <c r="E67" t="s">
        <v>341</v>
      </c>
      <c r="F67" t="s">
        <v>41</v>
      </c>
      <c r="G67" s="3">
        <v>0.56000000000000005</v>
      </c>
      <c r="I67" t="s">
        <v>290</v>
      </c>
      <c r="J67" t="s">
        <v>55</v>
      </c>
    </row>
    <row r="68" spans="1:12" hidden="1" x14ac:dyDescent="0.25">
      <c r="A68" t="s">
        <v>179</v>
      </c>
      <c r="B68">
        <v>205</v>
      </c>
      <c r="C68" t="s">
        <v>344</v>
      </c>
      <c r="D68" t="s">
        <v>343</v>
      </c>
      <c r="E68" t="s">
        <v>104</v>
      </c>
      <c r="F68" t="s">
        <v>41</v>
      </c>
      <c r="G68" s="3">
        <v>0.5</v>
      </c>
      <c r="I68" t="s">
        <v>290</v>
      </c>
      <c r="J68" t="s">
        <v>55</v>
      </c>
    </row>
    <row r="69" spans="1:12" x14ac:dyDescent="0.25">
      <c r="A69" t="s">
        <v>179</v>
      </c>
      <c r="B69">
        <v>161</v>
      </c>
      <c r="C69" t="s">
        <v>300</v>
      </c>
      <c r="D69" t="s">
        <v>296</v>
      </c>
      <c r="E69" t="s">
        <v>108</v>
      </c>
      <c r="F69" t="s">
        <v>41</v>
      </c>
      <c r="G69" s="3">
        <v>0</v>
      </c>
      <c r="I69" t="s">
        <v>290</v>
      </c>
      <c r="J69" t="s">
        <v>55</v>
      </c>
      <c r="L69" t="s">
        <v>1031</v>
      </c>
    </row>
    <row r="70" spans="1:12" hidden="1" x14ac:dyDescent="0.25">
      <c r="A70" t="s">
        <v>67</v>
      </c>
      <c r="B70">
        <v>207</v>
      </c>
      <c r="C70" t="s">
        <v>346</v>
      </c>
      <c r="D70" t="s">
        <v>343</v>
      </c>
      <c r="E70" t="s">
        <v>114</v>
      </c>
      <c r="F70" t="s">
        <v>41</v>
      </c>
      <c r="G70" s="3">
        <v>0</v>
      </c>
      <c r="I70" t="s">
        <v>290</v>
      </c>
      <c r="J70" t="s">
        <v>55</v>
      </c>
    </row>
    <row r="71" spans="1:12" hidden="1" x14ac:dyDescent="0.25">
      <c r="A71" t="s">
        <v>179</v>
      </c>
      <c r="B71">
        <v>208</v>
      </c>
      <c r="C71" t="s">
        <v>347</v>
      </c>
      <c r="D71" t="s">
        <v>292</v>
      </c>
      <c r="E71" t="s">
        <v>348</v>
      </c>
      <c r="F71" t="s">
        <v>41</v>
      </c>
      <c r="G71" s="3">
        <v>0.44</v>
      </c>
      <c r="I71" t="s">
        <v>290</v>
      </c>
      <c r="J71" t="s">
        <v>55</v>
      </c>
    </row>
    <row r="72" spans="1:12" x14ac:dyDescent="0.25">
      <c r="A72" t="s">
        <v>67</v>
      </c>
      <c r="B72">
        <v>181</v>
      </c>
      <c r="C72" t="s">
        <v>309</v>
      </c>
      <c r="D72" t="s">
        <v>306</v>
      </c>
      <c r="E72" t="s">
        <v>108</v>
      </c>
      <c r="F72" t="s">
        <v>41</v>
      </c>
      <c r="G72" s="3">
        <v>0</v>
      </c>
      <c r="I72" t="s">
        <v>290</v>
      </c>
      <c r="J72" t="s">
        <v>55</v>
      </c>
      <c r="L72" t="s">
        <v>1032</v>
      </c>
    </row>
    <row r="73" spans="1:12" hidden="1" x14ac:dyDescent="0.25">
      <c r="A73" t="s">
        <v>179</v>
      </c>
      <c r="B73">
        <v>210</v>
      </c>
      <c r="C73" t="s">
        <v>351</v>
      </c>
      <c r="D73" t="s">
        <v>350</v>
      </c>
      <c r="E73" t="s">
        <v>104</v>
      </c>
      <c r="F73" t="s">
        <v>41</v>
      </c>
      <c r="G73" s="3">
        <v>0.5</v>
      </c>
      <c r="I73" t="s">
        <v>290</v>
      </c>
      <c r="J73" t="s">
        <v>55</v>
      </c>
    </row>
    <row r="74" spans="1:12" x14ac:dyDescent="0.25">
      <c r="A74" t="s">
        <v>314</v>
      </c>
      <c r="B74">
        <v>186</v>
      </c>
      <c r="C74" t="s">
        <v>321</v>
      </c>
      <c r="D74" t="s">
        <v>316</v>
      </c>
      <c r="E74" t="s">
        <v>108</v>
      </c>
      <c r="F74" t="s">
        <v>41</v>
      </c>
      <c r="G74" s="3">
        <v>0</v>
      </c>
      <c r="I74" t="s">
        <v>290</v>
      </c>
      <c r="J74" t="s">
        <v>55</v>
      </c>
      <c r="L74" t="s">
        <v>1032</v>
      </c>
    </row>
    <row r="75" spans="1:12" hidden="1" x14ac:dyDescent="0.25">
      <c r="A75" t="s">
        <v>67</v>
      </c>
      <c r="B75">
        <v>212</v>
      </c>
      <c r="C75" t="s">
        <v>353</v>
      </c>
      <c r="D75" t="s">
        <v>350</v>
      </c>
      <c r="E75" t="s">
        <v>114</v>
      </c>
      <c r="F75" t="s">
        <v>41</v>
      </c>
      <c r="G75" s="3">
        <v>0</v>
      </c>
      <c r="I75" t="s">
        <v>290</v>
      </c>
      <c r="J75" t="s">
        <v>55</v>
      </c>
    </row>
    <row r="76" spans="1:12" hidden="1" x14ac:dyDescent="0.25">
      <c r="A76" t="s">
        <v>179</v>
      </c>
      <c r="B76">
        <v>228</v>
      </c>
      <c r="C76" t="s">
        <v>354</v>
      </c>
      <c r="D76" t="s">
        <v>292</v>
      </c>
      <c r="E76" t="s">
        <v>355</v>
      </c>
      <c r="F76" t="s">
        <v>41</v>
      </c>
      <c r="G76" s="3">
        <v>0.43</v>
      </c>
      <c r="I76" t="s">
        <v>290</v>
      </c>
      <c r="J76" t="s">
        <v>55</v>
      </c>
    </row>
    <row r="77" spans="1:12" hidden="1" x14ac:dyDescent="0.25">
      <c r="A77" t="s">
        <v>67</v>
      </c>
      <c r="B77">
        <v>230</v>
      </c>
      <c r="C77" t="s">
        <v>359</v>
      </c>
      <c r="D77" t="s">
        <v>357</v>
      </c>
      <c r="E77" t="s">
        <v>104</v>
      </c>
      <c r="F77" t="s">
        <v>41</v>
      </c>
      <c r="G77" s="3">
        <v>0</v>
      </c>
      <c r="I77" t="s">
        <v>290</v>
      </c>
      <c r="J77" t="s">
        <v>55</v>
      </c>
    </row>
    <row r="78" spans="1:12" x14ac:dyDescent="0.25">
      <c r="A78" t="s">
        <v>76</v>
      </c>
      <c r="B78">
        <v>191</v>
      </c>
      <c r="C78" t="s">
        <v>330</v>
      </c>
      <c r="D78" t="s">
        <v>326</v>
      </c>
      <c r="E78" t="s">
        <v>108</v>
      </c>
      <c r="F78" t="s">
        <v>41</v>
      </c>
      <c r="G78" s="3">
        <v>0</v>
      </c>
      <c r="I78" t="s">
        <v>290</v>
      </c>
      <c r="J78" t="s">
        <v>55</v>
      </c>
      <c r="L78" t="s">
        <v>1032</v>
      </c>
    </row>
    <row r="79" spans="1:12" hidden="1" x14ac:dyDescent="0.25">
      <c r="A79" t="s">
        <v>67</v>
      </c>
      <c r="B79">
        <v>232</v>
      </c>
      <c r="C79" t="s">
        <v>361</v>
      </c>
      <c r="D79" t="s">
        <v>357</v>
      </c>
      <c r="E79" t="s">
        <v>114</v>
      </c>
      <c r="F79" t="s">
        <v>41</v>
      </c>
      <c r="G79" s="3">
        <v>0</v>
      </c>
      <c r="I79" t="s">
        <v>290</v>
      </c>
      <c r="J79" t="s">
        <v>55</v>
      </c>
    </row>
    <row r="80" spans="1:12" hidden="1" x14ac:dyDescent="0.25">
      <c r="A80" t="s">
        <v>73</v>
      </c>
      <c r="B80">
        <v>238</v>
      </c>
      <c r="C80" t="s">
        <v>362</v>
      </c>
      <c r="D80" t="s">
        <v>50</v>
      </c>
      <c r="E80" t="s">
        <v>363</v>
      </c>
      <c r="F80" t="s">
        <v>41</v>
      </c>
      <c r="G80" s="3">
        <v>0.44</v>
      </c>
      <c r="I80" t="s">
        <v>365</v>
      </c>
      <c r="J80" t="s">
        <v>55</v>
      </c>
    </row>
    <row r="81" spans="1:12" hidden="1" x14ac:dyDescent="0.25">
      <c r="A81" t="s">
        <v>179</v>
      </c>
      <c r="B81">
        <v>244</v>
      </c>
      <c r="C81" t="s">
        <v>366</v>
      </c>
      <c r="D81" t="s">
        <v>367</v>
      </c>
      <c r="E81" t="s">
        <v>368</v>
      </c>
      <c r="F81" t="s">
        <v>41</v>
      </c>
      <c r="G81" s="3">
        <v>0</v>
      </c>
      <c r="I81" t="s">
        <v>365</v>
      </c>
      <c r="J81" t="s">
        <v>55</v>
      </c>
    </row>
    <row r="82" spans="1:12" x14ac:dyDescent="0.25">
      <c r="A82" t="s">
        <v>67</v>
      </c>
      <c r="B82">
        <v>201</v>
      </c>
      <c r="C82" t="s">
        <v>338</v>
      </c>
      <c r="D82" t="s">
        <v>336</v>
      </c>
      <c r="E82" t="s">
        <v>108</v>
      </c>
      <c r="F82" t="s">
        <v>41</v>
      </c>
      <c r="G82" s="3">
        <v>0</v>
      </c>
      <c r="I82" t="s">
        <v>290</v>
      </c>
      <c r="J82" t="s">
        <v>55</v>
      </c>
      <c r="L82" t="s">
        <v>1032</v>
      </c>
    </row>
    <row r="83" spans="1:12" hidden="1" x14ac:dyDescent="0.25">
      <c r="A83" t="s">
        <v>67</v>
      </c>
      <c r="B83">
        <v>246</v>
      </c>
      <c r="C83" t="s">
        <v>374</v>
      </c>
      <c r="D83" t="s">
        <v>371</v>
      </c>
      <c r="E83" t="s">
        <v>104</v>
      </c>
      <c r="F83" t="s">
        <v>41</v>
      </c>
      <c r="G83" s="3">
        <v>0</v>
      </c>
      <c r="I83" t="s">
        <v>365</v>
      </c>
      <c r="J83" t="s">
        <v>55</v>
      </c>
    </row>
    <row r="84" spans="1:12" x14ac:dyDescent="0.25">
      <c r="A84" t="s">
        <v>67</v>
      </c>
      <c r="B84">
        <v>206</v>
      </c>
      <c r="C84" t="s">
        <v>345</v>
      </c>
      <c r="D84" t="s">
        <v>343</v>
      </c>
      <c r="E84" t="s">
        <v>108</v>
      </c>
      <c r="F84" t="s">
        <v>41</v>
      </c>
      <c r="G84" s="3">
        <v>0</v>
      </c>
      <c r="I84" t="s">
        <v>290</v>
      </c>
      <c r="J84" t="s">
        <v>55</v>
      </c>
      <c r="L84" t="s">
        <v>1032</v>
      </c>
    </row>
    <row r="85" spans="1:12" hidden="1" x14ac:dyDescent="0.25">
      <c r="A85" t="s">
        <v>67</v>
      </c>
      <c r="B85">
        <v>248</v>
      </c>
      <c r="C85" t="s">
        <v>377</v>
      </c>
      <c r="D85" t="s">
        <v>371</v>
      </c>
      <c r="E85" t="s">
        <v>114</v>
      </c>
      <c r="F85" t="s">
        <v>41</v>
      </c>
      <c r="G85" s="3">
        <v>0</v>
      </c>
      <c r="I85" t="s">
        <v>365</v>
      </c>
      <c r="J85" t="s">
        <v>55</v>
      </c>
    </row>
    <row r="86" spans="1:12" hidden="1" x14ac:dyDescent="0.25">
      <c r="A86" t="s">
        <v>67</v>
      </c>
      <c r="B86">
        <v>249</v>
      </c>
      <c r="C86" t="s">
        <v>378</v>
      </c>
      <c r="D86" t="s">
        <v>367</v>
      </c>
      <c r="E86" t="s">
        <v>379</v>
      </c>
      <c r="F86" t="s">
        <v>41</v>
      </c>
      <c r="G86" s="3">
        <v>0.5</v>
      </c>
      <c r="I86" t="s">
        <v>365</v>
      </c>
      <c r="J86" t="s">
        <v>55</v>
      </c>
    </row>
    <row r="87" spans="1:12" hidden="1" x14ac:dyDescent="0.25">
      <c r="A87" t="s">
        <v>194</v>
      </c>
      <c r="B87">
        <v>251</v>
      </c>
      <c r="C87" t="s">
        <v>382</v>
      </c>
      <c r="D87" t="s">
        <v>381</v>
      </c>
      <c r="E87" t="s">
        <v>104</v>
      </c>
      <c r="F87" t="s">
        <v>41</v>
      </c>
      <c r="G87" s="3">
        <v>0</v>
      </c>
      <c r="I87" t="s">
        <v>365</v>
      </c>
      <c r="J87" t="s">
        <v>55</v>
      </c>
    </row>
    <row r="88" spans="1:12" x14ac:dyDescent="0.25">
      <c r="A88" t="s">
        <v>67</v>
      </c>
      <c r="B88">
        <v>211</v>
      </c>
      <c r="C88" t="s">
        <v>352</v>
      </c>
      <c r="D88" t="s">
        <v>350</v>
      </c>
      <c r="E88" t="s">
        <v>108</v>
      </c>
      <c r="F88" t="s">
        <v>41</v>
      </c>
      <c r="G88" s="3">
        <v>0</v>
      </c>
      <c r="I88" t="s">
        <v>290</v>
      </c>
      <c r="J88" t="s">
        <v>55</v>
      </c>
      <c r="L88" t="s">
        <v>1032</v>
      </c>
    </row>
    <row r="89" spans="1:12" hidden="1" x14ac:dyDescent="0.25">
      <c r="A89" t="s">
        <v>194</v>
      </c>
      <c r="B89">
        <v>253</v>
      </c>
      <c r="C89" t="s">
        <v>386</v>
      </c>
      <c r="D89" t="s">
        <v>381</v>
      </c>
      <c r="E89" t="s">
        <v>114</v>
      </c>
      <c r="F89" t="s">
        <v>196</v>
      </c>
      <c r="G89" s="3">
        <v>0</v>
      </c>
      <c r="I89" t="s">
        <v>365</v>
      </c>
      <c r="J89" t="s">
        <v>55</v>
      </c>
    </row>
    <row r="90" spans="1:12" hidden="1" x14ac:dyDescent="0.25">
      <c r="A90" t="s">
        <v>73</v>
      </c>
      <c r="B90">
        <v>259</v>
      </c>
      <c r="C90" t="s">
        <v>388</v>
      </c>
      <c r="D90" t="s">
        <v>367</v>
      </c>
      <c r="E90" t="s">
        <v>389</v>
      </c>
      <c r="F90" t="s">
        <v>41</v>
      </c>
      <c r="G90" s="3">
        <v>0.4</v>
      </c>
      <c r="I90" t="s">
        <v>365</v>
      </c>
      <c r="J90" t="s">
        <v>55</v>
      </c>
    </row>
    <row r="91" spans="1:12" hidden="1" x14ac:dyDescent="0.25">
      <c r="A91" t="s">
        <v>179</v>
      </c>
      <c r="B91">
        <v>261</v>
      </c>
      <c r="C91" t="s">
        <v>395</v>
      </c>
      <c r="D91" t="s">
        <v>392</v>
      </c>
      <c r="E91" t="s">
        <v>104</v>
      </c>
      <c r="F91" t="s">
        <v>41</v>
      </c>
      <c r="G91" s="3">
        <v>0</v>
      </c>
      <c r="I91" t="s">
        <v>365</v>
      </c>
      <c r="J91" t="s">
        <v>55</v>
      </c>
    </row>
    <row r="92" spans="1:12" x14ac:dyDescent="0.25">
      <c r="A92" t="s">
        <v>67</v>
      </c>
      <c r="B92">
        <v>231</v>
      </c>
      <c r="C92" t="s">
        <v>360</v>
      </c>
      <c r="D92" t="s">
        <v>357</v>
      </c>
      <c r="E92" t="s">
        <v>108</v>
      </c>
      <c r="F92" t="s">
        <v>41</v>
      </c>
      <c r="G92" s="3">
        <v>0</v>
      </c>
      <c r="I92" t="s">
        <v>290</v>
      </c>
      <c r="J92" t="s">
        <v>55</v>
      </c>
      <c r="L92" t="s">
        <v>1032</v>
      </c>
    </row>
    <row r="93" spans="1:12" hidden="1" x14ac:dyDescent="0.25">
      <c r="A93" t="s">
        <v>179</v>
      </c>
      <c r="B93">
        <v>263</v>
      </c>
      <c r="C93" t="s">
        <v>397</v>
      </c>
      <c r="D93" t="s">
        <v>392</v>
      </c>
      <c r="E93" t="s">
        <v>114</v>
      </c>
      <c r="F93" t="s">
        <v>41</v>
      </c>
      <c r="G93" s="3">
        <v>0</v>
      </c>
      <c r="I93" t="s">
        <v>365</v>
      </c>
      <c r="J93" t="s">
        <v>55</v>
      </c>
    </row>
    <row r="94" spans="1:12" hidden="1" x14ac:dyDescent="0.25">
      <c r="A94" t="s">
        <v>67</v>
      </c>
      <c r="B94">
        <v>264</v>
      </c>
      <c r="C94" t="s">
        <v>398</v>
      </c>
      <c r="D94" t="s">
        <v>367</v>
      </c>
      <c r="E94" t="s">
        <v>399</v>
      </c>
      <c r="F94" t="s">
        <v>41</v>
      </c>
      <c r="G94" s="3">
        <v>0.5</v>
      </c>
      <c r="I94" t="s">
        <v>365</v>
      </c>
      <c r="J94" t="s">
        <v>55</v>
      </c>
    </row>
    <row r="95" spans="1:12" hidden="1" x14ac:dyDescent="0.25">
      <c r="A95" t="s">
        <v>67</v>
      </c>
      <c r="B95">
        <v>266</v>
      </c>
      <c r="C95" t="s">
        <v>402</v>
      </c>
      <c r="D95" t="s">
        <v>401</v>
      </c>
      <c r="E95" t="s">
        <v>104</v>
      </c>
      <c r="F95" t="s">
        <v>41</v>
      </c>
      <c r="G95" s="3">
        <v>0</v>
      </c>
      <c r="I95" t="s">
        <v>365</v>
      </c>
      <c r="J95" t="s">
        <v>55</v>
      </c>
    </row>
    <row r="96" spans="1:12" hidden="1" x14ac:dyDescent="0.25">
      <c r="A96" t="s">
        <v>67</v>
      </c>
      <c r="B96">
        <v>247</v>
      </c>
      <c r="C96" t="s">
        <v>376</v>
      </c>
      <c r="D96" t="s">
        <v>371</v>
      </c>
      <c r="E96" t="s">
        <v>108</v>
      </c>
      <c r="F96" t="s">
        <v>41</v>
      </c>
      <c r="G96" s="3">
        <v>1</v>
      </c>
      <c r="I96" t="s">
        <v>365</v>
      </c>
      <c r="J96" t="s">
        <v>55</v>
      </c>
    </row>
    <row r="97" spans="1:12" hidden="1" x14ac:dyDescent="0.25">
      <c r="A97" t="s">
        <v>194</v>
      </c>
      <c r="B97">
        <v>268</v>
      </c>
      <c r="C97" t="s">
        <v>405</v>
      </c>
      <c r="D97" t="s">
        <v>401</v>
      </c>
      <c r="E97" t="s">
        <v>114</v>
      </c>
      <c r="F97" t="s">
        <v>41</v>
      </c>
      <c r="G97" s="3">
        <v>0</v>
      </c>
      <c r="I97" t="s">
        <v>365</v>
      </c>
      <c r="J97" t="s">
        <v>55</v>
      </c>
    </row>
    <row r="98" spans="1:12" hidden="1" x14ac:dyDescent="0.25">
      <c r="A98" t="s">
        <v>67</v>
      </c>
      <c r="B98">
        <v>269</v>
      </c>
      <c r="C98" t="s">
        <v>406</v>
      </c>
      <c r="D98" t="s">
        <v>367</v>
      </c>
      <c r="E98" t="s">
        <v>407</v>
      </c>
      <c r="F98" t="s">
        <v>41</v>
      </c>
      <c r="G98" s="3">
        <v>0.5</v>
      </c>
      <c r="I98" t="s">
        <v>365</v>
      </c>
      <c r="J98" t="s">
        <v>55</v>
      </c>
    </row>
    <row r="99" spans="1:12" hidden="1" x14ac:dyDescent="0.25">
      <c r="A99" t="s">
        <v>67</v>
      </c>
      <c r="B99">
        <v>271</v>
      </c>
      <c r="C99" t="s">
        <v>410</v>
      </c>
      <c r="D99" t="s">
        <v>409</v>
      </c>
      <c r="E99" t="s">
        <v>104</v>
      </c>
      <c r="F99" t="s">
        <v>41</v>
      </c>
      <c r="G99" s="3">
        <v>0</v>
      </c>
      <c r="I99" t="s">
        <v>365</v>
      </c>
      <c r="J99" t="s">
        <v>55</v>
      </c>
    </row>
    <row r="100" spans="1:12" hidden="1" x14ac:dyDescent="0.25">
      <c r="A100" t="s">
        <v>194</v>
      </c>
      <c r="B100">
        <v>252</v>
      </c>
      <c r="C100" t="s">
        <v>384</v>
      </c>
      <c r="D100" t="s">
        <v>381</v>
      </c>
      <c r="E100" t="s">
        <v>108</v>
      </c>
      <c r="F100" t="s">
        <v>192</v>
      </c>
      <c r="G100" s="3">
        <v>0</v>
      </c>
      <c r="I100" t="s">
        <v>365</v>
      </c>
      <c r="J100" t="s">
        <v>55</v>
      </c>
      <c r="L100" t="s">
        <v>1029</v>
      </c>
    </row>
    <row r="101" spans="1:12" hidden="1" x14ac:dyDescent="0.25">
      <c r="A101" t="s">
        <v>194</v>
      </c>
      <c r="B101">
        <v>273</v>
      </c>
      <c r="C101" t="s">
        <v>412</v>
      </c>
      <c r="D101" t="s">
        <v>409</v>
      </c>
      <c r="E101" t="s">
        <v>114</v>
      </c>
      <c r="F101" t="s">
        <v>196</v>
      </c>
      <c r="G101" s="3">
        <v>0</v>
      </c>
      <c r="I101" t="s">
        <v>365</v>
      </c>
      <c r="J101" t="s">
        <v>55</v>
      </c>
    </row>
    <row r="102" spans="1:12" hidden="1" x14ac:dyDescent="0.25">
      <c r="A102" t="s">
        <v>67</v>
      </c>
      <c r="B102">
        <v>274</v>
      </c>
      <c r="C102" t="s">
        <v>413</v>
      </c>
      <c r="D102" t="s">
        <v>367</v>
      </c>
      <c r="E102" t="s">
        <v>414</v>
      </c>
      <c r="F102" t="s">
        <v>41</v>
      </c>
      <c r="G102" s="3">
        <v>0.5</v>
      </c>
      <c r="I102" t="s">
        <v>365</v>
      </c>
      <c r="J102" t="s">
        <v>55</v>
      </c>
    </row>
    <row r="103" spans="1:12" hidden="1" x14ac:dyDescent="0.25">
      <c r="A103" t="s">
        <v>67</v>
      </c>
      <c r="B103">
        <v>276</v>
      </c>
      <c r="C103" t="s">
        <v>417</v>
      </c>
      <c r="D103" t="s">
        <v>416</v>
      </c>
      <c r="E103" t="s">
        <v>104</v>
      </c>
      <c r="F103" t="s">
        <v>41</v>
      </c>
      <c r="G103" s="3">
        <v>0</v>
      </c>
      <c r="I103" t="s">
        <v>365</v>
      </c>
      <c r="J103" t="s">
        <v>55</v>
      </c>
    </row>
    <row r="104" spans="1:12" hidden="1" x14ac:dyDescent="0.25">
      <c r="A104" t="s">
        <v>179</v>
      </c>
      <c r="B104">
        <v>262</v>
      </c>
      <c r="C104" t="s">
        <v>396</v>
      </c>
      <c r="D104" t="s">
        <v>392</v>
      </c>
      <c r="E104" t="s">
        <v>108</v>
      </c>
      <c r="F104" t="s">
        <v>41</v>
      </c>
      <c r="G104" s="3">
        <v>0</v>
      </c>
      <c r="I104" t="s">
        <v>365</v>
      </c>
      <c r="J104" t="s">
        <v>55</v>
      </c>
    </row>
    <row r="105" spans="1:12" hidden="1" x14ac:dyDescent="0.25">
      <c r="A105" t="s">
        <v>194</v>
      </c>
      <c r="B105">
        <v>278</v>
      </c>
      <c r="C105" t="s">
        <v>419</v>
      </c>
      <c r="D105" t="s">
        <v>416</v>
      </c>
      <c r="E105" t="s">
        <v>114</v>
      </c>
      <c r="F105" t="s">
        <v>196</v>
      </c>
      <c r="G105" s="3">
        <v>0</v>
      </c>
      <c r="I105" t="s">
        <v>365</v>
      </c>
      <c r="J105" t="s">
        <v>55</v>
      </c>
    </row>
    <row r="106" spans="1:12" hidden="1" x14ac:dyDescent="0.25">
      <c r="A106" t="s">
        <v>67</v>
      </c>
      <c r="B106">
        <v>279</v>
      </c>
      <c r="C106" t="s">
        <v>420</v>
      </c>
      <c r="D106" t="s">
        <v>367</v>
      </c>
      <c r="E106" t="s">
        <v>421</v>
      </c>
      <c r="F106" t="s">
        <v>41</v>
      </c>
      <c r="G106" s="3">
        <v>0.5</v>
      </c>
      <c r="I106" t="s">
        <v>365</v>
      </c>
      <c r="J106" t="s">
        <v>55</v>
      </c>
    </row>
    <row r="107" spans="1:12" hidden="1" x14ac:dyDescent="0.25">
      <c r="A107" t="s">
        <v>67</v>
      </c>
      <c r="B107">
        <v>281</v>
      </c>
      <c r="C107" t="s">
        <v>424</v>
      </c>
      <c r="D107" t="s">
        <v>423</v>
      </c>
      <c r="E107" t="s">
        <v>104</v>
      </c>
      <c r="F107" t="s">
        <v>41</v>
      </c>
      <c r="G107" s="3">
        <v>0</v>
      </c>
      <c r="I107" t="s">
        <v>365</v>
      </c>
      <c r="J107" t="s">
        <v>55</v>
      </c>
    </row>
    <row r="108" spans="1:12" hidden="1" x14ac:dyDescent="0.25">
      <c r="A108" t="s">
        <v>194</v>
      </c>
      <c r="B108">
        <v>267</v>
      </c>
      <c r="C108" t="s">
        <v>403</v>
      </c>
      <c r="D108" t="s">
        <v>401</v>
      </c>
      <c r="E108" t="s">
        <v>108</v>
      </c>
      <c r="F108" t="s">
        <v>41</v>
      </c>
      <c r="G108" s="3">
        <v>0</v>
      </c>
      <c r="I108" t="s">
        <v>365</v>
      </c>
      <c r="J108" t="s">
        <v>55</v>
      </c>
      <c r="L108" t="s">
        <v>1029</v>
      </c>
    </row>
    <row r="109" spans="1:12" hidden="1" x14ac:dyDescent="0.25">
      <c r="A109" t="s">
        <v>194</v>
      </c>
      <c r="B109">
        <v>283</v>
      </c>
      <c r="C109" t="s">
        <v>426</v>
      </c>
      <c r="D109" t="s">
        <v>423</v>
      </c>
      <c r="E109" t="s">
        <v>114</v>
      </c>
      <c r="F109" t="s">
        <v>196</v>
      </c>
      <c r="G109" s="3">
        <v>0</v>
      </c>
      <c r="I109" t="s">
        <v>365</v>
      </c>
      <c r="J109" t="s">
        <v>55</v>
      </c>
    </row>
    <row r="110" spans="1:12" hidden="1" x14ac:dyDescent="0.25">
      <c r="A110" t="s">
        <v>67</v>
      </c>
      <c r="B110">
        <v>289</v>
      </c>
      <c r="C110" t="s">
        <v>427</v>
      </c>
      <c r="D110" t="s">
        <v>367</v>
      </c>
      <c r="E110" t="s">
        <v>428</v>
      </c>
      <c r="F110" t="s">
        <v>41</v>
      </c>
      <c r="G110" s="3">
        <v>0.56999999999999995</v>
      </c>
      <c r="I110" t="s">
        <v>365</v>
      </c>
      <c r="J110" t="s">
        <v>55</v>
      </c>
    </row>
    <row r="111" spans="1:12" hidden="1" x14ac:dyDescent="0.25">
      <c r="A111" t="s">
        <v>67</v>
      </c>
      <c r="B111">
        <v>291</v>
      </c>
      <c r="C111" t="s">
        <v>432</v>
      </c>
      <c r="D111" t="s">
        <v>430</v>
      </c>
      <c r="E111" t="s">
        <v>104</v>
      </c>
      <c r="F111" t="s">
        <v>41</v>
      </c>
      <c r="G111" s="3">
        <v>0</v>
      </c>
      <c r="I111" t="s">
        <v>365</v>
      </c>
      <c r="J111" t="s">
        <v>55</v>
      </c>
    </row>
    <row r="112" spans="1:12" hidden="1" x14ac:dyDescent="0.25">
      <c r="A112" t="s">
        <v>194</v>
      </c>
      <c r="B112">
        <v>272</v>
      </c>
      <c r="C112" t="s">
        <v>411</v>
      </c>
      <c r="D112" t="s">
        <v>409</v>
      </c>
      <c r="E112" t="s">
        <v>108</v>
      </c>
      <c r="F112" t="s">
        <v>192</v>
      </c>
      <c r="G112" s="3">
        <v>0</v>
      </c>
      <c r="I112" t="s">
        <v>365</v>
      </c>
      <c r="J112" t="s">
        <v>55</v>
      </c>
      <c r="L112" t="s">
        <v>1029</v>
      </c>
    </row>
    <row r="113" spans="1:12" hidden="1" x14ac:dyDescent="0.25">
      <c r="A113" t="s">
        <v>194</v>
      </c>
      <c r="B113">
        <v>293</v>
      </c>
      <c r="C113" t="s">
        <v>434</v>
      </c>
      <c r="D113" t="s">
        <v>430</v>
      </c>
      <c r="E113" t="s">
        <v>114</v>
      </c>
      <c r="F113" t="s">
        <v>196</v>
      </c>
      <c r="G113" s="3">
        <v>0</v>
      </c>
      <c r="I113" t="s">
        <v>365</v>
      </c>
      <c r="J113" t="s">
        <v>55</v>
      </c>
    </row>
    <row r="114" spans="1:12" hidden="1" x14ac:dyDescent="0.25">
      <c r="A114" t="s">
        <v>135</v>
      </c>
      <c r="B114">
        <v>294</v>
      </c>
      <c r="C114" t="s">
        <v>435</v>
      </c>
      <c r="D114" t="s">
        <v>50</v>
      </c>
      <c r="E114" t="s">
        <v>436</v>
      </c>
      <c r="F114" t="s">
        <v>41</v>
      </c>
      <c r="G114" s="3">
        <v>0.57999999999999996</v>
      </c>
      <c r="I114" t="s">
        <v>438</v>
      </c>
      <c r="J114" t="s">
        <v>55</v>
      </c>
    </row>
    <row r="115" spans="1:12" hidden="1" x14ac:dyDescent="0.25">
      <c r="A115" t="s">
        <v>179</v>
      </c>
      <c r="B115">
        <v>300</v>
      </c>
      <c r="C115" t="s">
        <v>439</v>
      </c>
      <c r="D115" t="s">
        <v>440</v>
      </c>
      <c r="E115" t="s">
        <v>441</v>
      </c>
      <c r="F115" t="s">
        <v>41</v>
      </c>
      <c r="G115" s="3">
        <v>0</v>
      </c>
      <c r="I115" t="s">
        <v>438</v>
      </c>
      <c r="J115" t="s">
        <v>55</v>
      </c>
    </row>
    <row r="116" spans="1:12" hidden="1" x14ac:dyDescent="0.25">
      <c r="A116" t="s">
        <v>194</v>
      </c>
      <c r="B116">
        <v>277</v>
      </c>
      <c r="C116" t="s">
        <v>418</v>
      </c>
      <c r="D116" t="s">
        <v>416</v>
      </c>
      <c r="E116" t="s">
        <v>108</v>
      </c>
      <c r="F116" t="s">
        <v>192</v>
      </c>
      <c r="G116" s="3">
        <v>0</v>
      </c>
      <c r="I116" t="s">
        <v>365</v>
      </c>
      <c r="J116" t="s">
        <v>55</v>
      </c>
      <c r="L116" t="s">
        <v>1029</v>
      </c>
    </row>
    <row r="117" spans="1:12" hidden="1" x14ac:dyDescent="0.25">
      <c r="A117" t="s">
        <v>67</v>
      </c>
      <c r="B117">
        <v>302</v>
      </c>
      <c r="C117" t="s">
        <v>445</v>
      </c>
      <c r="D117" t="s">
        <v>443</v>
      </c>
      <c r="E117" t="s">
        <v>104</v>
      </c>
      <c r="F117" t="s">
        <v>41</v>
      </c>
      <c r="G117" s="3">
        <v>0</v>
      </c>
      <c r="I117" t="s">
        <v>438</v>
      </c>
      <c r="J117" t="s">
        <v>55</v>
      </c>
    </row>
    <row r="118" spans="1:12" hidden="1" x14ac:dyDescent="0.25">
      <c r="A118" t="s">
        <v>194</v>
      </c>
      <c r="B118">
        <v>282</v>
      </c>
      <c r="C118" t="s">
        <v>425</v>
      </c>
      <c r="D118" t="s">
        <v>423</v>
      </c>
      <c r="E118" t="s">
        <v>108</v>
      </c>
      <c r="F118" t="s">
        <v>192</v>
      </c>
      <c r="G118" s="3">
        <v>0</v>
      </c>
      <c r="I118" t="s">
        <v>365</v>
      </c>
      <c r="J118" t="s">
        <v>55</v>
      </c>
      <c r="L118" t="s">
        <v>1029</v>
      </c>
    </row>
    <row r="119" spans="1:12" hidden="1" x14ac:dyDescent="0.25">
      <c r="A119" t="s">
        <v>194</v>
      </c>
      <c r="B119">
        <v>304</v>
      </c>
      <c r="C119" t="s">
        <v>447</v>
      </c>
      <c r="D119" t="s">
        <v>443</v>
      </c>
      <c r="E119" t="s">
        <v>114</v>
      </c>
      <c r="F119" t="s">
        <v>196</v>
      </c>
      <c r="G119" s="3">
        <v>0</v>
      </c>
      <c r="I119" t="s">
        <v>438</v>
      </c>
      <c r="J119" t="s">
        <v>55</v>
      </c>
    </row>
    <row r="120" spans="1:12" hidden="1" x14ac:dyDescent="0.25">
      <c r="A120" t="s">
        <v>118</v>
      </c>
      <c r="B120">
        <v>305</v>
      </c>
      <c r="C120" t="s">
        <v>448</v>
      </c>
      <c r="D120" t="s">
        <v>440</v>
      </c>
      <c r="E120" t="s">
        <v>449</v>
      </c>
      <c r="F120" t="s">
        <v>41</v>
      </c>
      <c r="G120" s="3">
        <v>0.79</v>
      </c>
      <c r="I120" t="s">
        <v>438</v>
      </c>
      <c r="J120" t="s">
        <v>55</v>
      </c>
    </row>
    <row r="121" spans="1:12" hidden="1" x14ac:dyDescent="0.25">
      <c r="A121" t="s">
        <v>194</v>
      </c>
      <c r="B121">
        <v>292</v>
      </c>
      <c r="C121" t="s">
        <v>433</v>
      </c>
      <c r="D121" t="s">
        <v>430</v>
      </c>
      <c r="E121" t="s">
        <v>108</v>
      </c>
      <c r="F121" t="s">
        <v>192</v>
      </c>
      <c r="G121" s="3">
        <v>0</v>
      </c>
      <c r="I121" t="s">
        <v>365</v>
      </c>
      <c r="J121" t="s">
        <v>55</v>
      </c>
      <c r="L121" t="s">
        <v>1029</v>
      </c>
    </row>
    <row r="122" spans="1:12" hidden="1" x14ac:dyDescent="0.25">
      <c r="A122" t="s">
        <v>76</v>
      </c>
      <c r="B122">
        <v>309</v>
      </c>
      <c r="C122" t="s">
        <v>458</v>
      </c>
      <c r="D122" t="s">
        <v>452</v>
      </c>
      <c r="E122" t="s">
        <v>114</v>
      </c>
      <c r="F122" t="s">
        <v>41</v>
      </c>
      <c r="G122" s="3">
        <v>0</v>
      </c>
      <c r="I122" t="s">
        <v>438</v>
      </c>
      <c r="J122" t="s">
        <v>55</v>
      </c>
    </row>
    <row r="123" spans="1:12" hidden="1" x14ac:dyDescent="0.25">
      <c r="A123" t="s">
        <v>135</v>
      </c>
      <c r="B123">
        <v>315</v>
      </c>
      <c r="C123" t="s">
        <v>460</v>
      </c>
      <c r="D123" t="s">
        <v>440</v>
      </c>
      <c r="E123" t="s">
        <v>461</v>
      </c>
      <c r="F123" t="s">
        <v>41</v>
      </c>
      <c r="G123" s="3">
        <v>0.75</v>
      </c>
      <c r="I123" t="s">
        <v>438</v>
      </c>
      <c r="J123" t="s">
        <v>55</v>
      </c>
    </row>
    <row r="124" spans="1:12" hidden="1" x14ac:dyDescent="0.25">
      <c r="A124" t="s">
        <v>67</v>
      </c>
      <c r="B124">
        <v>303</v>
      </c>
      <c r="C124" t="s">
        <v>446</v>
      </c>
      <c r="D124" t="s">
        <v>443</v>
      </c>
      <c r="E124" t="s">
        <v>108</v>
      </c>
      <c r="F124" t="s">
        <v>192</v>
      </c>
      <c r="G124" s="3">
        <v>0</v>
      </c>
      <c r="I124" t="s">
        <v>438</v>
      </c>
      <c r="J124" t="s">
        <v>55</v>
      </c>
    </row>
    <row r="125" spans="1:12" hidden="1" x14ac:dyDescent="0.25">
      <c r="A125" t="s">
        <v>118</v>
      </c>
      <c r="B125">
        <v>319</v>
      </c>
      <c r="C125" t="s">
        <v>468</v>
      </c>
      <c r="D125" t="s">
        <v>463</v>
      </c>
      <c r="E125" t="s">
        <v>114</v>
      </c>
      <c r="F125" t="s">
        <v>41</v>
      </c>
      <c r="G125" s="3">
        <v>0</v>
      </c>
      <c r="I125" t="s">
        <v>438</v>
      </c>
      <c r="J125" t="s">
        <v>55</v>
      </c>
    </row>
    <row r="126" spans="1:12" hidden="1" x14ac:dyDescent="0.25">
      <c r="A126" t="s">
        <v>194</v>
      </c>
      <c r="B126">
        <v>320</v>
      </c>
      <c r="C126" t="s">
        <v>470</v>
      </c>
      <c r="D126" t="s">
        <v>440</v>
      </c>
      <c r="E126" t="s">
        <v>471</v>
      </c>
      <c r="F126" t="s">
        <v>41</v>
      </c>
      <c r="G126" s="3">
        <v>0.4</v>
      </c>
      <c r="I126" t="s">
        <v>438</v>
      </c>
      <c r="J126" t="s">
        <v>55</v>
      </c>
    </row>
    <row r="127" spans="1:12" hidden="1" x14ac:dyDescent="0.25">
      <c r="A127" t="s">
        <v>194</v>
      </c>
      <c r="B127">
        <v>322</v>
      </c>
      <c r="C127" t="s">
        <v>475</v>
      </c>
      <c r="D127" t="s">
        <v>473</v>
      </c>
      <c r="E127" t="s">
        <v>104</v>
      </c>
      <c r="F127" t="s">
        <v>41</v>
      </c>
      <c r="G127" s="3">
        <v>0</v>
      </c>
      <c r="I127" t="s">
        <v>438</v>
      </c>
      <c r="J127" t="s">
        <v>55</v>
      </c>
    </row>
    <row r="128" spans="1:12" hidden="1" x14ac:dyDescent="0.25">
      <c r="A128" t="s">
        <v>76</v>
      </c>
      <c r="B128">
        <v>308</v>
      </c>
      <c r="C128" t="s">
        <v>456</v>
      </c>
      <c r="D128" t="s">
        <v>452</v>
      </c>
      <c r="E128" t="s">
        <v>108</v>
      </c>
      <c r="F128" t="s">
        <v>41</v>
      </c>
      <c r="G128" s="3">
        <v>0.5</v>
      </c>
      <c r="I128" t="s">
        <v>438</v>
      </c>
      <c r="J128" t="s">
        <v>55</v>
      </c>
    </row>
    <row r="129" spans="1:10" hidden="1" x14ac:dyDescent="0.25">
      <c r="A129" t="s">
        <v>478</v>
      </c>
      <c r="B129">
        <v>324</v>
      </c>
      <c r="C129" t="s">
        <v>479</v>
      </c>
      <c r="D129" t="s">
        <v>473</v>
      </c>
      <c r="E129" t="s">
        <v>114</v>
      </c>
      <c r="F129" t="s">
        <v>192</v>
      </c>
      <c r="G129" s="3">
        <v>0</v>
      </c>
      <c r="I129" t="s">
        <v>438</v>
      </c>
      <c r="J129" t="s">
        <v>55</v>
      </c>
    </row>
    <row r="130" spans="1:10" hidden="1" x14ac:dyDescent="0.25">
      <c r="A130" t="s">
        <v>194</v>
      </c>
      <c r="B130">
        <v>325</v>
      </c>
      <c r="C130" t="s">
        <v>481</v>
      </c>
      <c r="D130" t="s">
        <v>440</v>
      </c>
      <c r="E130" t="s">
        <v>482</v>
      </c>
      <c r="F130" t="s">
        <v>41</v>
      </c>
      <c r="G130" s="3">
        <v>0.5</v>
      </c>
      <c r="I130" t="s">
        <v>438</v>
      </c>
      <c r="J130" t="s">
        <v>55</v>
      </c>
    </row>
    <row r="131" spans="1:10" hidden="1" x14ac:dyDescent="0.25">
      <c r="A131" t="s">
        <v>478</v>
      </c>
      <c r="B131">
        <v>327</v>
      </c>
      <c r="C131" t="s">
        <v>486</v>
      </c>
      <c r="D131" t="s">
        <v>484</v>
      </c>
      <c r="E131" t="s">
        <v>104</v>
      </c>
      <c r="F131" t="s">
        <v>41</v>
      </c>
      <c r="G131" s="3">
        <v>0</v>
      </c>
      <c r="I131" t="s">
        <v>438</v>
      </c>
      <c r="J131" t="s">
        <v>55</v>
      </c>
    </row>
    <row r="132" spans="1:10" hidden="1" x14ac:dyDescent="0.25">
      <c r="A132" t="s">
        <v>118</v>
      </c>
      <c r="B132">
        <v>318</v>
      </c>
      <c r="C132" t="s">
        <v>466</v>
      </c>
      <c r="D132" t="s">
        <v>463</v>
      </c>
      <c r="E132" t="s">
        <v>108</v>
      </c>
      <c r="F132" t="s">
        <v>41</v>
      </c>
      <c r="G132" s="3">
        <v>0.5</v>
      </c>
      <c r="I132" t="s">
        <v>438</v>
      </c>
      <c r="J132" t="s">
        <v>55</v>
      </c>
    </row>
    <row r="133" spans="1:10" hidden="1" x14ac:dyDescent="0.25">
      <c r="A133" t="s">
        <v>478</v>
      </c>
      <c r="B133">
        <v>329</v>
      </c>
      <c r="C133" t="s">
        <v>489</v>
      </c>
      <c r="D133" t="s">
        <v>484</v>
      </c>
      <c r="E133" t="s">
        <v>114</v>
      </c>
      <c r="F133" t="s">
        <v>192</v>
      </c>
      <c r="G133" s="3">
        <v>0</v>
      </c>
      <c r="I133" t="s">
        <v>438</v>
      </c>
      <c r="J133" t="s">
        <v>55</v>
      </c>
    </row>
    <row r="134" spans="1:10" hidden="1" x14ac:dyDescent="0.25">
      <c r="A134" t="s">
        <v>179</v>
      </c>
      <c r="B134">
        <v>335</v>
      </c>
      <c r="C134" t="s">
        <v>491</v>
      </c>
      <c r="D134" t="s">
        <v>440</v>
      </c>
      <c r="E134" t="s">
        <v>492</v>
      </c>
      <c r="F134" t="s">
        <v>41</v>
      </c>
      <c r="G134" s="3">
        <v>0.5</v>
      </c>
      <c r="I134" t="s">
        <v>438</v>
      </c>
      <c r="J134" t="s">
        <v>55</v>
      </c>
    </row>
    <row r="135" spans="1:10" hidden="1" x14ac:dyDescent="0.25">
      <c r="A135" t="s">
        <v>179</v>
      </c>
      <c r="B135">
        <v>337</v>
      </c>
      <c r="C135" t="s">
        <v>496</v>
      </c>
      <c r="D135" t="s">
        <v>494</v>
      </c>
      <c r="E135" t="s">
        <v>104</v>
      </c>
      <c r="F135" t="s">
        <v>41</v>
      </c>
      <c r="G135" s="3">
        <v>0</v>
      </c>
      <c r="I135" t="s">
        <v>438</v>
      </c>
      <c r="J135" t="s">
        <v>55</v>
      </c>
    </row>
    <row r="136" spans="1:10" hidden="1" x14ac:dyDescent="0.25">
      <c r="A136" t="s">
        <v>478</v>
      </c>
      <c r="B136">
        <v>323</v>
      </c>
      <c r="C136" t="s">
        <v>476</v>
      </c>
      <c r="D136" t="s">
        <v>473</v>
      </c>
      <c r="E136" t="s">
        <v>108</v>
      </c>
      <c r="F136" t="s">
        <v>192</v>
      </c>
      <c r="G136" s="3">
        <v>0</v>
      </c>
      <c r="I136" t="s">
        <v>438</v>
      </c>
      <c r="J136" t="s">
        <v>55</v>
      </c>
    </row>
    <row r="137" spans="1:10" hidden="1" x14ac:dyDescent="0.25">
      <c r="A137" t="s">
        <v>179</v>
      </c>
      <c r="B137">
        <v>339</v>
      </c>
      <c r="C137" t="s">
        <v>499</v>
      </c>
      <c r="D137" t="s">
        <v>494</v>
      </c>
      <c r="E137" t="s">
        <v>114</v>
      </c>
      <c r="F137" t="s">
        <v>41</v>
      </c>
      <c r="G137" s="3">
        <v>0</v>
      </c>
      <c r="I137" t="s">
        <v>438</v>
      </c>
      <c r="J137" t="s">
        <v>55</v>
      </c>
    </row>
    <row r="138" spans="1:10" hidden="1" x14ac:dyDescent="0.25">
      <c r="A138" t="s">
        <v>179</v>
      </c>
      <c r="B138">
        <v>340</v>
      </c>
      <c r="C138" t="s">
        <v>501</v>
      </c>
      <c r="D138" t="s">
        <v>440</v>
      </c>
      <c r="E138" t="s">
        <v>502</v>
      </c>
      <c r="F138" t="s">
        <v>41</v>
      </c>
      <c r="G138" s="3">
        <v>0.5</v>
      </c>
      <c r="I138" t="s">
        <v>438</v>
      </c>
      <c r="J138" t="s">
        <v>55</v>
      </c>
    </row>
    <row r="139" spans="1:10" hidden="1" x14ac:dyDescent="0.25">
      <c r="A139" t="s">
        <v>179</v>
      </c>
      <c r="B139">
        <v>342</v>
      </c>
      <c r="C139" t="s">
        <v>506</v>
      </c>
      <c r="D139" t="s">
        <v>504</v>
      </c>
      <c r="E139" t="s">
        <v>104</v>
      </c>
      <c r="F139" t="s">
        <v>41</v>
      </c>
      <c r="G139" s="3">
        <v>0</v>
      </c>
      <c r="I139" t="s">
        <v>438</v>
      </c>
      <c r="J139" t="s">
        <v>55</v>
      </c>
    </row>
    <row r="140" spans="1:10" hidden="1" x14ac:dyDescent="0.25">
      <c r="A140" t="s">
        <v>478</v>
      </c>
      <c r="B140">
        <v>328</v>
      </c>
      <c r="C140" t="s">
        <v>487</v>
      </c>
      <c r="D140" t="s">
        <v>484</v>
      </c>
      <c r="E140" t="s">
        <v>108</v>
      </c>
      <c r="F140" t="s">
        <v>192</v>
      </c>
      <c r="G140" s="3">
        <v>0</v>
      </c>
      <c r="I140" t="s">
        <v>438</v>
      </c>
      <c r="J140" t="s">
        <v>55</v>
      </c>
    </row>
    <row r="141" spans="1:10" hidden="1" x14ac:dyDescent="0.25">
      <c r="A141" t="s">
        <v>179</v>
      </c>
      <c r="B141">
        <v>344</v>
      </c>
      <c r="C141" t="s">
        <v>509</v>
      </c>
      <c r="D141" t="s">
        <v>504</v>
      </c>
      <c r="E141" t="s">
        <v>114</v>
      </c>
      <c r="F141" t="s">
        <v>41</v>
      </c>
      <c r="G141" s="3">
        <v>0</v>
      </c>
      <c r="I141" t="s">
        <v>438</v>
      </c>
      <c r="J141" t="s">
        <v>55</v>
      </c>
    </row>
    <row r="142" spans="1:10" hidden="1" x14ac:dyDescent="0.25">
      <c r="A142" t="s">
        <v>67</v>
      </c>
      <c r="B142">
        <v>345</v>
      </c>
      <c r="C142" t="s">
        <v>511</v>
      </c>
      <c r="D142" t="s">
        <v>440</v>
      </c>
      <c r="E142" t="s">
        <v>512</v>
      </c>
      <c r="F142" t="s">
        <v>41</v>
      </c>
      <c r="G142" s="3">
        <v>0.73</v>
      </c>
      <c r="I142" t="s">
        <v>438</v>
      </c>
      <c r="J142" t="s">
        <v>55</v>
      </c>
    </row>
    <row r="143" spans="1:10" hidden="1" x14ac:dyDescent="0.25">
      <c r="A143" t="s">
        <v>194</v>
      </c>
      <c r="B143">
        <v>347</v>
      </c>
      <c r="C143" t="s">
        <v>516</v>
      </c>
      <c r="D143" t="s">
        <v>514</v>
      </c>
      <c r="E143" t="s">
        <v>104</v>
      </c>
      <c r="F143" t="s">
        <v>41</v>
      </c>
      <c r="G143" s="3">
        <v>0</v>
      </c>
      <c r="I143" t="s">
        <v>438</v>
      </c>
      <c r="J143" t="s">
        <v>55</v>
      </c>
    </row>
    <row r="144" spans="1:10" hidden="1" x14ac:dyDescent="0.25">
      <c r="A144" t="s">
        <v>179</v>
      </c>
      <c r="B144">
        <v>338</v>
      </c>
      <c r="C144" t="s">
        <v>497</v>
      </c>
      <c r="D144" t="s">
        <v>494</v>
      </c>
      <c r="E144" t="s">
        <v>108</v>
      </c>
      <c r="F144" t="s">
        <v>41</v>
      </c>
      <c r="G144" s="3">
        <v>0</v>
      </c>
      <c r="I144" t="s">
        <v>438</v>
      </c>
      <c r="J144" t="s">
        <v>55</v>
      </c>
    </row>
    <row r="145" spans="1:10" hidden="1" x14ac:dyDescent="0.25">
      <c r="A145" t="s">
        <v>194</v>
      </c>
      <c r="B145">
        <v>349</v>
      </c>
      <c r="C145" t="s">
        <v>520</v>
      </c>
      <c r="D145" t="s">
        <v>514</v>
      </c>
      <c r="E145" t="s">
        <v>114</v>
      </c>
      <c r="F145" t="s">
        <v>192</v>
      </c>
      <c r="G145" s="3">
        <v>0</v>
      </c>
      <c r="I145" t="s">
        <v>438</v>
      </c>
      <c r="J145" t="s">
        <v>55</v>
      </c>
    </row>
    <row r="146" spans="1:10" hidden="1" x14ac:dyDescent="0.25">
      <c r="A146" t="s">
        <v>73</v>
      </c>
      <c r="B146">
        <v>350</v>
      </c>
      <c r="C146" t="s">
        <v>522</v>
      </c>
      <c r="D146" t="s">
        <v>440</v>
      </c>
      <c r="E146" t="s">
        <v>523</v>
      </c>
      <c r="F146" t="s">
        <v>41</v>
      </c>
      <c r="G146" s="3">
        <v>0.73</v>
      </c>
      <c r="I146" t="s">
        <v>438</v>
      </c>
      <c r="J146" t="s">
        <v>55</v>
      </c>
    </row>
    <row r="147" spans="1:10" hidden="1" x14ac:dyDescent="0.25">
      <c r="A147" t="s">
        <v>179</v>
      </c>
      <c r="B147">
        <v>352</v>
      </c>
      <c r="C147" t="s">
        <v>527</v>
      </c>
      <c r="D147" t="s">
        <v>525</v>
      </c>
      <c r="E147" t="s">
        <v>104</v>
      </c>
      <c r="F147" t="s">
        <v>41</v>
      </c>
      <c r="G147" s="3">
        <v>0</v>
      </c>
      <c r="I147" t="s">
        <v>438</v>
      </c>
      <c r="J147" t="s">
        <v>55</v>
      </c>
    </row>
    <row r="148" spans="1:10" hidden="1" x14ac:dyDescent="0.25">
      <c r="A148" t="s">
        <v>179</v>
      </c>
      <c r="B148">
        <v>343</v>
      </c>
      <c r="C148" t="s">
        <v>507</v>
      </c>
      <c r="D148" t="s">
        <v>504</v>
      </c>
      <c r="E148" t="s">
        <v>108</v>
      </c>
      <c r="F148" t="s">
        <v>41</v>
      </c>
      <c r="G148" s="3">
        <v>0</v>
      </c>
      <c r="I148" t="s">
        <v>438</v>
      </c>
      <c r="J148" t="s">
        <v>55</v>
      </c>
    </row>
    <row r="149" spans="1:10" hidden="1" x14ac:dyDescent="0.25">
      <c r="A149" t="s">
        <v>179</v>
      </c>
      <c r="B149">
        <v>354</v>
      </c>
      <c r="C149" t="s">
        <v>530</v>
      </c>
      <c r="D149" t="s">
        <v>525</v>
      </c>
      <c r="E149" t="s">
        <v>114</v>
      </c>
      <c r="F149" t="s">
        <v>192</v>
      </c>
      <c r="G149" s="3">
        <v>0</v>
      </c>
      <c r="I149" t="s">
        <v>438</v>
      </c>
      <c r="J149" t="s">
        <v>55</v>
      </c>
    </row>
    <row r="150" spans="1:10" hidden="1" x14ac:dyDescent="0.25">
      <c r="A150" t="s">
        <v>73</v>
      </c>
      <c r="B150">
        <v>355</v>
      </c>
      <c r="C150" t="s">
        <v>532</v>
      </c>
      <c r="D150" t="s">
        <v>440</v>
      </c>
      <c r="E150" t="s">
        <v>533</v>
      </c>
      <c r="F150" t="s">
        <v>41</v>
      </c>
      <c r="G150" s="3">
        <v>0.56999999999999995</v>
      </c>
      <c r="I150" t="s">
        <v>438</v>
      </c>
      <c r="J150" t="s">
        <v>55</v>
      </c>
    </row>
    <row r="151" spans="1:10" hidden="1" x14ac:dyDescent="0.25">
      <c r="A151" t="s">
        <v>179</v>
      </c>
      <c r="B151">
        <v>357</v>
      </c>
      <c r="C151" t="s">
        <v>536</v>
      </c>
      <c r="D151" t="s">
        <v>535</v>
      </c>
      <c r="E151" t="s">
        <v>104</v>
      </c>
      <c r="F151" t="s">
        <v>41</v>
      </c>
      <c r="G151" s="3">
        <v>0</v>
      </c>
      <c r="I151" t="s">
        <v>438</v>
      </c>
      <c r="J151" t="s">
        <v>55</v>
      </c>
    </row>
    <row r="152" spans="1:10" hidden="1" x14ac:dyDescent="0.25">
      <c r="A152" t="s">
        <v>194</v>
      </c>
      <c r="B152">
        <v>348</v>
      </c>
      <c r="C152" t="s">
        <v>518</v>
      </c>
      <c r="D152" t="s">
        <v>514</v>
      </c>
      <c r="E152" t="s">
        <v>108</v>
      </c>
      <c r="F152" t="s">
        <v>192</v>
      </c>
      <c r="G152" s="3">
        <v>0</v>
      </c>
      <c r="I152" t="s">
        <v>438</v>
      </c>
      <c r="J152" t="s">
        <v>55</v>
      </c>
    </row>
    <row r="153" spans="1:10" hidden="1" x14ac:dyDescent="0.25">
      <c r="A153" t="s">
        <v>179</v>
      </c>
      <c r="B153">
        <v>359</v>
      </c>
      <c r="C153" t="s">
        <v>539</v>
      </c>
      <c r="D153" t="s">
        <v>535</v>
      </c>
      <c r="E153" t="s">
        <v>114</v>
      </c>
      <c r="F153" t="s">
        <v>41</v>
      </c>
      <c r="G153" s="3">
        <v>0</v>
      </c>
      <c r="I153" t="s">
        <v>438</v>
      </c>
      <c r="J153" t="s">
        <v>55</v>
      </c>
    </row>
    <row r="154" spans="1:10" hidden="1" x14ac:dyDescent="0.25">
      <c r="A154" t="s">
        <v>73</v>
      </c>
      <c r="B154">
        <v>360</v>
      </c>
      <c r="C154" t="s">
        <v>541</v>
      </c>
      <c r="D154" t="s">
        <v>440</v>
      </c>
      <c r="E154" t="s">
        <v>542</v>
      </c>
      <c r="F154" t="s">
        <v>41</v>
      </c>
      <c r="G154" s="3">
        <v>0.56999999999999995</v>
      </c>
      <c r="I154" t="s">
        <v>438</v>
      </c>
      <c r="J154" t="s">
        <v>55</v>
      </c>
    </row>
    <row r="155" spans="1:10" hidden="1" x14ac:dyDescent="0.25">
      <c r="A155" t="s">
        <v>179</v>
      </c>
      <c r="B155">
        <v>362</v>
      </c>
      <c r="C155" t="s">
        <v>545</v>
      </c>
      <c r="D155" t="s">
        <v>544</v>
      </c>
      <c r="E155" t="s">
        <v>104</v>
      </c>
      <c r="F155" t="s">
        <v>41</v>
      </c>
      <c r="G155" s="3">
        <v>0</v>
      </c>
      <c r="I155" t="s">
        <v>438</v>
      </c>
      <c r="J155" t="s">
        <v>55</v>
      </c>
    </row>
    <row r="156" spans="1:10" hidden="1" x14ac:dyDescent="0.25">
      <c r="A156" t="s">
        <v>179</v>
      </c>
      <c r="B156">
        <v>353</v>
      </c>
      <c r="C156" t="s">
        <v>528</v>
      </c>
      <c r="D156" t="s">
        <v>525</v>
      </c>
      <c r="E156" t="s">
        <v>108</v>
      </c>
      <c r="F156" t="s">
        <v>192</v>
      </c>
      <c r="G156" s="3">
        <v>0</v>
      </c>
      <c r="I156" t="s">
        <v>438</v>
      </c>
      <c r="J156" t="s">
        <v>55</v>
      </c>
    </row>
    <row r="157" spans="1:10" hidden="1" x14ac:dyDescent="0.25">
      <c r="A157" t="s">
        <v>179</v>
      </c>
      <c r="B157">
        <v>364</v>
      </c>
      <c r="C157" t="s">
        <v>548</v>
      </c>
      <c r="D157" t="s">
        <v>544</v>
      </c>
      <c r="E157" t="s">
        <v>114</v>
      </c>
      <c r="F157" t="s">
        <v>41</v>
      </c>
      <c r="G157" s="3">
        <v>0</v>
      </c>
      <c r="I157" t="s">
        <v>438</v>
      </c>
      <c r="J157" t="s">
        <v>55</v>
      </c>
    </row>
    <row r="158" spans="1:10" hidden="1" x14ac:dyDescent="0.25">
      <c r="A158" t="s">
        <v>73</v>
      </c>
      <c r="B158">
        <v>365</v>
      </c>
      <c r="C158" t="s">
        <v>550</v>
      </c>
      <c r="D158" t="s">
        <v>440</v>
      </c>
      <c r="E158" t="s">
        <v>551</v>
      </c>
      <c r="F158" t="s">
        <v>41</v>
      </c>
      <c r="G158" s="3">
        <v>0.57999999999999996</v>
      </c>
      <c r="I158" t="s">
        <v>438</v>
      </c>
      <c r="J158" t="s">
        <v>55</v>
      </c>
    </row>
    <row r="159" spans="1:10" hidden="1" x14ac:dyDescent="0.25">
      <c r="A159" t="s">
        <v>179</v>
      </c>
      <c r="B159">
        <v>367</v>
      </c>
      <c r="C159" t="s">
        <v>555</v>
      </c>
      <c r="D159" t="s">
        <v>553</v>
      </c>
      <c r="E159" t="s">
        <v>104</v>
      </c>
      <c r="F159" t="s">
        <v>41</v>
      </c>
      <c r="G159" s="3">
        <v>0.5</v>
      </c>
      <c r="I159" t="s">
        <v>438</v>
      </c>
      <c r="J159" t="s">
        <v>55</v>
      </c>
    </row>
    <row r="160" spans="1:10" hidden="1" x14ac:dyDescent="0.25">
      <c r="A160" t="s">
        <v>179</v>
      </c>
      <c r="B160">
        <v>358</v>
      </c>
      <c r="C160" t="s">
        <v>537</v>
      </c>
      <c r="D160" t="s">
        <v>535</v>
      </c>
      <c r="E160" t="s">
        <v>108</v>
      </c>
      <c r="F160" t="s">
        <v>41</v>
      </c>
      <c r="G160" s="3">
        <v>0</v>
      </c>
      <c r="I160" t="s">
        <v>438</v>
      </c>
      <c r="J160" t="s">
        <v>55</v>
      </c>
    </row>
    <row r="161" spans="1:10" hidden="1" x14ac:dyDescent="0.25">
      <c r="A161" t="s">
        <v>179</v>
      </c>
      <c r="B161">
        <v>369</v>
      </c>
      <c r="C161" t="s">
        <v>557</v>
      </c>
      <c r="D161" t="s">
        <v>553</v>
      </c>
      <c r="E161" t="s">
        <v>114</v>
      </c>
      <c r="F161" t="s">
        <v>41</v>
      </c>
      <c r="G161" s="3">
        <v>0</v>
      </c>
      <c r="I161" t="s">
        <v>438</v>
      </c>
      <c r="J161" t="s">
        <v>55</v>
      </c>
    </row>
    <row r="162" spans="1:10" hidden="1" x14ac:dyDescent="0.25">
      <c r="A162" t="s">
        <v>179</v>
      </c>
      <c r="B162">
        <v>385</v>
      </c>
      <c r="C162" t="s">
        <v>558</v>
      </c>
      <c r="D162" t="s">
        <v>440</v>
      </c>
      <c r="E162" t="s">
        <v>559</v>
      </c>
      <c r="F162" t="s">
        <v>41</v>
      </c>
      <c r="G162" s="3">
        <v>0.64</v>
      </c>
      <c r="I162" t="s">
        <v>438</v>
      </c>
      <c r="J162" t="s">
        <v>55</v>
      </c>
    </row>
    <row r="163" spans="1:10" hidden="1" x14ac:dyDescent="0.25">
      <c r="A163" t="s">
        <v>179</v>
      </c>
      <c r="B163">
        <v>387</v>
      </c>
      <c r="C163" t="s">
        <v>562</v>
      </c>
      <c r="D163" t="s">
        <v>561</v>
      </c>
      <c r="E163" t="s">
        <v>104</v>
      </c>
      <c r="F163" t="s">
        <v>41</v>
      </c>
      <c r="G163" s="3">
        <v>0.5</v>
      </c>
      <c r="I163" t="s">
        <v>438</v>
      </c>
      <c r="J163" t="s">
        <v>55</v>
      </c>
    </row>
    <row r="164" spans="1:10" hidden="1" x14ac:dyDescent="0.25">
      <c r="A164" t="s">
        <v>179</v>
      </c>
      <c r="B164">
        <v>363</v>
      </c>
      <c r="C164" t="s">
        <v>546</v>
      </c>
      <c r="D164" t="s">
        <v>544</v>
      </c>
      <c r="E164" t="s">
        <v>108</v>
      </c>
      <c r="F164" t="s">
        <v>41</v>
      </c>
      <c r="G164" s="3">
        <v>0</v>
      </c>
      <c r="I164" t="s">
        <v>438</v>
      </c>
      <c r="J164" t="s">
        <v>55</v>
      </c>
    </row>
    <row r="165" spans="1:10" hidden="1" x14ac:dyDescent="0.25">
      <c r="A165" t="s">
        <v>67</v>
      </c>
      <c r="B165">
        <v>389</v>
      </c>
      <c r="C165" t="s">
        <v>565</v>
      </c>
      <c r="D165" t="s">
        <v>561</v>
      </c>
      <c r="E165" t="s">
        <v>114</v>
      </c>
      <c r="F165" t="s">
        <v>41</v>
      </c>
      <c r="G165" s="3">
        <v>0</v>
      </c>
      <c r="I165" t="s">
        <v>438</v>
      </c>
      <c r="J165" t="s">
        <v>55</v>
      </c>
    </row>
    <row r="166" spans="1:10" hidden="1" x14ac:dyDescent="0.25">
      <c r="A166" t="s">
        <v>135</v>
      </c>
      <c r="B166">
        <v>410</v>
      </c>
      <c r="C166" t="s">
        <v>567</v>
      </c>
      <c r="D166" t="s">
        <v>50</v>
      </c>
      <c r="E166" t="s">
        <v>568</v>
      </c>
      <c r="F166" t="s">
        <v>41</v>
      </c>
      <c r="G166" s="3">
        <v>0.73</v>
      </c>
      <c r="I166" t="s">
        <v>569</v>
      </c>
      <c r="J166" t="s">
        <v>44</v>
      </c>
    </row>
    <row r="167" spans="1:10" hidden="1" x14ac:dyDescent="0.25">
      <c r="A167" t="s">
        <v>73</v>
      </c>
      <c r="B167">
        <v>416</v>
      </c>
      <c r="C167" t="s">
        <v>570</v>
      </c>
      <c r="D167" t="s">
        <v>571</v>
      </c>
      <c r="E167" t="s">
        <v>572</v>
      </c>
      <c r="F167" t="s">
        <v>41</v>
      </c>
      <c r="G167" s="3">
        <v>0.88</v>
      </c>
      <c r="I167" t="s">
        <v>569</v>
      </c>
      <c r="J167" t="s">
        <v>55</v>
      </c>
    </row>
    <row r="168" spans="1:10" hidden="1" x14ac:dyDescent="0.25">
      <c r="A168" t="s">
        <v>179</v>
      </c>
      <c r="B168">
        <v>368</v>
      </c>
      <c r="C168" t="s">
        <v>556</v>
      </c>
      <c r="D168" t="s">
        <v>553</v>
      </c>
      <c r="E168" t="s">
        <v>108</v>
      </c>
      <c r="F168" t="s">
        <v>41</v>
      </c>
      <c r="G168" s="3">
        <v>0</v>
      </c>
      <c r="I168" t="s">
        <v>438</v>
      </c>
      <c r="J168" t="s">
        <v>55</v>
      </c>
    </row>
    <row r="169" spans="1:10" hidden="1" x14ac:dyDescent="0.25">
      <c r="A169" t="s">
        <v>179</v>
      </c>
      <c r="B169">
        <v>420</v>
      </c>
      <c r="C169" t="s">
        <v>581</v>
      </c>
      <c r="D169" t="s">
        <v>575</v>
      </c>
      <c r="E169" t="s">
        <v>114</v>
      </c>
      <c r="F169" t="s">
        <v>41</v>
      </c>
      <c r="G169" s="3">
        <v>0</v>
      </c>
      <c r="I169" t="s">
        <v>569</v>
      </c>
      <c r="J169" t="s">
        <v>55</v>
      </c>
    </row>
    <row r="170" spans="1:10" hidden="1" x14ac:dyDescent="0.25">
      <c r="A170" t="s">
        <v>73</v>
      </c>
      <c r="B170">
        <v>421</v>
      </c>
      <c r="C170" t="s">
        <v>582</v>
      </c>
      <c r="D170" t="s">
        <v>571</v>
      </c>
      <c r="E170" t="s">
        <v>583</v>
      </c>
      <c r="F170" t="s">
        <v>41</v>
      </c>
      <c r="G170" s="3">
        <v>0.5</v>
      </c>
      <c r="I170" t="s">
        <v>569</v>
      </c>
      <c r="J170" t="s">
        <v>55</v>
      </c>
    </row>
    <row r="171" spans="1:10" hidden="1" x14ac:dyDescent="0.25">
      <c r="A171" t="s">
        <v>73</v>
      </c>
      <c r="B171">
        <v>423</v>
      </c>
      <c r="C171" t="s">
        <v>586</v>
      </c>
      <c r="D171" t="s">
        <v>585</v>
      </c>
      <c r="E171" t="s">
        <v>104</v>
      </c>
      <c r="F171" t="s">
        <v>41</v>
      </c>
      <c r="G171" s="3">
        <v>0</v>
      </c>
      <c r="I171" t="s">
        <v>569</v>
      </c>
      <c r="J171" t="s">
        <v>55</v>
      </c>
    </row>
    <row r="172" spans="1:10" hidden="1" x14ac:dyDescent="0.25">
      <c r="A172" t="s">
        <v>67</v>
      </c>
      <c r="B172">
        <v>388</v>
      </c>
      <c r="C172" t="s">
        <v>563</v>
      </c>
      <c r="D172" t="s">
        <v>561</v>
      </c>
      <c r="E172" t="s">
        <v>108</v>
      </c>
      <c r="F172" t="s">
        <v>41</v>
      </c>
      <c r="G172" s="3">
        <v>0</v>
      </c>
      <c r="I172" t="s">
        <v>438</v>
      </c>
      <c r="J172" t="s">
        <v>55</v>
      </c>
    </row>
    <row r="173" spans="1:10" hidden="1" x14ac:dyDescent="0.25">
      <c r="A173" t="s">
        <v>179</v>
      </c>
      <c r="B173">
        <v>425</v>
      </c>
      <c r="C173" t="s">
        <v>588</v>
      </c>
      <c r="D173" t="s">
        <v>585</v>
      </c>
      <c r="E173" t="s">
        <v>114</v>
      </c>
      <c r="F173" t="s">
        <v>41</v>
      </c>
      <c r="G173" s="3">
        <v>0</v>
      </c>
      <c r="I173" t="s">
        <v>569</v>
      </c>
      <c r="J173" t="s">
        <v>55</v>
      </c>
    </row>
    <row r="174" spans="1:10" hidden="1" x14ac:dyDescent="0.25">
      <c r="A174" t="s">
        <v>76</v>
      </c>
      <c r="B174">
        <v>426</v>
      </c>
      <c r="C174" t="s">
        <v>589</v>
      </c>
      <c r="D174" t="s">
        <v>571</v>
      </c>
      <c r="E174" t="s">
        <v>590</v>
      </c>
      <c r="F174" t="s">
        <v>41</v>
      </c>
      <c r="G174" s="3">
        <v>0.5</v>
      </c>
      <c r="I174" t="s">
        <v>569</v>
      </c>
      <c r="J174" t="s">
        <v>55</v>
      </c>
    </row>
    <row r="175" spans="1:10" hidden="1" x14ac:dyDescent="0.25">
      <c r="A175" t="s">
        <v>73</v>
      </c>
      <c r="B175">
        <v>428</v>
      </c>
      <c r="C175" t="s">
        <v>595</v>
      </c>
      <c r="D175" t="s">
        <v>592</v>
      </c>
      <c r="E175" t="s">
        <v>104</v>
      </c>
      <c r="F175" t="s">
        <v>41</v>
      </c>
      <c r="G175" s="3">
        <v>0</v>
      </c>
      <c r="I175" t="s">
        <v>569</v>
      </c>
      <c r="J175" t="s">
        <v>55</v>
      </c>
    </row>
    <row r="176" spans="1:10" hidden="1" x14ac:dyDescent="0.25">
      <c r="A176" t="s">
        <v>179</v>
      </c>
      <c r="B176">
        <v>419</v>
      </c>
      <c r="C176" t="s">
        <v>579</v>
      </c>
      <c r="D176" t="s">
        <v>575</v>
      </c>
      <c r="E176" t="s">
        <v>108</v>
      </c>
      <c r="F176" t="s">
        <v>41</v>
      </c>
      <c r="G176" s="3">
        <v>0.5</v>
      </c>
      <c r="I176" t="s">
        <v>569</v>
      </c>
      <c r="J176" t="s">
        <v>55</v>
      </c>
    </row>
    <row r="177" spans="1:10" hidden="1" x14ac:dyDescent="0.25">
      <c r="A177" t="s">
        <v>73</v>
      </c>
      <c r="B177">
        <v>430</v>
      </c>
      <c r="C177" t="s">
        <v>597</v>
      </c>
      <c r="D177" t="s">
        <v>592</v>
      </c>
      <c r="E177" t="s">
        <v>114</v>
      </c>
      <c r="F177" t="s">
        <v>41</v>
      </c>
      <c r="G177" s="3">
        <v>0</v>
      </c>
      <c r="I177" t="s">
        <v>569</v>
      </c>
      <c r="J177" t="s">
        <v>55</v>
      </c>
    </row>
    <row r="178" spans="1:10" hidden="1" x14ac:dyDescent="0.25">
      <c r="A178" t="s">
        <v>179</v>
      </c>
      <c r="B178">
        <v>441</v>
      </c>
      <c r="C178" t="s">
        <v>598</v>
      </c>
      <c r="D178" t="s">
        <v>571</v>
      </c>
      <c r="E178" t="s">
        <v>599</v>
      </c>
      <c r="F178" t="s">
        <v>41</v>
      </c>
      <c r="G178" s="3">
        <v>0.73</v>
      </c>
      <c r="I178" t="s">
        <v>569</v>
      </c>
      <c r="J178" t="s">
        <v>55</v>
      </c>
    </row>
    <row r="179" spans="1:10" hidden="1" x14ac:dyDescent="0.25">
      <c r="A179" t="s">
        <v>67</v>
      </c>
      <c r="B179">
        <v>443</v>
      </c>
      <c r="C179" t="s">
        <v>603</v>
      </c>
      <c r="D179" t="s">
        <v>601</v>
      </c>
      <c r="E179" t="s">
        <v>104</v>
      </c>
      <c r="F179" t="s">
        <v>41</v>
      </c>
      <c r="G179" s="3">
        <v>0</v>
      </c>
      <c r="I179" t="s">
        <v>569</v>
      </c>
      <c r="J179" t="s">
        <v>55</v>
      </c>
    </row>
    <row r="180" spans="1:10" hidden="1" x14ac:dyDescent="0.25">
      <c r="A180" t="s">
        <v>179</v>
      </c>
      <c r="B180">
        <v>424</v>
      </c>
      <c r="C180" t="s">
        <v>587</v>
      </c>
      <c r="D180" t="s">
        <v>585</v>
      </c>
      <c r="E180" t="s">
        <v>108</v>
      </c>
      <c r="F180" t="s">
        <v>41</v>
      </c>
      <c r="G180" s="3">
        <v>0</v>
      </c>
      <c r="I180" t="s">
        <v>569</v>
      </c>
      <c r="J180" t="s">
        <v>55</v>
      </c>
    </row>
    <row r="181" spans="1:10" hidden="1" x14ac:dyDescent="0.25">
      <c r="A181" t="s">
        <v>194</v>
      </c>
      <c r="B181">
        <v>445</v>
      </c>
      <c r="C181" t="s">
        <v>605</v>
      </c>
      <c r="D181" t="s">
        <v>601</v>
      </c>
      <c r="E181" t="s">
        <v>114</v>
      </c>
      <c r="F181" t="s">
        <v>192</v>
      </c>
      <c r="G181" s="3">
        <v>0</v>
      </c>
      <c r="I181" t="s">
        <v>569</v>
      </c>
      <c r="J181" t="s">
        <v>55</v>
      </c>
    </row>
    <row r="182" spans="1:10" hidden="1" x14ac:dyDescent="0.25">
      <c r="A182" t="s">
        <v>73</v>
      </c>
      <c r="B182">
        <v>446</v>
      </c>
      <c r="C182" t="s">
        <v>606</v>
      </c>
      <c r="D182" t="s">
        <v>571</v>
      </c>
      <c r="E182" t="s">
        <v>607</v>
      </c>
      <c r="F182" t="s">
        <v>41</v>
      </c>
      <c r="G182" s="3">
        <v>0.46</v>
      </c>
      <c r="I182" t="s">
        <v>569</v>
      </c>
      <c r="J182" t="s">
        <v>55</v>
      </c>
    </row>
    <row r="183" spans="1:10" hidden="1" x14ac:dyDescent="0.25">
      <c r="A183" t="s">
        <v>179</v>
      </c>
      <c r="B183">
        <v>448</v>
      </c>
      <c r="C183" t="s">
        <v>612</v>
      </c>
      <c r="D183" t="s">
        <v>610</v>
      </c>
      <c r="E183" t="s">
        <v>104</v>
      </c>
      <c r="F183" t="s">
        <v>41</v>
      </c>
      <c r="G183" s="3">
        <v>0</v>
      </c>
      <c r="I183" t="s">
        <v>569</v>
      </c>
      <c r="J183" t="s">
        <v>55</v>
      </c>
    </row>
    <row r="184" spans="1:10" hidden="1" x14ac:dyDescent="0.25">
      <c r="A184" t="s">
        <v>73</v>
      </c>
      <c r="B184">
        <v>429</v>
      </c>
      <c r="C184" t="s">
        <v>596</v>
      </c>
      <c r="D184" t="s">
        <v>592</v>
      </c>
      <c r="E184" t="s">
        <v>108</v>
      </c>
      <c r="F184" t="s">
        <v>41</v>
      </c>
      <c r="G184" s="3">
        <v>0</v>
      </c>
      <c r="I184" t="s">
        <v>569</v>
      </c>
      <c r="J184" t="s">
        <v>55</v>
      </c>
    </row>
    <row r="185" spans="1:10" hidden="1" x14ac:dyDescent="0.25">
      <c r="A185" t="s">
        <v>179</v>
      </c>
      <c r="B185">
        <v>450</v>
      </c>
      <c r="C185" t="s">
        <v>615</v>
      </c>
      <c r="D185" t="s">
        <v>610</v>
      </c>
      <c r="E185" t="s">
        <v>114</v>
      </c>
      <c r="F185" t="s">
        <v>41</v>
      </c>
      <c r="G185" s="3">
        <v>0</v>
      </c>
      <c r="I185" t="s">
        <v>569</v>
      </c>
      <c r="J185" t="s">
        <v>55</v>
      </c>
    </row>
    <row r="186" spans="1:10" hidden="1" x14ac:dyDescent="0.25">
      <c r="A186" t="s">
        <v>135</v>
      </c>
      <c r="B186">
        <v>451</v>
      </c>
      <c r="C186" t="s">
        <v>617</v>
      </c>
      <c r="D186" t="s">
        <v>571</v>
      </c>
      <c r="E186" t="s">
        <v>618</v>
      </c>
      <c r="F186" t="s">
        <v>41</v>
      </c>
      <c r="G186" s="3">
        <v>0.6</v>
      </c>
      <c r="I186" t="s">
        <v>569</v>
      </c>
      <c r="J186" t="s">
        <v>55</v>
      </c>
    </row>
    <row r="187" spans="1:10" hidden="1" x14ac:dyDescent="0.25">
      <c r="A187" t="s">
        <v>76</v>
      </c>
      <c r="B187">
        <v>453</v>
      </c>
      <c r="C187" t="s">
        <v>622</v>
      </c>
      <c r="D187" t="s">
        <v>620</v>
      </c>
      <c r="E187" t="s">
        <v>104</v>
      </c>
      <c r="F187" t="s">
        <v>41</v>
      </c>
      <c r="G187" s="3">
        <v>0</v>
      </c>
      <c r="I187" t="s">
        <v>569</v>
      </c>
      <c r="J187" t="s">
        <v>55</v>
      </c>
    </row>
    <row r="188" spans="1:10" hidden="1" x14ac:dyDescent="0.25">
      <c r="A188" t="s">
        <v>194</v>
      </c>
      <c r="B188">
        <v>444</v>
      </c>
      <c r="C188" t="s">
        <v>604</v>
      </c>
      <c r="D188" t="s">
        <v>601</v>
      </c>
      <c r="E188" t="s">
        <v>108</v>
      </c>
      <c r="F188" t="s">
        <v>41</v>
      </c>
      <c r="G188" s="3">
        <v>0</v>
      </c>
      <c r="I188" t="s">
        <v>569</v>
      </c>
      <c r="J188" t="s">
        <v>55</v>
      </c>
    </row>
    <row r="189" spans="1:10" hidden="1" x14ac:dyDescent="0.25">
      <c r="A189" t="s">
        <v>73</v>
      </c>
      <c r="B189">
        <v>455</v>
      </c>
      <c r="C189" t="s">
        <v>624</v>
      </c>
      <c r="D189" t="s">
        <v>620</v>
      </c>
      <c r="E189" t="s">
        <v>114</v>
      </c>
      <c r="F189" t="s">
        <v>41</v>
      </c>
      <c r="G189" s="3">
        <v>0</v>
      </c>
      <c r="I189" t="s">
        <v>569</v>
      </c>
      <c r="J189" t="s">
        <v>55</v>
      </c>
    </row>
    <row r="190" spans="1:10" hidden="1" x14ac:dyDescent="0.25">
      <c r="A190" t="s">
        <v>118</v>
      </c>
      <c r="B190">
        <v>456</v>
      </c>
      <c r="C190" t="s">
        <v>625</v>
      </c>
      <c r="D190" t="s">
        <v>571</v>
      </c>
      <c r="E190" t="s">
        <v>626</v>
      </c>
      <c r="F190" t="s">
        <v>41</v>
      </c>
      <c r="G190" s="3">
        <v>0.6</v>
      </c>
      <c r="I190" t="s">
        <v>569</v>
      </c>
      <c r="J190" t="s">
        <v>55</v>
      </c>
    </row>
    <row r="191" spans="1:10" hidden="1" x14ac:dyDescent="0.25">
      <c r="A191" t="s">
        <v>73</v>
      </c>
      <c r="B191">
        <v>458</v>
      </c>
      <c r="C191" t="s">
        <v>629</v>
      </c>
      <c r="D191" t="s">
        <v>628</v>
      </c>
      <c r="E191" t="s">
        <v>104</v>
      </c>
      <c r="F191" t="s">
        <v>41</v>
      </c>
      <c r="G191" s="3">
        <v>0</v>
      </c>
      <c r="I191" t="s">
        <v>569</v>
      </c>
      <c r="J191" t="s">
        <v>55</v>
      </c>
    </row>
    <row r="192" spans="1:10" hidden="1" x14ac:dyDescent="0.25">
      <c r="A192" t="s">
        <v>179</v>
      </c>
      <c r="B192">
        <v>449</v>
      </c>
      <c r="C192" t="s">
        <v>613</v>
      </c>
      <c r="D192" t="s">
        <v>610</v>
      </c>
      <c r="E192" t="s">
        <v>108</v>
      </c>
      <c r="F192" t="s">
        <v>41</v>
      </c>
      <c r="G192" s="3">
        <v>0</v>
      </c>
      <c r="I192" t="s">
        <v>569</v>
      </c>
      <c r="J192" t="s">
        <v>55</v>
      </c>
    </row>
    <row r="193" spans="1:10" hidden="1" x14ac:dyDescent="0.25">
      <c r="A193" t="s">
        <v>73</v>
      </c>
      <c r="B193">
        <v>460</v>
      </c>
      <c r="C193" t="s">
        <v>631</v>
      </c>
      <c r="D193" t="s">
        <v>628</v>
      </c>
      <c r="E193" t="s">
        <v>114</v>
      </c>
      <c r="F193" t="s">
        <v>41</v>
      </c>
      <c r="G193" s="3">
        <v>0</v>
      </c>
      <c r="I193" t="s">
        <v>569</v>
      </c>
      <c r="J193" t="s">
        <v>55</v>
      </c>
    </row>
    <row r="194" spans="1:10" hidden="1" x14ac:dyDescent="0.25">
      <c r="A194" t="s">
        <v>179</v>
      </c>
      <c r="B194">
        <v>461</v>
      </c>
      <c r="C194" t="s">
        <v>632</v>
      </c>
      <c r="D194" t="s">
        <v>571</v>
      </c>
      <c r="E194" t="s">
        <v>633</v>
      </c>
      <c r="F194" t="s">
        <v>41</v>
      </c>
      <c r="G194" s="3">
        <v>0.82</v>
      </c>
      <c r="I194" t="s">
        <v>569</v>
      </c>
      <c r="J194" t="s">
        <v>55</v>
      </c>
    </row>
    <row r="195" spans="1:10" hidden="1" x14ac:dyDescent="0.25">
      <c r="A195" t="s">
        <v>76</v>
      </c>
      <c r="B195">
        <v>454</v>
      </c>
      <c r="C195" t="s">
        <v>623</v>
      </c>
      <c r="D195" t="s">
        <v>620</v>
      </c>
      <c r="E195" t="s">
        <v>108</v>
      </c>
      <c r="F195" t="s">
        <v>41</v>
      </c>
      <c r="G195" s="3">
        <v>0</v>
      </c>
      <c r="I195" t="s">
        <v>569</v>
      </c>
      <c r="J195" t="s">
        <v>55</v>
      </c>
    </row>
    <row r="196" spans="1:10" hidden="1" x14ac:dyDescent="0.25">
      <c r="A196" t="s">
        <v>67</v>
      </c>
      <c r="B196">
        <v>465</v>
      </c>
      <c r="C196" t="s">
        <v>638</v>
      </c>
      <c r="D196" t="s">
        <v>635</v>
      </c>
      <c r="E196" t="s">
        <v>114</v>
      </c>
      <c r="F196" t="s">
        <v>41</v>
      </c>
      <c r="G196" s="3">
        <v>0</v>
      </c>
      <c r="I196" t="s">
        <v>569</v>
      </c>
      <c r="J196" t="s">
        <v>55</v>
      </c>
    </row>
    <row r="197" spans="1:10" hidden="1" x14ac:dyDescent="0.25">
      <c r="A197" t="s">
        <v>179</v>
      </c>
      <c r="B197">
        <v>466</v>
      </c>
      <c r="C197" t="s">
        <v>639</v>
      </c>
      <c r="D197" t="s">
        <v>571</v>
      </c>
      <c r="E197" t="s">
        <v>640</v>
      </c>
      <c r="F197" t="s">
        <v>41</v>
      </c>
      <c r="G197" s="3">
        <v>0.5</v>
      </c>
      <c r="I197" t="s">
        <v>569</v>
      </c>
      <c r="J197" t="s">
        <v>55</v>
      </c>
    </row>
    <row r="198" spans="1:10" hidden="1" x14ac:dyDescent="0.25">
      <c r="A198" t="s">
        <v>179</v>
      </c>
      <c r="B198">
        <v>468</v>
      </c>
      <c r="C198" t="s">
        <v>643</v>
      </c>
      <c r="D198" t="s">
        <v>642</v>
      </c>
      <c r="E198" t="s">
        <v>104</v>
      </c>
      <c r="F198" t="s">
        <v>41</v>
      </c>
      <c r="G198" s="3">
        <v>0</v>
      </c>
      <c r="I198" t="s">
        <v>569</v>
      </c>
      <c r="J198" t="s">
        <v>55</v>
      </c>
    </row>
    <row r="199" spans="1:10" hidden="1" x14ac:dyDescent="0.25">
      <c r="A199" t="s">
        <v>73</v>
      </c>
      <c r="B199">
        <v>459</v>
      </c>
      <c r="C199" t="s">
        <v>630</v>
      </c>
      <c r="D199" t="s">
        <v>628</v>
      </c>
      <c r="E199" t="s">
        <v>108</v>
      </c>
      <c r="F199" t="s">
        <v>41</v>
      </c>
      <c r="G199" s="3">
        <v>0</v>
      </c>
      <c r="I199" t="s">
        <v>569</v>
      </c>
      <c r="J199" t="s">
        <v>55</v>
      </c>
    </row>
    <row r="200" spans="1:10" hidden="1" x14ac:dyDescent="0.25">
      <c r="A200" t="s">
        <v>67</v>
      </c>
      <c r="B200">
        <v>470</v>
      </c>
      <c r="C200" t="s">
        <v>645</v>
      </c>
      <c r="D200" t="s">
        <v>642</v>
      </c>
      <c r="E200" t="s">
        <v>114</v>
      </c>
      <c r="F200" t="s">
        <v>41</v>
      </c>
      <c r="G200" s="3">
        <v>0</v>
      </c>
      <c r="I200" t="s">
        <v>569</v>
      </c>
      <c r="J200" t="s">
        <v>55</v>
      </c>
    </row>
    <row r="201" spans="1:10" hidden="1" x14ac:dyDescent="0.25">
      <c r="A201" t="s">
        <v>179</v>
      </c>
      <c r="B201">
        <v>471</v>
      </c>
      <c r="C201" t="s">
        <v>646</v>
      </c>
      <c r="D201" t="s">
        <v>571</v>
      </c>
      <c r="E201" t="s">
        <v>647</v>
      </c>
      <c r="F201" t="s">
        <v>41</v>
      </c>
      <c r="G201" s="3">
        <v>0.5</v>
      </c>
      <c r="I201" t="s">
        <v>569</v>
      </c>
      <c r="J201" t="s">
        <v>55</v>
      </c>
    </row>
    <row r="202" spans="1:10" hidden="1" x14ac:dyDescent="0.25">
      <c r="A202" t="s">
        <v>179</v>
      </c>
      <c r="B202">
        <v>473</v>
      </c>
      <c r="C202" t="s">
        <v>650</v>
      </c>
      <c r="D202" t="s">
        <v>649</v>
      </c>
      <c r="E202" t="s">
        <v>104</v>
      </c>
      <c r="F202" t="s">
        <v>41</v>
      </c>
      <c r="G202" s="3">
        <v>0</v>
      </c>
      <c r="I202" t="s">
        <v>569</v>
      </c>
      <c r="J202" t="s">
        <v>55</v>
      </c>
    </row>
    <row r="203" spans="1:10" hidden="1" x14ac:dyDescent="0.25">
      <c r="A203" t="s">
        <v>67</v>
      </c>
      <c r="B203">
        <v>464</v>
      </c>
      <c r="C203" t="s">
        <v>637</v>
      </c>
      <c r="D203" t="s">
        <v>635</v>
      </c>
      <c r="E203" t="s">
        <v>108</v>
      </c>
      <c r="F203" t="s">
        <v>41</v>
      </c>
      <c r="G203" s="3">
        <v>0.5</v>
      </c>
      <c r="I203" t="s">
        <v>569</v>
      </c>
      <c r="J203" t="s">
        <v>55</v>
      </c>
    </row>
    <row r="204" spans="1:10" hidden="1" x14ac:dyDescent="0.25">
      <c r="A204" t="s">
        <v>67</v>
      </c>
      <c r="B204">
        <v>475</v>
      </c>
      <c r="C204" t="s">
        <v>652</v>
      </c>
      <c r="D204" t="s">
        <v>649</v>
      </c>
      <c r="E204" t="s">
        <v>114</v>
      </c>
      <c r="F204" t="s">
        <v>41</v>
      </c>
      <c r="G204" s="3">
        <v>0</v>
      </c>
      <c r="I204" t="s">
        <v>569</v>
      </c>
      <c r="J204" t="s">
        <v>55</v>
      </c>
    </row>
    <row r="205" spans="1:10" hidden="1" x14ac:dyDescent="0.25">
      <c r="A205" t="s">
        <v>73</v>
      </c>
      <c r="B205">
        <v>481</v>
      </c>
      <c r="C205" t="s">
        <v>653</v>
      </c>
      <c r="D205" t="s">
        <v>571</v>
      </c>
      <c r="E205" t="s">
        <v>654</v>
      </c>
      <c r="F205" t="s">
        <v>41</v>
      </c>
      <c r="G205" s="3">
        <v>0.5</v>
      </c>
      <c r="I205" t="s">
        <v>569</v>
      </c>
      <c r="J205" t="s">
        <v>55</v>
      </c>
    </row>
    <row r="206" spans="1:10" hidden="1" x14ac:dyDescent="0.25">
      <c r="A206" t="s">
        <v>179</v>
      </c>
      <c r="B206">
        <v>483</v>
      </c>
      <c r="C206" t="s">
        <v>658</v>
      </c>
      <c r="D206" t="s">
        <v>656</v>
      </c>
      <c r="E206" t="s">
        <v>104</v>
      </c>
      <c r="F206" t="s">
        <v>41</v>
      </c>
      <c r="G206" s="3">
        <v>0</v>
      </c>
      <c r="I206" t="s">
        <v>569</v>
      </c>
      <c r="J206" t="s">
        <v>55</v>
      </c>
    </row>
    <row r="207" spans="1:10" hidden="1" x14ac:dyDescent="0.25">
      <c r="A207" t="s">
        <v>179</v>
      </c>
      <c r="B207">
        <v>469</v>
      </c>
      <c r="C207" t="s">
        <v>644</v>
      </c>
      <c r="D207" t="s">
        <v>642</v>
      </c>
      <c r="E207" t="s">
        <v>108</v>
      </c>
      <c r="F207" t="s">
        <v>41</v>
      </c>
      <c r="G207" s="3">
        <v>0</v>
      </c>
      <c r="I207" t="s">
        <v>569</v>
      </c>
      <c r="J207" t="s">
        <v>55</v>
      </c>
    </row>
    <row r="208" spans="1:10" hidden="1" x14ac:dyDescent="0.25">
      <c r="A208" t="s">
        <v>179</v>
      </c>
      <c r="B208">
        <v>485</v>
      </c>
      <c r="C208" t="s">
        <v>660</v>
      </c>
      <c r="D208" t="s">
        <v>656</v>
      </c>
      <c r="E208" t="s">
        <v>114</v>
      </c>
      <c r="F208" t="s">
        <v>192</v>
      </c>
      <c r="G208" s="3">
        <v>0</v>
      </c>
      <c r="I208" t="s">
        <v>569</v>
      </c>
      <c r="J208" t="s">
        <v>55</v>
      </c>
    </row>
    <row r="209" spans="1:10" hidden="1" x14ac:dyDescent="0.25">
      <c r="A209" t="s">
        <v>179</v>
      </c>
      <c r="B209">
        <v>496</v>
      </c>
      <c r="C209" t="s">
        <v>661</v>
      </c>
      <c r="D209" t="s">
        <v>571</v>
      </c>
      <c r="E209" t="s">
        <v>662</v>
      </c>
      <c r="F209" t="s">
        <v>41</v>
      </c>
      <c r="G209" s="3">
        <v>0.67</v>
      </c>
      <c r="I209" t="s">
        <v>569</v>
      </c>
      <c r="J209" t="s">
        <v>55</v>
      </c>
    </row>
    <row r="210" spans="1:10" hidden="1" x14ac:dyDescent="0.25">
      <c r="A210" t="s">
        <v>67</v>
      </c>
      <c r="B210">
        <v>498</v>
      </c>
      <c r="C210" t="s">
        <v>667</v>
      </c>
      <c r="D210" t="s">
        <v>664</v>
      </c>
      <c r="E210" t="s">
        <v>104</v>
      </c>
      <c r="F210" t="s">
        <v>41</v>
      </c>
      <c r="G210" s="3">
        <v>0</v>
      </c>
      <c r="I210" t="s">
        <v>569</v>
      </c>
      <c r="J210" t="s">
        <v>55</v>
      </c>
    </row>
    <row r="211" spans="1:10" hidden="1" x14ac:dyDescent="0.25">
      <c r="A211" t="s">
        <v>179</v>
      </c>
      <c r="B211">
        <v>474</v>
      </c>
      <c r="C211" t="s">
        <v>651</v>
      </c>
      <c r="D211" t="s">
        <v>649</v>
      </c>
      <c r="E211" t="s">
        <v>108</v>
      </c>
      <c r="F211" t="s">
        <v>41</v>
      </c>
      <c r="G211" s="3">
        <v>0</v>
      </c>
      <c r="I211" t="s">
        <v>569</v>
      </c>
      <c r="J211" t="s">
        <v>55</v>
      </c>
    </row>
    <row r="212" spans="1:10" hidden="1" x14ac:dyDescent="0.25">
      <c r="A212" t="s">
        <v>194</v>
      </c>
      <c r="B212">
        <v>500</v>
      </c>
      <c r="C212" t="s">
        <v>669</v>
      </c>
      <c r="D212" t="s">
        <v>664</v>
      </c>
      <c r="E212" t="s">
        <v>114</v>
      </c>
      <c r="F212" t="s">
        <v>192</v>
      </c>
      <c r="G212" s="3">
        <v>0</v>
      </c>
      <c r="I212" t="s">
        <v>569</v>
      </c>
      <c r="J212" t="s">
        <v>55</v>
      </c>
    </row>
    <row r="213" spans="1:10" hidden="1" x14ac:dyDescent="0.25">
      <c r="A213" t="s">
        <v>73</v>
      </c>
      <c r="B213">
        <v>501</v>
      </c>
      <c r="C213" t="s">
        <v>670</v>
      </c>
      <c r="D213" t="s">
        <v>571</v>
      </c>
      <c r="E213" t="s">
        <v>671</v>
      </c>
      <c r="F213" t="s">
        <v>41</v>
      </c>
      <c r="G213" s="3">
        <v>0</v>
      </c>
      <c r="I213" t="s">
        <v>569</v>
      </c>
      <c r="J213" t="s">
        <v>55</v>
      </c>
    </row>
    <row r="214" spans="1:10" hidden="1" x14ac:dyDescent="0.25">
      <c r="A214" t="s">
        <v>179</v>
      </c>
      <c r="B214">
        <v>484</v>
      </c>
      <c r="C214" t="s">
        <v>659</v>
      </c>
      <c r="D214" t="s">
        <v>656</v>
      </c>
      <c r="E214" t="s">
        <v>108</v>
      </c>
      <c r="F214" t="s">
        <v>41</v>
      </c>
      <c r="G214" s="3">
        <v>0</v>
      </c>
      <c r="I214" t="s">
        <v>569</v>
      </c>
      <c r="J214" t="s">
        <v>55</v>
      </c>
    </row>
    <row r="215" spans="1:10" hidden="1" x14ac:dyDescent="0.25">
      <c r="A215" t="s">
        <v>179</v>
      </c>
      <c r="B215">
        <v>503</v>
      </c>
      <c r="C215" t="s">
        <v>674</v>
      </c>
      <c r="D215" t="s">
        <v>673</v>
      </c>
      <c r="E215" t="s">
        <v>104</v>
      </c>
      <c r="F215" t="s">
        <v>41</v>
      </c>
      <c r="G215" s="3">
        <v>0</v>
      </c>
      <c r="I215" t="s">
        <v>569</v>
      </c>
      <c r="J215" t="s">
        <v>55</v>
      </c>
    </row>
    <row r="216" spans="1:10" hidden="1" x14ac:dyDescent="0.25">
      <c r="A216" t="s">
        <v>67</v>
      </c>
      <c r="B216">
        <v>499</v>
      </c>
      <c r="C216" t="s">
        <v>668</v>
      </c>
      <c r="D216" t="s">
        <v>664</v>
      </c>
      <c r="E216" t="s">
        <v>108</v>
      </c>
      <c r="F216" t="s">
        <v>41</v>
      </c>
      <c r="G216" s="3">
        <v>0</v>
      </c>
      <c r="I216" t="s">
        <v>569</v>
      </c>
      <c r="J216" t="s">
        <v>55</v>
      </c>
    </row>
    <row r="217" spans="1:10" hidden="1" x14ac:dyDescent="0.25">
      <c r="A217" t="s">
        <v>179</v>
      </c>
      <c r="B217">
        <v>505</v>
      </c>
      <c r="C217" t="s">
        <v>676</v>
      </c>
      <c r="D217" t="s">
        <v>673</v>
      </c>
      <c r="E217" t="s">
        <v>114</v>
      </c>
      <c r="F217" t="s">
        <v>41</v>
      </c>
      <c r="G217" s="3">
        <v>0</v>
      </c>
      <c r="I217" t="s">
        <v>569</v>
      </c>
      <c r="J217" t="s">
        <v>55</v>
      </c>
    </row>
    <row r="218" spans="1:10" hidden="1" x14ac:dyDescent="0.25">
      <c r="A218" t="s">
        <v>73</v>
      </c>
      <c r="B218">
        <v>506</v>
      </c>
      <c r="C218" t="s">
        <v>677</v>
      </c>
      <c r="D218" t="s">
        <v>571</v>
      </c>
      <c r="E218" t="s">
        <v>678</v>
      </c>
      <c r="F218" t="s">
        <v>41</v>
      </c>
      <c r="G218" s="3">
        <v>0.8</v>
      </c>
      <c r="I218" t="s">
        <v>569</v>
      </c>
      <c r="J218" t="s">
        <v>55</v>
      </c>
    </row>
    <row r="219" spans="1:10" hidden="1" x14ac:dyDescent="0.25">
      <c r="A219" t="s">
        <v>179</v>
      </c>
      <c r="B219">
        <v>504</v>
      </c>
      <c r="C219" t="s">
        <v>675</v>
      </c>
      <c r="D219" t="s">
        <v>673</v>
      </c>
      <c r="E219" t="s">
        <v>108</v>
      </c>
      <c r="F219" t="s">
        <v>41</v>
      </c>
      <c r="G219" s="3">
        <v>0</v>
      </c>
      <c r="I219" t="s">
        <v>569</v>
      </c>
      <c r="J219" t="s">
        <v>55</v>
      </c>
    </row>
    <row r="220" spans="1:10" hidden="1" x14ac:dyDescent="0.25">
      <c r="A220" t="s">
        <v>67</v>
      </c>
      <c r="B220">
        <v>510</v>
      </c>
      <c r="C220" t="s">
        <v>687</v>
      </c>
      <c r="D220" t="s">
        <v>681</v>
      </c>
      <c r="E220" t="s">
        <v>114</v>
      </c>
      <c r="F220" t="s">
        <v>41</v>
      </c>
      <c r="G220" s="3">
        <v>0</v>
      </c>
      <c r="I220" t="s">
        <v>569</v>
      </c>
      <c r="J220" t="s">
        <v>55</v>
      </c>
    </row>
    <row r="221" spans="1:10" hidden="1" x14ac:dyDescent="0.25">
      <c r="A221" t="s">
        <v>73</v>
      </c>
      <c r="B221">
        <v>511</v>
      </c>
      <c r="C221" t="s">
        <v>689</v>
      </c>
      <c r="D221" t="s">
        <v>571</v>
      </c>
      <c r="E221" t="s">
        <v>690</v>
      </c>
      <c r="F221" t="s">
        <v>41</v>
      </c>
      <c r="G221" s="3">
        <v>0.8</v>
      </c>
      <c r="I221" t="s">
        <v>569</v>
      </c>
      <c r="J221" t="s">
        <v>55</v>
      </c>
    </row>
    <row r="222" spans="1:10" hidden="1" x14ac:dyDescent="0.25">
      <c r="A222" t="s">
        <v>67</v>
      </c>
      <c r="B222">
        <v>509</v>
      </c>
      <c r="C222" t="s">
        <v>685</v>
      </c>
      <c r="D222" t="s">
        <v>681</v>
      </c>
      <c r="E222" t="s">
        <v>108</v>
      </c>
      <c r="F222" t="s">
        <v>41</v>
      </c>
      <c r="G222" s="3">
        <v>0</v>
      </c>
      <c r="I222" t="s">
        <v>569</v>
      </c>
      <c r="J222" t="s">
        <v>55</v>
      </c>
    </row>
    <row r="223" spans="1:10" hidden="1" x14ac:dyDescent="0.25">
      <c r="A223" t="s">
        <v>67</v>
      </c>
      <c r="B223">
        <v>515</v>
      </c>
      <c r="C223" t="s">
        <v>696</v>
      </c>
      <c r="D223" t="s">
        <v>692</v>
      </c>
      <c r="E223" t="s">
        <v>114</v>
      </c>
      <c r="F223" t="s">
        <v>41</v>
      </c>
      <c r="G223" s="3">
        <v>0</v>
      </c>
      <c r="I223" t="s">
        <v>569</v>
      </c>
      <c r="J223" t="s">
        <v>55</v>
      </c>
    </row>
    <row r="224" spans="1:10" hidden="1" x14ac:dyDescent="0.25">
      <c r="A224" t="s">
        <v>73</v>
      </c>
      <c r="B224">
        <v>516</v>
      </c>
      <c r="C224" t="s">
        <v>697</v>
      </c>
      <c r="D224" t="s">
        <v>571</v>
      </c>
      <c r="E224" t="s">
        <v>698</v>
      </c>
      <c r="F224" t="s">
        <v>41</v>
      </c>
      <c r="G224" s="3">
        <v>0.8</v>
      </c>
      <c r="I224" t="s">
        <v>569</v>
      </c>
      <c r="J224" t="s">
        <v>55</v>
      </c>
    </row>
    <row r="225" spans="1:10" hidden="1" x14ac:dyDescent="0.25">
      <c r="A225" t="s">
        <v>67</v>
      </c>
      <c r="B225">
        <v>514</v>
      </c>
      <c r="C225" t="s">
        <v>695</v>
      </c>
      <c r="D225" t="s">
        <v>692</v>
      </c>
      <c r="E225" t="s">
        <v>108</v>
      </c>
      <c r="F225" t="s">
        <v>41</v>
      </c>
      <c r="G225" s="3">
        <v>0</v>
      </c>
      <c r="I225" t="s">
        <v>569</v>
      </c>
      <c r="J225" t="s">
        <v>55</v>
      </c>
    </row>
    <row r="226" spans="1:10" hidden="1" x14ac:dyDescent="0.25">
      <c r="A226" t="s">
        <v>67</v>
      </c>
      <c r="B226">
        <v>520</v>
      </c>
      <c r="C226" t="s">
        <v>703</v>
      </c>
      <c r="D226" t="s">
        <v>700</v>
      </c>
      <c r="E226" t="s">
        <v>114</v>
      </c>
      <c r="F226" t="s">
        <v>41</v>
      </c>
      <c r="G226" s="3">
        <v>0</v>
      </c>
      <c r="I226" t="s">
        <v>569</v>
      </c>
      <c r="J226" t="s">
        <v>55</v>
      </c>
    </row>
    <row r="227" spans="1:10" hidden="1" x14ac:dyDescent="0.25">
      <c r="A227" t="s">
        <v>73</v>
      </c>
      <c r="B227">
        <v>521</v>
      </c>
      <c r="C227" t="s">
        <v>704</v>
      </c>
      <c r="D227" t="s">
        <v>571</v>
      </c>
      <c r="E227" t="s">
        <v>705</v>
      </c>
      <c r="F227" t="s">
        <v>41</v>
      </c>
      <c r="G227" s="3">
        <v>0.8</v>
      </c>
      <c r="I227" t="s">
        <v>569</v>
      </c>
      <c r="J227" t="s">
        <v>55</v>
      </c>
    </row>
    <row r="228" spans="1:10" hidden="1" x14ac:dyDescent="0.25">
      <c r="A228" t="s">
        <v>179</v>
      </c>
      <c r="B228">
        <v>519</v>
      </c>
      <c r="C228" t="s">
        <v>702</v>
      </c>
      <c r="D228" t="s">
        <v>700</v>
      </c>
      <c r="E228" t="s">
        <v>108</v>
      </c>
      <c r="F228" t="s">
        <v>41</v>
      </c>
      <c r="G228" s="3">
        <v>0</v>
      </c>
      <c r="I228" t="s">
        <v>569</v>
      </c>
      <c r="J228" t="s">
        <v>55</v>
      </c>
    </row>
    <row r="229" spans="1:10" hidden="1" x14ac:dyDescent="0.25">
      <c r="A229" t="s">
        <v>67</v>
      </c>
      <c r="B229">
        <v>525</v>
      </c>
      <c r="C229" t="s">
        <v>710</v>
      </c>
      <c r="D229" t="s">
        <v>707</v>
      </c>
      <c r="E229" t="s">
        <v>114</v>
      </c>
      <c r="F229" t="s">
        <v>41</v>
      </c>
      <c r="G229" s="3">
        <v>0</v>
      </c>
      <c r="I229" t="s">
        <v>569</v>
      </c>
      <c r="J229" t="s">
        <v>55</v>
      </c>
    </row>
    <row r="230" spans="1:10" hidden="1" x14ac:dyDescent="0.25">
      <c r="A230" t="s">
        <v>73</v>
      </c>
      <c r="B230">
        <v>526</v>
      </c>
      <c r="C230" t="s">
        <v>711</v>
      </c>
      <c r="D230" t="s">
        <v>571</v>
      </c>
      <c r="E230" t="s">
        <v>712</v>
      </c>
      <c r="F230" t="s">
        <v>41</v>
      </c>
      <c r="G230" s="3">
        <v>0.8</v>
      </c>
      <c r="I230" t="s">
        <v>569</v>
      </c>
      <c r="J230" t="s">
        <v>55</v>
      </c>
    </row>
    <row r="231" spans="1:10" hidden="1" x14ac:dyDescent="0.25">
      <c r="A231" t="s">
        <v>67</v>
      </c>
      <c r="B231">
        <v>524</v>
      </c>
      <c r="C231" t="s">
        <v>709</v>
      </c>
      <c r="D231" t="s">
        <v>707</v>
      </c>
      <c r="E231" t="s">
        <v>108</v>
      </c>
      <c r="F231" t="s">
        <v>41</v>
      </c>
      <c r="G231" s="3">
        <v>0</v>
      </c>
      <c r="I231" t="s">
        <v>569</v>
      </c>
      <c r="J231" t="s">
        <v>55</v>
      </c>
    </row>
    <row r="232" spans="1:10" hidden="1" x14ac:dyDescent="0.25">
      <c r="A232" t="s">
        <v>67</v>
      </c>
      <c r="B232">
        <v>530</v>
      </c>
      <c r="C232" t="s">
        <v>717</v>
      </c>
      <c r="D232" t="s">
        <v>714</v>
      </c>
      <c r="E232" t="s">
        <v>114</v>
      </c>
      <c r="F232" t="s">
        <v>41</v>
      </c>
      <c r="G232" s="3">
        <v>0</v>
      </c>
      <c r="I232" t="s">
        <v>569</v>
      </c>
      <c r="J232" t="s">
        <v>55</v>
      </c>
    </row>
    <row r="233" spans="1:10" hidden="1" x14ac:dyDescent="0.25">
      <c r="A233" t="s">
        <v>73</v>
      </c>
      <c r="B233">
        <v>531</v>
      </c>
      <c r="C233" t="s">
        <v>718</v>
      </c>
      <c r="D233" t="s">
        <v>571</v>
      </c>
      <c r="E233" t="s">
        <v>719</v>
      </c>
      <c r="F233" t="s">
        <v>41</v>
      </c>
      <c r="G233" s="3">
        <v>0.8</v>
      </c>
      <c r="I233" t="s">
        <v>569</v>
      </c>
      <c r="J233" t="s">
        <v>55</v>
      </c>
    </row>
    <row r="234" spans="1:10" hidden="1" x14ac:dyDescent="0.25">
      <c r="A234" t="s">
        <v>67</v>
      </c>
      <c r="B234">
        <v>529</v>
      </c>
      <c r="C234" t="s">
        <v>716</v>
      </c>
      <c r="D234" t="s">
        <v>714</v>
      </c>
      <c r="E234" t="s">
        <v>108</v>
      </c>
      <c r="F234" t="s">
        <v>41</v>
      </c>
      <c r="G234" s="3">
        <v>0</v>
      </c>
      <c r="I234" t="s">
        <v>569</v>
      </c>
      <c r="J234" t="s">
        <v>55</v>
      </c>
    </row>
    <row r="235" spans="1:10" hidden="1" x14ac:dyDescent="0.25">
      <c r="A235" t="s">
        <v>67</v>
      </c>
      <c r="B235">
        <v>535</v>
      </c>
      <c r="C235" t="s">
        <v>724</v>
      </c>
      <c r="D235" t="s">
        <v>721</v>
      </c>
      <c r="E235" t="s">
        <v>114</v>
      </c>
      <c r="F235" t="s">
        <v>41</v>
      </c>
      <c r="G235" s="3">
        <v>0</v>
      </c>
      <c r="I235" t="s">
        <v>569</v>
      </c>
      <c r="J235" t="s">
        <v>55</v>
      </c>
    </row>
    <row r="236" spans="1:10" hidden="1" x14ac:dyDescent="0.25">
      <c r="A236" t="s">
        <v>73</v>
      </c>
      <c r="B236">
        <v>536</v>
      </c>
      <c r="C236" t="s">
        <v>725</v>
      </c>
      <c r="D236" t="s">
        <v>571</v>
      </c>
      <c r="E236" t="s">
        <v>726</v>
      </c>
      <c r="F236" t="s">
        <v>41</v>
      </c>
      <c r="G236" s="3">
        <v>0.8</v>
      </c>
      <c r="I236" t="s">
        <v>569</v>
      </c>
      <c r="J236" t="s">
        <v>55</v>
      </c>
    </row>
    <row r="237" spans="1:10" hidden="1" x14ac:dyDescent="0.25">
      <c r="A237" t="s">
        <v>67</v>
      </c>
      <c r="B237">
        <v>534</v>
      </c>
      <c r="C237" t="s">
        <v>723</v>
      </c>
      <c r="D237" t="s">
        <v>721</v>
      </c>
      <c r="E237" t="s">
        <v>108</v>
      </c>
      <c r="F237" t="s">
        <v>41</v>
      </c>
      <c r="G237" s="3">
        <v>0</v>
      </c>
      <c r="I237" t="s">
        <v>569</v>
      </c>
      <c r="J237" t="s">
        <v>55</v>
      </c>
    </row>
    <row r="238" spans="1:10" hidden="1" x14ac:dyDescent="0.25">
      <c r="A238" t="s">
        <v>67</v>
      </c>
      <c r="B238">
        <v>540</v>
      </c>
      <c r="C238" t="s">
        <v>731</v>
      </c>
      <c r="D238" t="s">
        <v>728</v>
      </c>
      <c r="E238" t="s">
        <v>114</v>
      </c>
      <c r="F238" t="s">
        <v>41</v>
      </c>
      <c r="G238" s="3">
        <v>0</v>
      </c>
      <c r="I238" t="s">
        <v>569</v>
      </c>
      <c r="J238" t="s">
        <v>55</v>
      </c>
    </row>
    <row r="239" spans="1:10" hidden="1" x14ac:dyDescent="0.25">
      <c r="A239" t="s">
        <v>73</v>
      </c>
      <c r="B239">
        <v>541</v>
      </c>
      <c r="C239" t="s">
        <v>732</v>
      </c>
      <c r="D239" t="s">
        <v>571</v>
      </c>
      <c r="E239" t="s">
        <v>733</v>
      </c>
      <c r="F239" t="s">
        <v>41</v>
      </c>
      <c r="G239" s="3">
        <v>0.8</v>
      </c>
      <c r="I239" t="s">
        <v>569</v>
      </c>
      <c r="J239" t="s">
        <v>55</v>
      </c>
    </row>
    <row r="240" spans="1:10" hidden="1" x14ac:dyDescent="0.25">
      <c r="A240" t="s">
        <v>67</v>
      </c>
      <c r="B240">
        <v>539</v>
      </c>
      <c r="C240" t="s">
        <v>730</v>
      </c>
      <c r="D240" t="s">
        <v>728</v>
      </c>
      <c r="E240" t="s">
        <v>108</v>
      </c>
      <c r="F240" t="s">
        <v>41</v>
      </c>
      <c r="G240" s="3">
        <v>0</v>
      </c>
      <c r="I240" t="s">
        <v>569</v>
      </c>
      <c r="J240" t="s">
        <v>55</v>
      </c>
    </row>
    <row r="241" spans="1:10" hidden="1" x14ac:dyDescent="0.25">
      <c r="A241" t="s">
        <v>67</v>
      </c>
      <c r="B241">
        <v>545</v>
      </c>
      <c r="C241" t="s">
        <v>738</v>
      </c>
      <c r="D241" t="s">
        <v>735</v>
      </c>
      <c r="E241" t="s">
        <v>114</v>
      </c>
      <c r="F241" t="s">
        <v>41</v>
      </c>
      <c r="G241" s="3">
        <v>0</v>
      </c>
      <c r="I241" t="s">
        <v>569</v>
      </c>
      <c r="J241" t="s">
        <v>55</v>
      </c>
    </row>
    <row r="242" spans="1:10" hidden="1" x14ac:dyDescent="0.25">
      <c r="A242" t="s">
        <v>73</v>
      </c>
      <c r="B242">
        <v>546</v>
      </c>
      <c r="C242" t="s">
        <v>739</v>
      </c>
      <c r="D242" t="s">
        <v>571</v>
      </c>
      <c r="E242" t="s">
        <v>740</v>
      </c>
      <c r="F242" t="s">
        <v>41</v>
      </c>
      <c r="G242" s="3">
        <v>0.8</v>
      </c>
      <c r="I242" t="s">
        <v>569</v>
      </c>
      <c r="J242" t="s">
        <v>55</v>
      </c>
    </row>
    <row r="243" spans="1:10" hidden="1" x14ac:dyDescent="0.25">
      <c r="A243" t="s">
        <v>67</v>
      </c>
      <c r="B243">
        <v>544</v>
      </c>
      <c r="C243" t="s">
        <v>737</v>
      </c>
      <c r="D243" t="s">
        <v>735</v>
      </c>
      <c r="E243" t="s">
        <v>108</v>
      </c>
      <c r="F243" t="s">
        <v>41</v>
      </c>
      <c r="G243" s="3">
        <v>0</v>
      </c>
      <c r="I243" t="s">
        <v>569</v>
      </c>
      <c r="J243" t="s">
        <v>55</v>
      </c>
    </row>
    <row r="244" spans="1:10" hidden="1" x14ac:dyDescent="0.25">
      <c r="A244" t="s">
        <v>67</v>
      </c>
      <c r="B244">
        <v>550</v>
      </c>
      <c r="C244" t="s">
        <v>745</v>
      </c>
      <c r="D244" t="s">
        <v>742</v>
      </c>
      <c r="E244" t="s">
        <v>114</v>
      </c>
      <c r="F244" t="s">
        <v>41</v>
      </c>
      <c r="G244" s="3">
        <v>0</v>
      </c>
      <c r="I244" t="s">
        <v>569</v>
      </c>
      <c r="J244" t="s">
        <v>55</v>
      </c>
    </row>
    <row r="245" spans="1:10" hidden="1" x14ac:dyDescent="0.25">
      <c r="A245" t="s">
        <v>73</v>
      </c>
      <c r="B245">
        <v>551</v>
      </c>
      <c r="C245" t="s">
        <v>746</v>
      </c>
      <c r="D245" t="s">
        <v>571</v>
      </c>
      <c r="E245" t="s">
        <v>747</v>
      </c>
      <c r="F245" t="s">
        <v>41</v>
      </c>
      <c r="G245" s="3">
        <v>0.8</v>
      </c>
      <c r="I245" t="s">
        <v>569</v>
      </c>
      <c r="J245" t="s">
        <v>55</v>
      </c>
    </row>
    <row r="246" spans="1:10" hidden="1" x14ac:dyDescent="0.25">
      <c r="A246" t="s">
        <v>67</v>
      </c>
      <c r="B246">
        <v>549</v>
      </c>
      <c r="C246" t="s">
        <v>744</v>
      </c>
      <c r="D246" t="s">
        <v>742</v>
      </c>
      <c r="E246" t="s">
        <v>108</v>
      </c>
      <c r="F246" t="s">
        <v>41</v>
      </c>
      <c r="G246" s="3">
        <v>0</v>
      </c>
      <c r="I246" t="s">
        <v>569</v>
      </c>
      <c r="J246" t="s">
        <v>55</v>
      </c>
    </row>
    <row r="247" spans="1:10" hidden="1" x14ac:dyDescent="0.25">
      <c r="A247" t="s">
        <v>67</v>
      </c>
      <c r="B247">
        <v>555</v>
      </c>
      <c r="C247" t="s">
        <v>752</v>
      </c>
      <c r="D247" t="s">
        <v>749</v>
      </c>
      <c r="E247" t="s">
        <v>114</v>
      </c>
      <c r="F247" t="s">
        <v>41</v>
      </c>
      <c r="G247" s="3">
        <v>0</v>
      </c>
      <c r="I247" t="s">
        <v>569</v>
      </c>
      <c r="J247" t="s">
        <v>55</v>
      </c>
    </row>
    <row r="248" spans="1:10" hidden="1" x14ac:dyDescent="0.25">
      <c r="A248" t="s">
        <v>73</v>
      </c>
      <c r="B248">
        <v>556</v>
      </c>
      <c r="C248" t="s">
        <v>753</v>
      </c>
      <c r="D248" t="s">
        <v>571</v>
      </c>
      <c r="E248" t="s">
        <v>754</v>
      </c>
      <c r="F248" t="s">
        <v>41</v>
      </c>
      <c r="G248" s="3">
        <v>0.8</v>
      </c>
      <c r="I248" t="s">
        <v>569</v>
      </c>
      <c r="J248" t="s">
        <v>55</v>
      </c>
    </row>
    <row r="249" spans="1:10" hidden="1" x14ac:dyDescent="0.25">
      <c r="A249" t="s">
        <v>67</v>
      </c>
      <c r="B249">
        <v>554</v>
      </c>
      <c r="C249" t="s">
        <v>751</v>
      </c>
      <c r="D249" t="s">
        <v>749</v>
      </c>
      <c r="E249" t="s">
        <v>108</v>
      </c>
      <c r="F249" t="s">
        <v>41</v>
      </c>
      <c r="G249" s="3">
        <v>0</v>
      </c>
      <c r="I249" t="s">
        <v>569</v>
      </c>
      <c r="J249" t="s">
        <v>55</v>
      </c>
    </row>
    <row r="250" spans="1:10" hidden="1" x14ac:dyDescent="0.25">
      <c r="A250" t="s">
        <v>67</v>
      </c>
      <c r="B250">
        <v>560</v>
      </c>
      <c r="C250" t="s">
        <v>759</v>
      </c>
      <c r="D250" t="s">
        <v>756</v>
      </c>
      <c r="E250" t="s">
        <v>114</v>
      </c>
      <c r="F250" t="s">
        <v>41</v>
      </c>
      <c r="G250" s="3">
        <v>0</v>
      </c>
      <c r="I250" t="s">
        <v>569</v>
      </c>
      <c r="J250" t="s">
        <v>55</v>
      </c>
    </row>
    <row r="251" spans="1:10" hidden="1" x14ac:dyDescent="0.25">
      <c r="A251" t="s">
        <v>73</v>
      </c>
      <c r="B251">
        <v>561</v>
      </c>
      <c r="C251" t="s">
        <v>760</v>
      </c>
      <c r="D251" t="s">
        <v>571</v>
      </c>
      <c r="E251" t="s">
        <v>761</v>
      </c>
      <c r="F251" t="s">
        <v>41</v>
      </c>
      <c r="G251" s="3">
        <v>0.8</v>
      </c>
      <c r="I251" t="s">
        <v>569</v>
      </c>
      <c r="J251" t="s">
        <v>55</v>
      </c>
    </row>
    <row r="252" spans="1:10" hidden="1" x14ac:dyDescent="0.25">
      <c r="A252" t="s">
        <v>67</v>
      </c>
      <c r="B252">
        <v>559</v>
      </c>
      <c r="C252" t="s">
        <v>758</v>
      </c>
      <c r="D252" t="s">
        <v>756</v>
      </c>
      <c r="E252" t="s">
        <v>108</v>
      </c>
      <c r="F252" t="s">
        <v>41</v>
      </c>
      <c r="G252" s="3">
        <v>0</v>
      </c>
      <c r="I252" t="s">
        <v>569</v>
      </c>
      <c r="J252" t="s">
        <v>55</v>
      </c>
    </row>
    <row r="253" spans="1:10" hidden="1" x14ac:dyDescent="0.25">
      <c r="A253" t="s">
        <v>67</v>
      </c>
      <c r="B253">
        <v>565</v>
      </c>
      <c r="C253" t="s">
        <v>766</v>
      </c>
      <c r="D253" t="s">
        <v>763</v>
      </c>
      <c r="E253" t="s">
        <v>114</v>
      </c>
      <c r="F253" t="s">
        <v>41</v>
      </c>
      <c r="G253" s="3">
        <v>0</v>
      </c>
      <c r="I253" t="s">
        <v>569</v>
      </c>
      <c r="J253" t="s">
        <v>55</v>
      </c>
    </row>
    <row r="254" spans="1:10" hidden="1" x14ac:dyDescent="0.25">
      <c r="A254" t="s">
        <v>73</v>
      </c>
      <c r="B254">
        <v>566</v>
      </c>
      <c r="C254" t="s">
        <v>767</v>
      </c>
      <c r="D254" t="s">
        <v>571</v>
      </c>
      <c r="E254" t="s">
        <v>768</v>
      </c>
      <c r="F254" t="s">
        <v>41</v>
      </c>
      <c r="G254" s="3">
        <v>0.8</v>
      </c>
      <c r="I254" t="s">
        <v>569</v>
      </c>
      <c r="J254" t="s">
        <v>55</v>
      </c>
    </row>
    <row r="255" spans="1:10" hidden="1" x14ac:dyDescent="0.25">
      <c r="A255" t="s">
        <v>67</v>
      </c>
      <c r="B255">
        <v>564</v>
      </c>
      <c r="C255" t="s">
        <v>765</v>
      </c>
      <c r="D255" t="s">
        <v>763</v>
      </c>
      <c r="E255" t="s">
        <v>108</v>
      </c>
      <c r="F255" t="s">
        <v>41</v>
      </c>
      <c r="G255" s="3">
        <v>0</v>
      </c>
      <c r="I255" t="s">
        <v>569</v>
      </c>
      <c r="J255" t="s">
        <v>55</v>
      </c>
    </row>
    <row r="256" spans="1:10" hidden="1" x14ac:dyDescent="0.25">
      <c r="A256" t="s">
        <v>67</v>
      </c>
      <c r="B256">
        <v>570</v>
      </c>
      <c r="C256" t="s">
        <v>773</v>
      </c>
      <c r="D256" t="s">
        <v>770</v>
      </c>
      <c r="E256" t="s">
        <v>114</v>
      </c>
      <c r="F256" t="s">
        <v>41</v>
      </c>
      <c r="G256" s="3">
        <v>0</v>
      </c>
      <c r="I256" t="s">
        <v>569</v>
      </c>
      <c r="J256" t="s">
        <v>55</v>
      </c>
    </row>
    <row r="257" spans="1:10" hidden="1" x14ac:dyDescent="0.25">
      <c r="A257" t="s">
        <v>73</v>
      </c>
      <c r="B257">
        <v>571</v>
      </c>
      <c r="C257" t="s">
        <v>774</v>
      </c>
      <c r="D257" t="s">
        <v>571</v>
      </c>
      <c r="E257" t="s">
        <v>775</v>
      </c>
      <c r="F257" t="s">
        <v>41</v>
      </c>
      <c r="G257" s="3">
        <v>0.8</v>
      </c>
      <c r="I257" t="s">
        <v>569</v>
      </c>
      <c r="J257" t="s">
        <v>55</v>
      </c>
    </row>
    <row r="258" spans="1:10" hidden="1" x14ac:dyDescent="0.25">
      <c r="A258" t="s">
        <v>67</v>
      </c>
      <c r="B258">
        <v>569</v>
      </c>
      <c r="C258" t="s">
        <v>772</v>
      </c>
      <c r="D258" t="s">
        <v>770</v>
      </c>
      <c r="E258" t="s">
        <v>108</v>
      </c>
      <c r="F258" t="s">
        <v>41</v>
      </c>
      <c r="G258" s="3">
        <v>0</v>
      </c>
      <c r="I258" t="s">
        <v>569</v>
      </c>
      <c r="J258" t="s">
        <v>55</v>
      </c>
    </row>
    <row r="259" spans="1:10" hidden="1" x14ac:dyDescent="0.25">
      <c r="A259" t="s">
        <v>67</v>
      </c>
      <c r="B259">
        <v>575</v>
      </c>
      <c r="C259" t="s">
        <v>780</v>
      </c>
      <c r="D259" t="s">
        <v>777</v>
      </c>
      <c r="E259" t="s">
        <v>114</v>
      </c>
      <c r="F259" t="s">
        <v>41</v>
      </c>
      <c r="G259" s="3">
        <v>0</v>
      </c>
      <c r="I259" t="s">
        <v>569</v>
      </c>
      <c r="J259" t="s">
        <v>55</v>
      </c>
    </row>
    <row r="260" spans="1:10" hidden="1" x14ac:dyDescent="0.25">
      <c r="A260" t="s">
        <v>73</v>
      </c>
      <c r="B260">
        <v>576</v>
      </c>
      <c r="C260" t="s">
        <v>781</v>
      </c>
      <c r="D260" t="s">
        <v>571</v>
      </c>
      <c r="E260" t="s">
        <v>782</v>
      </c>
      <c r="F260" t="s">
        <v>41</v>
      </c>
      <c r="G260" s="3">
        <v>0.8</v>
      </c>
      <c r="I260" t="s">
        <v>569</v>
      </c>
      <c r="J260" t="s">
        <v>55</v>
      </c>
    </row>
    <row r="261" spans="1:10" hidden="1" x14ac:dyDescent="0.25">
      <c r="A261" t="s">
        <v>67</v>
      </c>
      <c r="B261">
        <v>574</v>
      </c>
      <c r="C261" t="s">
        <v>779</v>
      </c>
      <c r="D261" t="s">
        <v>777</v>
      </c>
      <c r="E261" t="s">
        <v>108</v>
      </c>
      <c r="F261" t="s">
        <v>41</v>
      </c>
      <c r="G261" s="3">
        <v>0</v>
      </c>
      <c r="I261" t="s">
        <v>569</v>
      </c>
      <c r="J261" t="s">
        <v>55</v>
      </c>
    </row>
    <row r="262" spans="1:10" hidden="1" x14ac:dyDescent="0.25">
      <c r="A262" t="s">
        <v>67</v>
      </c>
      <c r="B262">
        <v>580</v>
      </c>
      <c r="C262" t="s">
        <v>787</v>
      </c>
      <c r="D262" t="s">
        <v>784</v>
      </c>
      <c r="E262" t="s">
        <v>114</v>
      </c>
      <c r="F262" t="s">
        <v>41</v>
      </c>
      <c r="G262" s="3">
        <v>0</v>
      </c>
      <c r="I262" t="s">
        <v>569</v>
      </c>
      <c r="J262" t="s">
        <v>55</v>
      </c>
    </row>
    <row r="263" spans="1:10" hidden="1" x14ac:dyDescent="0.25">
      <c r="A263" t="s">
        <v>73</v>
      </c>
      <c r="B263">
        <v>581</v>
      </c>
      <c r="C263" t="s">
        <v>788</v>
      </c>
      <c r="D263" t="s">
        <v>571</v>
      </c>
      <c r="E263" t="s">
        <v>789</v>
      </c>
      <c r="F263" t="s">
        <v>41</v>
      </c>
      <c r="G263" s="3">
        <v>0.8</v>
      </c>
      <c r="I263" t="s">
        <v>569</v>
      </c>
      <c r="J263" t="s">
        <v>55</v>
      </c>
    </row>
    <row r="264" spans="1:10" hidden="1" x14ac:dyDescent="0.25">
      <c r="A264" t="s">
        <v>67</v>
      </c>
      <c r="B264">
        <v>579</v>
      </c>
      <c r="C264" t="s">
        <v>786</v>
      </c>
      <c r="D264" t="s">
        <v>784</v>
      </c>
      <c r="E264" t="s">
        <v>108</v>
      </c>
      <c r="F264" t="s">
        <v>41</v>
      </c>
      <c r="G264" s="3">
        <v>0</v>
      </c>
      <c r="I264" t="s">
        <v>569</v>
      </c>
      <c r="J264" t="s">
        <v>55</v>
      </c>
    </row>
    <row r="265" spans="1:10" hidden="1" x14ac:dyDescent="0.25">
      <c r="A265" t="s">
        <v>67</v>
      </c>
      <c r="B265">
        <v>585</v>
      </c>
      <c r="C265" t="s">
        <v>794</v>
      </c>
      <c r="D265" t="s">
        <v>791</v>
      </c>
      <c r="E265" t="s">
        <v>114</v>
      </c>
      <c r="F265" t="s">
        <v>41</v>
      </c>
      <c r="G265" s="3">
        <v>0</v>
      </c>
      <c r="I265" t="s">
        <v>569</v>
      </c>
      <c r="J265" t="s">
        <v>55</v>
      </c>
    </row>
    <row r="266" spans="1:10" hidden="1" x14ac:dyDescent="0.25">
      <c r="A266" t="s">
        <v>73</v>
      </c>
      <c r="B266">
        <v>586</v>
      </c>
      <c r="C266" t="s">
        <v>795</v>
      </c>
      <c r="D266" t="s">
        <v>571</v>
      </c>
      <c r="E266" t="s">
        <v>796</v>
      </c>
      <c r="F266" t="s">
        <v>41</v>
      </c>
      <c r="G266" s="3">
        <v>0.8</v>
      </c>
      <c r="I266" t="s">
        <v>569</v>
      </c>
      <c r="J266" t="s">
        <v>55</v>
      </c>
    </row>
    <row r="267" spans="1:10" hidden="1" x14ac:dyDescent="0.25">
      <c r="A267" t="s">
        <v>67</v>
      </c>
      <c r="B267">
        <v>584</v>
      </c>
      <c r="C267" t="s">
        <v>793</v>
      </c>
      <c r="D267" t="s">
        <v>791</v>
      </c>
      <c r="E267" t="s">
        <v>108</v>
      </c>
      <c r="F267" t="s">
        <v>41</v>
      </c>
      <c r="G267" s="3">
        <v>0</v>
      </c>
      <c r="I267" t="s">
        <v>569</v>
      </c>
      <c r="J267" t="s">
        <v>55</v>
      </c>
    </row>
    <row r="268" spans="1:10" hidden="1" x14ac:dyDescent="0.25">
      <c r="A268" t="s">
        <v>67</v>
      </c>
      <c r="B268">
        <v>590</v>
      </c>
      <c r="C268" t="s">
        <v>801</v>
      </c>
      <c r="D268" t="s">
        <v>798</v>
      </c>
      <c r="E268" t="s">
        <v>114</v>
      </c>
      <c r="F268" t="s">
        <v>41</v>
      </c>
      <c r="G268" s="3">
        <v>0</v>
      </c>
      <c r="I268" t="s">
        <v>569</v>
      </c>
      <c r="J268" t="s">
        <v>55</v>
      </c>
    </row>
    <row r="269" spans="1:10" hidden="1" x14ac:dyDescent="0.25">
      <c r="A269" t="s">
        <v>73</v>
      </c>
      <c r="B269">
        <v>591</v>
      </c>
      <c r="C269" t="s">
        <v>802</v>
      </c>
      <c r="D269" t="s">
        <v>571</v>
      </c>
      <c r="E269" t="s">
        <v>803</v>
      </c>
      <c r="F269" t="s">
        <v>41</v>
      </c>
      <c r="G269" s="3">
        <v>0.8</v>
      </c>
      <c r="I269" t="s">
        <v>569</v>
      </c>
      <c r="J269" t="s">
        <v>55</v>
      </c>
    </row>
    <row r="270" spans="1:10" hidden="1" x14ac:dyDescent="0.25">
      <c r="A270" t="s">
        <v>67</v>
      </c>
      <c r="B270">
        <v>589</v>
      </c>
      <c r="C270" t="s">
        <v>800</v>
      </c>
      <c r="D270" t="s">
        <v>798</v>
      </c>
      <c r="E270" t="s">
        <v>108</v>
      </c>
      <c r="F270" t="s">
        <v>41</v>
      </c>
      <c r="G270" s="3">
        <v>0</v>
      </c>
      <c r="I270" t="s">
        <v>569</v>
      </c>
      <c r="J270" t="s">
        <v>55</v>
      </c>
    </row>
    <row r="271" spans="1:10" hidden="1" x14ac:dyDescent="0.25">
      <c r="A271" t="s">
        <v>67</v>
      </c>
      <c r="B271">
        <v>595</v>
      </c>
      <c r="C271" t="s">
        <v>808</v>
      </c>
      <c r="D271" t="s">
        <v>805</v>
      </c>
      <c r="E271" t="s">
        <v>114</v>
      </c>
      <c r="F271" t="s">
        <v>41</v>
      </c>
      <c r="G271" s="3">
        <v>0</v>
      </c>
      <c r="I271" t="s">
        <v>569</v>
      </c>
      <c r="J271" t="s">
        <v>55</v>
      </c>
    </row>
    <row r="272" spans="1:10" hidden="1" x14ac:dyDescent="0.25">
      <c r="A272" t="s">
        <v>73</v>
      </c>
      <c r="B272">
        <v>596</v>
      </c>
      <c r="C272" t="s">
        <v>809</v>
      </c>
      <c r="D272" t="s">
        <v>571</v>
      </c>
      <c r="E272" t="s">
        <v>810</v>
      </c>
      <c r="F272" t="s">
        <v>41</v>
      </c>
      <c r="G272" s="3">
        <v>0.8</v>
      </c>
      <c r="I272" t="s">
        <v>569</v>
      </c>
      <c r="J272" t="s">
        <v>55</v>
      </c>
    </row>
    <row r="273" spans="1:10" hidden="1" x14ac:dyDescent="0.25">
      <c r="A273" t="s">
        <v>67</v>
      </c>
      <c r="B273">
        <v>594</v>
      </c>
      <c r="C273" t="s">
        <v>807</v>
      </c>
      <c r="D273" t="s">
        <v>805</v>
      </c>
      <c r="E273" t="s">
        <v>108</v>
      </c>
      <c r="F273" t="s">
        <v>41</v>
      </c>
      <c r="G273" s="3">
        <v>0</v>
      </c>
      <c r="I273" t="s">
        <v>569</v>
      </c>
      <c r="J273" t="s">
        <v>55</v>
      </c>
    </row>
    <row r="274" spans="1:10" hidden="1" x14ac:dyDescent="0.25">
      <c r="A274" t="s">
        <v>67</v>
      </c>
      <c r="B274">
        <v>600</v>
      </c>
      <c r="C274" t="s">
        <v>815</v>
      </c>
      <c r="D274" t="s">
        <v>812</v>
      </c>
      <c r="E274" t="s">
        <v>114</v>
      </c>
      <c r="F274" t="s">
        <v>41</v>
      </c>
      <c r="G274" s="3">
        <v>0</v>
      </c>
      <c r="I274" t="s">
        <v>569</v>
      </c>
      <c r="J274" t="s">
        <v>55</v>
      </c>
    </row>
    <row r="275" spans="1:10" hidden="1" x14ac:dyDescent="0.25">
      <c r="A275" t="s">
        <v>73</v>
      </c>
      <c r="B275">
        <v>601</v>
      </c>
      <c r="C275" t="s">
        <v>816</v>
      </c>
      <c r="D275" t="s">
        <v>571</v>
      </c>
      <c r="E275" t="s">
        <v>817</v>
      </c>
      <c r="F275" t="s">
        <v>41</v>
      </c>
      <c r="G275" s="3">
        <v>0.8</v>
      </c>
      <c r="I275" t="s">
        <v>569</v>
      </c>
      <c r="J275" t="s">
        <v>55</v>
      </c>
    </row>
    <row r="276" spans="1:10" hidden="1" x14ac:dyDescent="0.25">
      <c r="A276" t="s">
        <v>67</v>
      </c>
      <c r="B276">
        <v>599</v>
      </c>
      <c r="C276" t="s">
        <v>814</v>
      </c>
      <c r="D276" t="s">
        <v>812</v>
      </c>
      <c r="E276" t="s">
        <v>108</v>
      </c>
      <c r="F276" t="s">
        <v>41</v>
      </c>
      <c r="G276" s="3">
        <v>0</v>
      </c>
      <c r="I276" t="s">
        <v>569</v>
      </c>
      <c r="J276" t="s">
        <v>55</v>
      </c>
    </row>
    <row r="277" spans="1:10" hidden="1" x14ac:dyDescent="0.25">
      <c r="A277" t="s">
        <v>67</v>
      </c>
      <c r="B277">
        <v>605</v>
      </c>
      <c r="C277" t="s">
        <v>822</v>
      </c>
      <c r="D277" t="s">
        <v>819</v>
      </c>
      <c r="E277" t="s">
        <v>114</v>
      </c>
      <c r="F277" t="s">
        <v>41</v>
      </c>
      <c r="G277" s="3">
        <v>0</v>
      </c>
      <c r="I277" t="s">
        <v>569</v>
      </c>
      <c r="J277" t="s">
        <v>55</v>
      </c>
    </row>
    <row r="278" spans="1:10" hidden="1" x14ac:dyDescent="0.25">
      <c r="A278" t="s">
        <v>73</v>
      </c>
      <c r="B278">
        <v>606</v>
      </c>
      <c r="C278" t="s">
        <v>823</v>
      </c>
      <c r="D278" t="s">
        <v>571</v>
      </c>
      <c r="E278" t="s">
        <v>824</v>
      </c>
      <c r="F278" t="s">
        <v>41</v>
      </c>
      <c r="G278" s="3">
        <v>0.8</v>
      </c>
      <c r="I278" t="s">
        <v>569</v>
      </c>
      <c r="J278" t="s">
        <v>55</v>
      </c>
    </row>
    <row r="279" spans="1:10" hidden="1" x14ac:dyDescent="0.25">
      <c r="A279" t="s">
        <v>67</v>
      </c>
      <c r="B279">
        <v>604</v>
      </c>
      <c r="C279" t="s">
        <v>821</v>
      </c>
      <c r="D279" t="s">
        <v>819</v>
      </c>
      <c r="E279" t="s">
        <v>108</v>
      </c>
      <c r="F279" t="s">
        <v>41</v>
      </c>
      <c r="G279" s="3">
        <v>0</v>
      </c>
      <c r="I279" t="s">
        <v>569</v>
      </c>
      <c r="J279" t="s">
        <v>55</v>
      </c>
    </row>
    <row r="280" spans="1:10" hidden="1" x14ac:dyDescent="0.25">
      <c r="A280" t="s">
        <v>67</v>
      </c>
      <c r="B280">
        <v>610</v>
      </c>
      <c r="C280" t="s">
        <v>829</v>
      </c>
      <c r="D280" t="s">
        <v>826</v>
      </c>
      <c r="E280" t="s">
        <v>114</v>
      </c>
      <c r="F280" t="s">
        <v>41</v>
      </c>
      <c r="G280" s="3">
        <v>0</v>
      </c>
      <c r="I280" t="s">
        <v>569</v>
      </c>
      <c r="J280" t="s">
        <v>55</v>
      </c>
    </row>
    <row r="281" spans="1:10" hidden="1" x14ac:dyDescent="0.25">
      <c r="A281" t="s">
        <v>73</v>
      </c>
      <c r="B281">
        <v>611</v>
      </c>
      <c r="C281" t="s">
        <v>830</v>
      </c>
      <c r="D281" t="s">
        <v>571</v>
      </c>
      <c r="E281" t="s">
        <v>831</v>
      </c>
      <c r="F281" t="s">
        <v>41</v>
      </c>
      <c r="G281" s="3">
        <v>0.7</v>
      </c>
      <c r="I281" t="s">
        <v>569</v>
      </c>
      <c r="J281" t="s">
        <v>55</v>
      </c>
    </row>
    <row r="282" spans="1:10" hidden="1" x14ac:dyDescent="0.25">
      <c r="A282" t="s">
        <v>179</v>
      </c>
      <c r="B282">
        <v>613</v>
      </c>
      <c r="C282" t="s">
        <v>834</v>
      </c>
      <c r="D282" t="s">
        <v>833</v>
      </c>
      <c r="E282" t="s">
        <v>104</v>
      </c>
      <c r="F282" t="s">
        <v>41</v>
      </c>
      <c r="G282" s="3">
        <v>0</v>
      </c>
      <c r="I282" t="s">
        <v>569</v>
      </c>
      <c r="J282" t="s">
        <v>55</v>
      </c>
    </row>
    <row r="283" spans="1:10" hidden="1" x14ac:dyDescent="0.25">
      <c r="A283" t="s">
        <v>67</v>
      </c>
      <c r="B283">
        <v>609</v>
      </c>
      <c r="C283" t="s">
        <v>828</v>
      </c>
      <c r="D283" t="s">
        <v>826</v>
      </c>
      <c r="E283" t="s">
        <v>108</v>
      </c>
      <c r="F283" t="s">
        <v>41</v>
      </c>
      <c r="G283" s="3">
        <v>0</v>
      </c>
      <c r="I283" t="s">
        <v>569</v>
      </c>
      <c r="J283" t="s">
        <v>55</v>
      </c>
    </row>
    <row r="284" spans="1:10" hidden="1" x14ac:dyDescent="0.25">
      <c r="A284" t="s">
        <v>67</v>
      </c>
      <c r="B284">
        <v>615</v>
      </c>
      <c r="C284" t="s">
        <v>836</v>
      </c>
      <c r="D284" t="s">
        <v>833</v>
      </c>
      <c r="E284" t="s">
        <v>114</v>
      </c>
      <c r="F284" t="s">
        <v>41</v>
      </c>
      <c r="G284" s="3">
        <v>0</v>
      </c>
      <c r="I284" t="s">
        <v>569</v>
      </c>
      <c r="J284" t="s">
        <v>55</v>
      </c>
    </row>
    <row r="285" spans="1:10" hidden="1" x14ac:dyDescent="0.25">
      <c r="A285" t="s">
        <v>73</v>
      </c>
      <c r="B285">
        <v>616</v>
      </c>
      <c r="C285" t="s">
        <v>837</v>
      </c>
      <c r="D285" t="s">
        <v>571</v>
      </c>
      <c r="E285" t="s">
        <v>838</v>
      </c>
      <c r="F285" t="s">
        <v>41</v>
      </c>
      <c r="G285" s="3">
        <v>0.73</v>
      </c>
      <c r="I285" t="s">
        <v>569</v>
      </c>
      <c r="J285" t="s">
        <v>55</v>
      </c>
    </row>
    <row r="286" spans="1:10" hidden="1" x14ac:dyDescent="0.25">
      <c r="A286" t="s">
        <v>179</v>
      </c>
      <c r="B286">
        <v>618</v>
      </c>
      <c r="C286" t="s">
        <v>841</v>
      </c>
      <c r="D286" t="s">
        <v>840</v>
      </c>
      <c r="E286" t="s">
        <v>104</v>
      </c>
      <c r="F286" t="s">
        <v>41</v>
      </c>
      <c r="G286" s="3">
        <v>0</v>
      </c>
      <c r="I286" t="s">
        <v>569</v>
      </c>
      <c r="J286" t="s">
        <v>55</v>
      </c>
    </row>
    <row r="287" spans="1:10" hidden="1" x14ac:dyDescent="0.25">
      <c r="A287" t="s">
        <v>67</v>
      </c>
      <c r="B287">
        <v>614</v>
      </c>
      <c r="C287" t="s">
        <v>835</v>
      </c>
      <c r="D287" t="s">
        <v>833</v>
      </c>
      <c r="E287" t="s">
        <v>108</v>
      </c>
      <c r="F287" t="s">
        <v>41</v>
      </c>
      <c r="G287" s="3">
        <v>0</v>
      </c>
      <c r="I287" t="s">
        <v>569</v>
      </c>
      <c r="J287" t="s">
        <v>55</v>
      </c>
    </row>
    <row r="288" spans="1:10" hidden="1" x14ac:dyDescent="0.25">
      <c r="A288" t="s">
        <v>67</v>
      </c>
      <c r="B288">
        <v>620</v>
      </c>
      <c r="C288" t="s">
        <v>843</v>
      </c>
      <c r="D288" t="s">
        <v>840</v>
      </c>
      <c r="E288" t="s">
        <v>114</v>
      </c>
      <c r="F288" t="s">
        <v>41</v>
      </c>
      <c r="G288" s="3">
        <v>0</v>
      </c>
      <c r="I288" t="s">
        <v>569</v>
      </c>
      <c r="J288" t="s">
        <v>55</v>
      </c>
    </row>
    <row r="289" spans="1:10" hidden="1" x14ac:dyDescent="0.25">
      <c r="A289" t="s">
        <v>179</v>
      </c>
      <c r="B289">
        <v>621</v>
      </c>
      <c r="C289" t="s">
        <v>844</v>
      </c>
      <c r="D289" t="s">
        <v>571</v>
      </c>
      <c r="E289" t="s">
        <v>845</v>
      </c>
      <c r="F289" t="s">
        <v>41</v>
      </c>
      <c r="G289" s="3">
        <v>0.49</v>
      </c>
      <c r="I289" t="s">
        <v>569</v>
      </c>
      <c r="J289" t="s">
        <v>44</v>
      </c>
    </row>
    <row r="290" spans="1:10" hidden="1" x14ac:dyDescent="0.25">
      <c r="A290" t="s">
        <v>179</v>
      </c>
      <c r="B290">
        <v>623</v>
      </c>
      <c r="C290" t="s">
        <v>849</v>
      </c>
      <c r="D290" t="s">
        <v>847</v>
      </c>
      <c r="E290" t="s">
        <v>104</v>
      </c>
      <c r="F290" t="s">
        <v>41</v>
      </c>
      <c r="G290" s="3">
        <v>0</v>
      </c>
      <c r="I290" t="s">
        <v>569</v>
      </c>
      <c r="J290" t="s">
        <v>44</v>
      </c>
    </row>
    <row r="291" spans="1:10" hidden="1" x14ac:dyDescent="0.25">
      <c r="A291" t="s">
        <v>67</v>
      </c>
      <c r="B291">
        <v>619</v>
      </c>
      <c r="C291" t="s">
        <v>842</v>
      </c>
      <c r="D291" t="s">
        <v>840</v>
      </c>
      <c r="E291" t="s">
        <v>108</v>
      </c>
      <c r="F291" t="s">
        <v>41</v>
      </c>
      <c r="G291" s="3">
        <v>0</v>
      </c>
      <c r="I291" t="s">
        <v>569</v>
      </c>
      <c r="J291" t="s">
        <v>55</v>
      </c>
    </row>
    <row r="292" spans="1:10" hidden="1" x14ac:dyDescent="0.25">
      <c r="A292" t="s">
        <v>67</v>
      </c>
      <c r="B292">
        <v>625</v>
      </c>
      <c r="C292" t="s">
        <v>851</v>
      </c>
      <c r="D292" t="s">
        <v>847</v>
      </c>
      <c r="E292" t="s">
        <v>114</v>
      </c>
      <c r="F292" t="s">
        <v>196</v>
      </c>
      <c r="G292" s="3">
        <v>0</v>
      </c>
      <c r="I292" t="s">
        <v>569</v>
      </c>
      <c r="J292" t="s">
        <v>44</v>
      </c>
    </row>
    <row r="293" spans="1:10" hidden="1" x14ac:dyDescent="0.25">
      <c r="A293" t="s">
        <v>73</v>
      </c>
      <c r="B293">
        <v>626</v>
      </c>
      <c r="C293" t="s">
        <v>853</v>
      </c>
      <c r="D293" t="s">
        <v>571</v>
      </c>
      <c r="E293" t="s">
        <v>854</v>
      </c>
      <c r="F293" t="s">
        <v>41</v>
      </c>
      <c r="G293" s="3">
        <v>0.85</v>
      </c>
      <c r="I293" t="s">
        <v>569</v>
      </c>
      <c r="J293" t="s">
        <v>55</v>
      </c>
    </row>
    <row r="294" spans="1:10" hidden="1" x14ac:dyDescent="0.25">
      <c r="A294" t="s">
        <v>179</v>
      </c>
      <c r="B294">
        <v>624</v>
      </c>
      <c r="C294" t="s">
        <v>850</v>
      </c>
      <c r="D294" t="s">
        <v>847</v>
      </c>
      <c r="E294" t="s">
        <v>108</v>
      </c>
      <c r="F294" t="s">
        <v>192</v>
      </c>
      <c r="G294" s="3">
        <v>0</v>
      </c>
      <c r="I294" t="s">
        <v>569</v>
      </c>
      <c r="J294" t="s">
        <v>44</v>
      </c>
    </row>
    <row r="295" spans="1:10" hidden="1" x14ac:dyDescent="0.25">
      <c r="A295" t="s">
        <v>179</v>
      </c>
      <c r="B295">
        <v>630</v>
      </c>
      <c r="C295" t="s">
        <v>859</v>
      </c>
      <c r="D295" t="s">
        <v>856</v>
      </c>
      <c r="E295" t="s">
        <v>114</v>
      </c>
      <c r="F295" t="s">
        <v>41</v>
      </c>
      <c r="G295" s="3">
        <v>0</v>
      </c>
      <c r="I295" t="s">
        <v>569</v>
      </c>
      <c r="J295" t="s">
        <v>55</v>
      </c>
    </row>
    <row r="296" spans="1:10" hidden="1" x14ac:dyDescent="0.25">
      <c r="A296" t="s">
        <v>73</v>
      </c>
      <c r="B296">
        <v>631</v>
      </c>
      <c r="C296" t="s">
        <v>860</v>
      </c>
      <c r="D296" t="s">
        <v>571</v>
      </c>
      <c r="E296" t="s">
        <v>861</v>
      </c>
      <c r="F296" t="s">
        <v>41</v>
      </c>
      <c r="G296" s="3">
        <v>0.67</v>
      </c>
      <c r="I296" t="s">
        <v>569</v>
      </c>
      <c r="J296" t="s">
        <v>44</v>
      </c>
    </row>
    <row r="297" spans="1:10" hidden="1" x14ac:dyDescent="0.25">
      <c r="A297" t="s">
        <v>179</v>
      </c>
      <c r="B297">
        <v>633</v>
      </c>
      <c r="C297" t="s">
        <v>864</v>
      </c>
      <c r="D297" t="s">
        <v>863</v>
      </c>
      <c r="E297" t="s">
        <v>104</v>
      </c>
      <c r="F297" t="s">
        <v>41</v>
      </c>
      <c r="G297" s="3">
        <v>0</v>
      </c>
      <c r="I297" t="s">
        <v>569</v>
      </c>
      <c r="J297" t="s">
        <v>44</v>
      </c>
    </row>
    <row r="298" spans="1:10" hidden="1" x14ac:dyDescent="0.25">
      <c r="A298" t="s">
        <v>179</v>
      </c>
      <c r="B298">
        <v>629</v>
      </c>
      <c r="C298" t="s">
        <v>858</v>
      </c>
      <c r="D298" t="s">
        <v>856</v>
      </c>
      <c r="E298" t="s">
        <v>108</v>
      </c>
      <c r="F298" t="s">
        <v>41</v>
      </c>
      <c r="G298" s="3">
        <v>0.5</v>
      </c>
      <c r="I298" t="s">
        <v>569</v>
      </c>
      <c r="J298" t="s">
        <v>55</v>
      </c>
    </row>
    <row r="299" spans="1:10" hidden="1" x14ac:dyDescent="0.25">
      <c r="A299" t="s">
        <v>67</v>
      </c>
      <c r="B299">
        <v>635</v>
      </c>
      <c r="C299" t="s">
        <v>866</v>
      </c>
      <c r="D299" t="s">
        <v>863</v>
      </c>
      <c r="E299" t="s">
        <v>114</v>
      </c>
      <c r="F299" t="s">
        <v>196</v>
      </c>
      <c r="G299" s="3">
        <v>0</v>
      </c>
      <c r="I299" t="s">
        <v>569</v>
      </c>
      <c r="J299" t="s">
        <v>44</v>
      </c>
    </row>
    <row r="300" spans="1:10" hidden="1" x14ac:dyDescent="0.25">
      <c r="A300" t="s">
        <v>179</v>
      </c>
      <c r="B300">
        <v>636</v>
      </c>
      <c r="C300" t="s">
        <v>867</v>
      </c>
      <c r="D300" t="s">
        <v>50</v>
      </c>
      <c r="E300" t="s">
        <v>868</v>
      </c>
      <c r="F300" t="s">
        <v>41</v>
      </c>
      <c r="G300" s="3">
        <v>0.5</v>
      </c>
      <c r="I300" t="s">
        <v>869</v>
      </c>
      <c r="J300" t="s">
        <v>44</v>
      </c>
    </row>
    <row r="301" spans="1:10" hidden="1" x14ac:dyDescent="0.25">
      <c r="A301" t="s">
        <v>179</v>
      </c>
      <c r="B301">
        <v>637</v>
      </c>
      <c r="C301" t="s">
        <v>870</v>
      </c>
      <c r="D301" t="s">
        <v>871</v>
      </c>
      <c r="E301" t="s">
        <v>872</v>
      </c>
      <c r="F301" t="s">
        <v>192</v>
      </c>
      <c r="G301" s="3">
        <v>0.67</v>
      </c>
      <c r="I301" t="s">
        <v>869</v>
      </c>
      <c r="J301" t="s">
        <v>44</v>
      </c>
    </row>
    <row r="302" spans="1:10" hidden="1" x14ac:dyDescent="0.25">
      <c r="A302" t="s">
        <v>67</v>
      </c>
      <c r="B302">
        <v>639</v>
      </c>
      <c r="C302" t="s">
        <v>877</v>
      </c>
      <c r="D302" t="s">
        <v>874</v>
      </c>
      <c r="E302" t="s">
        <v>104</v>
      </c>
      <c r="F302" t="s">
        <v>192</v>
      </c>
      <c r="G302" s="3">
        <v>0</v>
      </c>
      <c r="I302" t="s">
        <v>869</v>
      </c>
      <c r="J302" t="s">
        <v>44</v>
      </c>
    </row>
    <row r="303" spans="1:10" hidden="1" x14ac:dyDescent="0.25">
      <c r="A303" t="s">
        <v>179</v>
      </c>
      <c r="B303">
        <v>634</v>
      </c>
      <c r="C303" t="s">
        <v>865</v>
      </c>
      <c r="D303" t="s">
        <v>863</v>
      </c>
      <c r="E303" t="s">
        <v>108</v>
      </c>
      <c r="F303" t="s">
        <v>192</v>
      </c>
      <c r="G303" s="3">
        <v>0</v>
      </c>
      <c r="I303" t="s">
        <v>569</v>
      </c>
      <c r="J303" t="s">
        <v>44</v>
      </c>
    </row>
    <row r="304" spans="1:10" hidden="1" x14ac:dyDescent="0.25">
      <c r="A304" t="s">
        <v>67</v>
      </c>
      <c r="B304">
        <v>641</v>
      </c>
      <c r="C304" t="s">
        <v>879</v>
      </c>
      <c r="D304" t="s">
        <v>874</v>
      </c>
      <c r="E304" t="s">
        <v>114</v>
      </c>
      <c r="F304" t="s">
        <v>196</v>
      </c>
      <c r="G304" s="3">
        <v>0</v>
      </c>
      <c r="I304" t="s">
        <v>869</v>
      </c>
      <c r="J304" t="s">
        <v>44</v>
      </c>
    </row>
    <row r="305" spans="1:12" hidden="1" x14ac:dyDescent="0.25">
      <c r="A305" t="s">
        <v>67</v>
      </c>
      <c r="B305">
        <v>642</v>
      </c>
      <c r="C305" t="s">
        <v>880</v>
      </c>
      <c r="D305" t="s">
        <v>871</v>
      </c>
      <c r="E305" t="s">
        <v>881</v>
      </c>
      <c r="F305" t="s">
        <v>41</v>
      </c>
      <c r="G305" s="3">
        <v>0.13</v>
      </c>
      <c r="I305" t="s">
        <v>869</v>
      </c>
      <c r="J305" t="s">
        <v>44</v>
      </c>
    </row>
    <row r="306" spans="1:12" hidden="1" x14ac:dyDescent="0.25">
      <c r="A306" t="s">
        <v>67</v>
      </c>
      <c r="B306">
        <v>640</v>
      </c>
      <c r="C306" t="s">
        <v>878</v>
      </c>
      <c r="D306" t="s">
        <v>874</v>
      </c>
      <c r="E306" t="s">
        <v>108</v>
      </c>
      <c r="F306" t="s">
        <v>196</v>
      </c>
      <c r="G306" s="3">
        <v>0</v>
      </c>
      <c r="I306" t="s">
        <v>869</v>
      </c>
      <c r="J306" t="s">
        <v>44</v>
      </c>
      <c r="L306" t="s">
        <v>1029</v>
      </c>
    </row>
    <row r="307" spans="1:12" hidden="1" x14ac:dyDescent="0.25">
      <c r="A307" t="s">
        <v>67</v>
      </c>
      <c r="B307">
        <v>644</v>
      </c>
      <c r="C307" t="s">
        <v>885</v>
      </c>
      <c r="D307" t="s">
        <v>883</v>
      </c>
      <c r="E307" t="s">
        <v>104</v>
      </c>
      <c r="F307" t="s">
        <v>192</v>
      </c>
      <c r="G307" s="3">
        <v>0</v>
      </c>
      <c r="I307" t="s">
        <v>869</v>
      </c>
      <c r="J307" t="s">
        <v>44</v>
      </c>
    </row>
    <row r="308" spans="1:12" hidden="1" x14ac:dyDescent="0.25">
      <c r="A308" t="s">
        <v>67</v>
      </c>
      <c r="B308">
        <v>645</v>
      </c>
      <c r="C308" t="s">
        <v>886</v>
      </c>
      <c r="D308" t="s">
        <v>883</v>
      </c>
      <c r="E308" t="s">
        <v>108</v>
      </c>
      <c r="F308" t="s">
        <v>196</v>
      </c>
      <c r="G308" s="3">
        <v>0</v>
      </c>
      <c r="I308" t="s">
        <v>869</v>
      </c>
      <c r="J308" t="s">
        <v>44</v>
      </c>
      <c r="L308" t="s">
        <v>1029</v>
      </c>
    </row>
    <row r="309" spans="1:12" hidden="1" x14ac:dyDescent="0.25">
      <c r="A309" t="s">
        <v>67</v>
      </c>
      <c r="B309">
        <v>646</v>
      </c>
      <c r="C309" t="s">
        <v>887</v>
      </c>
      <c r="D309" t="s">
        <v>883</v>
      </c>
      <c r="E309" t="s">
        <v>114</v>
      </c>
      <c r="F309" t="s">
        <v>196</v>
      </c>
      <c r="G309" s="3">
        <v>0</v>
      </c>
      <c r="I309" t="s">
        <v>869</v>
      </c>
      <c r="J309" t="s">
        <v>44</v>
      </c>
    </row>
    <row r="310" spans="1:12" hidden="1" x14ac:dyDescent="0.25">
      <c r="A310" t="s">
        <v>314</v>
      </c>
      <c r="B310">
        <v>8</v>
      </c>
      <c r="C310" t="s">
        <v>74</v>
      </c>
      <c r="D310" t="s">
        <v>63</v>
      </c>
      <c r="E310" t="s">
        <v>75</v>
      </c>
      <c r="F310" t="s">
        <v>196</v>
      </c>
      <c r="G310" s="3">
        <v>0</v>
      </c>
      <c r="I310" t="s">
        <v>61</v>
      </c>
      <c r="J310" t="s">
        <v>55</v>
      </c>
    </row>
    <row r="311" spans="1:12" hidden="1" x14ac:dyDescent="0.25">
      <c r="A311" t="s">
        <v>314</v>
      </c>
      <c r="B311">
        <v>24</v>
      </c>
      <c r="C311" t="s">
        <v>893</v>
      </c>
      <c r="D311" t="s">
        <v>50</v>
      </c>
      <c r="E311" t="s">
        <v>894</v>
      </c>
      <c r="F311" t="s">
        <v>192</v>
      </c>
      <c r="G311" s="3">
        <v>0.11</v>
      </c>
      <c r="I311" t="s">
        <v>896</v>
      </c>
      <c r="J311" t="s">
        <v>55</v>
      </c>
    </row>
    <row r="312" spans="1:12" hidden="1" x14ac:dyDescent="0.25">
      <c r="A312" t="s">
        <v>314</v>
      </c>
      <c r="B312">
        <v>25</v>
      </c>
      <c r="C312" t="s">
        <v>899</v>
      </c>
      <c r="D312" t="s">
        <v>900</v>
      </c>
      <c r="E312" t="s">
        <v>901</v>
      </c>
      <c r="F312" t="s">
        <v>196</v>
      </c>
      <c r="G312" s="3">
        <v>0</v>
      </c>
      <c r="I312" t="s">
        <v>896</v>
      </c>
      <c r="J312" t="s">
        <v>55</v>
      </c>
    </row>
    <row r="313" spans="1:12" hidden="1" x14ac:dyDescent="0.25">
      <c r="A313" t="s">
        <v>314</v>
      </c>
      <c r="B313">
        <v>30</v>
      </c>
      <c r="C313" t="s">
        <v>905</v>
      </c>
      <c r="D313" t="s">
        <v>900</v>
      </c>
      <c r="E313" t="s">
        <v>906</v>
      </c>
      <c r="F313" t="s">
        <v>196</v>
      </c>
      <c r="G313" s="3">
        <v>0</v>
      </c>
      <c r="I313" t="s">
        <v>896</v>
      </c>
      <c r="J313" t="s">
        <v>55</v>
      </c>
    </row>
    <row r="314" spans="1:12" hidden="1" x14ac:dyDescent="0.25">
      <c r="A314" t="s">
        <v>314</v>
      </c>
      <c r="B314">
        <v>35</v>
      </c>
      <c r="C314" t="s">
        <v>909</v>
      </c>
      <c r="D314" t="s">
        <v>900</v>
      </c>
      <c r="E314" t="s">
        <v>910</v>
      </c>
      <c r="F314" t="s">
        <v>196</v>
      </c>
      <c r="G314" s="3">
        <v>0</v>
      </c>
      <c r="I314" t="s">
        <v>896</v>
      </c>
      <c r="J314" t="s">
        <v>55</v>
      </c>
    </row>
    <row r="315" spans="1:12" hidden="1" x14ac:dyDescent="0.25">
      <c r="A315" t="s">
        <v>314</v>
      </c>
      <c r="B315">
        <v>40</v>
      </c>
      <c r="C315" t="s">
        <v>913</v>
      </c>
      <c r="D315" t="s">
        <v>900</v>
      </c>
      <c r="E315" t="s">
        <v>914</v>
      </c>
      <c r="F315" t="s">
        <v>192</v>
      </c>
      <c r="G315" s="3">
        <v>0.43</v>
      </c>
      <c r="I315" t="s">
        <v>896</v>
      </c>
      <c r="J315" t="s">
        <v>55</v>
      </c>
    </row>
    <row r="316" spans="1:12" hidden="1" x14ac:dyDescent="0.25">
      <c r="A316" t="s">
        <v>314</v>
      </c>
      <c r="B316">
        <v>107</v>
      </c>
      <c r="C316" t="s">
        <v>918</v>
      </c>
      <c r="D316" t="s">
        <v>159</v>
      </c>
      <c r="E316" t="s">
        <v>919</v>
      </c>
      <c r="F316" t="s">
        <v>196</v>
      </c>
      <c r="G316" s="3">
        <v>0</v>
      </c>
      <c r="I316" t="s">
        <v>157</v>
      </c>
      <c r="J316" t="s">
        <v>55</v>
      </c>
    </row>
    <row r="317" spans="1:12" hidden="1" x14ac:dyDescent="0.25">
      <c r="A317" t="s">
        <v>314</v>
      </c>
      <c r="B317">
        <v>138</v>
      </c>
      <c r="C317" t="s">
        <v>923</v>
      </c>
      <c r="D317" t="s">
        <v>292</v>
      </c>
      <c r="E317" t="s">
        <v>924</v>
      </c>
      <c r="F317" t="s">
        <v>196</v>
      </c>
      <c r="G317" s="3">
        <v>0</v>
      </c>
      <c r="I317" t="s">
        <v>290</v>
      </c>
      <c r="J317" t="s">
        <v>55</v>
      </c>
    </row>
    <row r="318" spans="1:12" hidden="1" x14ac:dyDescent="0.25">
      <c r="A318" t="s">
        <v>314</v>
      </c>
      <c r="B318">
        <v>148</v>
      </c>
      <c r="C318" t="s">
        <v>926</v>
      </c>
      <c r="D318" t="s">
        <v>292</v>
      </c>
      <c r="E318" t="s">
        <v>927</v>
      </c>
      <c r="F318" t="s">
        <v>196</v>
      </c>
      <c r="G318" s="3">
        <v>0</v>
      </c>
      <c r="I318" t="s">
        <v>290</v>
      </c>
      <c r="J318" t="s">
        <v>55</v>
      </c>
    </row>
    <row r="319" spans="1:12" hidden="1" x14ac:dyDescent="0.25">
      <c r="A319" t="s">
        <v>314</v>
      </c>
      <c r="B319">
        <v>153</v>
      </c>
      <c r="C319" t="s">
        <v>929</v>
      </c>
      <c r="D319" t="s">
        <v>292</v>
      </c>
      <c r="E319" t="s">
        <v>930</v>
      </c>
      <c r="F319" t="s">
        <v>196</v>
      </c>
      <c r="G319" s="3">
        <v>0</v>
      </c>
      <c r="I319" t="s">
        <v>290</v>
      </c>
      <c r="J319" t="s">
        <v>55</v>
      </c>
    </row>
    <row r="320" spans="1:12" hidden="1" x14ac:dyDescent="0.25">
      <c r="A320" t="s">
        <v>314</v>
      </c>
      <c r="B320">
        <v>158</v>
      </c>
      <c r="C320" t="s">
        <v>933</v>
      </c>
      <c r="D320" t="s">
        <v>292</v>
      </c>
      <c r="E320" t="s">
        <v>934</v>
      </c>
      <c r="F320" t="s">
        <v>196</v>
      </c>
      <c r="G320" s="3">
        <v>0</v>
      </c>
      <c r="I320" t="s">
        <v>290</v>
      </c>
      <c r="J320" t="s">
        <v>55</v>
      </c>
    </row>
    <row r="321" spans="1:10" hidden="1" x14ac:dyDescent="0.25">
      <c r="A321" t="s">
        <v>314</v>
      </c>
      <c r="B321">
        <v>178</v>
      </c>
      <c r="C321" t="s">
        <v>936</v>
      </c>
      <c r="D321" t="s">
        <v>292</v>
      </c>
      <c r="E321" t="s">
        <v>937</v>
      </c>
      <c r="F321" t="s">
        <v>196</v>
      </c>
      <c r="G321" s="3">
        <v>0</v>
      </c>
      <c r="I321" t="s">
        <v>290</v>
      </c>
      <c r="J321" t="s">
        <v>55</v>
      </c>
    </row>
    <row r="322" spans="1:10" hidden="1" x14ac:dyDescent="0.25">
      <c r="A322" t="s">
        <v>314</v>
      </c>
      <c r="B322">
        <v>198</v>
      </c>
      <c r="C322" t="s">
        <v>940</v>
      </c>
      <c r="D322" t="s">
        <v>292</v>
      </c>
      <c r="E322" t="s">
        <v>941</v>
      </c>
      <c r="F322" t="s">
        <v>196</v>
      </c>
      <c r="G322" s="3">
        <v>0</v>
      </c>
      <c r="I322" t="s">
        <v>290</v>
      </c>
      <c r="J322" t="s">
        <v>55</v>
      </c>
    </row>
    <row r="323" spans="1:10" hidden="1" x14ac:dyDescent="0.25">
      <c r="A323" t="s">
        <v>314</v>
      </c>
      <c r="B323">
        <v>203</v>
      </c>
      <c r="C323" t="s">
        <v>943</v>
      </c>
      <c r="D323" t="s">
        <v>292</v>
      </c>
      <c r="E323" t="s">
        <v>944</v>
      </c>
      <c r="F323" t="s">
        <v>196</v>
      </c>
      <c r="G323" s="3">
        <v>0</v>
      </c>
      <c r="I323" t="s">
        <v>290</v>
      </c>
      <c r="J323" t="s">
        <v>55</v>
      </c>
    </row>
    <row r="324" spans="1:10" hidden="1" x14ac:dyDescent="0.25">
      <c r="A324" t="s">
        <v>314</v>
      </c>
      <c r="B324">
        <v>208</v>
      </c>
      <c r="C324" t="s">
        <v>946</v>
      </c>
      <c r="D324" t="s">
        <v>292</v>
      </c>
      <c r="E324" t="s">
        <v>947</v>
      </c>
      <c r="F324" t="s">
        <v>196</v>
      </c>
      <c r="G324" s="3">
        <v>0</v>
      </c>
      <c r="I324" t="s">
        <v>290</v>
      </c>
      <c r="J324" t="s">
        <v>55</v>
      </c>
    </row>
    <row r="325" spans="1:10" hidden="1" x14ac:dyDescent="0.25">
      <c r="A325" t="s">
        <v>314</v>
      </c>
      <c r="B325">
        <v>218</v>
      </c>
      <c r="C325" t="s">
        <v>949</v>
      </c>
      <c r="D325" t="s">
        <v>292</v>
      </c>
      <c r="E325" t="s">
        <v>950</v>
      </c>
      <c r="F325" t="s">
        <v>196</v>
      </c>
      <c r="G325" s="3">
        <v>0</v>
      </c>
      <c r="I325" t="s">
        <v>290</v>
      </c>
      <c r="J325" t="s">
        <v>55</v>
      </c>
    </row>
    <row r="326" spans="1:10" hidden="1" x14ac:dyDescent="0.25">
      <c r="A326" t="s">
        <v>314</v>
      </c>
      <c r="B326">
        <v>239</v>
      </c>
      <c r="C326" t="s">
        <v>952</v>
      </c>
      <c r="D326" t="s">
        <v>367</v>
      </c>
      <c r="E326" t="s">
        <v>953</v>
      </c>
      <c r="F326" t="s">
        <v>196</v>
      </c>
      <c r="G326" s="3">
        <v>0</v>
      </c>
      <c r="I326" t="s">
        <v>365</v>
      </c>
      <c r="J326" t="s">
        <v>55</v>
      </c>
    </row>
    <row r="327" spans="1:10" hidden="1" x14ac:dyDescent="0.25">
      <c r="A327" t="s">
        <v>314</v>
      </c>
      <c r="B327">
        <v>269</v>
      </c>
      <c r="C327" t="s">
        <v>956</v>
      </c>
      <c r="D327" t="s">
        <v>367</v>
      </c>
      <c r="E327" t="s">
        <v>957</v>
      </c>
      <c r="F327" t="s">
        <v>196</v>
      </c>
      <c r="G327" s="3">
        <v>0</v>
      </c>
      <c r="I327" t="s">
        <v>365</v>
      </c>
      <c r="J327" t="s">
        <v>55</v>
      </c>
    </row>
    <row r="328" spans="1:10" hidden="1" x14ac:dyDescent="0.25">
      <c r="A328" t="s">
        <v>314</v>
      </c>
      <c r="B328">
        <v>295</v>
      </c>
      <c r="C328" t="s">
        <v>960</v>
      </c>
      <c r="D328" t="s">
        <v>440</v>
      </c>
      <c r="E328" t="s">
        <v>961</v>
      </c>
      <c r="F328" t="s">
        <v>196</v>
      </c>
      <c r="G328" s="3">
        <v>0</v>
      </c>
      <c r="I328" t="s">
        <v>438</v>
      </c>
      <c r="J328" t="s">
        <v>55</v>
      </c>
    </row>
    <row r="329" spans="1:10" hidden="1" x14ac:dyDescent="0.25">
      <c r="A329" t="s">
        <v>314</v>
      </c>
      <c r="B329">
        <v>340</v>
      </c>
      <c r="C329" t="s">
        <v>532</v>
      </c>
      <c r="D329" t="s">
        <v>440</v>
      </c>
      <c r="E329" t="s">
        <v>964</v>
      </c>
      <c r="F329" t="s">
        <v>196</v>
      </c>
      <c r="G329" s="3">
        <v>0</v>
      </c>
      <c r="I329" t="s">
        <v>438</v>
      </c>
      <c r="J329" t="s">
        <v>55</v>
      </c>
    </row>
    <row r="330" spans="1:10" hidden="1" x14ac:dyDescent="0.25">
      <c r="A330" t="s">
        <v>314</v>
      </c>
      <c r="B330">
        <v>345</v>
      </c>
      <c r="C330" t="s">
        <v>541</v>
      </c>
      <c r="D330" t="s">
        <v>440</v>
      </c>
      <c r="E330" t="s">
        <v>967</v>
      </c>
      <c r="F330" t="s">
        <v>196</v>
      </c>
      <c r="G330" s="3">
        <v>0</v>
      </c>
      <c r="I330" t="s">
        <v>438</v>
      </c>
      <c r="J330" t="s">
        <v>55</v>
      </c>
    </row>
    <row r="331" spans="1:10" hidden="1" x14ac:dyDescent="0.25">
      <c r="A331" t="s">
        <v>314</v>
      </c>
      <c r="B331">
        <v>350</v>
      </c>
      <c r="C331" t="s">
        <v>550</v>
      </c>
      <c r="D331" t="s">
        <v>440</v>
      </c>
      <c r="E331" t="s">
        <v>970</v>
      </c>
      <c r="F331" t="s">
        <v>196</v>
      </c>
      <c r="G331" s="3">
        <v>0</v>
      </c>
      <c r="I331" t="s">
        <v>438</v>
      </c>
      <c r="J331" t="s">
        <v>55</v>
      </c>
    </row>
    <row r="332" spans="1:10" hidden="1" x14ac:dyDescent="0.25">
      <c r="A332" t="s">
        <v>314</v>
      </c>
      <c r="B332">
        <v>370</v>
      </c>
      <c r="C332" t="s">
        <v>558</v>
      </c>
      <c r="D332" t="s">
        <v>440</v>
      </c>
      <c r="E332" t="s">
        <v>974</v>
      </c>
      <c r="F332" t="s">
        <v>196</v>
      </c>
      <c r="G332" s="3">
        <v>0</v>
      </c>
      <c r="I332" t="s">
        <v>438</v>
      </c>
      <c r="J332" t="s">
        <v>55</v>
      </c>
    </row>
    <row r="333" spans="1:10" hidden="1" x14ac:dyDescent="0.25">
      <c r="A333" t="s">
        <v>314</v>
      </c>
      <c r="B333">
        <v>375</v>
      </c>
      <c r="C333" t="s">
        <v>977</v>
      </c>
      <c r="D333" t="s">
        <v>440</v>
      </c>
      <c r="E333" t="s">
        <v>978</v>
      </c>
      <c r="F333" t="s">
        <v>196</v>
      </c>
      <c r="G333" s="3">
        <v>0</v>
      </c>
      <c r="I333" t="s">
        <v>438</v>
      </c>
      <c r="J333" t="s">
        <v>55</v>
      </c>
    </row>
    <row r="334" spans="1:10" hidden="1" x14ac:dyDescent="0.25">
      <c r="A334" t="s">
        <v>314</v>
      </c>
      <c r="B334">
        <v>380</v>
      </c>
      <c r="C334" t="s">
        <v>981</v>
      </c>
      <c r="D334" t="s">
        <v>440</v>
      </c>
      <c r="E334" t="s">
        <v>982</v>
      </c>
      <c r="F334" t="s">
        <v>196</v>
      </c>
      <c r="G334" s="3">
        <v>0</v>
      </c>
      <c r="I334" t="s">
        <v>438</v>
      </c>
      <c r="J334" t="s">
        <v>55</v>
      </c>
    </row>
    <row r="335" spans="1:10" hidden="1" x14ac:dyDescent="0.25">
      <c r="A335" t="s">
        <v>314</v>
      </c>
      <c r="B335">
        <v>385</v>
      </c>
      <c r="C335" t="s">
        <v>985</v>
      </c>
      <c r="D335" t="s">
        <v>440</v>
      </c>
      <c r="E335" t="s">
        <v>986</v>
      </c>
      <c r="F335" t="s">
        <v>196</v>
      </c>
      <c r="G335" s="3">
        <v>0</v>
      </c>
      <c r="I335" t="s">
        <v>438</v>
      </c>
      <c r="J335" t="s">
        <v>55</v>
      </c>
    </row>
    <row r="336" spans="1:10" hidden="1" x14ac:dyDescent="0.25">
      <c r="A336" t="s">
        <v>314</v>
      </c>
      <c r="B336">
        <v>406</v>
      </c>
      <c r="C336" t="s">
        <v>589</v>
      </c>
      <c r="D336" t="s">
        <v>571</v>
      </c>
      <c r="E336" t="s">
        <v>989</v>
      </c>
      <c r="F336" t="s">
        <v>196</v>
      </c>
      <c r="G336" s="3">
        <v>0</v>
      </c>
      <c r="I336" t="s">
        <v>569</v>
      </c>
      <c r="J336" t="s">
        <v>44</v>
      </c>
    </row>
    <row r="337" spans="1:10" hidden="1" x14ac:dyDescent="0.25">
      <c r="A337" t="s">
        <v>314</v>
      </c>
      <c r="B337">
        <v>411</v>
      </c>
      <c r="C337" t="s">
        <v>992</v>
      </c>
      <c r="D337" t="s">
        <v>571</v>
      </c>
      <c r="E337" t="s">
        <v>993</v>
      </c>
      <c r="F337" t="s">
        <v>196</v>
      </c>
      <c r="G337" s="3">
        <v>0</v>
      </c>
      <c r="I337" t="s">
        <v>569</v>
      </c>
      <c r="J337" t="s">
        <v>55</v>
      </c>
    </row>
    <row r="338" spans="1:10" hidden="1" x14ac:dyDescent="0.25">
      <c r="A338" t="s">
        <v>314</v>
      </c>
      <c r="B338">
        <v>451</v>
      </c>
      <c r="C338" t="s">
        <v>646</v>
      </c>
      <c r="D338" t="s">
        <v>571</v>
      </c>
      <c r="E338" t="s">
        <v>996</v>
      </c>
      <c r="F338" t="s">
        <v>196</v>
      </c>
      <c r="G338" s="3">
        <v>0</v>
      </c>
      <c r="I338" t="s">
        <v>569</v>
      </c>
      <c r="J338" t="s">
        <v>55</v>
      </c>
    </row>
    <row r="339" spans="1:10" hidden="1" x14ac:dyDescent="0.25">
      <c r="A339" t="s">
        <v>314</v>
      </c>
      <c r="B339">
        <v>461</v>
      </c>
      <c r="C339" t="s">
        <v>653</v>
      </c>
      <c r="D339" t="s">
        <v>571</v>
      </c>
      <c r="E339" t="s">
        <v>999</v>
      </c>
      <c r="F339" t="s">
        <v>196</v>
      </c>
      <c r="G339" s="3">
        <v>0</v>
      </c>
      <c r="I339" t="s">
        <v>569</v>
      </c>
      <c r="J339" t="s">
        <v>55</v>
      </c>
    </row>
    <row r="340" spans="1:10" hidden="1" x14ac:dyDescent="0.25">
      <c r="A340" t="s">
        <v>314</v>
      </c>
      <c r="B340">
        <v>466</v>
      </c>
      <c r="C340" t="s">
        <v>1002</v>
      </c>
      <c r="D340" t="s">
        <v>571</v>
      </c>
      <c r="E340" t="s">
        <v>1003</v>
      </c>
      <c r="F340" t="s">
        <v>196</v>
      </c>
      <c r="G340" s="3">
        <v>0</v>
      </c>
      <c r="I340" t="s">
        <v>569</v>
      </c>
      <c r="J340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t="s">
        <v>7</v>
      </c>
      <c r="H1" t="s">
        <v>14</v>
      </c>
      <c r="I1" t="s">
        <v>17</v>
      </c>
      <c r="J1" t="s">
        <v>16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A1551B42-6CF8-4859-9C03-8252CF4A05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EE8B93-B4C0-43CD-BB45-90108DCF18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AC2BA5-F918-4A14-A658-A9DE80C798B7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2026-07-16T10:52:47Z</dcterms:created>
  <dcterms:modified xsi:type="dcterms:W3CDTF">2026-07-16T12:13:53Z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2026-07-16T11:02:16Z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5146a297-e7fd-4c64-97ec-651dd39e402b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