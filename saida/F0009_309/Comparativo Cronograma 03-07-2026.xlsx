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9/"/>
    </mc:Choice>
  </mc:AlternateContent>
  <xr:revisionPtr revIDLastSave="32" documentId="11_4E624C3777486A47752A51A495F5F8BD570C5707" xr6:coauthVersionLast="47" xr6:coauthVersionMax="47" xr10:uidLastSave="{DF4AE38A-AB20-44E8-8B22-60C361F38504}"/>
  <bookViews>
    <workbookView xWindow="20370" yWindow="-120" windowWidth="29040" windowHeight="15720" firstSheet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C32" i="2"/>
  <c r="D32" i="2"/>
  <c r="B15" i="2"/>
  <c r="C15" i="2"/>
  <c r="D15" i="2"/>
  <c r="E15" i="2"/>
  <c r="F15" i="2"/>
  <c r="G15" i="2"/>
  <c r="E32" i="2"/>
  <c r="H15" i="2"/>
</calcChain>
</file>

<file path=xl/sharedStrings.xml><?xml version="1.0" encoding="utf-8"?>
<sst xmlns="http://schemas.openxmlformats.org/spreadsheetml/2006/main" count="12065" uniqueCount="2220">
  <si>
    <t>Id</t>
  </si>
  <si>
    <t>EDT</t>
  </si>
  <si>
    <t>Nome do Resumo da Tarefa</t>
  </si>
  <si>
    <t>Nome da Tarefa</t>
  </si>
  <si>
    <t>% concluída</t>
  </si>
  <si>
    <t>Início</t>
  </si>
  <si>
    <t>Término</t>
  </si>
  <si>
    <t>Status</t>
  </si>
  <si>
    <t>Duração</t>
  </si>
  <si>
    <t>Sprint</t>
  </si>
  <si>
    <t>Início_LB_R0</t>
  </si>
  <si>
    <t>Término_LB_R0</t>
  </si>
  <si>
    <t>Término da linha de base</t>
  </si>
  <si>
    <t>Predecessoras</t>
  </si>
  <si>
    <t>Agrupamento Cecal</t>
  </si>
  <si>
    <t>Sucessoras</t>
  </si>
  <si>
    <t>Disciplina</t>
  </si>
  <si>
    <t>Título</t>
  </si>
  <si>
    <t>Observações</t>
  </si>
  <si>
    <t>Nomes dos recursos</t>
  </si>
  <si>
    <t>Tipo de documento</t>
  </si>
  <si>
    <t>Área</t>
  </si>
  <si>
    <t>Sub-área</t>
  </si>
  <si>
    <t>Formato</t>
  </si>
  <si>
    <t>Quantidade</t>
  </si>
  <si>
    <t>Crítica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</si>
  <si>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</si>
  <si>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</si>
  <si>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</si>
  <si>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</si>
  <si>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</si>
  <si>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</si>
  <si>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</si>
  <si>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</si>
  <si>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</si>
  <si>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</si>
  <si>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</si>
  <si>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</si>
  <si>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</si>
  <si>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com 0023 - cecal</t>
  </si>
  <si>
    <t>Atrasada</t>
  </si>
  <si>
    <t>135,88 dias</t>
  </si>
  <si>
    <t>Nenhum Sprint</t>
  </si>
  <si>
    <t>Sim</t>
  </si>
  <si>
    <t>4.2.1.2</t>
  </si>
  <si>
    <t>F0009 - COM 0023 - CECAL</t>
  </si>
  <si>
    <t>marcos 309</t>
  </si>
  <si>
    <t>113 dias</t>
  </si>
  <si>
    <t>4II</t>
  </si>
  <si>
    <t>Não</t>
  </si>
  <si>
    <t>5.2.1.2</t>
  </si>
  <si>
    <t>1.3</t>
  </si>
  <si>
    <t>No Prazo</t>
  </si>
  <si>
    <t>D:\TECNORED\DADOS\F0009\CR-F0009-0000-MB-F-00001.mpp\51II;D:\TECNORED\DADOS\F0009\CR-F0009-0000-MB-F-00001 - 19062026.mpp\78II</t>
  </si>
  <si>
    <t>MARCOS</t>
  </si>
  <si>
    <t>1.3.1</t>
  </si>
  <si>
    <t>MARCOS 309</t>
  </si>
  <si>
    <t>reunião de kick-off</t>
  </si>
  <si>
    <t>Concluída</t>
  </si>
  <si>
    <t>36 dias</t>
  </si>
  <si>
    <t>Sprint 1</t>
  </si>
  <si>
    <t>6TI+30 diasd</t>
  </si>
  <si>
    <t>1.3.2</t>
  </si>
  <si>
    <t>reunião design review 1</t>
  </si>
  <si>
    <t>1 dia</t>
  </si>
  <si>
    <t>Sprint 5</t>
  </si>
  <si>
    <t>5TI+30 diasd</t>
  </si>
  <si>
    <t>7TI+30 diasd</t>
  </si>
  <si>
    <t>1.3.3</t>
  </si>
  <si>
    <t>reunião design review 2</t>
  </si>
  <si>
    <t>Sprint 9</t>
  </si>
  <si>
    <t>8TI+30 diasd</t>
  </si>
  <si>
    <t>1.3.4</t>
  </si>
  <si>
    <t>reunião design review 3</t>
  </si>
  <si>
    <t>Tarefa futura</t>
  </si>
  <si>
    <t>Sprint 14</t>
  </si>
  <si>
    <t>9TI+30 diasd</t>
  </si>
  <si>
    <t>1.3.5</t>
  </si>
  <si>
    <t>reunião design review 4</t>
  </si>
  <si>
    <t>Sprint 18</t>
  </si>
  <si>
    <t>10TI+30 diasd</t>
  </si>
  <si>
    <t>1.3.6</t>
  </si>
  <si>
    <t>reunião design review 5</t>
  </si>
  <si>
    <t>Sprint 23</t>
  </si>
  <si>
    <t>4.2.1.4</t>
  </si>
  <si>
    <t>pendências 309</t>
  </si>
  <si>
    <t>60,88 dias</t>
  </si>
  <si>
    <t>13II</t>
  </si>
  <si>
    <t>5.2.1.4</t>
  </si>
  <si>
    <t>65 dias</t>
  </si>
  <si>
    <t>1.6</t>
  </si>
  <si>
    <t>65,88 dias</t>
  </si>
  <si>
    <t>23TI+1 dia;D:\TECNORED\DADOS\F0009\CR-F0009-0000-MB-F-00001.mpp\53II;D:\TECNORED\DADOS\F0009\CR-F0009-0000-MB-F-00001 - 19062026.mpp\80II</t>
  </si>
  <si>
    <t>PENDÊNCIAS</t>
  </si>
  <si>
    <t>1.6.1</t>
  </si>
  <si>
    <t>PENDÊNCIAS 309</t>
  </si>
  <si>
    <t>ld dos documentos multitec</t>
  </si>
  <si>
    <t>Sprint 7</t>
  </si>
  <si>
    <t>1.6.2</t>
  </si>
  <si>
    <t>revisão do cronograma nas tarefas da engenharia básica</t>
  </si>
  <si>
    <t>1.6.3</t>
  </si>
  <si>
    <t>definição do comprimento do forno</t>
  </si>
  <si>
    <t>1.6.4</t>
  </si>
  <si>
    <t>avaliação do aumento largura da cuba de bar e cadinho</t>
  </si>
  <si>
    <t>49,88 dias</t>
  </si>
  <si>
    <t>1.6.5</t>
  </si>
  <si>
    <t>avaliação de compatibilidade com carregamento, utilidades e instrumentação</t>
  </si>
  <si>
    <t>41,88 dias</t>
  </si>
  <si>
    <t>1.6.6</t>
  </si>
  <si>
    <t>avaliação de novas tecnologias (ventaneira lateral, injeção de gás v1 e v2, passagem de gás pela cuba)</t>
  </si>
  <si>
    <t>34,88 dias</t>
  </si>
  <si>
    <t>1.6.7</t>
  </si>
  <si>
    <t>incorporação das novas tecnologias no modelo</t>
  </si>
  <si>
    <t>29,88 dias</t>
  </si>
  <si>
    <t>1.6.8</t>
  </si>
  <si>
    <t>aprovação da geometria básica</t>
  </si>
  <si>
    <t>9,88 dias</t>
  </si>
  <si>
    <t>Sprint 13</t>
  </si>
  <si>
    <t>258;54;452;905;910;975;741;737;742;747;639;427</t>
  </si>
  <si>
    <t>4.2.1.6</t>
  </si>
  <si>
    <t>geral/ coordenação 309</t>
  </si>
  <si>
    <t>66 dias</t>
  </si>
  <si>
    <t>23II</t>
  </si>
  <si>
    <t>1.8</t>
  </si>
  <si>
    <t>13TI+1 dia</t>
  </si>
  <si>
    <t>D:\TECNORED\DADOS\F0009\CR-F0009-0000-MB-F-00001.mpp\55II</t>
  </si>
  <si>
    <t>1.8.1</t>
  </si>
  <si>
    <t>GERAL/ COORDENAÇÃO 309</t>
  </si>
  <si>
    <t>3dt-f0009-0309-mb-g-00001</t>
  </si>
  <si>
    <t>15 dias</t>
  </si>
  <si>
    <t>Revisão do projeto do forno - carcaça e refratário</t>
  </si>
  <si>
    <t>COORDENAÇÃO</t>
  </si>
  <si>
    <t>MODELO 3D FORNO - CONJUNTO</t>
  </si>
  <si>
    <t>3DT - Desenho 3d</t>
  </si>
  <si>
    <t>03 - REDUÇÃO</t>
  </si>
  <si>
    <t>09 - FORNO TECNORED</t>
  </si>
  <si>
    <t>OUTROS</t>
  </si>
  <si>
    <t>1.8.1.1</t>
  </si>
  <si>
    <t>3DT-F0009-0309-MB-G-00001</t>
  </si>
  <si>
    <t>emissão inicial</t>
  </si>
  <si>
    <t>5 dias</t>
  </si>
  <si>
    <t>26;45IT</t>
  </si>
  <si>
    <t>1.8.1.2</t>
  </si>
  <si>
    <t>avaliação do cliente</t>
  </si>
  <si>
    <t>Sprint 24</t>
  </si>
  <si>
    <t>1.8.1.3</t>
  </si>
  <si>
    <t>atendimento de comentário</t>
  </si>
  <si>
    <t>3 dias</t>
  </si>
  <si>
    <t>Sprint 25</t>
  </si>
  <si>
    <t>1.8.1.4</t>
  </si>
  <si>
    <t>aprovação</t>
  </si>
  <si>
    <t>2 dias</t>
  </si>
  <si>
    <t>1.8.2</t>
  </si>
  <si>
    <t>3dt-f0009-0309-mb-g-00002</t>
  </si>
  <si>
    <t>Revisão do sistema de carregamento</t>
  </si>
  <si>
    <t>MODELO 3D FORNO TUBULAÇÕES E CARREGAMENTO</t>
  </si>
  <si>
    <t>1.8.2.1</t>
  </si>
  <si>
    <t>3DT-F0009-0309-MB-G-00002</t>
  </si>
  <si>
    <t>1.8.2.2</t>
  </si>
  <si>
    <t>1.8.2.3</t>
  </si>
  <si>
    <t>1.8.2.4</t>
  </si>
  <si>
    <t>1.8.3</t>
  </si>
  <si>
    <t>3dt-f0009-0309-mb-g-00003</t>
  </si>
  <si>
    <t>Planilha de quantitativos e utilidades</t>
  </si>
  <si>
    <t>MODELO 3D GERAL DOS SISTEMAS</t>
  </si>
  <si>
    <t>1.8.3.1</t>
  </si>
  <si>
    <t>3DT-F0009-0309-MB-G-00003</t>
  </si>
  <si>
    <t>1.8.3.2</t>
  </si>
  <si>
    <t>1.8.3.3</t>
  </si>
  <si>
    <t>1.8.3.4</t>
  </si>
  <si>
    <t>1.8.4</t>
  </si>
  <si>
    <t>bk-f0009-0300-mb-g-00001</t>
  </si>
  <si>
    <t>30 dias</t>
  </si>
  <si>
    <t>DATABOOK DO PROJETO</t>
  </si>
  <si>
    <t>BK - Data Book</t>
  </si>
  <si>
    <t>00 - GERAL</t>
  </si>
  <si>
    <t>1.8.4.1</t>
  </si>
  <si>
    <t>BK-F0009-0300-MB-G-00001</t>
  </si>
  <si>
    <t>1.8.4.2</t>
  </si>
  <si>
    <t>Sprint 16</t>
  </si>
  <si>
    <t>1.8.4.3</t>
  </si>
  <si>
    <t>Sprint 17</t>
  </si>
  <si>
    <t>1.8.4.4</t>
  </si>
  <si>
    <t>1.8.5</t>
  </si>
  <si>
    <t>eg-f0009-0309-mb-g-00001</t>
  </si>
  <si>
    <t>Sprint 20</t>
  </si>
  <si>
    <t>Parâmetros para design freeze</t>
  </si>
  <si>
    <t>PARÂMETROS PARA DESIGN FREEZE</t>
  </si>
  <si>
    <t>EG - Especificação Geral</t>
  </si>
  <si>
    <t>1.8.5.1</t>
  </si>
  <si>
    <t>EG-F0009-0309-MB-G-00001</t>
  </si>
  <si>
    <t>25IT</t>
  </si>
  <si>
    <t>1.8.5.2</t>
  </si>
  <si>
    <t>1.8.5.3</t>
  </si>
  <si>
    <t>1.8.5.4</t>
  </si>
  <si>
    <t>4.2.1.8</t>
  </si>
  <si>
    <t>mecânica / arranjos 309</t>
  </si>
  <si>
    <t>69,88 dias</t>
  </si>
  <si>
    <t>52II</t>
  </si>
  <si>
    <t>5.2.1.6</t>
  </si>
  <si>
    <t>67 dias</t>
  </si>
  <si>
    <t>5.2.1.7</t>
  </si>
  <si>
    <t>1.12</t>
  </si>
  <si>
    <t>70 dias</t>
  </si>
  <si>
    <t>D:\TECNORED\DADOS\F0009\CR-F0009-0000-MB-F-00001.mpp\57II;D:\TECNORED\DADOS\F0009\CR-F0009-0000-MB-F-00001 - 19062026.mpp\82II;D:\TECNORED\DADOS\F0009\CR-F0009-0000-MB-F-00001 - 19062026.mpp\83II</t>
  </si>
  <si>
    <t>1.12.1</t>
  </si>
  <si>
    <t>MECÂNICA / ARRANJOS 309</t>
  </si>
  <si>
    <t>ag-f0009-0302-mb-l-00001</t>
  </si>
  <si>
    <t>23 dias</t>
  </si>
  <si>
    <t>MECÂNICA</t>
  </si>
  <si>
    <t>PLANTA BÁSICA - SISTEMA DE CARREGAMENTO</t>
  </si>
  <si>
    <t>AG - Arranjo (AG)</t>
  </si>
  <si>
    <t>02 - CARREGAMENTO</t>
  </si>
  <si>
    <t>A1 (841x594mm)</t>
  </si>
  <si>
    <t>1.12.1.1</t>
  </si>
  <si>
    <t>AG-F0009-0302-MB-L-00001</t>
  </si>
  <si>
    <t>10 dias</t>
  </si>
  <si>
    <t>55;59;64;69;74;79;84;89;94;99;104;109;114;119;124;129</t>
  </si>
  <si>
    <t>1.12.1.2</t>
  </si>
  <si>
    <t>Sprint 15</t>
  </si>
  <si>
    <t>1.12.1.3</t>
  </si>
  <si>
    <t>1.12.1.4</t>
  </si>
  <si>
    <t>1.12.2</t>
  </si>
  <si>
    <t>ag-f0009-0302-mb-l-00002</t>
  </si>
  <si>
    <t>20 dias</t>
  </si>
  <si>
    <t>SISTEMA LINHA BAR</t>
  </si>
  <si>
    <t>1.12.2.1</t>
  </si>
  <si>
    <t>AG-F0009-0302-MB-L-00002</t>
  </si>
  <si>
    <t>1.12.2.2</t>
  </si>
  <si>
    <t>1.12.2.3</t>
  </si>
  <si>
    <t>1.12.2.4</t>
  </si>
  <si>
    <t>1.12.3</t>
  </si>
  <si>
    <t>ag-f0009-0302-mb-l-00003</t>
  </si>
  <si>
    <t>16 dias</t>
  </si>
  <si>
    <t>SISTEMA LINHA COMBUSTÍVEL LATERAL</t>
  </si>
  <si>
    <t>1.12.3.1</t>
  </si>
  <si>
    <t>AG-F0009-0302-MB-L-00003</t>
  </si>
  <si>
    <t>1.12.3.2</t>
  </si>
  <si>
    <t>1.12.3.3</t>
  </si>
  <si>
    <t>1.12.3.4</t>
  </si>
  <si>
    <t>1.12.4</t>
  </si>
  <si>
    <t>ag-f0009-0302-mb-l-00004</t>
  </si>
  <si>
    <t>SISTEMA LINHA BOOSTER</t>
  </si>
  <si>
    <t>1.12.4.1</t>
  </si>
  <si>
    <t>AG-F0009-0302-MB-L-00004</t>
  </si>
  <si>
    <t>1.12.4.2</t>
  </si>
  <si>
    <t>1.12.4.3</t>
  </si>
  <si>
    <t>1.12.4.4</t>
  </si>
  <si>
    <t>1.12.5</t>
  </si>
  <si>
    <t>ag-f0009-0302-mb-l-00005</t>
  </si>
  <si>
    <t>LOCAÇÃO SUPORTE TUBULACOES BAR</t>
  </si>
  <si>
    <t>1.12.5.1</t>
  </si>
  <si>
    <t>AG-F0009-0302-MB-L-00005</t>
  </si>
  <si>
    <t>1.12.5.2</t>
  </si>
  <si>
    <t>1.12.5.3</t>
  </si>
  <si>
    <t>1.12.5.4</t>
  </si>
  <si>
    <t>1.12.6</t>
  </si>
  <si>
    <t>ag-f0009-0302-mb-l-00006</t>
  </si>
  <si>
    <t>LOCAÇÃO SUPORTE TUBULACOES BAR DETALHES</t>
  </si>
  <si>
    <t>1.12.6.1</t>
  </si>
  <si>
    <t>AG-F0009-0302-MB-L-00006</t>
  </si>
  <si>
    <t>1.12.6.2</t>
  </si>
  <si>
    <t>1.12.6.3</t>
  </si>
  <si>
    <t>1.12.6.4</t>
  </si>
  <si>
    <t>1.12.7</t>
  </si>
  <si>
    <t>ag-f0009-0302-mb-l-00007</t>
  </si>
  <si>
    <t>LOCAÇÃO SUPORTE TUBULACOES COMBUSTIVEL LATERAL</t>
  </si>
  <si>
    <t>1.12.7.1</t>
  </si>
  <si>
    <t>AG-F0009-0302-MB-L-00007</t>
  </si>
  <si>
    <t>1.12.7.2</t>
  </si>
  <si>
    <t>1.12.7.3</t>
  </si>
  <si>
    <t>1.12.7.4</t>
  </si>
  <si>
    <t>1.12.8</t>
  </si>
  <si>
    <t>ag-f0009-0302-mb-l-00008</t>
  </si>
  <si>
    <t>1.12.8.1</t>
  </si>
  <si>
    <t>AG-F0009-0302-MB-L-00008</t>
  </si>
  <si>
    <t>1.12.8.2</t>
  </si>
  <si>
    <t>1.12.8.3</t>
  </si>
  <si>
    <t>1.12.8.4</t>
  </si>
  <si>
    <t>1.12.9</t>
  </si>
  <si>
    <t>ag-f0009-0302-mb-l-00009</t>
  </si>
  <si>
    <t>LOCAÇÃO SUPORTE TUBULACOES BOOSTER</t>
  </si>
  <si>
    <t>1.12.9.1</t>
  </si>
  <si>
    <t>AG-F0009-0302-MB-L-00009</t>
  </si>
  <si>
    <t>1.12.9.2</t>
  </si>
  <si>
    <t>1.12.9.3</t>
  </si>
  <si>
    <t>1.12.9.4</t>
  </si>
  <si>
    <t>1.12.10</t>
  </si>
  <si>
    <t>ag-f0009-0302-mb-l-00010</t>
  </si>
  <si>
    <t>LOCAÇÃO SUPORTE TUBULACOES BOOSTER DETALHES</t>
  </si>
  <si>
    <t>1.12.10.1</t>
  </si>
  <si>
    <t>AG-F0009-0302-MB-L-00010</t>
  </si>
  <si>
    <t>100;747;644</t>
  </si>
  <si>
    <t>1.12.10.2</t>
  </si>
  <si>
    <t>1.12.10.3</t>
  </si>
  <si>
    <t>1.12.10.4</t>
  </si>
  <si>
    <t>1.12.11</t>
  </si>
  <si>
    <t>dt-f0009-0302-mb-l-00001</t>
  </si>
  <si>
    <t>MOEGA DE RECEBIMENTO</t>
  </si>
  <si>
    <t>DT - Detalhe Típico</t>
  </si>
  <si>
    <t>1.12.11.1</t>
  </si>
  <si>
    <t>DT-F0009-0302-MB-L-00001</t>
  </si>
  <si>
    <t>1.12.11.2</t>
  </si>
  <si>
    <t>106;631;598</t>
  </si>
  <si>
    <t>1.12.11.3</t>
  </si>
  <si>
    <t>1.12.11.4</t>
  </si>
  <si>
    <t>1.12.12</t>
  </si>
  <si>
    <t>dt-f0009-0302-mb-l-00002</t>
  </si>
  <si>
    <t>CORREIA REVERSÍVEL E MÓVEL - LIMITES DE OPERAÇÃO</t>
  </si>
  <si>
    <t>1.12.12.1</t>
  </si>
  <si>
    <t>DT-F0009-0302-MB-L-00002</t>
  </si>
  <si>
    <t>1.12.12.2</t>
  </si>
  <si>
    <t>1.12.12.3</t>
  </si>
  <si>
    <t>1.12.12.4</t>
  </si>
  <si>
    <t>1.12.13</t>
  </si>
  <si>
    <t>dt-f0009-0302-mb-l-00003</t>
  </si>
  <si>
    <t>CORREIA REVERSÍVEL E MÓVEL - DADOS GERAIS</t>
  </si>
  <si>
    <t>1.12.13.1</t>
  </si>
  <si>
    <t>DT-F0009-0302-MB-L-00003</t>
  </si>
  <si>
    <t>1.12.13.2</t>
  </si>
  <si>
    <t>1.12.13.3</t>
  </si>
  <si>
    <t>1.12.13.4</t>
  </si>
  <si>
    <t>1.12.14</t>
  </si>
  <si>
    <t>dt-f0009-0302-mb-l-00004</t>
  </si>
  <si>
    <t>CORREIA REVERSÍVEL E MÓVEL ARRANJOS ROLETES</t>
  </si>
  <si>
    <t>1.12.14.1</t>
  </si>
  <si>
    <t>DT-F0009-0302-MB-L-00004</t>
  </si>
  <si>
    <t>1.12.14.2</t>
  </si>
  <si>
    <t>1.12.14.3</t>
  </si>
  <si>
    <t>1.12.14.4</t>
  </si>
  <si>
    <t>1.12.15</t>
  </si>
  <si>
    <t>dt-f0009-0302-mb-l-00005</t>
  </si>
  <si>
    <t>CORREIA REVERSÍVEL E MÓVEL - SEÇÕES</t>
  </si>
  <si>
    <t>1.12.15.1</t>
  </si>
  <si>
    <t>DT-F0009-0302-MB-L-00005</t>
  </si>
  <si>
    <t>1.12.15.2</t>
  </si>
  <si>
    <t>1.12.15.3</t>
  </si>
  <si>
    <t>1.12.15.4</t>
  </si>
  <si>
    <t>1.12.16</t>
  </si>
  <si>
    <t>dt-f0009-0302-mb-l-00006</t>
  </si>
  <si>
    <t>SILO DE PROCESSOS BAR FORNO 1 E 2</t>
  </si>
  <si>
    <t>1.12.16.1</t>
  </si>
  <si>
    <t>DT-F0009-0302-MB-L-00006</t>
  </si>
  <si>
    <t>130;134;139;144;149;154</t>
  </si>
  <si>
    <t>1.12.16.2</t>
  </si>
  <si>
    <t>1.12.16.3</t>
  </si>
  <si>
    <t>1.12.16.4</t>
  </si>
  <si>
    <t>1.12.17</t>
  </si>
  <si>
    <t>dt-f0009-0302-mb-l-00007</t>
  </si>
  <si>
    <t>SILO DE PROCESSOS COMBUSTÍVEL LATERAL FORNO 1 E 2</t>
  </si>
  <si>
    <t>1.12.17.1</t>
  </si>
  <si>
    <t>DT-F0009-0302-MB-L-00007</t>
  </si>
  <si>
    <t>1.12.17.2</t>
  </si>
  <si>
    <t>Sprint 19</t>
  </si>
  <si>
    <t>1.12.17.3</t>
  </si>
  <si>
    <t>1.12.17.4</t>
  </si>
  <si>
    <t>1.12.18</t>
  </si>
  <si>
    <t>dt-f0009-0302-mb-l-00008</t>
  </si>
  <si>
    <t>SILO DE PROCESSOS BOOSTER FORNO 1 E 2</t>
  </si>
  <si>
    <t>1.12.18.1</t>
  </si>
  <si>
    <t>DT-F0009-0302-MB-L-00008</t>
  </si>
  <si>
    <t>1.12.18.2</t>
  </si>
  <si>
    <t>1.12.18.3</t>
  </si>
  <si>
    <t>1.12.18.4</t>
  </si>
  <si>
    <t>1.12.19</t>
  </si>
  <si>
    <t>dt-f0009-0302-mb-l-00009</t>
  </si>
  <si>
    <t>SILO DE BUFFER BAR FORNO 1 E 2</t>
  </si>
  <si>
    <t>1.12.19.1</t>
  </si>
  <si>
    <t>DT-F0009-0302-MB-L-00009</t>
  </si>
  <si>
    <t>1.12.19.2</t>
  </si>
  <si>
    <t>1.12.19.3</t>
  </si>
  <si>
    <t>1.12.19.4</t>
  </si>
  <si>
    <t>1.12.20</t>
  </si>
  <si>
    <t>dt-f0009-0302-mb-l-00010</t>
  </si>
  <si>
    <t>SILO DE BUFFER COMBUSTÍVEL LATERAL FORNO 1 E 2</t>
  </si>
  <si>
    <t>1.12.20.1</t>
  </si>
  <si>
    <t>DT-F0009-0302-MB-L-00010</t>
  </si>
  <si>
    <t>1.12.20.2</t>
  </si>
  <si>
    <t>1.12.20.3</t>
  </si>
  <si>
    <t>1.12.20.4</t>
  </si>
  <si>
    <t>1.12.21</t>
  </si>
  <si>
    <t>dt-f0009-0302-mb-l-00011</t>
  </si>
  <si>
    <t>25 dias</t>
  </si>
  <si>
    <t>SILO DE BUFFER BOOSTER FORNO 1 E 2</t>
  </si>
  <si>
    <t>1.12.21.1</t>
  </si>
  <si>
    <t>DT-F0009-0302-MB-L-00011</t>
  </si>
  <si>
    <t>155;159;164;169;174;179;184;189;194;199;204</t>
  </si>
  <si>
    <t>1.12.21.2</t>
  </si>
  <si>
    <t>1.12.21.3</t>
  </si>
  <si>
    <t>1.12.21.4</t>
  </si>
  <si>
    <t>1.12.22</t>
  </si>
  <si>
    <t>dt-f0009-0302-mb-l-00012</t>
  </si>
  <si>
    <t>TUBULACOES DE DESCARGA SISTEMA DE CARREGAMENTO</t>
  </si>
  <si>
    <t>1.12.22.1</t>
  </si>
  <si>
    <t>DT-F0009-0302-MB-L-00012</t>
  </si>
  <si>
    <t>160;1085;1090;1095;1080</t>
  </si>
  <si>
    <t>1.12.22.2</t>
  </si>
  <si>
    <t>1.12.22.3</t>
  </si>
  <si>
    <t>Sprint 22</t>
  </si>
  <si>
    <t>1.12.22.4</t>
  </si>
  <si>
    <t>1.12.23</t>
  </si>
  <si>
    <t>dt-f0009-0302-mb-l-00013</t>
  </si>
  <si>
    <t>BAR SYSTEM - CALHAS ARRENGEMENT</t>
  </si>
  <si>
    <t>1.12.23.1</t>
  </si>
  <si>
    <t>DT-F0009-0302-MB-L-00013</t>
  </si>
  <si>
    <t>1.12.23.2</t>
  </si>
  <si>
    <t>1.12.23.3</t>
  </si>
  <si>
    <t>1.12.23.4</t>
  </si>
  <si>
    <t>1.12.24</t>
  </si>
  <si>
    <t>dt-f0009-0302-mb-l-00014</t>
  </si>
  <si>
    <t>BAR CALHAS - MARCA A</t>
  </si>
  <si>
    <t>1.12.24.1</t>
  </si>
  <si>
    <t>DT-F0009-0302-MB-L-00014</t>
  </si>
  <si>
    <t>1.12.24.2</t>
  </si>
  <si>
    <t>1.12.24.3</t>
  </si>
  <si>
    <t>1.12.24.4</t>
  </si>
  <si>
    <t>1.12.25</t>
  </si>
  <si>
    <t>dt-f0009-0302-mb-l-00015</t>
  </si>
  <si>
    <t>BAR CALHAS - MARCA B</t>
  </si>
  <si>
    <t>1.12.25.1</t>
  </si>
  <si>
    <t>DT-F0009-0302-MB-L-00015</t>
  </si>
  <si>
    <t>1.12.25.2</t>
  </si>
  <si>
    <t>1.12.25.3</t>
  </si>
  <si>
    <t>1.12.25.4</t>
  </si>
  <si>
    <t>1.12.26</t>
  </si>
  <si>
    <t>dt-f0009-0302-mb-l-00016</t>
  </si>
  <si>
    <t>BAR CALHAS - MARCA C</t>
  </si>
  <si>
    <t>1.12.26.1</t>
  </si>
  <si>
    <t>DT-F0009-0302-MB-L-00016</t>
  </si>
  <si>
    <t>1.12.26.2</t>
  </si>
  <si>
    <t>1.12.26.3</t>
  </si>
  <si>
    <t>1.12.26.4</t>
  </si>
  <si>
    <t>1.12.27</t>
  </si>
  <si>
    <t>dt-f0009-0302-mb-l-00017</t>
  </si>
  <si>
    <t>BAR CALHAS - MARCA D</t>
  </si>
  <si>
    <t>1.12.27.1</t>
  </si>
  <si>
    <t>DT-F0009-0302-MB-L-00017</t>
  </si>
  <si>
    <t>1.12.27.2</t>
  </si>
  <si>
    <t>1.12.27.3</t>
  </si>
  <si>
    <t>1.12.27.4</t>
  </si>
  <si>
    <t>1.12.28</t>
  </si>
  <si>
    <t>dt-f0009-0302-mb-l-00018</t>
  </si>
  <si>
    <t>BAR CALHAS - DETAIL TUBES</t>
  </si>
  <si>
    <t>1.12.28.1</t>
  </si>
  <si>
    <t>DT-F0009-0302-MB-L-00018</t>
  </si>
  <si>
    <t>1.12.28.2</t>
  </si>
  <si>
    <t>1.12.28.3</t>
  </si>
  <si>
    <t>1.12.28.4</t>
  </si>
  <si>
    <t>1.12.29</t>
  </si>
  <si>
    <t>dt-f0009-0302-mb-l-00019</t>
  </si>
  <si>
    <t>BAR CALHAS - DETAIL TUBES 2</t>
  </si>
  <si>
    <t>1.12.29.1</t>
  </si>
  <si>
    <t>DT-F0009-0302-MB-L-00019</t>
  </si>
  <si>
    <t>1.12.29.2</t>
  </si>
  <si>
    <t>1.12.29.3</t>
  </si>
  <si>
    <t>1.12.29.4</t>
  </si>
  <si>
    <t>1.12.30</t>
  </si>
  <si>
    <t>dt-f0009-0302-mb-l-00020</t>
  </si>
  <si>
    <t>COMBUSTÍVEL LATERAL - TUBULAÇÃO</t>
  </si>
  <si>
    <t>1.12.30.1</t>
  </si>
  <si>
    <t>DT-F0009-0302-MB-L-00020</t>
  </si>
  <si>
    <t>200;209;214;219;224;229;234;239;244;249;254</t>
  </si>
  <si>
    <t>1.12.30.2</t>
  </si>
  <si>
    <t>1.12.30.3</t>
  </si>
  <si>
    <t>1.12.30.4</t>
  </si>
  <si>
    <t>1.12.31</t>
  </si>
  <si>
    <t>dt-f0009-0302-mb-l-00021</t>
  </si>
  <si>
    <t>COMBUSTÍVEL LATERAL CALHAS - MARCA A</t>
  </si>
  <si>
    <t>1.12.31.1</t>
  </si>
  <si>
    <t>DT-F0009-0302-MB-L-00021</t>
  </si>
  <si>
    <t>1.12.31.2</t>
  </si>
  <si>
    <t>1.12.31.3</t>
  </si>
  <si>
    <t>1.12.31.4</t>
  </si>
  <si>
    <t>1.12.32</t>
  </si>
  <si>
    <t>dt-f0009-0302-mb-l-00022</t>
  </si>
  <si>
    <t>COMBUSTÍVEL LATERAL CALHAS - MARCA B</t>
  </si>
  <si>
    <t>1.12.32.1</t>
  </si>
  <si>
    <t>DT-F0009-0302-MB-L-00022</t>
  </si>
  <si>
    <t>1.12.32.2</t>
  </si>
  <si>
    <t>1.12.32.3</t>
  </si>
  <si>
    <t>1.12.32.4</t>
  </si>
  <si>
    <t>1.12.33</t>
  </si>
  <si>
    <t>dt-f0009-0302-mb-l-00023</t>
  </si>
  <si>
    <t>COMBUSTÍVEL LATERAL CALHAS - MARCA C</t>
  </si>
  <si>
    <t>1.12.33.1</t>
  </si>
  <si>
    <t>DT-F0009-0302-MB-L-00023</t>
  </si>
  <si>
    <t>1.12.33.2</t>
  </si>
  <si>
    <t>1.12.33.3</t>
  </si>
  <si>
    <t>1.12.33.4</t>
  </si>
  <si>
    <t>1.12.34</t>
  </si>
  <si>
    <t>dt-f0009-0302-mb-l-00024</t>
  </si>
  <si>
    <t>COMBUSTÍVEL LATERAL CALHAS - MARCA D</t>
  </si>
  <si>
    <t>1.12.34.1</t>
  </si>
  <si>
    <t>DT-F0009-0302-MB-L-00024</t>
  </si>
  <si>
    <t>1.12.34.2</t>
  </si>
  <si>
    <t>1.12.34.3</t>
  </si>
  <si>
    <t>1.12.34.4</t>
  </si>
  <si>
    <t>1.12.35</t>
  </si>
  <si>
    <t>dt-f0009-0302-mb-l-00025</t>
  </si>
  <si>
    <t>COMBUSTÍVEL LATERAL - DETALHES DOS TUBOS 1</t>
  </si>
  <si>
    <t>1.12.35.1</t>
  </si>
  <si>
    <t>DT-F0009-0302-MB-L-00025</t>
  </si>
  <si>
    <t>1.12.35.2</t>
  </si>
  <si>
    <t>1.12.35.3</t>
  </si>
  <si>
    <t>1.12.35.4</t>
  </si>
  <si>
    <t>1.12.36</t>
  </si>
  <si>
    <t>dt-f0009-0302-mb-l-00026</t>
  </si>
  <si>
    <t>COMBUSTÍVEL LATERAL - DETALHES DOS TUBOS 2</t>
  </si>
  <si>
    <t>1.12.36.1</t>
  </si>
  <si>
    <t>DT-F0009-0302-MB-L-00026</t>
  </si>
  <si>
    <t>1.12.36.2</t>
  </si>
  <si>
    <t>1.12.36.3</t>
  </si>
  <si>
    <t>1.12.36.4</t>
  </si>
  <si>
    <t>1.12.37</t>
  </si>
  <si>
    <t>dt-f0009-0302-mb-l-00027</t>
  </si>
  <si>
    <t>BOOSTER SYSTEM - CALHAS ARRENGEMENT</t>
  </si>
  <si>
    <t>1.12.37.1</t>
  </si>
  <si>
    <t>DT-F0009-0302-MB-L-00027</t>
  </si>
  <si>
    <t>1.12.37.2</t>
  </si>
  <si>
    <t>1.12.37.3</t>
  </si>
  <si>
    <t>1.12.37.4</t>
  </si>
  <si>
    <t>1.12.38</t>
  </si>
  <si>
    <t>dt-f0009-0302-mb-l-00028</t>
  </si>
  <si>
    <t>BOOSTER CALHAS - MARCAS A</t>
  </si>
  <si>
    <t>1.12.38.1</t>
  </si>
  <si>
    <t>DT-F0009-0302-MB-L-00028</t>
  </si>
  <si>
    <t>1.12.38.2</t>
  </si>
  <si>
    <t>1.12.38.3</t>
  </si>
  <si>
    <t>1.12.38.4</t>
  </si>
  <si>
    <t>1.12.39</t>
  </si>
  <si>
    <t>dt-f0009-0302-mb-l-00029</t>
  </si>
  <si>
    <t>BOOSTER CALHAS - MARCAS B</t>
  </si>
  <si>
    <t>1.12.39.1</t>
  </si>
  <si>
    <t>DT-F0009-0302-MB-L-00029</t>
  </si>
  <si>
    <t>1.12.39.2</t>
  </si>
  <si>
    <t>1.12.39.3</t>
  </si>
  <si>
    <t>1.12.39.4</t>
  </si>
  <si>
    <t>1.12.40</t>
  </si>
  <si>
    <t>dt-f0009-0302-mb-l-00030</t>
  </si>
  <si>
    <t>BOOSTER CALHAS - MARCAS C</t>
  </si>
  <si>
    <t>1.12.40.1</t>
  </si>
  <si>
    <t>DT-F0009-0302-MB-L-00030</t>
  </si>
  <si>
    <t>1.12.40.2</t>
  </si>
  <si>
    <t>1.12.40.3</t>
  </si>
  <si>
    <t>1.12.40.4</t>
  </si>
  <si>
    <t>1.12.41</t>
  </si>
  <si>
    <t>dt-f0009-0302-mb-l-00031</t>
  </si>
  <si>
    <t>BOOSTER CALHAS - DETAIL TUBES</t>
  </si>
  <si>
    <t>1.12.41.1</t>
  </si>
  <si>
    <t>DT-F0009-0302-MB-L-00031</t>
  </si>
  <si>
    <t>1.12.41.2</t>
  </si>
  <si>
    <t>1.12.41.3</t>
  </si>
  <si>
    <t>1.12.41.4</t>
  </si>
  <si>
    <t>1.12.42</t>
  </si>
  <si>
    <t>ag-f0009-0309-mb-l-00001</t>
  </si>
  <si>
    <t>Readequação da fundação</t>
  </si>
  <si>
    <t>ARRANJO GERAL DOS FORNOS E FUNDAÇÃO</t>
  </si>
  <si>
    <t>1.12.42.1</t>
  </si>
  <si>
    <t>AG-F0009-0309-MB-L-00001</t>
  </si>
  <si>
    <t>260;264IT;269IT;274IT;279IT;284IT;289IT;294IT</t>
  </si>
  <si>
    <t>1.12.42.2</t>
  </si>
  <si>
    <t>1.12.42.3</t>
  </si>
  <si>
    <t>1.12.42.4</t>
  </si>
  <si>
    <t>1.12.43</t>
  </si>
  <si>
    <t>ag-f0009-0309-mb-l-00002</t>
  </si>
  <si>
    <t>FR-400A FORNO PRÓPRIO</t>
  </si>
  <si>
    <t>1.12.43.1</t>
  </si>
  <si>
    <t>AG-F0009-0309-MB-L-00002</t>
  </si>
  <si>
    <t>259IT</t>
  </si>
  <si>
    <t>1.12.43.2</t>
  </si>
  <si>
    <t>1.12.43.3</t>
  </si>
  <si>
    <t>1.12.43.4</t>
  </si>
  <si>
    <t>1.12.44</t>
  </si>
  <si>
    <t>ag-f0009-0309-mb-l-00003</t>
  </si>
  <si>
    <t>FR-400A GEOMETRIA INTERNA</t>
  </si>
  <si>
    <t>1.12.44.1</t>
  </si>
  <si>
    <t>AG-F0009-0309-MB-L-00003</t>
  </si>
  <si>
    <t>1.12.44.2</t>
  </si>
  <si>
    <t>1.12.44.3</t>
  </si>
  <si>
    <t>1.12.44.4</t>
  </si>
  <si>
    <t>1.12.45</t>
  </si>
  <si>
    <t>ag-f0009-0309-mb-l-00004</t>
  </si>
  <si>
    <t>FORNOS COMPONENTES PRINCIPAIS</t>
  </si>
  <si>
    <t>1.12.45.1</t>
  </si>
  <si>
    <t>AG-F0009-0309-MB-L-00004</t>
  </si>
  <si>
    <t>1.12.45.2</t>
  </si>
  <si>
    <t>1.12.45.3</t>
  </si>
  <si>
    <t>1.12.45.4</t>
  </si>
  <si>
    <t>1.12.46</t>
  </si>
  <si>
    <t>ag-f0009-0309-mb-l-00005</t>
  </si>
  <si>
    <t>FR-400B FORNO PROPRIO</t>
  </si>
  <si>
    <t>1.12.46.1</t>
  </si>
  <si>
    <t>AG-F0009-0309-MB-L-00005</t>
  </si>
  <si>
    <t>1.12.46.2</t>
  </si>
  <si>
    <t>1.12.46.3</t>
  </si>
  <si>
    <t>1.12.46.4</t>
  </si>
  <si>
    <t>1.12.47</t>
  </si>
  <si>
    <t>ag-f0009-0309-mb-l-00006</t>
  </si>
  <si>
    <t>FR-400B GEOMETRIA INTERNA</t>
  </si>
  <si>
    <t>1.12.47.1</t>
  </si>
  <si>
    <t>AG-F0009-0309-MB-L-00006</t>
  </si>
  <si>
    <t>1.12.47.2</t>
  </si>
  <si>
    <t>1.12.47.3</t>
  </si>
  <si>
    <t>1.12.47.4</t>
  </si>
  <si>
    <t>1.12.48</t>
  </si>
  <si>
    <t>ag-f0009-0309-mb-l-00007</t>
  </si>
  <si>
    <t>ELEVAÇÃO FORNO E SISTEMA DE CARREGAMENTO</t>
  </si>
  <si>
    <t>1.12.48.1</t>
  </si>
  <si>
    <t>AG-F0009-0309-MB-L-00007</t>
  </si>
  <si>
    <t>1.12.48.2</t>
  </si>
  <si>
    <t>1.12.48.3</t>
  </si>
  <si>
    <t>1.12.48.4</t>
  </si>
  <si>
    <t>1.12.49</t>
  </si>
  <si>
    <t>ag-f0009-0309-mb-l-00008</t>
  </si>
  <si>
    <t>1.12.49.1</t>
  </si>
  <si>
    <t>AG-F0009-0309-MB-L-00008</t>
  </si>
  <si>
    <t>295;299;304;309;314;747;644;631;598</t>
  </si>
  <si>
    <t>1.12.49.2</t>
  </si>
  <si>
    <t>1.12.49.3</t>
  </si>
  <si>
    <t>1.12.49.4</t>
  </si>
  <si>
    <t>1.12.50</t>
  </si>
  <si>
    <t>dt-f0009-0309-mb-l-00001</t>
  </si>
  <si>
    <t>MECANISMO CURTAIN WALL</t>
  </si>
  <si>
    <t>1.12.50.1</t>
  </si>
  <si>
    <t>DT-F0009-0309-MB-L-00001</t>
  </si>
  <si>
    <t>1.12.50.2</t>
  </si>
  <si>
    <t>1.12.50.3</t>
  </si>
  <si>
    <t>1.12.50.4</t>
  </si>
  <si>
    <t>1.12.51</t>
  </si>
  <si>
    <t>dt-f0009-0309-mb-l-00002</t>
  </si>
  <si>
    <t>CONJUNTO VENTANEIRA ALGARAVIZ</t>
  </si>
  <si>
    <t>1.12.51.1</t>
  </si>
  <si>
    <t>DT-F0009-0309-MB-L-00002</t>
  </si>
  <si>
    <t>1.12.51.2</t>
  </si>
  <si>
    <t>1.12.51.3</t>
  </si>
  <si>
    <t>1.12.51.4</t>
  </si>
  <si>
    <t>1.12.52</t>
  </si>
  <si>
    <t>dt-f0009-0309-mb-l-00003</t>
  </si>
  <si>
    <t>Revisão do projeto de cobre refrigerado</t>
  </si>
  <si>
    <t>VENTANEIRAS E COOLING BOX</t>
  </si>
  <si>
    <t>1.12.52.1</t>
  </si>
  <si>
    <t>DT-F0009-0309-MB-L-00003</t>
  </si>
  <si>
    <t>1.12.52.2</t>
  </si>
  <si>
    <t>1.12.52.3</t>
  </si>
  <si>
    <t>1.12.52.4</t>
  </si>
  <si>
    <t>1.12.53</t>
  </si>
  <si>
    <t>dt-f0009-0309-mb-l-00004</t>
  </si>
  <si>
    <t>STAVES DE COBRE</t>
  </si>
  <si>
    <t>1.12.53.1</t>
  </si>
  <si>
    <t>DT-F0009-0309-MB-L-00004</t>
  </si>
  <si>
    <t>315;319;324;329;334;339;344;349;354;359;364;369</t>
  </si>
  <si>
    <t>1.12.53.2</t>
  </si>
  <si>
    <t>1.12.53.3</t>
  </si>
  <si>
    <t>1.12.53.4</t>
  </si>
  <si>
    <t>1.12.54</t>
  </si>
  <si>
    <t>dt-f0009-0309-mb-l-00005</t>
  </si>
  <si>
    <t>STAVES DE FERRO FUNDIDO</t>
  </si>
  <si>
    <t>1.12.54.1</t>
  </si>
  <si>
    <t>DT-F0009-0309-MB-L-00005</t>
  </si>
  <si>
    <t>1.12.54.2</t>
  </si>
  <si>
    <t>1.12.54.3</t>
  </si>
  <si>
    <t>1.12.54.4</t>
  </si>
  <si>
    <t>1.12.55</t>
  </si>
  <si>
    <t>dt-f0009-0309-mb-l-00006</t>
  </si>
  <si>
    <t>VENTANEIRAS V2</t>
  </si>
  <si>
    <t>1.12.55.1</t>
  </si>
  <si>
    <t>DT-F0009-0309-MB-L-00006</t>
  </si>
  <si>
    <t>1.12.55.2</t>
  </si>
  <si>
    <t>1.12.55.3</t>
  </si>
  <si>
    <t>1.12.55.4</t>
  </si>
  <si>
    <t>1.12.56</t>
  </si>
  <si>
    <t>dt-f0009-0309-mb-l-00007</t>
  </si>
  <si>
    <t>432;437;442;447</t>
  </si>
  <si>
    <t>CARCAÇA FORNO</t>
  </si>
  <si>
    <t>1.12.56.1</t>
  </si>
  <si>
    <t>DT-F0009-0309-MB-L-00007</t>
  </si>
  <si>
    <t>1.12.56.2</t>
  </si>
  <si>
    <t>1.12.56.3</t>
  </si>
  <si>
    <t>1.12.56.4</t>
  </si>
  <si>
    <t>1.12.57</t>
  </si>
  <si>
    <t>dt-f0009-0309-mb-l-00008</t>
  </si>
  <si>
    <t>FURO DE GUSA E CANHÃO DE LAMA</t>
  </si>
  <si>
    <t>1.12.57.1</t>
  </si>
  <si>
    <t>DT-F0009-0309-MB-L-00008</t>
  </si>
  <si>
    <t>1.12.57.2</t>
  </si>
  <si>
    <t>1.12.57.3</t>
  </si>
  <si>
    <t>1.12.57.4</t>
  </si>
  <si>
    <t>1.12.58</t>
  </si>
  <si>
    <t>dt-f0009-0309-mb-l-00009</t>
  </si>
  <si>
    <t>REFRATARIO FORNO PROPRIO</t>
  </si>
  <si>
    <t>1.12.58.1</t>
  </si>
  <si>
    <t>DT-F0009-0309-MB-L-00009</t>
  </si>
  <si>
    <t>1.12.58.2</t>
  </si>
  <si>
    <t>1.12.58.3</t>
  </si>
  <si>
    <t>1.12.58.4</t>
  </si>
  <si>
    <t>1.12.59</t>
  </si>
  <si>
    <t>dt-f0009-0309-mb-l-00010</t>
  </si>
  <si>
    <t>REFRATARIO TUBULACOES</t>
  </si>
  <si>
    <t>1.12.59.1</t>
  </si>
  <si>
    <t>DT-F0009-0309-MB-L-00010</t>
  </si>
  <si>
    <t>1.12.59.2</t>
  </si>
  <si>
    <t>1.12.59.3</t>
  </si>
  <si>
    <t>1.12.59.4</t>
  </si>
  <si>
    <t>1.12.60</t>
  </si>
  <si>
    <t>dt-f0009-0309-mb-l-00011</t>
  </si>
  <si>
    <t>SUPORTE H DE VENTO V1</t>
  </si>
  <si>
    <t>1.12.60.1</t>
  </si>
  <si>
    <t>DT-F0009-0309-MB-L-00011</t>
  </si>
  <si>
    <t>1.12.60.2</t>
  </si>
  <si>
    <t>1.12.60.3</t>
  </si>
  <si>
    <t>1.12.60.4</t>
  </si>
  <si>
    <t>1.12.61</t>
  </si>
  <si>
    <t>dt-f0009-0309-mb-l-00012</t>
  </si>
  <si>
    <t>Revisão da instrumentação</t>
  </si>
  <si>
    <t>INSTRUMENTOS CADINHO</t>
  </si>
  <si>
    <t>1.12.61.1</t>
  </si>
  <si>
    <t>DT-F0009-0309-MB-L-00012</t>
  </si>
  <si>
    <t>1.12.61.2</t>
  </si>
  <si>
    <t>1.12.61.3</t>
  </si>
  <si>
    <t>1.12.61.4</t>
  </si>
  <si>
    <t>1.12.62</t>
  </si>
  <si>
    <t>dt-f0009-0309-mb-l-00013</t>
  </si>
  <si>
    <t>INSTRUMENTOS CORPO E TOPO</t>
  </si>
  <si>
    <t>1.12.62.1</t>
  </si>
  <si>
    <t>DT-F0009-0309-MB-L-00013</t>
  </si>
  <si>
    <t>1.12.62.2</t>
  </si>
  <si>
    <t>1.12.62.3</t>
  </si>
  <si>
    <t>1.12.62.4</t>
  </si>
  <si>
    <t>1.12.63</t>
  </si>
  <si>
    <t>dt-f0009-0309-mb-l-00014</t>
  </si>
  <si>
    <t>Revisão da exaustão</t>
  </si>
  <si>
    <t>OFF TAKE</t>
  </si>
  <si>
    <t>1.12.63.1</t>
  </si>
  <si>
    <t>DT-F0009-0309-MB-L-00014</t>
  </si>
  <si>
    <t>1.12.63.2</t>
  </si>
  <si>
    <t>1.12.63.3</t>
  </si>
  <si>
    <t>1.12.63.4</t>
  </si>
  <si>
    <t>1.12.64</t>
  </si>
  <si>
    <t>dt-f0009-0309-mb-l-00015</t>
  </si>
  <si>
    <t>LIGAÇÃO VÁLVULAS SHUT-OFF</t>
  </si>
  <si>
    <t>1.12.64.1</t>
  </si>
  <si>
    <t>DT-F0009-0309-MB-L-00015</t>
  </si>
  <si>
    <t>370;374;379;384;389;394;399;404;409;414</t>
  </si>
  <si>
    <t>1.12.64.2</t>
  </si>
  <si>
    <t>1.12.64.3</t>
  </si>
  <si>
    <t>1.12.64.4</t>
  </si>
  <si>
    <t>1.12.65</t>
  </si>
  <si>
    <t>dt-f0009-0309-mb-l-00016</t>
  </si>
  <si>
    <t>DOWNCOMER FORNOS E LIGAÇÃO SLG</t>
  </si>
  <si>
    <t>1.12.65.1</t>
  </si>
  <si>
    <t>DT-F0009-0309-MB-L-00016</t>
  </si>
  <si>
    <t>1.12.65.2</t>
  </si>
  <si>
    <t>1.12.65.3</t>
  </si>
  <si>
    <t>1.12.65.4</t>
  </si>
  <si>
    <t>1.12.66</t>
  </si>
  <si>
    <t>dt-f0009-0309-mb-l-00017</t>
  </si>
  <si>
    <t>INSTRUMENTOS TOPO DO FORNO E OFF-TAKE</t>
  </si>
  <si>
    <t>1.12.66.1</t>
  </si>
  <si>
    <t>DT-F0009-0309-MB-L-00017</t>
  </si>
  <si>
    <t>1.12.66.2</t>
  </si>
  <si>
    <t>1.12.66.3</t>
  </si>
  <si>
    <t>1.12.66.4</t>
  </si>
  <si>
    <t>1.12.67</t>
  </si>
  <si>
    <t>dt-f0009-0309-mb-l-00018</t>
  </si>
  <si>
    <t>INSTRUMENTOS ALGARAVIZES E H DE VENTO</t>
  </si>
  <si>
    <t>1.12.67.1</t>
  </si>
  <si>
    <t>DT-F0009-0309-MB-L-00018</t>
  </si>
  <si>
    <t>1.12.67.2</t>
  </si>
  <si>
    <t>1.12.67.3</t>
  </si>
  <si>
    <t>1.12.67.4</t>
  </si>
  <si>
    <t>1.12.68</t>
  </si>
  <si>
    <t>dt-f0009-0309-mb-l-00019</t>
  </si>
  <si>
    <t>LIGACAO H DE VENTO FORNOS 1 E 2</t>
  </si>
  <si>
    <t>1.12.68.1</t>
  </si>
  <si>
    <t>DT-F0009-0309-MB-L-00019</t>
  </si>
  <si>
    <t>1.12.68.2</t>
  </si>
  <si>
    <t>1.12.68.3</t>
  </si>
  <si>
    <t>1.12.68.4</t>
  </si>
  <si>
    <t>1.12.69</t>
  </si>
  <si>
    <t>dt-f0009-0309-mb-l-00020</t>
  </si>
  <si>
    <t>INSTRUMENTOS STAVES DE COBRE</t>
  </si>
  <si>
    <t>1.12.69.1</t>
  </si>
  <si>
    <t>DT-F0009-0309-MB-L-00020</t>
  </si>
  <si>
    <t>1.12.69.2</t>
  </si>
  <si>
    <t>1.12.69.3</t>
  </si>
  <si>
    <t>1.12.69.4</t>
  </si>
  <si>
    <t>1.12.70</t>
  </si>
  <si>
    <t>dt-f0009-0309-mb-l-00021</t>
  </si>
  <si>
    <t>INSTRUMENTOS CURTAIN-WALL</t>
  </si>
  <si>
    <t>1.12.70.1</t>
  </si>
  <si>
    <t>DT-F0009-0309-MB-L-00021</t>
  </si>
  <si>
    <t>1.12.70.2</t>
  </si>
  <si>
    <t>1.12.70.3</t>
  </si>
  <si>
    <t>1.12.70.4</t>
  </si>
  <si>
    <t>1.12.71</t>
  </si>
  <si>
    <t>dt-f0009-0309-mb-l-00022</t>
  </si>
  <si>
    <t>VÁLVULA DE AR QUENTE</t>
  </si>
  <si>
    <t>1.12.71.1</t>
  </si>
  <si>
    <t>DT-F0009-0309-MB-L-00022</t>
  </si>
  <si>
    <t>1.12.71.2</t>
  </si>
  <si>
    <t>1.12.71.3</t>
  </si>
  <si>
    <t>1.12.71.4</t>
  </si>
  <si>
    <t>1.12.72</t>
  </si>
  <si>
    <t>dt-f0009-0309-mb-l-00023</t>
  </si>
  <si>
    <t>VÁLVULA DE TIRAGEM AR QUENTE</t>
  </si>
  <si>
    <t>1.12.72.1</t>
  </si>
  <si>
    <t>DT-F0009-0309-MB-L-00023</t>
  </si>
  <si>
    <t>1.12.72.2</t>
  </si>
  <si>
    <t>1.12.72.3</t>
  </si>
  <si>
    <t>1.12.72.4</t>
  </si>
  <si>
    <t>1.12.73</t>
  </si>
  <si>
    <t>dt-f0009-0309-mb-l-00024</t>
  </si>
  <si>
    <t>VÁLVULA BLEEDER</t>
  </si>
  <si>
    <t>1.12.73.1</t>
  </si>
  <si>
    <t>DT-F0009-0309-MB-L-00024</t>
  </si>
  <si>
    <t>415;419;25;30;35;537</t>
  </si>
  <si>
    <t>1.12.73.2</t>
  </si>
  <si>
    <t>1.12.73.3</t>
  </si>
  <si>
    <t>1.12.73.4</t>
  </si>
  <si>
    <t>1.12.74</t>
  </si>
  <si>
    <t>rt-f0009-0309-mb-l-00001</t>
  </si>
  <si>
    <t>18 dias</t>
  </si>
  <si>
    <t>Sprint 26</t>
  </si>
  <si>
    <t>PLANO DE CARGAS FORNO</t>
  </si>
  <si>
    <t>RT - Relatório Técnico</t>
  </si>
  <si>
    <t>1.12.74.1</t>
  </si>
  <si>
    <t>RT-F0009-0309-MB-L-00001</t>
  </si>
  <si>
    <t>8 dias</t>
  </si>
  <si>
    <t>1.12.74.2</t>
  </si>
  <si>
    <t>1.12.74.3</t>
  </si>
  <si>
    <t>1.12.74.4</t>
  </si>
  <si>
    <t>4.2.1.10</t>
  </si>
  <si>
    <t>mecânica / equipamentos 309</t>
  </si>
  <si>
    <t>425II</t>
  </si>
  <si>
    <t>5.2.1.9</t>
  </si>
  <si>
    <t>1.15</t>
  </si>
  <si>
    <t>D:\TECNORED\DADOS\F0009\CR-F0009-0000-MB-F-00001.mpp\59II;D:\TECNORED\DADOS\F0009\CR-F0009-0000-MB-F-00001 - 19062026.mpp\85II</t>
  </si>
  <si>
    <t>1.15.1</t>
  </si>
  <si>
    <t>MECÂNICA / EQUIPAMENTOS 309</t>
  </si>
  <si>
    <t>cp-f0009-0309-mb-m-00001</t>
  </si>
  <si>
    <t>Revisão dos balanços de massa e energia utilidades</t>
  </si>
  <si>
    <t>431;436;441;446;521;526;531</t>
  </si>
  <si>
    <t>CRITÉRIO DE PROJETO MECÂNICO</t>
  </si>
  <si>
    <t>CP - Critério de Projeto</t>
  </si>
  <si>
    <t>A4 (210x297mm)</t>
  </si>
  <si>
    <t>1.15.1.1</t>
  </si>
  <si>
    <t>CP-F0009-0309-MB-M-00001</t>
  </si>
  <si>
    <t>1.15.1.2</t>
  </si>
  <si>
    <t>1.15.1.3</t>
  </si>
  <si>
    <t>1.15.1.4</t>
  </si>
  <si>
    <t>1.15.2</t>
  </si>
  <si>
    <t>et-f0009-0309-mb-m-00001</t>
  </si>
  <si>
    <t>17 dias</t>
  </si>
  <si>
    <t>ESPECIFICAÇÃO TÉCNICA STAVES DE COBRE</t>
  </si>
  <si>
    <t>ET - Especificação Técnica</t>
  </si>
  <si>
    <t>1.15.2.1</t>
  </si>
  <si>
    <t>ET-F0009-0309-MB-M-00001</t>
  </si>
  <si>
    <t>7 dias</t>
  </si>
  <si>
    <t>1.15.2.2</t>
  </si>
  <si>
    <t>1.15.2.3</t>
  </si>
  <si>
    <t>1.15.2.4</t>
  </si>
  <si>
    <t>1.15.3</t>
  </si>
  <si>
    <t>et-f0009-0309-mb-m-00002</t>
  </si>
  <si>
    <t>ESPECIFICAÇÃO TÉCNICA STAVES DE FERRO FUNDIDO</t>
  </si>
  <si>
    <t>1.15.3.1</t>
  </si>
  <si>
    <t>ET-F0009-0309-MB-M-00002</t>
  </si>
  <si>
    <t>1.15.3.2</t>
  </si>
  <si>
    <t>1.15.3.3</t>
  </si>
  <si>
    <t>1.15.3.4</t>
  </si>
  <si>
    <t>1.15.4</t>
  </si>
  <si>
    <t>et-f0009-0309-mb-m-00003</t>
  </si>
  <si>
    <t>ESPECIFICAÇÃO TÉCNICA VENTANEIRAS E COOLING BOX</t>
  </si>
  <si>
    <t>1.15.4.1</t>
  </si>
  <si>
    <t>ET-F0009-0309-MB-M-00003</t>
  </si>
  <si>
    <t>1.15.4.2</t>
  </si>
  <si>
    <t>1.15.4.3</t>
  </si>
  <si>
    <t>1.15.4.4</t>
  </si>
  <si>
    <t>1.15.5</t>
  </si>
  <si>
    <t>et-f0009-0309-mb-m-00004</t>
  </si>
  <si>
    <t>ESPECIFICAÇÃO TÉCNICA CURTAIN WALL</t>
  </si>
  <si>
    <t>1.15.5.1</t>
  </si>
  <si>
    <t>ET-F0009-0309-MB-M-00004</t>
  </si>
  <si>
    <t>1.15.5.2</t>
  </si>
  <si>
    <t>1.15.5.3</t>
  </si>
  <si>
    <t>1.15.5.4</t>
  </si>
  <si>
    <t>1.15.6</t>
  </si>
  <si>
    <t>fd-f0009-0309-mb-m-00001</t>
  </si>
  <si>
    <t>27 dias</t>
  </si>
  <si>
    <t>FOLHA DE DADOS ESPECIFICAÇÃO TÉCNICA TORRES DE RESFRIAMENTO</t>
  </si>
  <si>
    <t>FD - Folha de Dados</t>
  </si>
  <si>
    <t>1.15.6.1</t>
  </si>
  <si>
    <t>FD-F0009-0309-MB-M-00001</t>
  </si>
  <si>
    <t>1029;21</t>
  </si>
  <si>
    <t>1.15.6.2</t>
  </si>
  <si>
    <t>1.15.6.3</t>
  </si>
  <si>
    <t>1.15.6.4</t>
  </si>
  <si>
    <t>1.15.7</t>
  </si>
  <si>
    <t>fd-f0009-0309-mb-m-00002</t>
  </si>
  <si>
    <t>FOLHA DE DADOS ESPECIFICAÇÃO TÉCNICA BOMBAS</t>
  </si>
  <si>
    <t>1.15.7.1</t>
  </si>
  <si>
    <t>FD-F0009-0309-MB-M-00002</t>
  </si>
  <si>
    <t>458;462IT;467IT;472IT;477IT;482IT;487IT;492IT;497IT;502IT;507IT;512IT;517IT</t>
  </si>
  <si>
    <t>1.15.7.2</t>
  </si>
  <si>
    <t>1.15.7.3</t>
  </si>
  <si>
    <t>1.15.7.4</t>
  </si>
  <si>
    <t>1.15.8</t>
  </si>
  <si>
    <t>fd-f0009-0309-mb-m-00003</t>
  </si>
  <si>
    <t>FOLHA DE DADOS TROCADORES DE CALOR</t>
  </si>
  <si>
    <t>1.15.8.1</t>
  </si>
  <si>
    <t>FD-F0009-0309-MB-M-00003</t>
  </si>
  <si>
    <t>457IT</t>
  </si>
  <si>
    <t>1.15.8.2</t>
  </si>
  <si>
    <t>1.15.8.3</t>
  </si>
  <si>
    <t>1.15.8.4</t>
  </si>
  <si>
    <t>1.15.9</t>
  </si>
  <si>
    <t>fd-f0009-0309-mb-m-00004</t>
  </si>
  <si>
    <t>FOLHA DE DADOS BICOS SPRAY DE CARGA</t>
  </si>
  <si>
    <t>1.15.9.1</t>
  </si>
  <si>
    <t>FD-F0009-0309-MB-M-00004</t>
  </si>
  <si>
    <t>1.15.9.2</t>
  </si>
  <si>
    <t>1.15.9.3</t>
  </si>
  <si>
    <t>1.15.9.4</t>
  </si>
  <si>
    <t>1.15.10</t>
  </si>
  <si>
    <t>fd-f0009-0309-mb-m-00005</t>
  </si>
  <si>
    <t>FOLHA DE DADOS FILTRO DUPLO CESTO</t>
  </si>
  <si>
    <t>1.15.10.1</t>
  </si>
  <si>
    <t>FD-F0009-0309-MB-M-00005</t>
  </si>
  <si>
    <t>1.15.10.2</t>
  </si>
  <si>
    <t>1.15.10.3</t>
  </si>
  <si>
    <t>1.15.10.4</t>
  </si>
  <si>
    <t>1.15.11</t>
  </si>
  <si>
    <t>fd-f0009-0309-mb-m-00006</t>
  </si>
  <si>
    <t>FOLHA DE DADOS BOMBAS PERISTÁLTICAS PARA TORRE RESFRIAMENTO</t>
  </si>
  <si>
    <t>1.15.11.1</t>
  </si>
  <si>
    <t>FD-F0009-0309-MB-M-00006</t>
  </si>
  <si>
    <t>1.15.11.2</t>
  </si>
  <si>
    <t>1.15.11.3</t>
  </si>
  <si>
    <t>1.15.11.4</t>
  </si>
  <si>
    <t>1.15.12</t>
  </si>
  <si>
    <t>fd-f0009-0309-mb-m-00007</t>
  </si>
  <si>
    <t>Readequação das utilidades no prédio do forno</t>
  </si>
  <si>
    <t>FOLHA DE DADOS UNIDADES HIDRÀULICAS PARA VÀLVULAS</t>
  </si>
  <si>
    <t>1.15.12.1</t>
  </si>
  <si>
    <t>FD-F0009-0309-MB-M-00007</t>
  </si>
  <si>
    <t>1.15.12.2</t>
  </si>
  <si>
    <t>1.15.12.3</t>
  </si>
  <si>
    <t>1.15.12.4</t>
  </si>
  <si>
    <t>1.15.13</t>
  </si>
  <si>
    <t>fd-f0009-0309-mb-m-00008</t>
  </si>
  <si>
    <t>Readequação da casa de bombas</t>
  </si>
  <si>
    <t>FOLHA DE DADOS VASO DE DESAREAÇÃO</t>
  </si>
  <si>
    <t>1.15.13.1</t>
  </si>
  <si>
    <t>FD-F0009-0309-MB-M-00008</t>
  </si>
  <si>
    <t>1.15.13.2</t>
  </si>
  <si>
    <t>1.15.13.3</t>
  </si>
  <si>
    <t>1.15.13.4</t>
  </si>
  <si>
    <t>1.15.14</t>
  </si>
  <si>
    <t>fd-f0009-0309-mb-m-00009</t>
  </si>
  <si>
    <t>FOLHA DE DADOS VASO DE EXPANSÃO</t>
  </si>
  <si>
    <t>1.15.14.1</t>
  </si>
  <si>
    <t>FD-F0009-0309-MB-M-00009</t>
  </si>
  <si>
    <t>1.15.14.2</t>
  </si>
  <si>
    <t>1.15.14.3</t>
  </si>
  <si>
    <t>1.15.14.4</t>
  </si>
  <si>
    <t>1.15.15</t>
  </si>
  <si>
    <t>fd-f0009-0309-mb-m-00010</t>
  </si>
  <si>
    <t>FOLHA DE DADOS VASOS DE EXPANSAO NITROGENIO</t>
  </si>
  <si>
    <t>1.15.15.1</t>
  </si>
  <si>
    <t>FD-F0009-0309-MB-M-00010</t>
  </si>
  <si>
    <t>1.15.15.2</t>
  </si>
  <si>
    <t>1.15.15.3</t>
  </si>
  <si>
    <t>1.15.15.4</t>
  </si>
  <si>
    <t>1.15.16</t>
  </si>
  <si>
    <t>fd-f0009-0309-mb-m-00011</t>
  </si>
  <si>
    <t>FOLHA DE DADOS FILTRO CHAPÉU DE BRUXA</t>
  </si>
  <si>
    <t>1.15.16.1</t>
  </si>
  <si>
    <t>FD-F0009-0309-MB-M-00011</t>
  </si>
  <si>
    <t>1.15.16.2</t>
  </si>
  <si>
    <t>1.15.16.3</t>
  </si>
  <si>
    <t>1.15.16.4</t>
  </si>
  <si>
    <t>1.15.17</t>
  </si>
  <si>
    <t>le-f0009-0309-mb-m-00001</t>
  </si>
  <si>
    <t>LISTA DE EQUIPAMENTOS MECÂNICOS</t>
  </si>
  <si>
    <t>LE - Lista de Equipamentos</t>
  </si>
  <si>
    <t>1.15.17.1</t>
  </si>
  <si>
    <t>LE-F0009-0309-MB-M-00001</t>
  </si>
  <si>
    <t>1.15.17.2</t>
  </si>
  <si>
    <t>1.15.17.3</t>
  </si>
  <si>
    <t>1.15.17.4</t>
  </si>
  <si>
    <t>1.15.18</t>
  </si>
  <si>
    <t>lm-f0009-0309-mb-m-00001</t>
  </si>
  <si>
    <t>Planilha de quantitativo do forno e carregamento</t>
  </si>
  <si>
    <t>LISTA DE MATERIAIS FORNO TECNORED</t>
  </si>
  <si>
    <t>LM - Lista de Materiais</t>
  </si>
  <si>
    <t>1.15.18.1</t>
  </si>
  <si>
    <t>LM-F0009-0309-MB-M-00001</t>
  </si>
  <si>
    <t>1.15.18.2</t>
  </si>
  <si>
    <t>1.15.18.3</t>
  </si>
  <si>
    <t>1.15.18.4</t>
  </si>
  <si>
    <t>1.15.19</t>
  </si>
  <si>
    <t>pq-f0009-0309-mb-m-00001</t>
  </si>
  <si>
    <t>PLANILHA QUANTITATIVO EQUIPAMENTOS UTILIDADES</t>
  </si>
  <si>
    <t>PQ - Planilha de Quantidades</t>
  </si>
  <si>
    <t>1.15.19.1</t>
  </si>
  <si>
    <t>PQ-F0009-0309-MB-M-00001</t>
  </si>
  <si>
    <t>1.15.19.2</t>
  </si>
  <si>
    <t>519;522IT;527IT;532IT</t>
  </si>
  <si>
    <t>1.15.19.3</t>
  </si>
  <si>
    <t>1.15.19.4</t>
  </si>
  <si>
    <t>1.15.20</t>
  </si>
  <si>
    <t>pq-f0009-0309-mb-m-00002</t>
  </si>
  <si>
    <t>PLANILHA QUANTITATIVO DE EQUIPAMENTOS CARREGAMENTO</t>
  </si>
  <si>
    <t>1.15.20.1</t>
  </si>
  <si>
    <t>PQ-F0009-0309-MB-M-00002</t>
  </si>
  <si>
    <t>518IT</t>
  </si>
  <si>
    <t>1.15.20.2</t>
  </si>
  <si>
    <t>1.15.20.3</t>
  </si>
  <si>
    <t>1.15.20.4</t>
  </si>
  <si>
    <t>1.15.21</t>
  </si>
  <si>
    <t>pq-f0009-0309-mb-m-00003</t>
  </si>
  <si>
    <t>PLANILHA QUANTITATIVO SISTEMA CARREGAMENTO</t>
  </si>
  <si>
    <t>1.15.21.1</t>
  </si>
  <si>
    <t>PQ-F0009-0309-MB-M-00003</t>
  </si>
  <si>
    <t>1.15.21.2</t>
  </si>
  <si>
    <t>1.15.21.3</t>
  </si>
  <si>
    <t>1.15.21.4</t>
  </si>
  <si>
    <t>1.15.22</t>
  </si>
  <si>
    <t>pq-f0009-0309-mb-m-00004</t>
  </si>
  <si>
    <t>PLANILHA QUANTITATIVO FORNO</t>
  </si>
  <si>
    <t>1.15.22.1</t>
  </si>
  <si>
    <t>PQ-F0009-0309-MB-M-00004</t>
  </si>
  <si>
    <t>1.15.22.2</t>
  </si>
  <si>
    <t>1.15.22.3</t>
  </si>
  <si>
    <t>1.15.22.4</t>
  </si>
  <si>
    <t>1.15.23</t>
  </si>
  <si>
    <t>rt-f0009-0309-mb-m-00001</t>
  </si>
  <si>
    <t>ANÁLISE DE FLEXIBILIDADE PRELIMINAR DA TUBULACAO DE AR QUENTE</t>
  </si>
  <si>
    <t>1.15.23.1</t>
  </si>
  <si>
    <t>RT-F0009-0309-MB-M-00001</t>
  </si>
  <si>
    <t>1.15.23.2</t>
  </si>
  <si>
    <t>1.15.23.3</t>
  </si>
  <si>
    <t>1.15.23.4</t>
  </si>
  <si>
    <t>4.2.1.12</t>
  </si>
  <si>
    <t>tubulação e sistemas 309</t>
  </si>
  <si>
    <t>543II</t>
  </si>
  <si>
    <t>5.2.1.11</t>
  </si>
  <si>
    <t>1.18</t>
  </si>
  <si>
    <t>D:\TECNORED\DADOS\F0009\CR-F0009-0000-MB-F-00001.mpp\61II;D:\TECNORED\DADOS\F0009\CR-F0009-0000-MB-F-00001 - 19062026.mpp\87II</t>
  </si>
  <si>
    <t>1.18.1</t>
  </si>
  <si>
    <t>TUBULAÇÃO E SISTEMAS 309</t>
  </si>
  <si>
    <t>ag-f0009-0309-mb-t-00001</t>
  </si>
  <si>
    <t>TUBULAÇÃO / UTILIDADES</t>
  </si>
  <si>
    <t>LAY-OUT DE EQUIPAMENTOS</t>
  </si>
  <si>
    <t>A0 (1189x841mm)</t>
  </si>
  <si>
    <t>1.18.1.1</t>
  </si>
  <si>
    <t>AG-F0009-0309-MB-T-00001</t>
  </si>
  <si>
    <t>1.18.1.2</t>
  </si>
  <si>
    <t>547;550IT;555IT;560IT;565IT;570IT;575IT;580IT;585IT;590IT</t>
  </si>
  <si>
    <t>1.18.1.3</t>
  </si>
  <si>
    <t>1.18.1.4</t>
  </si>
  <si>
    <t>1.18.2</t>
  </si>
  <si>
    <t>ag-f0009-0309-mb-t-00002</t>
  </si>
  <si>
    <t>PLANTA BÁSICA CASA DE BOMBAS</t>
  </si>
  <si>
    <t>1.18.2.1</t>
  </si>
  <si>
    <t>AG-F0009-0309-MB-T-00002</t>
  </si>
  <si>
    <t>546IT</t>
  </si>
  <si>
    <t>1.18.2.2</t>
  </si>
  <si>
    <t>1.18.2.3</t>
  </si>
  <si>
    <t>1.18.2.4</t>
  </si>
  <si>
    <t>1.18.3</t>
  </si>
  <si>
    <t>ag-f0009-0309-mb-t-00003</t>
  </si>
  <si>
    <t>PLANTA BÁSICA CORTE CASA DE BOMBAS</t>
  </si>
  <si>
    <t>1.18.3.1</t>
  </si>
  <si>
    <t>AG-F0009-0309-MB-T-00003</t>
  </si>
  <si>
    <t>1.18.3.2</t>
  </si>
  <si>
    <t>1.18.3.3</t>
  </si>
  <si>
    <t>1.18.3.4</t>
  </si>
  <si>
    <t>1.18.4</t>
  </si>
  <si>
    <t>ag-f0009-0309-mb-t-00004</t>
  </si>
  <si>
    <t>PLANTA BÁSICA PIPE-RACK DA CASA DE BOMBAS PLANTA E CORTE</t>
  </si>
  <si>
    <t>1.18.4.1</t>
  </si>
  <si>
    <t>AG-F0009-0309-MB-T-00004</t>
  </si>
  <si>
    <t>1.18.4.2</t>
  </si>
  <si>
    <t>1.18.4.3</t>
  </si>
  <si>
    <t>1.18.4.4</t>
  </si>
  <si>
    <t>1.18.5</t>
  </si>
  <si>
    <t>ag-f0009-0309-mb-t-00005</t>
  </si>
  <si>
    <t>PLANTA BÁSICA PIPE-RACK PARA FORNO PLANTA E CORTE</t>
  </si>
  <si>
    <t>1.18.5.1</t>
  </si>
  <si>
    <t>AG-F0009-0309-MB-T-00005</t>
  </si>
  <si>
    <t>1.18.5.2</t>
  </si>
  <si>
    <t>1.18.5.3</t>
  </si>
  <si>
    <t>1.18.5.4</t>
  </si>
  <si>
    <t>1.18.6</t>
  </si>
  <si>
    <t>lk-f0009-0309-mb-t-00001</t>
  </si>
  <si>
    <t>LISTA DE TIE-INS</t>
  </si>
  <si>
    <t>LK - Lista de Tie in</t>
  </si>
  <si>
    <t>1.18.6.1</t>
  </si>
  <si>
    <t>LK-F0009-0309-MB-T-00001</t>
  </si>
  <si>
    <t>1.18.6.2</t>
  </si>
  <si>
    <t>1.18.6.3</t>
  </si>
  <si>
    <t>1.18.6.4</t>
  </si>
  <si>
    <t>1.18.7</t>
  </si>
  <si>
    <t>lm-f0009-0309-mb-t-00001</t>
  </si>
  <si>
    <t>LISTA DE MATERIAIS</t>
  </si>
  <si>
    <t>1.18.7.1</t>
  </si>
  <si>
    <t>LM-F0009-0309-MB-T-00001</t>
  </si>
  <si>
    <t>1.18.7.2</t>
  </si>
  <si>
    <t>1.18.7.3</t>
  </si>
  <si>
    <t>1.18.7.4</t>
  </si>
  <si>
    <t>1.18.8</t>
  </si>
  <si>
    <t>ls-f0009-0309-mb-t-00001</t>
  </si>
  <si>
    <t>LISTA DE SUPORTES</t>
  </si>
  <si>
    <t>LS - Lista de Suportes</t>
  </si>
  <si>
    <t>1.18.8.1</t>
  </si>
  <si>
    <t>LS-F0009-0309-MB-T-00001</t>
  </si>
  <si>
    <t>1.18.8.2</t>
  </si>
  <si>
    <t>1.18.8.3</t>
  </si>
  <si>
    <t>1.18.8.4</t>
  </si>
  <si>
    <t>1.18.9</t>
  </si>
  <si>
    <t>md-f0009-0309-mb-t-00001</t>
  </si>
  <si>
    <t>MEMORIAL DESCRITIVO DE MONTAGEM MECÂNICA</t>
  </si>
  <si>
    <t>MD - Memorial Descritivo</t>
  </si>
  <si>
    <t>1.18.9.1</t>
  </si>
  <si>
    <t>MD-F0009-0309-MB-T-00001</t>
  </si>
  <si>
    <t>1.18.9.2</t>
  </si>
  <si>
    <t>1.18.9.3</t>
  </si>
  <si>
    <t>1.18.9.4</t>
  </si>
  <si>
    <t>1.18.10</t>
  </si>
  <si>
    <t>md-f0009-0309-mb-t-00002</t>
  </si>
  <si>
    <t>MEMORIAL DESCRITIVO PESO DA TUBULAÇÃO DO FORNO</t>
  </si>
  <si>
    <t>1.18.10.1</t>
  </si>
  <si>
    <t>MD-F0009-0309-MB-T-00002</t>
  </si>
  <si>
    <t>1.18.10.2</t>
  </si>
  <si>
    <t>1.18.10.3</t>
  </si>
  <si>
    <t>1.18.10.4</t>
  </si>
  <si>
    <t>4.2.1.14</t>
  </si>
  <si>
    <t>arquitetura 309</t>
  </si>
  <si>
    <t>35 dias</t>
  </si>
  <si>
    <t>596II</t>
  </si>
  <si>
    <t>5.2.1.13</t>
  </si>
  <si>
    <t>1.21</t>
  </si>
  <si>
    <t>D:\TECNORED\DADOS\F0009\CR-F0009-0000-MB-F-00001.mpp\63II;D:\TECNORED\DADOS\F0009\CR-F0009-0000-MB-F-00001 - 19062026.mpp\89II</t>
  </si>
  <si>
    <t>1.21.1</t>
  </si>
  <si>
    <t>ARQUITETURA 309</t>
  </si>
  <si>
    <t>ag-f0009-0309-mb-a-00001</t>
  </si>
  <si>
    <t>ARQUITETURA</t>
  </si>
  <si>
    <t>ARQUITETURA PRÉDIO PRODUTIVO - BASE FORNO</t>
  </si>
  <si>
    <t>1.21.1.1</t>
  </si>
  <si>
    <t>AG-F0009-0309-MB-A-00001</t>
  </si>
  <si>
    <t>105;294</t>
  </si>
  <si>
    <t>599;603</t>
  </si>
  <si>
    <t>1.21.1.2</t>
  </si>
  <si>
    <t>1.21.1.3</t>
  </si>
  <si>
    <t>1.21.1.4</t>
  </si>
  <si>
    <t>1.21.2</t>
  </si>
  <si>
    <t>ag-f0009-0309-mb-a-00002</t>
  </si>
  <si>
    <t>1.21.2.1</t>
  </si>
  <si>
    <t>AG-F0009-0309-MB-A-00002</t>
  </si>
  <si>
    <t>1.21.2.2</t>
  </si>
  <si>
    <t>605;608IT;613IT;618IT;623IT</t>
  </si>
  <si>
    <t>1.21.2.3</t>
  </si>
  <si>
    <t>1.21.2.4</t>
  </si>
  <si>
    <t>1.21.3</t>
  </si>
  <si>
    <t>ag-f0009-0309-mb-a-00003</t>
  </si>
  <si>
    <t>ARQUITETURA TORRE DE RESFRIAMENTO</t>
  </si>
  <si>
    <t>1.21.3.1</t>
  </si>
  <si>
    <t>AG-F0009-0309-MB-A-00003</t>
  </si>
  <si>
    <t>604IT</t>
  </si>
  <si>
    <t>1.21.3.2</t>
  </si>
  <si>
    <t>1.21.3.3</t>
  </si>
  <si>
    <t>1.21.3.4</t>
  </si>
  <si>
    <t>1.21.4</t>
  </si>
  <si>
    <t>ag-f0009-0309-mb-a-00004</t>
  </si>
  <si>
    <t>ARQUITETURA TORRE DE RESRIAMENTO E CASA DE BOMBAS</t>
  </si>
  <si>
    <t>1.21.4.1</t>
  </si>
  <si>
    <t>AG-F0009-0309-MB-A-00004</t>
  </si>
  <si>
    <t>1.21.4.2</t>
  </si>
  <si>
    <t>1.21.4.3</t>
  </si>
  <si>
    <t>1.21.4.4</t>
  </si>
  <si>
    <t>1.21.5</t>
  </si>
  <si>
    <t>md-f0009-0309-mb-a-00001</t>
  </si>
  <si>
    <t>MEMORIAL DESCRITIVO DOS SERVIÇOS DE CONSTRUÇÃO CIVIL</t>
  </si>
  <si>
    <t>1.21.5.1</t>
  </si>
  <si>
    <t>MD-F0009-0309-MB-A-00001</t>
  </si>
  <si>
    <t>1.21.5.2</t>
  </si>
  <si>
    <t>1.21.5.3</t>
  </si>
  <si>
    <t>1.21.5.4</t>
  </si>
  <si>
    <t>1.21.6</t>
  </si>
  <si>
    <t>pq-f0009-0309-mb-a-00001</t>
  </si>
  <si>
    <t>29 dias</t>
  </si>
  <si>
    <t>PLANILHA DE QUANTITATIVOS PARA COMPOR CAPEX</t>
  </si>
  <si>
    <t>1.21.6.1</t>
  </si>
  <si>
    <t>PQ-F0009-0309-MB-A-00001</t>
  </si>
  <si>
    <t>14 dias</t>
  </si>
  <si>
    <t>1.21.6.2</t>
  </si>
  <si>
    <t>1.21.6.3</t>
  </si>
  <si>
    <t>1.21.6.4</t>
  </si>
  <si>
    <t>4.2.1.16</t>
  </si>
  <si>
    <t>civil / infraestrutura 309</t>
  </si>
  <si>
    <t>629II</t>
  </si>
  <si>
    <t>5.2.1.15</t>
  </si>
  <si>
    <t>1.24</t>
  </si>
  <si>
    <t>D:\TECNORED\DADOS\F0009\CR-F0009-0000-MB-F-00001.mpp\65II;D:\TECNORED\DADOS\F0009\CR-F0009-0000-MB-F-00001 - 19062026.mpp\91II</t>
  </si>
  <si>
    <t>1.24.1</t>
  </si>
  <si>
    <t>CIVIL / INFRAESTRUTURA 309</t>
  </si>
  <si>
    <t>ag-f0009-0309-mb-b-00001</t>
  </si>
  <si>
    <t>CIVIL</t>
  </si>
  <si>
    <t>IMPLANTAÇÃO GERAL</t>
  </si>
  <si>
    <t>1.24.1.1</t>
  </si>
  <si>
    <t>AG-F0009-0309-MB-B-00001</t>
  </si>
  <si>
    <t>1.24.1.2</t>
  </si>
  <si>
    <t>1.24.1.3</t>
  </si>
  <si>
    <t>1.24.1.4</t>
  </si>
  <si>
    <t>4.2.1.18</t>
  </si>
  <si>
    <t>elétrica 309</t>
  </si>
  <si>
    <t>62,13 dias</t>
  </si>
  <si>
    <t>637II</t>
  </si>
  <si>
    <t>5.2.1.17</t>
  </si>
  <si>
    <t>61 dias</t>
  </si>
  <si>
    <t>1.27</t>
  </si>
  <si>
    <t>D:\TECNORED\DADOS\F0009\CR-F0009-0000-MB-F-00001.mpp\67II;D:\TECNORED\DADOS\F0009\CR-F0009-0000-MB-F-00001 - 19062026.mpp\93II</t>
  </si>
  <si>
    <t>1.27.1</t>
  </si>
  <si>
    <t>ELÉTRICA 309</t>
  </si>
  <si>
    <t>cp-f0009-0309-mb-e-00001</t>
  </si>
  <si>
    <t>Revisão das cargas elétricas</t>
  </si>
  <si>
    <t>ELÉTRICA</t>
  </si>
  <si>
    <t>CRITERIO DE PROJETO BÁSICO</t>
  </si>
  <si>
    <t>1.27.1.1</t>
  </si>
  <si>
    <t>CP-F0009-0309-MB-E-00001</t>
  </si>
  <si>
    <t>1.27.1.2</t>
  </si>
  <si>
    <t>1.27.1.3</t>
  </si>
  <si>
    <t>1.27.1.4</t>
  </si>
  <si>
    <t>1.27.2</t>
  </si>
  <si>
    <t>ag-f0009-0309-mb-e-00001</t>
  </si>
  <si>
    <t>LAY-OUT SALA ELETRICA / CCM's</t>
  </si>
  <si>
    <t>1.27.2.1</t>
  </si>
  <si>
    <t>AG-F0009-0309-MB-E-00001</t>
  </si>
  <si>
    <t>99;294;1030</t>
  </si>
  <si>
    <t>1.27.2.2</t>
  </si>
  <si>
    <t>646;649IT;654IT;659IT;664IT;669IT;674IT;679IT</t>
  </si>
  <si>
    <t>1.27.2.3</t>
  </si>
  <si>
    <t>1.27.2.4</t>
  </si>
  <si>
    <t>1.27.3</t>
  </si>
  <si>
    <t>ag-f0009-0309-mb-e-00002</t>
  </si>
  <si>
    <t>PLANTA BÁSICA DE DISTRIBUIÇÃO DE FORÇA CASA DE BOMBAS</t>
  </si>
  <si>
    <t>A3 (420x297mm)</t>
  </si>
  <si>
    <t>1.27.3.1</t>
  </si>
  <si>
    <t>AG-F0009-0309-MB-E-00002</t>
  </si>
  <si>
    <t>645IT</t>
  </si>
  <si>
    <t>1.27.3.2</t>
  </si>
  <si>
    <t>1.27.3.3</t>
  </si>
  <si>
    <t>1.27.3.4</t>
  </si>
  <si>
    <t>1.27.4</t>
  </si>
  <si>
    <t>ag-f0009-0309-mb-e-00003</t>
  </si>
  <si>
    <t>22 dias</t>
  </si>
  <si>
    <t>PLANTA BÁSICA DE DISTRIBUIÇÃO DE FORÇA FORNO</t>
  </si>
  <si>
    <t>1.27.4.1</t>
  </si>
  <si>
    <t>AG-F0009-0309-MB-E-00003</t>
  </si>
  <si>
    <t>1.27.4.2</t>
  </si>
  <si>
    <t>1.27.4.3</t>
  </si>
  <si>
    <t>1.27.4.4</t>
  </si>
  <si>
    <t>1.27.5</t>
  </si>
  <si>
    <t>ag-f0009-0309-mb-e-00004</t>
  </si>
  <si>
    <t>Readequação da lista de carga, iluminação, bandejamento</t>
  </si>
  <si>
    <t>PLANTA BÁSICA DE ILUMINAÇÃO CASA DE BOMBAS</t>
  </si>
  <si>
    <t>1.27.5.1</t>
  </si>
  <si>
    <t>AG-F0009-0309-MB-E-00004</t>
  </si>
  <si>
    <t>1.27.5.2</t>
  </si>
  <si>
    <t>1.27.5.3</t>
  </si>
  <si>
    <t>1.27.5.4</t>
  </si>
  <si>
    <t>1.27.6</t>
  </si>
  <si>
    <t>ag-f0009-0309-mb-e-00005</t>
  </si>
  <si>
    <t>PLANTA BÁSICA DE ILUMINAÇÃO FORNO</t>
  </si>
  <si>
    <t>1.27.6.1</t>
  </si>
  <si>
    <t>AG-F0009-0309-MB-E-00005</t>
  </si>
  <si>
    <t>665;684</t>
  </si>
  <si>
    <t>1.27.6.2</t>
  </si>
  <si>
    <t>1.27.6.3</t>
  </si>
  <si>
    <t>1.27.6.4</t>
  </si>
  <si>
    <t>1.27.7</t>
  </si>
  <si>
    <t>ag-f0009-0309-mb-e-00006</t>
  </si>
  <si>
    <t>PLANTA BÁSICA DE ATERRAMENTO</t>
  </si>
  <si>
    <t>1.27.7.1</t>
  </si>
  <si>
    <t>AG-F0009-0309-MB-E-00006</t>
  </si>
  <si>
    <t>1.27.7.2</t>
  </si>
  <si>
    <t>1.27.7.3</t>
  </si>
  <si>
    <t>1.27.7.4</t>
  </si>
  <si>
    <t>1.27.8</t>
  </si>
  <si>
    <t>ag-f0009-0309-mb-e-00007</t>
  </si>
  <si>
    <t>1.27.8.1</t>
  </si>
  <si>
    <t>AG-F0009-0309-MB-E-00007</t>
  </si>
  <si>
    <t>1.27.8.2</t>
  </si>
  <si>
    <t>1.27.8.3</t>
  </si>
  <si>
    <t>1.27.8.4</t>
  </si>
  <si>
    <t>1.27.9</t>
  </si>
  <si>
    <t>ag-f0009-0309-mb-e-00008</t>
  </si>
  <si>
    <t>PLANTA BÁSICA DE DISTRIBUIÇÃO GERAL</t>
  </si>
  <si>
    <t>1.27.9.1</t>
  </si>
  <si>
    <t>AG-F0009-0309-MB-E-00008</t>
  </si>
  <si>
    <t>1.27.9.2</t>
  </si>
  <si>
    <t>1.27.9.3</t>
  </si>
  <si>
    <t>1.27.9.4</t>
  </si>
  <si>
    <t>1.27.10</t>
  </si>
  <si>
    <t>cc-f0009-0309-mb-e-00001</t>
  </si>
  <si>
    <t>CARGA ELÈTRICA E ESTUDO DE DEMANDA</t>
  </si>
  <si>
    <t>CC - Lista de Cargas e Consumidores</t>
  </si>
  <si>
    <t>1.27.10.1</t>
  </si>
  <si>
    <t>CC-F0009-0309-MB-E-00001</t>
  </si>
  <si>
    <t>1.27.10.2</t>
  </si>
  <si>
    <t>686;689IT;694IT;699IT;704IT+2 dias;709IT+2 dias</t>
  </si>
  <si>
    <t>1.27.10.3</t>
  </si>
  <si>
    <t>1.27.10.4</t>
  </si>
  <si>
    <t>1.27.11</t>
  </si>
  <si>
    <t>du-f0009-0309-mb-e-00001</t>
  </si>
  <si>
    <t>DIAGRAMA ELETRICO - MC-0300MB-01</t>
  </si>
  <si>
    <t>DU - Diagrama Unifilar (DU)</t>
  </si>
  <si>
    <t>1.27.11.1</t>
  </si>
  <si>
    <t>DU-F0009-0309-MB-E-00001</t>
  </si>
  <si>
    <t>685IT</t>
  </si>
  <si>
    <t>1.27.11.2</t>
  </si>
  <si>
    <t>1.27.11.3</t>
  </si>
  <si>
    <t>1.27.11.4</t>
  </si>
  <si>
    <t>1.27.12</t>
  </si>
  <si>
    <t>du-f0009-0309-mb-e-00002</t>
  </si>
  <si>
    <t>DIAGRAMA ELETRICO - MC-0300MB-02</t>
  </si>
  <si>
    <t>1.27.12.1</t>
  </si>
  <si>
    <t>DU-F0009-0309-MB-E-00002</t>
  </si>
  <si>
    <t>1.27.12.2</t>
  </si>
  <si>
    <t>1.27.12.3</t>
  </si>
  <si>
    <t>1.27.12.4</t>
  </si>
  <si>
    <t>1.27.13</t>
  </si>
  <si>
    <t>du-f0009-0309-mb-e-00003</t>
  </si>
  <si>
    <t>DIAGRAMA ELETRICO - MC-0300MB-03</t>
  </si>
  <si>
    <t>1.27.13.1</t>
  </si>
  <si>
    <t>DU-F0009-0309-MB-E-00003</t>
  </si>
  <si>
    <t>1.27.13.2</t>
  </si>
  <si>
    <t>1.27.13.3</t>
  </si>
  <si>
    <t>1.27.13.4</t>
  </si>
  <si>
    <t>1.27.14</t>
  </si>
  <si>
    <t>et-f0009-0309-mb-e-00001</t>
  </si>
  <si>
    <t>ESPECIFICAÇÃO TÉCNICA BÁSICA PARA COTAÇÃO DE PAINÉIS ELÉTRICOS</t>
  </si>
  <si>
    <t>1.27.14.1</t>
  </si>
  <si>
    <t>ET-F0009-0309-MB-E-00001</t>
  </si>
  <si>
    <t>685IT+2 dias</t>
  </si>
  <si>
    <t>1.27.14.2</t>
  </si>
  <si>
    <t>1.27.14.3</t>
  </si>
  <si>
    <t>1.27.14.4</t>
  </si>
  <si>
    <t>1.27.15</t>
  </si>
  <si>
    <t>lb-f0009-0309-mb-e-00001</t>
  </si>
  <si>
    <t>LISTA DE CABOS DE FORÇA, COMANDO E ILUMINAÇÃO</t>
  </si>
  <si>
    <t>LB - Lista de Cabos</t>
  </si>
  <si>
    <t>1.27.15.1</t>
  </si>
  <si>
    <t>LB-F0009-0309-MB-E-00001</t>
  </si>
  <si>
    <t>1.27.15.2</t>
  </si>
  <si>
    <t>711;714IT;719IT;724IT;729IT</t>
  </si>
  <si>
    <t>1.27.15.3</t>
  </si>
  <si>
    <t>1.27.15.4</t>
  </si>
  <si>
    <t>1.27.16</t>
  </si>
  <si>
    <t>lm-f0009-0309-mb-e-00001</t>
  </si>
  <si>
    <t>LISTA BÁSICA DE MATERIAIS FORÇA, ILUMINAÇÃO, ATERRAMENTO E SPDA</t>
  </si>
  <si>
    <t>1.27.16.1</t>
  </si>
  <si>
    <t>LM-F0009-0309-MB-E-00001</t>
  </si>
  <si>
    <t>710IT</t>
  </si>
  <si>
    <t>1.27.16.2</t>
  </si>
  <si>
    <t>1.27.16.3</t>
  </si>
  <si>
    <t>1.27.16.4</t>
  </si>
  <si>
    <t>1.27.17</t>
  </si>
  <si>
    <t>lr-f0009-0309-mb-e-00001</t>
  </si>
  <si>
    <t>LISTA DE MOTORES</t>
  </si>
  <si>
    <t>LR - Lista de Motores</t>
  </si>
  <si>
    <t>1.27.17.1</t>
  </si>
  <si>
    <t>LR-F0009-0309-MB-E-00001</t>
  </si>
  <si>
    <t>1.27.17.2</t>
  </si>
  <si>
    <t>1.27.17.3</t>
  </si>
  <si>
    <t>1.27.17.4</t>
  </si>
  <si>
    <t>1.27.18</t>
  </si>
  <si>
    <t>md-f0009-0309-mb-e-00001</t>
  </si>
  <si>
    <t>MEMORIAL DESCRITIVO PARA CUSTO DE MONTAGEM ELÉTRICA, EQUIPAMENTOS E MATERIAIS DE MONTAGEM DE CAMPO</t>
  </si>
  <si>
    <t>1.27.18.1</t>
  </si>
  <si>
    <t>MD-F0009-0309-MB-E-00001</t>
  </si>
  <si>
    <t>1.27.18.2</t>
  </si>
  <si>
    <t>1.27.18.3</t>
  </si>
  <si>
    <t>1.27.18.4</t>
  </si>
  <si>
    <t>1.27.19</t>
  </si>
  <si>
    <t>oi-f0009-0309-mb-e-00001</t>
  </si>
  <si>
    <t>PLANILHA QUANTITATIVO INSTRUMENTAÇÃO</t>
  </si>
  <si>
    <t>1.27.19.1</t>
  </si>
  <si>
    <t>OI-F0009-0309-MB-E-00001</t>
  </si>
  <si>
    <t>1.27.19.2</t>
  </si>
  <si>
    <t>1.27.19.3</t>
  </si>
  <si>
    <t>1.27.19.4</t>
  </si>
  <si>
    <t>4.2.1.20</t>
  </si>
  <si>
    <t>automação 309</t>
  </si>
  <si>
    <t>735II</t>
  </si>
  <si>
    <t>5.2.1.19</t>
  </si>
  <si>
    <t>1.30</t>
  </si>
  <si>
    <t>D:\TECNORED\DADOS\F0009\CR-F0009-0000-MB-F-00001.mpp\69II;D:\TECNORED\DADOS\F0009\CR-F0009-0000-MB-F-00001 - 19062026.mpp\95II</t>
  </si>
  <si>
    <t>1.30.1</t>
  </si>
  <si>
    <t>AUTOMAÇÃO 309</t>
  </si>
  <si>
    <t>cp-f0009-0309-mb-j-00001</t>
  </si>
  <si>
    <t>AUTOMAÇÃO E INSTRUMENTAÇÃO</t>
  </si>
  <si>
    <t>CRITÉRIO DE PROJETO DE AUTOMAÇÃO</t>
  </si>
  <si>
    <t>1.30.1.1</t>
  </si>
  <si>
    <t>CP-F0009-0309-MB-J-00001</t>
  </si>
  <si>
    <t>1.30.1.2</t>
  </si>
  <si>
    <t>1.30.1.3</t>
  </si>
  <si>
    <t>1.30.1.4</t>
  </si>
  <si>
    <t>1.30.2</t>
  </si>
  <si>
    <t>cp-f0009-0309-mb-j-00002</t>
  </si>
  <si>
    <t>CRITÉRIO DE PROJETO DE INSTRUMENTAÇÃO</t>
  </si>
  <si>
    <t>1.30.2.1</t>
  </si>
  <si>
    <t>CP-F0009-0309-MB-J-00002</t>
  </si>
  <si>
    <t>1.30.2.2</t>
  </si>
  <si>
    <t>1.30.2.3</t>
  </si>
  <si>
    <t>1.30.2.4</t>
  </si>
  <si>
    <t>1.30.3</t>
  </si>
  <si>
    <t>ag-f0009-0309-mb-j-00001</t>
  </si>
  <si>
    <t>PLANTA BÁSICA DE INSTRUMENTAÇÃO ELEVAÇÃO 6600</t>
  </si>
  <si>
    <t>1.30.3.1</t>
  </si>
  <si>
    <t>AG-F0009-0309-MB-J-00001</t>
  </si>
  <si>
    <t>99;294;21</t>
  </si>
  <si>
    <t>748;752IT;757IT;762IT</t>
  </si>
  <si>
    <t>1.30.3.2</t>
  </si>
  <si>
    <t>1.30.3.3</t>
  </si>
  <si>
    <t>1.30.3.4</t>
  </si>
  <si>
    <t>1.30.4</t>
  </si>
  <si>
    <t>ag-f0009-0309-mb-j-00002</t>
  </si>
  <si>
    <t>PLANTA BÁSICA DE INSTRUMENTAÇÃO ELEVAÇÃO 10405</t>
  </si>
  <si>
    <t>1.30.4.1</t>
  </si>
  <si>
    <t>AG-F0009-0309-MB-J-00002</t>
  </si>
  <si>
    <t>747IT</t>
  </si>
  <si>
    <t>1.30.4.2</t>
  </si>
  <si>
    <t>1.30.4.3</t>
  </si>
  <si>
    <t>1.30.4.4</t>
  </si>
  <si>
    <t>1.30.5</t>
  </si>
  <si>
    <t>ag-f0009-0309-mb-j-00003</t>
  </si>
  <si>
    <t>PLANTA BÁSICA DE INSTRUMENTAÇÃO ELEVAÇÃO 16502</t>
  </si>
  <si>
    <t>1.30.5.1</t>
  </si>
  <si>
    <t>AG-F0009-0309-MB-J-00003</t>
  </si>
  <si>
    <t>1.30.5.2</t>
  </si>
  <si>
    <t>1.30.5.3</t>
  </si>
  <si>
    <t>1.30.5.4</t>
  </si>
  <si>
    <t>1.30.6</t>
  </si>
  <si>
    <t>ag-f0009-0309-mb-j-00004</t>
  </si>
  <si>
    <t>PLANTA BÁSICA DE INSTRUMENTAÇÃO ELEVAÇÃO 23872</t>
  </si>
  <si>
    <t>1.30.6.1</t>
  </si>
  <si>
    <t>AG-F0009-0309-MB-J-00004</t>
  </si>
  <si>
    <t>763;767</t>
  </si>
  <si>
    <t>1.30.6.2</t>
  </si>
  <si>
    <t>1.30.6.3</t>
  </si>
  <si>
    <t>1.30.6.4</t>
  </si>
  <si>
    <t>1.30.7</t>
  </si>
  <si>
    <t>ag-f0009-0309-mb-j-00005</t>
  </si>
  <si>
    <t>PLANTA BÁSICA DE INSTRUMENTAÇÃO ELEVAÇÃO 30064</t>
  </si>
  <si>
    <t>1.30.7.1</t>
  </si>
  <si>
    <t>AG-F0009-0309-MB-J-00005</t>
  </si>
  <si>
    <t>1.30.7.2</t>
  </si>
  <si>
    <t>769;772IT;777IT;782IT;787IT</t>
  </si>
  <si>
    <t>1.30.7.3</t>
  </si>
  <si>
    <t>1.30.7.4</t>
  </si>
  <si>
    <t>1.30.8</t>
  </si>
  <si>
    <t>ag-f0009-0309-mb-j-00006</t>
  </si>
  <si>
    <t>PLANTA BÁSICA DE INSTRUMENTAÇÃO ELEVAÇÃO 35115</t>
  </si>
  <si>
    <t>1.30.8.1</t>
  </si>
  <si>
    <t>AG-F0009-0309-MB-J-00006</t>
  </si>
  <si>
    <t>768IT</t>
  </si>
  <si>
    <t>1.30.8.2</t>
  </si>
  <si>
    <t>1.30.8.3</t>
  </si>
  <si>
    <t>1.30.8.4</t>
  </si>
  <si>
    <t>1.30.9</t>
  </si>
  <si>
    <t>ag-f0009-0309-mb-j-00007</t>
  </si>
  <si>
    <t>PLANTA BÁSICA DE INSTRUMENTAÇÃO ELEVAÇÃO 39322</t>
  </si>
  <si>
    <t>1.30.9.1</t>
  </si>
  <si>
    <t>AG-F0009-0309-MB-J-00007</t>
  </si>
  <si>
    <t>1.30.9.2</t>
  </si>
  <si>
    <t>1.30.9.3</t>
  </si>
  <si>
    <t>1.30.9.4</t>
  </si>
  <si>
    <t>1.30.10</t>
  </si>
  <si>
    <t>ag-f0009-0309-mb-j-00008</t>
  </si>
  <si>
    <t>PLANTA BÁSICA DE INSTRUMENTAÇÃO TORRE RESFRIAMENTO</t>
  </si>
  <si>
    <t>1.30.10.1</t>
  </si>
  <si>
    <t>AG-F0009-0309-MB-J-00008</t>
  </si>
  <si>
    <t>1.30.10.2</t>
  </si>
  <si>
    <t>1.30.10.3</t>
  </si>
  <si>
    <t>1.30.10.4</t>
  </si>
  <si>
    <t>1.30.11</t>
  </si>
  <si>
    <t>ag-f0009-0309-mb-j-00009</t>
  </si>
  <si>
    <t>PLANTA BÁSICA DE INSTRUMENTAÇÃO FIBRA OPTICA</t>
  </si>
  <si>
    <t>1.30.11.1</t>
  </si>
  <si>
    <t>AG-F0009-0309-MB-J-00009</t>
  </si>
  <si>
    <t>788;792</t>
  </si>
  <si>
    <t>1.30.11.2</t>
  </si>
  <si>
    <t>1.30.11.3</t>
  </si>
  <si>
    <t>1.30.11.4</t>
  </si>
  <si>
    <t>1.30.12</t>
  </si>
  <si>
    <t>lb-f0009-0309-mb-j-00001</t>
  </si>
  <si>
    <t>LISTA DE CABOS BÁSICA</t>
  </si>
  <si>
    <t>1.30.12.1</t>
  </si>
  <si>
    <t>LB-F0009-0309-MB-J-00001</t>
  </si>
  <si>
    <t>1020;787</t>
  </si>
  <si>
    <t>1.30.12.2</t>
  </si>
  <si>
    <t>794;797IT;802IT;807IT;812IT;817IT;822IT;827IT;832IT;837IT;842IT;847IT;852IT;857IT;862IT;867IT;872IT;877IT</t>
  </si>
  <si>
    <t>1.30.12.3</t>
  </si>
  <si>
    <t>1.30.12.4</t>
  </si>
  <si>
    <t>1.30.13</t>
  </si>
  <si>
    <t>li-f0009-0300-mb-j-00001</t>
  </si>
  <si>
    <t>LISTA de IO</t>
  </si>
  <si>
    <t>LI - Lista de Instrumentos</t>
  </si>
  <si>
    <t>1.30.13.1</t>
  </si>
  <si>
    <t>LI-F0009-0300-MB-J-00001</t>
  </si>
  <si>
    <t>793IT</t>
  </si>
  <si>
    <t>1.30.13.2</t>
  </si>
  <si>
    <t>1.30.13.3</t>
  </si>
  <si>
    <t>1.30.13.4</t>
  </si>
  <si>
    <t>1.30.14</t>
  </si>
  <si>
    <t>li-f0009-0302-mb-j-00001</t>
  </si>
  <si>
    <t>LISTA DE INSTRUMENTOS RECEIVING HOPPER, REVERSIBLE MOVABLE BELT AND PROCESS HOPPER – FLUXOGRAMA - FG-F0008-0302-MB-P-00001</t>
  </si>
  <si>
    <t>1.30.14.1</t>
  </si>
  <si>
    <t>LI-F0009-0302-MB-J-00001</t>
  </si>
  <si>
    <t>1.30.14.2</t>
  </si>
  <si>
    <t>1.30.14.3</t>
  </si>
  <si>
    <t>1.30.14.4</t>
  </si>
  <si>
    <t>1.30.15</t>
  </si>
  <si>
    <t>li-f0009-0302-mb-j-00002</t>
  </si>
  <si>
    <t>LISTA DE INSTRUMENTOS BUFFERS HOPPER - FR-400A – FLUXOGRAMA - FG-F0008-0302-MB-P-00002</t>
  </si>
  <si>
    <t>1.30.15.1</t>
  </si>
  <si>
    <t>LI-F0009-0302-MB-J-00002</t>
  </si>
  <si>
    <t>1.30.15.2</t>
  </si>
  <si>
    <t>1.30.15.3</t>
  </si>
  <si>
    <t>1.30.15.4</t>
  </si>
  <si>
    <t>1.30.16</t>
  </si>
  <si>
    <t>li-f0009-0302-mb-j-00003</t>
  </si>
  <si>
    <t>LISTA DE INSTRUMENTOS BUFFERS HOPPER - FR-400B – FLUXOGRAMA - FG-F0008-0302-MB-P-00003</t>
  </si>
  <si>
    <t>1.30.16.1</t>
  </si>
  <si>
    <t>LI-F0009-0302-MB-J-00003</t>
  </si>
  <si>
    <t>1.30.16.2</t>
  </si>
  <si>
    <t>1.30.16.3</t>
  </si>
  <si>
    <t>1.30.16.4</t>
  </si>
  <si>
    <t>1.30.17</t>
  </si>
  <si>
    <t>li-f0009-0302-mb-j-00004</t>
  </si>
  <si>
    <t>LISTA DE INSTRUMENTOS FR-400A - BOOSTER, BAR AND FUEL CHARGING – FLUXOGRAMA - FG-F0008-0302-MB-P-00004</t>
  </si>
  <si>
    <t>1.30.17.1</t>
  </si>
  <si>
    <t>LI-F0009-0302-MB-J-00004</t>
  </si>
  <si>
    <t>1.30.17.2</t>
  </si>
  <si>
    <t>1.30.17.3</t>
  </si>
  <si>
    <t>1.30.17.4</t>
  </si>
  <si>
    <t>1.30.18</t>
  </si>
  <si>
    <t>li-f0009-0302-mb-j-00005</t>
  </si>
  <si>
    <t>LISTA DE INSTRUMENTOS FR-400B - BOOSTER, BAR AND FUEL CHARGING – FLUXOGRAMA - FG-F0008-0302-MB-P-00005</t>
  </si>
  <si>
    <t>1.30.18.1</t>
  </si>
  <si>
    <t>LI-F0009-0302-MB-J-00005</t>
  </si>
  <si>
    <t>1.30.18.2</t>
  </si>
  <si>
    <t>1.30.18.3</t>
  </si>
  <si>
    <t>1.30.18.4</t>
  </si>
  <si>
    <t>1.30.19</t>
  </si>
  <si>
    <t>li-f0009-0302-mb-j-00006</t>
  </si>
  <si>
    <t>LISTA DE INSTRUMENTOS TECNORED SEMI CLEAN GAS AND N2 DISTRIBUTION – FLUXOGRAMA - FG-F0008-0302-MB-P-00006</t>
  </si>
  <si>
    <t>1.30.19.1</t>
  </si>
  <si>
    <t>LI-F0009-0302-MB-J-00006</t>
  </si>
  <si>
    <t>1.30.19.2</t>
  </si>
  <si>
    <t>1.30.19.3</t>
  </si>
  <si>
    <t>1.30.19.4</t>
  </si>
  <si>
    <t>1.30.20</t>
  </si>
  <si>
    <t>li-f0009-0307-mb-j-00001</t>
  </si>
  <si>
    <t>LISTA DE INSTRUMENTOS COOLING SYSTEM - HOT VALVES SECTIONING – FLUXOGRAMA - FG-F0008-0307-MB-P-00001</t>
  </si>
  <si>
    <t>07 - RESFRIAMENTO</t>
  </si>
  <si>
    <t>1.30.20.1</t>
  </si>
  <si>
    <t>LI-F0009-0307-MB-J-00001</t>
  </si>
  <si>
    <t>1.30.20.2</t>
  </si>
  <si>
    <t>1.30.20.3</t>
  </si>
  <si>
    <t>1.30.20.4</t>
  </si>
  <si>
    <t>1.30.21</t>
  </si>
  <si>
    <t>li-f0009-0309-mb-j-00001</t>
  </si>
  <si>
    <t>LISTA DE INSTRUMENTOS PRIMARY AND SECUNDARY CIRCUIT - FURNACE 1 &amp; 2 - COOLING SYSTEM - PUMP HOUSE – FLUXOGRAMA - FG-F0008-0309-MB-P-00001</t>
  </si>
  <si>
    <t>1.30.21.1</t>
  </si>
  <si>
    <t>LI-F0009-0309-MB-J-00001</t>
  </si>
  <si>
    <t>1.30.21.2</t>
  </si>
  <si>
    <t>1.30.21.3</t>
  </si>
  <si>
    <t>1.30.21.4</t>
  </si>
  <si>
    <t>1.30.22</t>
  </si>
  <si>
    <t>li-f0009-0309-mb-j-00002</t>
  </si>
  <si>
    <t>LISTA DE INSTRUMENTOS COOLING SYSTEM - COOLING BOX – FLUXOGRAMA - FG-F0008-0309-MB-P-00002</t>
  </si>
  <si>
    <t>1.30.22.1</t>
  </si>
  <si>
    <t>LI-F0009-0309-MB-J-00002</t>
  </si>
  <si>
    <t>1.30.22.2</t>
  </si>
  <si>
    <t>1.30.22.3</t>
  </si>
  <si>
    <t>1.30.22.4</t>
  </si>
  <si>
    <t>1.30.23</t>
  </si>
  <si>
    <t>li-f0009-0309-mb-j-00003</t>
  </si>
  <si>
    <t>LISTA DE INSTRUMENTOS COOLING SYSTEM - TUYERES CIRCUIT – FLUXOGRAMA - FG-F0008-0309-MB-P-00003</t>
  </si>
  <si>
    <t>1.30.23.1</t>
  </si>
  <si>
    <t>LI-F0009-0309-MB-J-00003</t>
  </si>
  <si>
    <t>1.30.23.2</t>
  </si>
  <si>
    <t>1.30.23.3</t>
  </si>
  <si>
    <t>1.30.23.4</t>
  </si>
  <si>
    <t>1.30.24</t>
  </si>
  <si>
    <t>li-f0009-0309-mb-j-00004</t>
  </si>
  <si>
    <t>LISTA DE INSTRUMENTOS COOLING SYSTEM - COOPER STAVES – FLUXOGRAMA - FG-F0008-0309-MB-P-00004</t>
  </si>
  <si>
    <t>1.30.24.1</t>
  </si>
  <si>
    <t>LI-F0009-0309-MB-J-00004</t>
  </si>
  <si>
    <t>1.30.24.2</t>
  </si>
  <si>
    <t>1.30.24.3</t>
  </si>
  <si>
    <t>1.30.24.4</t>
  </si>
  <si>
    <t>1.30.25</t>
  </si>
  <si>
    <t>li-f0009-0309-mb-j-00005</t>
  </si>
  <si>
    <t>LISTA DE INSTRUMENTOS COOLING SYSTEM - CAST IRON STAVES – FLUXOGRAMA - FG-F0008-0309-MB-P-00005</t>
  </si>
  <si>
    <t>1.30.25.1</t>
  </si>
  <si>
    <t>LI-F0009-0309-MB-J-00005</t>
  </si>
  <si>
    <t>1.30.25.2</t>
  </si>
  <si>
    <t>1.30.25.3</t>
  </si>
  <si>
    <t>1.30.25.4</t>
  </si>
  <si>
    <t>1.30.26</t>
  </si>
  <si>
    <t>li-f0009-0309-mb-j-00006</t>
  </si>
  <si>
    <t>LISTA DE INSTRUMENTOS COOLING SYSTEM - COURTAIN WALL – FLUXOGRAMA - FG-F0008-0309-MB-P-00006</t>
  </si>
  <si>
    <t>1.30.26.1</t>
  </si>
  <si>
    <t>LI-F0009-0309-MB-J-00006</t>
  </si>
  <si>
    <t>1.30.26.2</t>
  </si>
  <si>
    <t>1.30.26.3</t>
  </si>
  <si>
    <t>1.30.26.4</t>
  </si>
  <si>
    <t>1.30.27</t>
  </si>
  <si>
    <t>li-f0009-0309-mb-j-00007</t>
  </si>
  <si>
    <t>LISTA DE INSTRUMENTOS COOLING SYSTEM - TAPHOLE, CHANNEL AND DOORS COOLING CIRCUIT – FLUXOGRAMA - FG-F0008-0309-MB-P-00007</t>
  </si>
  <si>
    <t>1.30.27.1</t>
  </si>
  <si>
    <t>LI-F0009-0309-MB-J-00007</t>
  </si>
  <si>
    <t>1.30.27.2</t>
  </si>
  <si>
    <t>1.30.27.3</t>
  </si>
  <si>
    <t>1.30.27.4</t>
  </si>
  <si>
    <t>1.30.28</t>
  </si>
  <si>
    <t>li-f0009-0309-mb-j-00008</t>
  </si>
  <si>
    <t>LISTA DE INSTRUMENTOS COOLING SYSTEM - BOTTOM COOLING SYSTEM – FLUXOGRAMA - FG-F0008-0309-MB-P-00008</t>
  </si>
  <si>
    <t>1.30.28.1</t>
  </si>
  <si>
    <t>LI-F0009-0309-MB-J-00008</t>
  </si>
  <si>
    <t>1.30.28.2</t>
  </si>
  <si>
    <t>1.30.28.3</t>
  </si>
  <si>
    <t>1.30.28.4</t>
  </si>
  <si>
    <t>1.30.29</t>
  </si>
  <si>
    <t>li-f0009-0309-mb-j-00009</t>
  </si>
  <si>
    <t>LISTA DE INSTRUMENTOS TECNORED FURNACE PROPER – FLUXOGRAMA - FG-F0008-0309-MB-P-00009</t>
  </si>
  <si>
    <t>1.30.29.1</t>
  </si>
  <si>
    <t>LI-F0009-0309-MB-J-00009</t>
  </si>
  <si>
    <t>878;882;887</t>
  </si>
  <si>
    <t>1.30.29.2</t>
  </si>
  <si>
    <t>1.30.29.3</t>
  </si>
  <si>
    <t>1.30.29.4</t>
  </si>
  <si>
    <t>1.30.30</t>
  </si>
  <si>
    <t>lm-f0009-0309-mb-j-00001</t>
  </si>
  <si>
    <t>21 dias</t>
  </si>
  <si>
    <t>LISTA DE MATERAIS BÁSICA</t>
  </si>
  <si>
    <t>1.30.30.1</t>
  </si>
  <si>
    <t>LM-F0009-0309-MB-J-00001</t>
  </si>
  <si>
    <t>11 dias</t>
  </si>
  <si>
    <t>1.30.30.2</t>
  </si>
  <si>
    <t>1.30.30.3</t>
  </si>
  <si>
    <t>1.30.30.4</t>
  </si>
  <si>
    <t>1.30.31</t>
  </si>
  <si>
    <t>md-f0009-0309-mb-j-00001</t>
  </si>
  <si>
    <t>MEMORIAL DESCRITIVO DE AUTOMAÇÃO</t>
  </si>
  <si>
    <t>1.30.31.1</t>
  </si>
  <si>
    <t>MD-F0009-0309-MB-J-00001</t>
  </si>
  <si>
    <t>13 dias</t>
  </si>
  <si>
    <t>888;892IT;897IT</t>
  </si>
  <si>
    <t>1.30.31.2</t>
  </si>
  <si>
    <t>1.30.31.3</t>
  </si>
  <si>
    <t>1.30.31.4</t>
  </si>
  <si>
    <t>1.30.32</t>
  </si>
  <si>
    <t>et-f0009-0309-mb-j-00001</t>
  </si>
  <si>
    <t>PLANILHA QUANTITATIVO AUTOMAÇÃO</t>
  </si>
  <si>
    <t>1.30.32.1</t>
  </si>
  <si>
    <t>ET-F0009-0309-MB-J-00001</t>
  </si>
  <si>
    <t>887IT</t>
  </si>
  <si>
    <t>1.30.32.2</t>
  </si>
  <si>
    <t>1.30.32.3</t>
  </si>
  <si>
    <t>1.30.32.4</t>
  </si>
  <si>
    <t>1.30.33</t>
  </si>
  <si>
    <t>pq-f0009-0309-mb-j-00001</t>
  </si>
  <si>
    <t>1.30.33.1</t>
  </si>
  <si>
    <t>PQ-F0009-0309-MB-J-00001</t>
  </si>
  <si>
    <t>1.30.33.2</t>
  </si>
  <si>
    <t>1.30.33.3</t>
  </si>
  <si>
    <t>1.30.33.4</t>
  </si>
  <si>
    <t>4.2.1.22</t>
  </si>
  <si>
    <t>processo gusa 309</t>
  </si>
  <si>
    <t>65,13 dias</t>
  </si>
  <si>
    <t>903II</t>
  </si>
  <si>
    <t>5.2.1.21</t>
  </si>
  <si>
    <t>1.33</t>
  </si>
  <si>
    <t>D:\TECNORED\DADOS\F0009\CR-F0009-0000-MB-F-00001.mpp\71II;D:\TECNORED\DADOS\F0009\CR-F0009-0000-MB-F-00001 - 19062026.mpp\97II</t>
  </si>
  <si>
    <t>1.33.1</t>
  </si>
  <si>
    <t>PROCESSO GUSA 309</t>
  </si>
  <si>
    <t>cp-f0009-0309-mb-p-00001</t>
  </si>
  <si>
    <t>PROCESSO</t>
  </si>
  <si>
    <t>CRITÉRIO DE PROJETO DE UTILIDADES</t>
  </si>
  <si>
    <t>1.33.1.1</t>
  </si>
  <si>
    <t>CP-F0009-0309-MB-P-00001</t>
  </si>
  <si>
    <t>1.33.1.2</t>
  </si>
  <si>
    <t>1.33.1.3</t>
  </si>
  <si>
    <t>1.33.1.4</t>
  </si>
  <si>
    <t>1.33.2</t>
  </si>
  <si>
    <t>fg-f0009-0300-mb-p-00001</t>
  </si>
  <si>
    <t>Revisão dos fluxogramas</t>
  </si>
  <si>
    <t>PFD - PROCESSO GERAL</t>
  </si>
  <si>
    <t>FG - Fluxogramas / P</t>
  </si>
  <si>
    <t>1.33.2.1</t>
  </si>
  <si>
    <t>FG-F0009-0300-MB-P-00001</t>
  </si>
  <si>
    <t>911;930</t>
  </si>
  <si>
    <t>1.33.2.2</t>
  </si>
  <si>
    <t>912;915IT;920IT;925IT</t>
  </si>
  <si>
    <t>1.33.2.3</t>
  </si>
  <si>
    <t>1.33.2.4</t>
  </si>
  <si>
    <t>1.33.3</t>
  </si>
  <si>
    <t>fg-f0009-0300-mb-p-00002</t>
  </si>
  <si>
    <t>PFD - DISTRIBUICAO N2</t>
  </si>
  <si>
    <t>1.33.3.1</t>
  </si>
  <si>
    <t>FG-F0009-0300-MB-P-00002</t>
  </si>
  <si>
    <t>911IT</t>
  </si>
  <si>
    <t>1.33.3.2</t>
  </si>
  <si>
    <t>1.33.3.3</t>
  </si>
  <si>
    <t>1.33.3.4</t>
  </si>
  <si>
    <t>1.33.4</t>
  </si>
  <si>
    <t>fg-f0009-0302-mb-p-00001</t>
  </si>
  <si>
    <t>P&amp;ID -CARREGAMENTO FORNO CORREIA PRINCIPAL ATÉ SILOS PROCESSOS</t>
  </si>
  <si>
    <t>1.33.4.1</t>
  </si>
  <si>
    <t>FG-F0009-0302-MB-P-00001</t>
  </si>
  <si>
    <t>1.33.4.2</t>
  </si>
  <si>
    <t>1.33.4.3</t>
  </si>
  <si>
    <t>1.33.4.4</t>
  </si>
  <si>
    <t>1.33.5</t>
  </si>
  <si>
    <t>fg-f0009-0302-mb-p-00002</t>
  </si>
  <si>
    <t>P&amp;ID - SILO PROCESSO ATÉ SILO BUFFER FORNO 1</t>
  </si>
  <si>
    <t>1.33.5.1</t>
  </si>
  <si>
    <t>FG-F0009-0302-MB-P-00002</t>
  </si>
  <si>
    <t>1.33.5.2</t>
  </si>
  <si>
    <t>1.33.5.3</t>
  </si>
  <si>
    <t>1.33.5.4</t>
  </si>
  <si>
    <t>1.33.6</t>
  </si>
  <si>
    <t>fg-f0009-0302-mb-p-00003</t>
  </si>
  <si>
    <t>P&amp;ID - SILO PROCESSO ATÉ SILO BUFFER FORNO 2</t>
  </si>
  <si>
    <t>1.33.6.1</t>
  </si>
  <si>
    <t>FG-F0009-0302-MB-P-00003</t>
  </si>
  <si>
    <t>1.33.6.2</t>
  </si>
  <si>
    <t>932;935IT;940IT;945IT</t>
  </si>
  <si>
    <t>1.33.6.3</t>
  </si>
  <si>
    <t>1.33.6.4</t>
  </si>
  <si>
    <t>1.33.7</t>
  </si>
  <si>
    <t>fg-f0009-0302-mb-p-00004</t>
  </si>
  <si>
    <t>P&amp;ID - SILO BUFFER ATÉ FORNO LADO FORNO 1</t>
  </si>
  <si>
    <t>1.33.7.1</t>
  </si>
  <si>
    <t>FG-F0009-0302-MB-P-00004</t>
  </si>
  <si>
    <t>931IT</t>
  </si>
  <si>
    <t>1.33.7.2</t>
  </si>
  <si>
    <t>1.33.7.3</t>
  </si>
  <si>
    <t>1.33.7.4</t>
  </si>
  <si>
    <t>1.33.8</t>
  </si>
  <si>
    <t>fg-f0009-0302-mb-p-00005</t>
  </si>
  <si>
    <t>P&amp;ID - SILO BUFFER ATÉ FORNO LADO FORNO 2</t>
  </si>
  <si>
    <t>1.33.8.1</t>
  </si>
  <si>
    <t>FG-F0009-0302-MB-P-00005</t>
  </si>
  <si>
    <t>1.33.8.2</t>
  </si>
  <si>
    <t>1.33.8.3</t>
  </si>
  <si>
    <t>1.33.8.4</t>
  </si>
  <si>
    <t>1.33.9</t>
  </si>
  <si>
    <t>fg-f0009-0302-mb-p-00006</t>
  </si>
  <si>
    <t>P&amp;ID - SISTEMA DE EQUALIZAÇÃO FORNO NITROGENIO E GAS DE PROCESSO</t>
  </si>
  <si>
    <t>1.33.9.1</t>
  </si>
  <si>
    <t>FG-F0009-0302-MB-P-00006</t>
  </si>
  <si>
    <t>946;950</t>
  </si>
  <si>
    <t>1.33.9.2</t>
  </si>
  <si>
    <t>1.33.9.3</t>
  </si>
  <si>
    <t>1.33.9.4</t>
  </si>
  <si>
    <t>1.33.10</t>
  </si>
  <si>
    <t>fg-f0009-0302-mb-p-00007</t>
  </si>
  <si>
    <t>PFD - SISTEMA CARREGAMENTO</t>
  </si>
  <si>
    <t>1.33.10.1</t>
  </si>
  <si>
    <t>FG-F0009-0302-MB-P-00007</t>
  </si>
  <si>
    <t>1.33.10.2</t>
  </si>
  <si>
    <t>952;955IT;960IT;965IT;970IT</t>
  </si>
  <si>
    <t>1.33.10.3</t>
  </si>
  <si>
    <t>1.33.10.4</t>
  </si>
  <si>
    <t>1.33.11</t>
  </si>
  <si>
    <t>fg-f0009-0302-mb-p-00008</t>
  </si>
  <si>
    <t>FLUXOGRAMA DE PROCESSO</t>
  </si>
  <si>
    <t>1.33.11.1</t>
  </si>
  <si>
    <t>FG-F0009-0302-MB-P-00008</t>
  </si>
  <si>
    <t>951IT</t>
  </si>
  <si>
    <t>1.33.11.2</t>
  </si>
  <si>
    <t>1.33.11.3</t>
  </si>
  <si>
    <t>1.33.11.4</t>
  </si>
  <si>
    <t>1.33.12</t>
  </si>
  <si>
    <t>fg-f0009-0302-mb-p-00009</t>
  </si>
  <si>
    <t>1.33.12.1</t>
  </si>
  <si>
    <t>FG-F0009-0302-MB-P-00009</t>
  </si>
  <si>
    <t>1.33.12.2</t>
  </si>
  <si>
    <t>1.33.12.3</t>
  </si>
  <si>
    <t>1.33.12.4</t>
  </si>
  <si>
    <t>1.33.13</t>
  </si>
  <si>
    <t>fg-f0009-0302-mb-p-00010</t>
  </si>
  <si>
    <t>1.33.13.1</t>
  </si>
  <si>
    <t>FG-F0009-0302-MB-P-00010</t>
  </si>
  <si>
    <t>1.33.13.2</t>
  </si>
  <si>
    <t>1.33.13.3</t>
  </si>
  <si>
    <t>1.33.13.4</t>
  </si>
  <si>
    <t>1.33.14</t>
  </si>
  <si>
    <t>fg-f0009-0302-mb-p-00011</t>
  </si>
  <si>
    <t>1.33.14.1</t>
  </si>
  <si>
    <t>FG-F0009-0302-MB-P-00011</t>
  </si>
  <si>
    <t>1.33.14.2</t>
  </si>
  <si>
    <t>1.33.14.3</t>
  </si>
  <si>
    <t>1.33.14.4</t>
  </si>
  <si>
    <t>1.33.15</t>
  </si>
  <si>
    <t>fg-f0009-0307-mb-p-00001</t>
  </si>
  <si>
    <t>P&amp;ID - SISTEMA DE REFRIGERAÇÃO HOT VALVES SECCIONAMENTO</t>
  </si>
  <si>
    <t>1.33.15.1</t>
  </si>
  <si>
    <t>FG-F0009-0307-MB-P-00001</t>
  </si>
  <si>
    <t>1.33.15.2</t>
  </si>
  <si>
    <t>977;980IT;985IT;990IT;995IT;1000IT</t>
  </si>
  <si>
    <t>1.33.15.3</t>
  </si>
  <si>
    <t>1.33.15.4</t>
  </si>
  <si>
    <t>1.33.16</t>
  </si>
  <si>
    <t>fg-f0009-0307-mb-p-00002</t>
  </si>
  <si>
    <t>PFD - SISTEMA DE RESFRIAMENTO</t>
  </si>
  <si>
    <t>1.33.16.1</t>
  </si>
  <si>
    <t>FG-F0009-0307-MB-P-00002</t>
  </si>
  <si>
    <t>976IT</t>
  </si>
  <si>
    <t>1.33.16.2</t>
  </si>
  <si>
    <t>1.33.16.3</t>
  </si>
  <si>
    <t>1.33.16.4</t>
  </si>
  <si>
    <t>1.33.17</t>
  </si>
  <si>
    <t>fg-f0009-0309-mb-p-00001</t>
  </si>
  <si>
    <t>P&amp;ID - CIRCUITO PRIMÁRIO E SECUNDÁRIO FORNO 1 E FORNO 2</t>
  </si>
  <si>
    <t>1.33.17.1</t>
  </si>
  <si>
    <t>FG-F0009-0309-MB-P-00001</t>
  </si>
  <si>
    <t>1.33.17.2</t>
  </si>
  <si>
    <t>1.33.17.3</t>
  </si>
  <si>
    <t>1.33.17.4</t>
  </si>
  <si>
    <t>1.33.18</t>
  </si>
  <si>
    <t>fg-f0009-0309-mb-p-00002</t>
  </si>
  <si>
    <t>P&amp;ID - CIRCUITO REFRIGERAÇÃO COOLING BOX</t>
  </si>
  <si>
    <t>1.33.18.1</t>
  </si>
  <si>
    <t>FG-F0009-0309-MB-P-00002</t>
  </si>
  <si>
    <t>1.33.18.2</t>
  </si>
  <si>
    <t>1.33.18.3</t>
  </si>
  <si>
    <t>1.33.18.4</t>
  </si>
  <si>
    <t>1.33.19</t>
  </si>
  <si>
    <t>fg-f0009-0309-mb-p-00003</t>
  </si>
  <si>
    <t>P&amp;ID - CIRCUITO REFRIGERAÇÃO VENTANEIRAS</t>
  </si>
  <si>
    <t>1.33.19.1</t>
  </si>
  <si>
    <t>FG-F0009-0309-MB-P-00003</t>
  </si>
  <si>
    <t>1.33.19.2</t>
  </si>
  <si>
    <t>1.33.19.3</t>
  </si>
  <si>
    <t>1.33.19.4</t>
  </si>
  <si>
    <t>1.33.20</t>
  </si>
  <si>
    <t>fg-f0009-0309-mb-p-00004</t>
  </si>
  <si>
    <t>P&amp;ID - CIRCUITO REFRIGERAÇÃO STAVES LATERAIS</t>
  </si>
  <si>
    <t>1.33.20.1</t>
  </si>
  <si>
    <t>FG-F0009-0309-MB-P-00004</t>
  </si>
  <si>
    <t>1001;1005</t>
  </si>
  <si>
    <t>1.33.20.2</t>
  </si>
  <si>
    <t>1.33.20.3</t>
  </si>
  <si>
    <t>1.33.20.4</t>
  </si>
  <si>
    <t>1.33.21</t>
  </si>
  <si>
    <t>fg-f0009-0309-mb-p-00005</t>
  </si>
  <si>
    <t>P&amp;ID - CIRCUITO REFRIGERAÇÃO STAVES FERRO FUNDIDO</t>
  </si>
  <si>
    <t>1.33.21.1</t>
  </si>
  <si>
    <t>FG-F0009-0309-MB-P-00005</t>
  </si>
  <si>
    <t>1.33.21.2</t>
  </si>
  <si>
    <t>1007;1010IT;1015IT;1020IT;1025IT;1030IT</t>
  </si>
  <si>
    <t>1.33.21.3</t>
  </si>
  <si>
    <t>1.33.21.4</t>
  </si>
  <si>
    <t>1.33.22</t>
  </si>
  <si>
    <t>fg-f0009-0309-mb-p-00006</t>
  </si>
  <si>
    <t>P&amp;ID - CIRCUITO REFRIGERAÇÃO CURTAIN-WALL</t>
  </si>
  <si>
    <t>1.33.22.1</t>
  </si>
  <si>
    <t>FG-F0009-0309-MB-P-00006</t>
  </si>
  <si>
    <t>1006IT</t>
  </si>
  <si>
    <t>1.33.22.2</t>
  </si>
  <si>
    <t>1.33.22.3</t>
  </si>
  <si>
    <t>1.33.22.4</t>
  </si>
  <si>
    <t>1.33.23</t>
  </si>
  <si>
    <t>fg-f0009-0309-mb-p-00007</t>
  </si>
  <si>
    <t>P&amp;ID - CIRCUITO REFRIGERAÇÃO CADINHO</t>
  </si>
  <si>
    <t>1.33.23.1</t>
  </si>
  <si>
    <t>FG-F0009-0309-MB-P-00007</t>
  </si>
  <si>
    <t>1.33.23.2</t>
  </si>
  <si>
    <t>1.33.23.3</t>
  </si>
  <si>
    <t>1.33.23.4</t>
  </si>
  <si>
    <t>1.33.24</t>
  </si>
  <si>
    <t>fg-f0009-0309-mb-p-00008</t>
  </si>
  <si>
    <t>P&amp;ID - CIRCUITO REFRIGERAÇÃO SOLEIRA</t>
  </si>
  <si>
    <t>1.33.24.1</t>
  </si>
  <si>
    <t>FG-F0009-0309-MB-P-00008</t>
  </si>
  <si>
    <t>1021;792</t>
  </si>
  <si>
    <t>1.33.24.2</t>
  </si>
  <si>
    <t>1.33.24.3</t>
  </si>
  <si>
    <t>1.33.24.4</t>
  </si>
  <si>
    <t>1.33.25</t>
  </si>
  <si>
    <t>fg-f0009-0309-mb-p-00009</t>
  </si>
  <si>
    <t>P&amp;ID - FORNO TECNORED</t>
  </si>
  <si>
    <t>1.33.25.1</t>
  </si>
  <si>
    <t>FG-F0009-0309-MB-P-00009</t>
  </si>
  <si>
    <t>1.33.25.2</t>
  </si>
  <si>
    <t>1.33.25.3</t>
  </si>
  <si>
    <t>1.33.25.4</t>
  </si>
  <si>
    <t>1.33.26</t>
  </si>
  <si>
    <t>fg-f0009-0309-mb-p-00010</t>
  </si>
  <si>
    <t>PFD - FORNO PROPRIO</t>
  </si>
  <si>
    <t>1.33.26.1</t>
  </si>
  <si>
    <t>FG-F0009-0309-MB-P-00010</t>
  </si>
  <si>
    <t>1031;1040;1045;1050;1055;1060;1035;644</t>
  </si>
  <si>
    <t>1.33.26.2</t>
  </si>
  <si>
    <t>1.33.26.3</t>
  </si>
  <si>
    <t>1.33.26.4</t>
  </si>
  <si>
    <t>1.33.27</t>
  </si>
  <si>
    <t>ll-f0009-0309-mb-p-00001</t>
  </si>
  <si>
    <t>ÍNDICE DE LINHAS</t>
  </si>
  <si>
    <t>LL - Lista de Linhas</t>
  </si>
  <si>
    <t>1.33.27.1</t>
  </si>
  <si>
    <t>LL-F0009-0309-MB-P-00001</t>
  </si>
  <si>
    <t>1036;545</t>
  </si>
  <si>
    <t>1.33.27.2</t>
  </si>
  <si>
    <t>1.33.27.3</t>
  </si>
  <si>
    <t>1.33.27.4</t>
  </si>
  <si>
    <t>1.33.28</t>
  </si>
  <si>
    <t>mc-f0009-0302-mb-p-00001</t>
  </si>
  <si>
    <t>MEMORIAL DE CÁLCULO - PRÉ DIMENSIONAMENTO CAPACIDADE SISTEMA CARREGAMENTO</t>
  </si>
  <si>
    <t>MC - Memória de Cálculo</t>
  </si>
  <si>
    <t>1.33.28.1</t>
  </si>
  <si>
    <t>MC-F0009-0302-MB-P-00001</t>
  </si>
  <si>
    <t>1.33.28.2</t>
  </si>
  <si>
    <t>1.33.28.3</t>
  </si>
  <si>
    <t>1.33.28.4</t>
  </si>
  <si>
    <t>1.33.29</t>
  </si>
  <si>
    <t>mc-f0009-0309-mb-p-00001</t>
  </si>
  <si>
    <t>28 dias</t>
  </si>
  <si>
    <t>MEMORIAL DE CÁLCULO - ÁGUA INDUSTRIAL E ÁGUA DE PROCESSO (SPRAY DA CARGA)</t>
  </si>
  <si>
    <t>1.33.29.1</t>
  </si>
  <si>
    <t>MC-F0009-0309-MB-P-00001</t>
  </si>
  <si>
    <t>1.33.29.2</t>
  </si>
  <si>
    <t>1.33.29.3</t>
  </si>
  <si>
    <t>1.33.29.4</t>
  </si>
  <si>
    <t>1.33.30</t>
  </si>
  <si>
    <t>mc-f0009-0309-mb-p-00002</t>
  </si>
  <si>
    <t>MEMORIAL DE CÁLCULO - PRÉ DIMENSIONAMENTO DE ÁGUA DE RESFRIAMENTO</t>
  </si>
  <si>
    <t>1.33.30.1</t>
  </si>
  <si>
    <t>MC-F0009-0309-MB-P-00002</t>
  </si>
  <si>
    <t>1.33.30.2</t>
  </si>
  <si>
    <t>1.33.30.3</t>
  </si>
  <si>
    <t>1.33.30.4</t>
  </si>
  <si>
    <t>1.33.31</t>
  </si>
  <si>
    <t>mc-f0009-0309-mb-p-00003</t>
  </si>
  <si>
    <t>BALANÇO TÉRMICO - ÁGUA DE RESFRIAMENTO</t>
  </si>
  <si>
    <t>1.33.31.1</t>
  </si>
  <si>
    <t>MC-F0009-0309-MB-P-00003</t>
  </si>
  <si>
    <t>1.33.31.2</t>
  </si>
  <si>
    <t>1.33.31.3</t>
  </si>
  <si>
    <t>1.33.31.4</t>
  </si>
  <si>
    <t>1.33.32</t>
  </si>
  <si>
    <t>mc-f0009-0309-mb-p-00004</t>
  </si>
  <si>
    <t>MEMORIAL DE CÁLCULO - PRÉ DIMENSIONAMENTO DE NITROGÊNIO</t>
  </si>
  <si>
    <t>1.33.32.1</t>
  </si>
  <si>
    <t>MC-F0009-0309-MB-P-00004</t>
  </si>
  <si>
    <t>1061;1065;1070;1075</t>
  </si>
  <si>
    <t>1.33.32.2</t>
  </si>
  <si>
    <t>1.33.32.3</t>
  </si>
  <si>
    <t>1.33.32.4</t>
  </si>
  <si>
    <t>1.33.33</t>
  </si>
  <si>
    <t>mc-f0009-0309-mb-p-00005</t>
  </si>
  <si>
    <t>MEMORIAL DE CÁLCULO - PRÉ DIMENSIONAMENTO DE OXIGÊNIO</t>
  </si>
  <si>
    <t>1.33.33.1</t>
  </si>
  <si>
    <t>MC-F0009-0309-MB-P-00005</t>
  </si>
  <si>
    <t>1.33.33.2</t>
  </si>
  <si>
    <t>1.33.33.3</t>
  </si>
  <si>
    <t>1.33.33.4</t>
  </si>
  <si>
    <t>1.33.34</t>
  </si>
  <si>
    <t>mc-f0009-0309-mb-p-00006</t>
  </si>
  <si>
    <t>MEMORIAL DE CÁLCULO - DISTRIBUIÇÃO DE ÁGUA POTÁVEL</t>
  </si>
  <si>
    <t>1.33.34.1</t>
  </si>
  <si>
    <t>MC-F0009-0309-MB-P-00006</t>
  </si>
  <si>
    <t>1.33.34.2</t>
  </si>
  <si>
    <t>1.33.34.3</t>
  </si>
  <si>
    <t>1.33.34.4</t>
  </si>
  <si>
    <t>1.33.35</t>
  </si>
  <si>
    <t>mc-f0009-0309-mb-p-00007</t>
  </si>
  <si>
    <t>MEMORIAL DE CÁLCULO - AR COMPRIMIDO</t>
  </si>
  <si>
    <t>1.33.35.1</t>
  </si>
  <si>
    <t>MC-F0009-0309-MB-P-00007</t>
  </si>
  <si>
    <t>1076;457</t>
  </si>
  <si>
    <t>1.33.35.2</t>
  </si>
  <si>
    <t>1.33.35.3</t>
  </si>
  <si>
    <t>1.33.35.4</t>
  </si>
  <si>
    <t>1.33.36</t>
  </si>
  <si>
    <t>md-f0009-0302-mb-p-00001</t>
  </si>
  <si>
    <t>MEMORIAL DESCRITIVO SISTEMA DE CARREGAMENTO</t>
  </si>
  <si>
    <t>1.33.36.1</t>
  </si>
  <si>
    <t>MD-F0009-0302-MB-P-00001</t>
  </si>
  <si>
    <t>1.33.36.2</t>
  </si>
  <si>
    <t>1.33.36.3</t>
  </si>
  <si>
    <t>1.33.36.4</t>
  </si>
  <si>
    <t>1.33.37</t>
  </si>
  <si>
    <t>md-f0009-0309-mb-p-00001</t>
  </si>
  <si>
    <t>MEMORIAL DESCRITIVO DE PROCESSO</t>
  </si>
  <si>
    <t>1.33.37.1</t>
  </si>
  <si>
    <t>MD-F0009-0309-MB-P-00001</t>
  </si>
  <si>
    <t>1.33.37.2</t>
  </si>
  <si>
    <t>1.33.37.3</t>
  </si>
  <si>
    <t>1.33.37.4</t>
  </si>
  <si>
    <t>1.33.38</t>
  </si>
  <si>
    <t>md-f0009-0309-mb-p-00002</t>
  </si>
  <si>
    <t>MEMORIAL DESCRITIVO DE PROCESSO FORNO</t>
  </si>
  <si>
    <t>1.33.38.1</t>
  </si>
  <si>
    <t>MD-F0009-0309-MB-P-00002</t>
  </si>
  <si>
    <t>1.33.38.2</t>
  </si>
  <si>
    <t>1.33.38.3</t>
  </si>
  <si>
    <t>1.33.38.4</t>
  </si>
  <si>
    <t>1.33.39</t>
  </si>
  <si>
    <t>rt-f0009-0309-mb-p-00001</t>
  </si>
  <si>
    <t>ANALISE DO PRELIMINAR ESTRUTURAL DA CARCAÇA FORNO</t>
  </si>
  <si>
    <t>1.33.39.1</t>
  </si>
  <si>
    <t>RT-F0009-0309-MB-P-00001</t>
  </si>
  <si>
    <t>1.33.39.2</t>
  </si>
  <si>
    <t>1.33.39.3</t>
  </si>
  <si>
    <t>1.33.39.4</t>
  </si>
  <si>
    <t>4.2.1.24</t>
  </si>
  <si>
    <t>documentos que não serão revisados</t>
  </si>
  <si>
    <t>1101II</t>
  </si>
  <si>
    <t>5.2.1.23</t>
  </si>
  <si>
    <t>1.36</t>
  </si>
  <si>
    <t>D:\TECNORED\DADOS\F0009\CR-F0009-0000-MB-F-00001.mpp\73II;D:\TECNORED\DADOS\F0009\CR-F0009-0000-MB-F-00001 - 19062026.mpp\99II</t>
  </si>
  <si>
    <t>1.36.1</t>
  </si>
  <si>
    <t>DOCUMENTOS QUE NÃO SERÃO REVISADOS</t>
  </si>
  <si>
    <t>ag-f0005-0309-mb-a-00003</t>
  </si>
  <si>
    <t>NÃO REVISADOS</t>
  </si>
  <si>
    <t>SALA OPERADORES</t>
  </si>
  <si>
    <t>1.36.2</t>
  </si>
  <si>
    <t>ag-f0005-0309-mb-a-00004</t>
  </si>
  <si>
    <t>VESTIÁRIO / SANITÁRIO</t>
  </si>
  <si>
    <t>1.36.3</t>
  </si>
  <si>
    <t>ag-f0005-0309-mb-a-00005</t>
  </si>
  <si>
    <t>1.36.4</t>
  </si>
  <si>
    <t>mc-f0005-0309-mb-c-00001</t>
  </si>
  <si>
    <t>PRÉ-DIMENSIONAMENTO DE CONCRETO FUNDAÇÃO FORNO</t>
  </si>
  <si>
    <t>1.36.5</t>
  </si>
  <si>
    <t>mc-f0005-0309-mb-c-00002</t>
  </si>
  <si>
    <t>PRÉ-DIMENSIONAMENTO DE CONCRETO TORRE DE RESFRIAMENTO</t>
  </si>
  <si>
    <t>1.36.6</t>
  </si>
  <si>
    <t>mc-f0005-0309-mb-c-00003</t>
  </si>
  <si>
    <t>PRÉ-DIMENSIONAMENTO DE CONCRETO SALA ELÉTRICA</t>
  </si>
  <si>
    <t>1.36.7</t>
  </si>
  <si>
    <t>mc-f0005-0309-mb-c-00004</t>
  </si>
  <si>
    <t>PRÉ-DIMENSIONAMENTO DE CONCRETO SALA OPERADORES</t>
  </si>
  <si>
    <t>1.36.8</t>
  </si>
  <si>
    <t>mc-f0005-0309-mb-c-00005</t>
  </si>
  <si>
    <t>PRÉ-DIMENSIONAMENTO DE CONCRETO PIPE RACK</t>
  </si>
  <si>
    <t>1.36.9</t>
  </si>
  <si>
    <t>oi-f0005-0309-mb-g-00001</t>
  </si>
  <si>
    <t>ESTIMATIVA DE CUSTO MONTAGEM ELÉTRICA</t>
  </si>
  <si>
    <t>1.36.10</t>
  </si>
  <si>
    <t>oi-f0005-0309-mb-g-00002</t>
  </si>
  <si>
    <t>ESTIMATIVA DE CUSTO INSTRUMENTAÇÃO</t>
  </si>
  <si>
    <t>1.36.11</t>
  </si>
  <si>
    <t>px-f0005-0309-mb-g-00001</t>
  </si>
  <si>
    <t>PLANILHA CAPEX</t>
  </si>
  <si>
    <t>1.36.12</t>
  </si>
  <si>
    <t>md-f0005-0309-mb-g-00001</t>
  </si>
  <si>
    <t>MEMORIAL DESCRITIVO - DADOS PARA PREENCHIMENTO DO MCE</t>
  </si>
  <si>
    <t>1.36.13</t>
  </si>
  <si>
    <t>fd-f0005-0309-mb-j-00001</t>
  </si>
  <si>
    <t>FOLHA DE DADOS MEDIDORES ELETROMAGNÉTICOS</t>
  </si>
  <si>
    <t>1.36.14</t>
  </si>
  <si>
    <t>fd-f0005-0309-mb-j-00010</t>
  </si>
  <si>
    <t>FOLHA DE DADOS RADAR TYPE LEVEL TRANSMITTER</t>
  </si>
  <si>
    <t>1.36.15</t>
  </si>
  <si>
    <t>fd-f0005-0309-mb-j-00011</t>
  </si>
  <si>
    <t>FOLHA DE DADOS TEMPERATURE TRANSMITTER</t>
  </si>
  <si>
    <t>1.36.16</t>
  </si>
  <si>
    <t>fd-f0005-0309-mb-j-00014</t>
  </si>
  <si>
    <t>FOLHA DE DADOS ROTAMETER WITH TRANSMITTER</t>
  </si>
  <si>
    <t>1.36.17</t>
  </si>
  <si>
    <t>fd-f0005-0309-mb-j-00015</t>
  </si>
  <si>
    <t>FOLHA DE DADOS MAGNETOSTRICTIVE LEVEL TRANSMITTER</t>
  </si>
  <si>
    <t>1.36.18</t>
  </si>
  <si>
    <t>fd-f0005-0309-mb-j-00017</t>
  </si>
  <si>
    <t>FOLHA DE DADOS ULTRASONIC LEVEL SWITCH</t>
  </si>
  <si>
    <t>1.36.19</t>
  </si>
  <si>
    <t>fd-f0005-0309-mb-j-00022</t>
  </si>
  <si>
    <t>FOLHA DE DADOS ULTRASONIC LEVEL TRANSMITTER</t>
  </si>
  <si>
    <t>1.36.20</t>
  </si>
  <si>
    <t>fd-f0005-0309-mb-j-00023</t>
  </si>
  <si>
    <t>FOLHA DE DADOS ROTAMETER</t>
  </si>
  <si>
    <t>1.36.21</t>
  </si>
  <si>
    <t>fd-f0005-0309-mb-j-00024</t>
  </si>
  <si>
    <t>FOLHA DE DADOS ULTRASONIC LEVEL GAUGE</t>
  </si>
  <si>
    <t>1.36.22</t>
  </si>
  <si>
    <t>et-f0005-0309-mb-j-00001</t>
  </si>
  <si>
    <t>ESPECIFICAÇÃO TÉCNICA ANALIZADOR</t>
  </si>
  <si>
    <t>1.36.23</t>
  </si>
  <si>
    <t>et-f0005-0309-mb-j-00002</t>
  </si>
  <si>
    <t>ESPECIFICAÇÃO TÉCNICA SISTEMA DE CONTROLE</t>
  </si>
  <si>
    <t>1.36.24</t>
  </si>
  <si>
    <t>ac-f0005-0309-mb-j-00001</t>
  </si>
  <si>
    <t>ARQUITETURA DE REDE</t>
  </si>
  <si>
    <t>1.36.25</t>
  </si>
  <si>
    <t>fd-f0005-0300-mb-j-00001</t>
  </si>
  <si>
    <t>FOLHAS DE DADOS DIFFERENTIAL PRESSURE TRANSMITTER</t>
  </si>
  <si>
    <t>1.36.26</t>
  </si>
  <si>
    <t>fd-f0005-0300-mb-j-00002</t>
  </si>
  <si>
    <t>FOLHA DE DADOSTEMPERATURE SENSOR</t>
  </si>
  <si>
    <t>1.36.27</t>
  </si>
  <si>
    <t>fd-f0005-0300-mb-j-00003</t>
  </si>
  <si>
    <t>FOLHA DE DADOS PRESSURE GAUGE</t>
  </si>
  <si>
    <t>1.36.28</t>
  </si>
  <si>
    <t>fd-f0005-0300-mb-j-00004</t>
  </si>
  <si>
    <t>FOLHA DE DADOS ORIFICE PLATE</t>
  </si>
  <si>
    <t>1.36.29</t>
  </si>
  <si>
    <t>fd-f0005-0300-mb-j-00005</t>
  </si>
  <si>
    <t>FOLHA DE DADOS PRESSURE REGULATOR</t>
  </si>
  <si>
    <t>1.36.30</t>
  </si>
  <si>
    <t>fd-f0005-0300-mb-j-00006</t>
  </si>
  <si>
    <t>FOLHA DE DADOS VORTEX TRANSMITTER</t>
  </si>
  <si>
    <t>1.36.31</t>
  </si>
  <si>
    <t>fd-f0005-0300-mb-j-00007</t>
  </si>
  <si>
    <t>FOLHA DE DADOS PNEUMATIC ACTUATED BUTTERFLY VALVE</t>
  </si>
  <si>
    <t>1.36.32</t>
  </si>
  <si>
    <t>fd-f0005-0300-mb-j-00008</t>
  </si>
  <si>
    <t>FOLHAS DE DADOS PRESSURE AND LEVEL TRANSMITTER</t>
  </si>
  <si>
    <t>1.36.33</t>
  </si>
  <si>
    <t>fd-f0005-0300-mb-j-00009</t>
  </si>
  <si>
    <t>FOLHA DE DADOS PNEUMATIC ACTUATED BALL VALVE</t>
  </si>
  <si>
    <t>1.36.34</t>
  </si>
  <si>
    <t>ag-f0005-0309-mb-g-00001</t>
  </si>
  <si>
    <t>PLANTA E CORTES DE LEGALIZAÇÃO - IMPLANTAÇÃO PARCIAL</t>
  </si>
  <si>
    <t>1.36.35</t>
  </si>
  <si>
    <t>ag-f0005-0309-mb-g-00002</t>
  </si>
  <si>
    <t>PLANTA E CORTES DE LEGALIZAÇÃO - PLANTA NÍVEL 0,00m / +3,224m</t>
  </si>
  <si>
    <t>1.36.36</t>
  </si>
  <si>
    <t>ag-f0005-0309-mb-g-00003</t>
  </si>
  <si>
    <t>"PLANTA E CORTES DE LEGALIZAÇÃO - CORTES A-A, B-B, C-C, D-D E</t>
  </si>
  <si>
    <t>1.36.37</t>
  </si>
  <si>
    <t>rt-f0005-0302-mb-l-00002</t>
  </si>
  <si>
    <t>PLANO DE CARGA NIVEL CORREIA REVERSIVEL E MOVEL</t>
  </si>
  <si>
    <t>1.36.38</t>
  </si>
  <si>
    <t>rt-f0005-0302-mb-l-00003</t>
  </si>
  <si>
    <t>PLANO DE CARGA NIVEL SILOS DE PROCESSO</t>
  </si>
  <si>
    <t>1.36.39</t>
  </si>
  <si>
    <t>rt-f0005-0302-mb-l-00004</t>
  </si>
  <si>
    <t>PLANO DE CARGA NIVEL SILOS DE BUFFER</t>
  </si>
  <si>
    <t>1.36.40</t>
  </si>
  <si>
    <t>rt-f0005-0302-mb-l-00005</t>
  </si>
  <si>
    <t>PLANO DE CARGA SUPORTES TUBULACAO BAR</t>
  </si>
  <si>
    <t>1.36.41</t>
  </si>
  <si>
    <t>rt-f0005-0302-mb-l-00006</t>
  </si>
  <si>
    <t>PLANO DE CARGA SUPORTES TUBULACAO COMBUSTIVEL LATERAL</t>
  </si>
  <si>
    <t>1.36.42</t>
  </si>
  <si>
    <t>rt-f0005-0302-mb-l-00007</t>
  </si>
  <si>
    <t>PLANO DE CARGA SUPORTES TUBULACAO BOOSTER</t>
  </si>
  <si>
    <t>1.36.43</t>
  </si>
  <si>
    <t>dt-f0005-0309-mb-l-00020</t>
  </si>
  <si>
    <t>VÁLVULA DE ISOLAMENTO DE GÁS DO TOPO</t>
  </si>
  <si>
    <t>1.36.44</t>
  </si>
  <si>
    <t>oi-f0005-0309-mb-m-00001</t>
  </si>
  <si>
    <t>ESTIMATIVA DE CUSTOS EQUIPAMENTOS UTILIDADES</t>
  </si>
  <si>
    <t>1.36.45</t>
  </si>
  <si>
    <t>rt-f0005-0309-mb-p-00002</t>
  </si>
  <si>
    <t>ANÁLISE DO PRELIMINAR ESTRUTURAL DA CARCAÇA FORNO</t>
  </si>
  <si>
    <t>1.36.46</t>
  </si>
  <si>
    <t>rt-f0005-0309-mb-p-00003</t>
  </si>
  <si>
    <t>SIMULAÇOES TERMICAS PARA SISTEMA REFRIGERACAO E REFRATARIOS</t>
  </si>
  <si>
    <t>1.36.47</t>
  </si>
  <si>
    <t>mc-f0005-0309-mb-s-00001</t>
  </si>
  <si>
    <t>MEMÓRIA DE CÁLCULO DE METÁLICA PLAFATORMA FILTRO</t>
  </si>
  <si>
    <t>1.36.48</t>
  </si>
  <si>
    <t>mc-f0005-0309-mb-s-00002</t>
  </si>
  <si>
    <t>MEMÓRIA DE CÁLCULO DE METÁLICA SALA OPERADORES</t>
  </si>
  <si>
    <t>1.36.49</t>
  </si>
  <si>
    <t>fd-f0005-0309-mb-t-00001</t>
  </si>
  <si>
    <t>FOLHA DE DADOS JUNTAS DE EXPANSÃO</t>
  </si>
  <si>
    <t>1.36.50</t>
  </si>
  <si>
    <t>fd-f0005-0309-mb-t-00002</t>
  </si>
  <si>
    <t>FOLHA DE DADOS SUPORTE DE MOLAS</t>
  </si>
  <si>
    <t>1.36.51</t>
  </si>
  <si>
    <t>cp-f0005-0309-mb-s-00001</t>
  </si>
  <si>
    <t>1.36.52</t>
  </si>
  <si>
    <t>dt-f0005-0309-mb-e-00001</t>
  </si>
  <si>
    <t>1.36.53</t>
  </si>
  <si>
    <t>le-f0009-0309-mb-m-00002</t>
  </si>
  <si>
    <t>1.36.54</t>
  </si>
  <si>
    <t>mc-f0009-0309-mb-e-00001</t>
  </si>
  <si>
    <t>1.36.55</t>
  </si>
  <si>
    <t>mc-f0009-0309-mb-e-00002</t>
  </si>
  <si>
    <t>1.36.56</t>
  </si>
  <si>
    <t>mc-f0009-0309-mb-e-00003</t>
  </si>
  <si>
    <t>1.36.57</t>
  </si>
  <si>
    <t>mc-f0009-0309-mb-s-00001</t>
  </si>
  <si>
    <t>1.36.58</t>
  </si>
  <si>
    <t>pl-f0009-0309-mb-s-00001</t>
  </si>
  <si>
    <t>1.36.59</t>
  </si>
  <si>
    <t>1.36.60</t>
  </si>
  <si>
    <t>rt-f0005-0309-mb-t-00001</t>
  </si>
  <si>
    <t>1.36.61</t>
  </si>
  <si>
    <t>rt-f0005-0309-mb-t-00002</t>
  </si>
  <si>
    <t>Número de documentos listados</t>
  </si>
  <si>
    <t>Aderência do modelo (%)</t>
  </si>
  <si>
    <t>%EI</t>
  </si>
  <si>
    <t>%AP</t>
  </si>
  <si>
    <t>Total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</si>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</sst>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%"/>
    <numFmt numFmtId="166" formatCode="[$-409]dd\-mmm\-yy;@"/>
    <numFmt numFmtId="167" formatCode="[$-409]d\-mmm\-yy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5"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Concluídas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Resumo!$A$4:$A$14</c:f>
              <c:strCache>
                <c:ptCount val="11"/>
                <c:pt idx="0">
                  <c:v>ARQUITETURA</c:v>
                </c:pt>
                <c:pt idx="1">
                  <c:v>AUTOMAÇÃO E INSTRUMENTAÇÃO</c:v>
                </c:pt>
                <c:pt idx="2">
                  <c:v>CIVIL</c:v>
                </c:pt>
                <c:pt idx="3">
                  <c:v>COORDENAÇÃO</c:v>
                </c:pt>
                <c:pt idx="4">
                  <c:v>ELÉTRICA</c:v>
                </c:pt>
                <c:pt idx="5">
                  <c:v>MARCOS</c:v>
                </c:pt>
                <c:pt idx="6">
                  <c:v>MECÂNICA</c:v>
                </c:pt>
                <c:pt idx="7">
                  <c:v>NÃO REVISADOS</c:v>
                </c:pt>
                <c:pt idx="8">
                  <c:v>PENDÊNCIAS</c:v>
                </c:pt>
                <c:pt idx="9">
                  <c:v>PROCESSO</c:v>
                </c:pt>
                <c:pt idx="10">
                  <c:v>TUBULAÇÃO / UTILIDADES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6</c:v>
                </c:pt>
                <c:pt idx="1">
                  <c:v>33</c:v>
                </c:pt>
                <c:pt idx="2">
                  <c:v>1</c:v>
                </c:pt>
                <c:pt idx="3">
                  <c:v>5</c:v>
                </c:pt>
                <c:pt idx="4">
                  <c:v>19</c:v>
                </c:pt>
                <c:pt idx="5">
                  <c:v>0</c:v>
                </c:pt>
                <c:pt idx="6">
                  <c:v>97</c:v>
                </c:pt>
                <c:pt idx="7">
                  <c:v>0</c:v>
                </c:pt>
                <c:pt idx="8">
                  <c:v>0</c:v>
                </c:pt>
                <c:pt idx="9">
                  <c:v>39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2-44E9-BD87-85C20AE6047A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Resumo!$A$4:$A$14</c:f>
              <c:strCache>
                <c:ptCount val="11"/>
                <c:pt idx="0">
                  <c:v>ARQUITETURA</c:v>
                </c:pt>
                <c:pt idx="1">
                  <c:v>AUTOMAÇÃO E INSTRUMENTAÇÃO</c:v>
                </c:pt>
                <c:pt idx="2">
                  <c:v>CIVIL</c:v>
                </c:pt>
                <c:pt idx="3">
                  <c:v>COORDENAÇÃO</c:v>
                </c:pt>
                <c:pt idx="4">
                  <c:v>ELÉTRICA</c:v>
                </c:pt>
                <c:pt idx="5">
                  <c:v>MARCOS</c:v>
                </c:pt>
                <c:pt idx="6">
                  <c:v>MECÂNICA</c:v>
                </c:pt>
                <c:pt idx="7">
                  <c:v>NÃO REVISADOS</c:v>
                </c:pt>
                <c:pt idx="8">
                  <c:v>PENDÊNCIAS</c:v>
                </c:pt>
                <c:pt idx="9">
                  <c:v>PROCESSO</c:v>
                </c:pt>
                <c:pt idx="10">
                  <c:v>TUBULAÇÃO / UTILIDADES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2-44E9-BD87-85C20AE60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Atrasadas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Resumo!$A$21:$A$31</c:f>
              <c:strCache>
                <c:ptCount val="11"/>
                <c:pt idx="0">
                  <c:v>ARQUITETURA</c:v>
                </c:pt>
                <c:pt idx="1">
                  <c:v>AUTOMAÇÃO E INSTRUMENTAÇÃO</c:v>
                </c:pt>
                <c:pt idx="2">
                  <c:v>CIVIL</c:v>
                </c:pt>
                <c:pt idx="3">
                  <c:v>COORDENAÇÃO</c:v>
                </c:pt>
                <c:pt idx="4">
                  <c:v>ELÉTRICA</c:v>
                </c:pt>
                <c:pt idx="5">
                  <c:v>MARCOS</c:v>
                </c:pt>
                <c:pt idx="6">
                  <c:v>MECÂNICA</c:v>
                </c:pt>
                <c:pt idx="7">
                  <c:v>NÃO REVISADOS</c:v>
                </c:pt>
                <c:pt idx="8">
                  <c:v>PENDÊNCIAS</c:v>
                </c:pt>
                <c:pt idx="9">
                  <c:v>PROCESSO</c:v>
                </c:pt>
                <c:pt idx="10">
                  <c:v>TUBULAÇÃO / UTILIDADES</c:v>
                </c:pt>
              </c:strCache>
            </c:strRef>
          </c:cat>
          <c:val>
            <c:numRef>
              <c:f>Resumo!$B$21:$B$31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A-4F79-86DE-080F00A3BD41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Resumo!$A$21:$A$31</c:f>
              <c:strCache>
                <c:ptCount val="11"/>
                <c:pt idx="0">
                  <c:v>ARQUITETURA</c:v>
                </c:pt>
                <c:pt idx="1">
                  <c:v>AUTOMAÇÃO E INSTRUMENTAÇÃO</c:v>
                </c:pt>
                <c:pt idx="2">
                  <c:v>CIVIL</c:v>
                </c:pt>
                <c:pt idx="3">
                  <c:v>COORDENAÇÃO</c:v>
                </c:pt>
                <c:pt idx="4">
                  <c:v>ELÉTRICA</c:v>
                </c:pt>
                <c:pt idx="5">
                  <c:v>MARCOS</c:v>
                </c:pt>
                <c:pt idx="6">
                  <c:v>MECÂNICA</c:v>
                </c:pt>
                <c:pt idx="7">
                  <c:v>NÃO REVISADOS</c:v>
                </c:pt>
                <c:pt idx="8">
                  <c:v>PENDÊNCIAS</c:v>
                </c:pt>
                <c:pt idx="9">
                  <c:v>PROCESSO</c:v>
                </c:pt>
                <c:pt idx="10">
                  <c:v>TUBULAÇÃO / UTILIDADES</c:v>
                </c:pt>
              </c:strCache>
            </c:strRef>
          </c:cat>
          <c:val>
            <c:numRef>
              <c:f>Resumo!$C$21:$C$31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FA-4F79-86DE-080F00A3BD41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Resumo!$A$21:$A$31</c:f>
              <c:strCache>
                <c:ptCount val="11"/>
                <c:pt idx="0">
                  <c:v>ARQUITETURA</c:v>
                </c:pt>
                <c:pt idx="1">
                  <c:v>AUTOMAÇÃO E INSTRUMENTAÇÃO</c:v>
                </c:pt>
                <c:pt idx="2">
                  <c:v>CIVIL</c:v>
                </c:pt>
                <c:pt idx="3">
                  <c:v>COORDENAÇÃO</c:v>
                </c:pt>
                <c:pt idx="4">
                  <c:v>ELÉTRICA</c:v>
                </c:pt>
                <c:pt idx="5">
                  <c:v>MARCOS</c:v>
                </c:pt>
                <c:pt idx="6">
                  <c:v>MECÂNICA</c:v>
                </c:pt>
                <c:pt idx="7">
                  <c:v>NÃO REVISADOS</c:v>
                </c:pt>
                <c:pt idx="8">
                  <c:v>PENDÊNCIAS</c:v>
                </c:pt>
                <c:pt idx="9">
                  <c:v>PROCESSO</c:v>
                </c:pt>
                <c:pt idx="10">
                  <c:v>TUBULAÇÃO / UTILIDADES</c:v>
                </c:pt>
              </c:strCache>
            </c:strRef>
          </c:cat>
          <c:val>
            <c:numRef>
              <c:f>Resumo!$D$21:$D$31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FA-4F79-86DE-080F00A3BD41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Resumo!$A$21:$A$31</c:f>
              <c:strCache>
                <c:ptCount val="11"/>
                <c:pt idx="0">
                  <c:v>ARQUITETURA</c:v>
                </c:pt>
                <c:pt idx="1">
                  <c:v>AUTOMAÇÃO E INSTRUMENTAÇÃO</c:v>
                </c:pt>
                <c:pt idx="2">
                  <c:v>CIVIL</c:v>
                </c:pt>
                <c:pt idx="3">
                  <c:v>COORDENAÇÃO</c:v>
                </c:pt>
                <c:pt idx="4">
                  <c:v>ELÉTRICA</c:v>
                </c:pt>
                <c:pt idx="5">
                  <c:v>MARCOS</c:v>
                </c:pt>
                <c:pt idx="6">
                  <c:v>MECÂNICA</c:v>
                </c:pt>
                <c:pt idx="7">
                  <c:v>NÃO REVISADOS</c:v>
                </c:pt>
                <c:pt idx="8">
                  <c:v>PENDÊNCIAS</c:v>
                </c:pt>
                <c:pt idx="9">
                  <c:v>PROCESSO</c:v>
                </c:pt>
                <c:pt idx="10">
                  <c:v>TUBULAÇÃO / UTILIDADES</c:v>
                </c:pt>
              </c:strCache>
            </c:strRef>
          </c:cat>
          <c:val>
            <c:numRef>
              <c:f>Resumo!$E$21:$E$31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FA-4F79-86DE-080F00A3B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Acompanhamento Emissão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'Curva S'!$B$2:$B$195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3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25</c:v>
                </c:pt>
                <c:pt idx="124">
                  <c:v>0</c:v>
                </c:pt>
                <c:pt idx="125">
                  <c:v>10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10</c:v>
                </c:pt>
                <c:pt idx="138">
                  <c:v>0</c:v>
                </c:pt>
                <c:pt idx="139">
                  <c:v>19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</c:v>
                </c:pt>
                <c:pt idx="152">
                  <c:v>0</c:v>
                </c:pt>
                <c:pt idx="153">
                  <c:v>11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12</c:v>
                </c:pt>
                <c:pt idx="159">
                  <c:v>4</c:v>
                </c:pt>
                <c:pt idx="160">
                  <c:v>24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5</c:v>
                </c:pt>
                <c:pt idx="165">
                  <c:v>30</c:v>
                </c:pt>
                <c:pt idx="166">
                  <c:v>0</c:v>
                </c:pt>
                <c:pt idx="167">
                  <c:v>10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</c:v>
                </c:pt>
                <c:pt idx="173">
                  <c:v>0</c:v>
                </c:pt>
                <c:pt idx="174">
                  <c:v>3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4</c:v>
                </c:pt>
                <c:pt idx="179">
                  <c:v>4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1-4899-BA27-3C6AFAD94E7D}"/>
            </c:ext>
          </c:extLst>
        </c:ser>
        <c:ser>
          <c:idx val="1"/>
          <c:order val="1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'Curva S'!$D$2:$D$195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1-4899-BA27-3C6AFAD94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"/>
        <c:axId val="100"/>
      </c:barChart>
      <c:lineChart>
        <c:grouping val="standard"/>
        <c:varyColors val="1"/>
        <c:ser>
          <c:idx val="2"/>
          <c:order val="2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val>
            <c:numRef>
              <c:f>'Curva S'!$C$2:$C$195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16</c:v>
                </c:pt>
                <c:pt idx="117">
                  <c:v>17</c:v>
                </c:pt>
                <c:pt idx="118">
                  <c:v>17</c:v>
                </c:pt>
                <c:pt idx="119">
                  <c:v>17</c:v>
                </c:pt>
                <c:pt idx="120">
                  <c:v>17</c:v>
                </c:pt>
                <c:pt idx="121">
                  <c:v>17</c:v>
                </c:pt>
                <c:pt idx="122">
                  <c:v>17</c:v>
                </c:pt>
                <c:pt idx="123">
                  <c:v>42</c:v>
                </c:pt>
                <c:pt idx="124">
                  <c:v>42</c:v>
                </c:pt>
                <c:pt idx="125">
                  <c:v>52</c:v>
                </c:pt>
                <c:pt idx="126">
                  <c:v>52</c:v>
                </c:pt>
                <c:pt idx="127">
                  <c:v>52</c:v>
                </c:pt>
                <c:pt idx="128">
                  <c:v>52</c:v>
                </c:pt>
                <c:pt idx="129">
                  <c:v>52</c:v>
                </c:pt>
                <c:pt idx="130">
                  <c:v>52</c:v>
                </c:pt>
                <c:pt idx="131">
                  <c:v>52</c:v>
                </c:pt>
                <c:pt idx="132">
                  <c:v>52</c:v>
                </c:pt>
                <c:pt idx="133">
                  <c:v>52</c:v>
                </c:pt>
                <c:pt idx="134">
                  <c:v>52</c:v>
                </c:pt>
                <c:pt idx="135">
                  <c:v>52</c:v>
                </c:pt>
                <c:pt idx="136">
                  <c:v>52</c:v>
                </c:pt>
                <c:pt idx="137">
                  <c:v>62</c:v>
                </c:pt>
                <c:pt idx="138">
                  <c:v>62</c:v>
                </c:pt>
                <c:pt idx="139">
                  <c:v>81</c:v>
                </c:pt>
                <c:pt idx="140">
                  <c:v>81</c:v>
                </c:pt>
                <c:pt idx="141">
                  <c:v>81</c:v>
                </c:pt>
                <c:pt idx="142">
                  <c:v>81</c:v>
                </c:pt>
                <c:pt idx="143">
                  <c:v>81</c:v>
                </c:pt>
                <c:pt idx="144">
                  <c:v>89</c:v>
                </c:pt>
                <c:pt idx="145">
                  <c:v>89</c:v>
                </c:pt>
                <c:pt idx="146">
                  <c:v>89</c:v>
                </c:pt>
                <c:pt idx="147">
                  <c:v>89</c:v>
                </c:pt>
                <c:pt idx="148">
                  <c:v>89</c:v>
                </c:pt>
                <c:pt idx="149">
                  <c:v>89</c:v>
                </c:pt>
                <c:pt idx="150">
                  <c:v>89</c:v>
                </c:pt>
                <c:pt idx="151">
                  <c:v>99</c:v>
                </c:pt>
                <c:pt idx="152">
                  <c:v>99</c:v>
                </c:pt>
                <c:pt idx="153">
                  <c:v>110</c:v>
                </c:pt>
                <c:pt idx="154">
                  <c:v>110</c:v>
                </c:pt>
                <c:pt idx="155">
                  <c:v>110</c:v>
                </c:pt>
                <c:pt idx="156">
                  <c:v>110</c:v>
                </c:pt>
                <c:pt idx="157">
                  <c:v>110</c:v>
                </c:pt>
                <c:pt idx="158">
                  <c:v>122</c:v>
                </c:pt>
                <c:pt idx="159">
                  <c:v>126</c:v>
                </c:pt>
                <c:pt idx="160">
                  <c:v>150</c:v>
                </c:pt>
                <c:pt idx="161">
                  <c:v>150</c:v>
                </c:pt>
                <c:pt idx="162">
                  <c:v>150</c:v>
                </c:pt>
                <c:pt idx="163">
                  <c:v>150</c:v>
                </c:pt>
                <c:pt idx="164">
                  <c:v>155</c:v>
                </c:pt>
                <c:pt idx="165">
                  <c:v>185</c:v>
                </c:pt>
                <c:pt idx="166">
                  <c:v>185</c:v>
                </c:pt>
                <c:pt idx="167">
                  <c:v>195</c:v>
                </c:pt>
                <c:pt idx="168">
                  <c:v>195</c:v>
                </c:pt>
                <c:pt idx="169">
                  <c:v>195</c:v>
                </c:pt>
                <c:pt idx="170">
                  <c:v>195</c:v>
                </c:pt>
                <c:pt idx="171">
                  <c:v>195</c:v>
                </c:pt>
                <c:pt idx="172">
                  <c:v>198</c:v>
                </c:pt>
                <c:pt idx="173">
                  <c:v>198</c:v>
                </c:pt>
                <c:pt idx="174">
                  <c:v>201</c:v>
                </c:pt>
                <c:pt idx="175">
                  <c:v>202</c:v>
                </c:pt>
                <c:pt idx="176">
                  <c:v>202</c:v>
                </c:pt>
                <c:pt idx="177">
                  <c:v>202</c:v>
                </c:pt>
                <c:pt idx="178">
                  <c:v>206</c:v>
                </c:pt>
                <c:pt idx="179">
                  <c:v>210</c:v>
                </c:pt>
                <c:pt idx="180">
                  <c:v>210</c:v>
                </c:pt>
                <c:pt idx="181">
                  <c:v>210</c:v>
                </c:pt>
                <c:pt idx="182">
                  <c:v>210</c:v>
                </c:pt>
                <c:pt idx="183">
                  <c:v>210</c:v>
                </c:pt>
                <c:pt idx="184">
                  <c:v>210</c:v>
                </c:pt>
                <c:pt idx="185">
                  <c:v>210</c:v>
                </c:pt>
                <c:pt idx="186">
                  <c:v>210</c:v>
                </c:pt>
                <c:pt idx="187">
                  <c:v>210</c:v>
                </c:pt>
                <c:pt idx="188">
                  <c:v>210</c:v>
                </c:pt>
                <c:pt idx="189">
                  <c:v>210</c:v>
                </c:pt>
                <c:pt idx="190">
                  <c:v>210</c:v>
                </c:pt>
                <c:pt idx="191">
                  <c:v>210</c:v>
                </c:pt>
                <c:pt idx="192">
                  <c:v>210</c:v>
                </c:pt>
                <c:pt idx="193">
                  <c:v>210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991-4899-BA27-3C6AFAD94E7D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val>
            <c:numRef>
              <c:f>'Curva S'!$E$2:$E$195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991-4899-BA27-3C6AFAD94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500"/>
        <c:scaling>
          <c:orientation val="minMax"/>
        </c:scaling>
        <c:delete val="1"/>
        <c:axPos val="b"/>
        <c:numFmt formatCode="dd/mm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6A4EA0-DDFB-4D59-A855-8377BA77E496}" name="Tabela3" displayName="Tabela3" ref="A1:AM1163" totalsRowShown="0">
  <autoFilter ref="A1:AM1163" xr:uid="{E36A4EA0-DDFB-4D59-A855-8377BA77E496}">
    <filterColumn colId="6">
      <customFilters>
        <customFilter operator="lessThan" val="46206"/>
      </customFilters>
    </filterColumn>
  </autoFilter>
  <tableColumns count="39">
    <tableColumn id="1" xr3:uid="{C38BC36B-D98B-4FC7-AAC7-45EA1B0FE52A}" name="Id"/>
    <tableColumn id="2" xr3:uid="{4CACC070-CC04-4678-BD0E-CD09D148DBFC}" name="EDT"/>
    <tableColumn id="3" xr3:uid="{289B75AB-04F8-4439-BC60-B8D65924D2C2}" name="Nome do Resumo da Tarefa"/>
    <tableColumn id="4" xr3:uid="{914F77B9-9BD0-4674-B9E7-2DC4C90A293D}" name="Nome da Tarefa"/>
    <tableColumn id="5" xr3:uid="{54374BAF-8606-4EBF-A38F-B87CB633A9FD}" name="% concluída"/>
    <tableColumn id="6" xr3:uid="{26188383-2273-45C4-BE49-7D76BEB2073A}" name="Início" dataDxfId="13"/>
    <tableColumn id="7" xr3:uid="{7ABA8052-A92D-408E-B8C2-AE36808439F7}" name="Término" dataDxfId="12"/>
    <tableColumn id="8" xr3:uid="{0BBA583F-D554-47E4-B56E-CF0B6E3678DD}" name="Status"/>
    <tableColumn id="9" xr3:uid="{7F8CF3F1-5A5E-4DF4-8BB4-87534FAAF744}" name="Duração"/>
    <tableColumn id="10" xr3:uid="{6E107E1F-AC2D-4D9F-AE3B-B4F0660B6205}" name="Sprint"/>
    <tableColumn id="11" xr3:uid="{967FC19C-CC60-4738-9024-D2BA4681B188}" name="Início_LB_R0" dataDxfId="11"/>
    <tableColumn id="12" xr3:uid="{09BEFF5C-4C6D-4978-B3C1-DE67273F80D9}" name="Término_LB_R0" dataDxfId="10"/>
    <tableColumn id="13" xr3:uid="{35259213-BE7B-4992-97F6-61EFADB280CB}" name="Término da linha de base" dataDxfId="9"/>
    <tableColumn id="14" xr3:uid="{4987FFF3-84CE-40EE-8C02-9CF85DC74080}" name="Predecessoras"/>
    <tableColumn id="15" xr3:uid="{DAE85DCF-B675-475E-8A50-D42080C66DB0}" name="Agrupamento Cecal"/>
    <tableColumn id="16" xr3:uid="{F9C54CB4-67ED-4B49-A00F-98948351097B}" name="Sucessoras"/>
    <tableColumn id="17" xr3:uid="{A8A33D72-4884-4C70-80A9-AAFAC937DB5E}" name="Disciplina"/>
    <tableColumn id="18" xr3:uid="{E6291320-B0FB-4838-9AD0-A7812333962A}" name="Título"/>
    <tableColumn id="19" xr3:uid="{F4284339-BAAA-4CDB-95CE-11FEF223A6E9}" name="Observações"/>
    <tableColumn id="20" xr3:uid="{58EAEB27-50F5-4932-8C23-80A31B940040}" name="Nomes dos recursos"/>
    <tableColumn id="21" xr3:uid="{5DA1A3C7-DA9B-4673-A706-D3701E819473}" name="Tipo de documento"/>
    <tableColumn id="22" xr3:uid="{14982DAB-9D2E-4339-A2ED-D60407259ACB}" name="Área"/>
    <tableColumn id="23" xr3:uid="{67ACFE26-0308-4BF5-A84A-379CE6C5D007}" name="Sub-área"/>
    <tableColumn id="24" xr3:uid="{4DC9B628-9436-47BC-A205-F8018B88649C}" name="Formato"/>
    <tableColumn id="25" xr3:uid="{E84F91E9-476F-4596-AEAA-A62DDDD35CC8}" name="Quantidade"/>
    <tableColumn id="26" xr3:uid="{525B97EB-6441-4898-B569-88B099707AD1}" name="Crítica"/>
    <tableColumn id="27" xr3:uid="{77A716B4-030B-4187-B7A1-13A00A414864}" name="Comparação"/>
    <tableColumn id="28" xr3:uid="{E15E6CD1-B083-495F-9A0C-308BD6AE95F6}" name="pct_val"/>
    <tableColumn id="29" xr3:uid="{636E3299-03F2-4C5C-9C80-D55EC5B069E2}" name="Emissão inicial total"/>
    <tableColumn id="30" xr3:uid="{30CA581E-5CF3-4B68-B4E7-0932D20A22C5}" name="Emissão inicial concluída"/>
    <tableColumn id="31" xr3:uid="{91B7E50C-FE2E-410A-BEEC-C5FC18F00F05}" name="Emissão Inicial Atrasada"/>
    <tableColumn id="32" xr3:uid="{EE1E9E51-EEBC-47BE-87EE-11D0AF8EB627}" name="Aprovação total"/>
    <tableColumn id="33" xr3:uid="{8711A9E2-2368-4548-AFE4-B1C1D9FAFFA3}" name="Avaliação do cliente concluída"/>
    <tableColumn id="34" xr3:uid="{51207593-088A-4692-A8D8-01C1D793CA37}" name="Avaliação Cliente Atrasada"/>
    <tableColumn id="35" xr3:uid="{BB9B16AC-71C1-4745-812B-C2EFAB211EC2}" name="Atendimento de comentário concluído"/>
    <tableColumn id="36" xr3:uid="{938A75A9-9C1B-4F08-818F-D728DA9BC833}" name="Atendimento Atrasado"/>
    <tableColumn id="37" xr3:uid="{39F88B74-A0C5-4F1E-A0CC-67B9E938E01A}" name="Aprovação concluída"/>
    <tableColumn id="38" xr3:uid="{797FDB54-7B2F-46F9-B65E-DC075BB7CE03}" name="Aprovação Atrasada"/>
    <tableColumn id="39" xr3:uid="{77D710EB-DDCB-4771-8AFC-BAE4A07A1481}" name="Aderência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92C202-09E4-4762-BD80-E2F2E7B52E42}" name="Tabela1" displayName="Tabela1" ref="A3:H15" totalsRowCount="1">
  <autoFilter ref="A3:H14" xr:uid="{2592C202-09E4-4762-BD80-E2F2E7B52E42}"/>
  <tableColumns count="8">
    <tableColumn id="1" xr3:uid="{862CEAA2-EC24-4A5D-AEA1-7FCD6822B881}" name="Disciplina" totalsRowLabel="Total"/>
    <tableColumn id="2" xr3:uid="{F127D53A-2DAF-4374-A39C-C6E0C06E1134}" name="Emissão inicial total" totalsRowFunction="sum" totalsRowDxfId="8"/>
    <tableColumn id="3" xr3:uid="{C1257F80-139B-4426-82DB-D0ECDB240D35}" name="Emissão inicial concluída" totalsRowFunction="sum" totalsRowDxfId="7"/>
    <tableColumn id="4" xr3:uid="{29EE176C-5282-4349-9F5A-19A60102847F}" name="%EI" totalsRowFunction="sum" dataDxfId="5" totalsRowDxfId="6"/>
    <tableColumn id="5" xr3:uid="{A4C6AD35-C135-4CF1-B9E7-71DE6E700E96}" name="Avaliação do cliente concluída" totalsRowFunction="sum" totalsRowDxfId="4"/>
    <tableColumn id="6" xr3:uid="{EF2DD448-C152-4207-92D5-EDEDD0F2A052}" name="Atendimento de comentário concluído" totalsRowFunction="sum" totalsRowDxfId="3"/>
    <tableColumn id="7" xr3:uid="{160357CC-4D70-4E19-B501-4272703EC5AF}" name="Aprovação concluída" totalsRowFunction="sum" totalsRowDxfId="2"/>
    <tableColumn id="8" xr3:uid="{76FB24FD-F8E9-42B7-83D0-63EBB1A5DE59}" name="%AP" totalsRowFunction="sum" dataDxfId="0" totalsRow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75CEDA-A32C-4566-B720-55C1EDE0F571}" name="Tabela2" displayName="Tabela2" ref="A20:E32" totalsRowCount="1">
  <autoFilter ref="A20:E31" xr:uid="{ED75CEDA-A32C-4566-B720-55C1EDE0F571}"/>
  <tableColumns count="5">
    <tableColumn id="1" xr3:uid="{37A0E61D-9722-4D0D-9CA6-8FEFDD064865}" name="Disciplina" totalsRowLabel="Total"/>
    <tableColumn id="2" xr3:uid="{E3E94270-898A-4338-B198-137C1B69D50B}" name="Emissão Inicial Atrasada" totalsRowFunction="sum"/>
    <tableColumn id="3" xr3:uid="{A61C982C-EAF7-402F-AA91-F9DE1E2EB76E}" name="Avaliação Cliente Atrasada" totalsRowFunction="sum"/>
    <tableColumn id="4" xr3:uid="{25AB58EB-130B-42B5-ADFA-7E8CA8624F74}" name="Atendimento Atrasado" totalsRowFunction="sum"/>
    <tableColumn id="5" xr3:uid="{06DEC212-6649-4777-89F1-5984127DBAE9}" name="Aprovação Atrasada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77"/>
  <sheetViews>
    <sheetView tabSelected="1" topLeftCell="D1" workbookViewId="0">
      <selection activeCell="H18" sqref="H18"/>
    </sheetView>
  </sheetViews>
  <sheetFormatPr defaultRowHeight="15"/>
  <cols>
    <col min="2" max="2" width="9.28515625" bestFit="1" customWidth="1"/>
    <col min="3" max="3" width="40.28515625" bestFit="1" customWidth="1"/>
    <col min="4" max="4" width="92" bestFit="1" customWidth="1"/>
    <col min="5" max="5" width="14" bestFit="1" customWidth="1"/>
    <col min="6" max="6" width="10.42578125" style="3" bestFit="1" customWidth="1"/>
    <col min="7" max="7" width="12.85546875" style="5" bestFit="1" customWidth="1"/>
    <col min="8" max="8" width="12.5703125" bestFit="1" customWidth="1"/>
    <col min="9" max="9" width="11.140625" bestFit="1" customWidth="1"/>
    <col min="10" max="10" width="14.7109375" bestFit="1" customWidth="1"/>
    <col min="11" max="11" width="14.7109375" style="3" bestFit="1" customWidth="1"/>
    <col min="12" max="12" width="17.42578125" style="3" bestFit="1" customWidth="1"/>
    <col min="13" max="13" width="26" style="3" bestFit="1" customWidth="1"/>
    <col min="14" max="14" width="16.28515625" bestFit="1" customWidth="1"/>
    <col min="15" max="15" width="53.5703125" bestFit="1" customWidth="1"/>
    <col min="16" max="16" width="208.7109375" bestFit="1" customWidth="1"/>
    <col min="17" max="17" width="32.28515625" bestFit="1" customWidth="1"/>
    <col min="18" max="18" width="143.140625" bestFit="1" customWidth="1"/>
    <col min="19" max="19" width="14.7109375" bestFit="1" customWidth="1"/>
    <col min="20" max="20" width="21.5703125" bestFit="1" customWidth="1"/>
    <col min="21" max="21" width="33.28515625" bestFit="1" customWidth="1"/>
    <col min="22" max="22" width="13.7109375" bestFit="1" customWidth="1"/>
    <col min="23" max="23" width="21.7109375" bestFit="1" customWidth="1"/>
    <col min="24" max="24" width="16.85546875" bestFit="1" customWidth="1"/>
    <col min="25" max="25" width="14" bestFit="1" customWidth="1"/>
    <col min="27" max="27" width="14.5703125" bestFit="1" customWidth="1"/>
    <col min="28" max="28" width="9.85546875" bestFit="1" customWidth="1"/>
    <col min="29" max="29" width="21.28515625" bestFit="1" customWidth="1"/>
    <col min="30" max="30" width="25.7109375" bestFit="1" customWidth="1"/>
    <col min="31" max="31" width="25.140625" bestFit="1" customWidth="1"/>
    <col min="32" max="32" width="17.7109375" bestFit="1" customWidth="1"/>
    <col min="33" max="33" width="30.7109375" bestFit="1" customWidth="1"/>
    <col min="34" max="34" width="27.42578125" bestFit="1" customWidth="1"/>
    <col min="35" max="35" width="38.42578125" bestFit="1" customWidth="1"/>
    <col min="36" max="36" width="24.28515625" bestFit="1" customWidth="1"/>
    <col min="37" max="37" width="22.140625" bestFit="1" customWidth="1"/>
    <col min="38" max="38" width="21.5703125" bestFit="1" customWidth="1"/>
    <col min="39" max="39" width="12.4257812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5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idden="1">
      <c r="A2">
        <v>1</v>
      </c>
      <c r="B2">
        <v>1</v>
      </c>
      <c r="D2" t="s">
        <v>39</v>
      </c>
      <c r="E2">
        <v>0.06</v>
      </c>
      <c r="F2" s="3">
        <v>46112</v>
      </c>
      <c r="G2" s="3">
        <v>46301</v>
      </c>
      <c r="H2" t="s">
        <v>40</v>
      </c>
      <c r="I2" t="s">
        <v>41</v>
      </c>
      <c r="J2" t="s">
        <v>42</v>
      </c>
      <c r="K2" s="3">
        <v>46112</v>
      </c>
      <c r="L2" s="3">
        <v>46294</v>
      </c>
      <c r="M2" s="3">
        <v>46294</v>
      </c>
      <c r="Z2" t="s">
        <v>43</v>
      </c>
      <c r="AB2">
        <v>0.06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idden="1">
      <c r="A3">
        <v>2</v>
      </c>
      <c r="B3" t="s">
        <v>44</v>
      </c>
      <c r="C3" t="s">
        <v>45</v>
      </c>
      <c r="D3" t="s">
        <v>46</v>
      </c>
      <c r="E3">
        <v>0.33</v>
      </c>
      <c r="F3" s="3">
        <v>46112</v>
      </c>
      <c r="G3" s="3">
        <v>46268</v>
      </c>
      <c r="I3" t="s">
        <v>47</v>
      </c>
      <c r="J3" t="s">
        <v>42</v>
      </c>
      <c r="N3" t="s">
        <v>48</v>
      </c>
      <c r="Z3" t="s">
        <v>49</v>
      </c>
      <c r="AB3">
        <v>0.33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hidden="1">
      <c r="A4">
        <v>3</v>
      </c>
      <c r="B4" t="s">
        <v>50</v>
      </c>
      <c r="C4" t="s">
        <v>45</v>
      </c>
      <c r="D4" t="s">
        <v>46</v>
      </c>
      <c r="E4">
        <v>0.5</v>
      </c>
      <c r="F4" s="3">
        <v>46112</v>
      </c>
      <c r="G4" s="3">
        <v>46268</v>
      </c>
      <c r="I4" t="s">
        <v>47</v>
      </c>
      <c r="J4" t="s">
        <v>42</v>
      </c>
      <c r="N4" t="s">
        <v>48</v>
      </c>
      <c r="Z4" t="s">
        <v>49</v>
      </c>
      <c r="AB4">
        <v>0.5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hidden="1">
      <c r="A5">
        <v>4</v>
      </c>
      <c r="B5" t="s">
        <v>51</v>
      </c>
      <c r="C5" t="s">
        <v>45</v>
      </c>
      <c r="D5" t="s">
        <v>46</v>
      </c>
      <c r="E5">
        <v>0.93</v>
      </c>
      <c r="F5" s="3">
        <v>46112</v>
      </c>
      <c r="G5" s="3">
        <v>46268</v>
      </c>
      <c r="H5" t="s">
        <v>52</v>
      </c>
      <c r="I5" t="s">
        <v>47</v>
      </c>
      <c r="J5" t="s">
        <v>42</v>
      </c>
      <c r="K5" s="3">
        <v>46112</v>
      </c>
      <c r="L5" s="3">
        <v>46268</v>
      </c>
      <c r="M5" s="3">
        <v>46268</v>
      </c>
      <c r="P5" t="s">
        <v>53</v>
      </c>
      <c r="Q5" t="s">
        <v>54</v>
      </c>
      <c r="Z5" t="s">
        <v>49</v>
      </c>
      <c r="AB5">
        <v>0.93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>
        <v>5</v>
      </c>
      <c r="B6" t="s">
        <v>55</v>
      </c>
      <c r="C6" t="s">
        <v>56</v>
      </c>
      <c r="D6" t="s">
        <v>57</v>
      </c>
      <c r="E6">
        <v>1</v>
      </c>
      <c r="F6" s="3">
        <v>46112</v>
      </c>
      <c r="G6" s="5">
        <v>46169</v>
      </c>
      <c r="H6" t="s">
        <v>58</v>
      </c>
      <c r="I6" t="s">
        <v>59</v>
      </c>
      <c r="J6" t="s">
        <v>60</v>
      </c>
      <c r="K6" s="3">
        <v>46112</v>
      </c>
      <c r="L6" s="3">
        <v>46112</v>
      </c>
      <c r="M6" s="3">
        <v>46112</v>
      </c>
      <c r="P6" t="s">
        <v>61</v>
      </c>
      <c r="Q6" t="s">
        <v>54</v>
      </c>
      <c r="Z6" t="s">
        <v>49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>
        <v>6</v>
      </c>
      <c r="B7" t="s">
        <v>62</v>
      </c>
      <c r="C7" t="s">
        <v>56</v>
      </c>
      <c r="D7" t="s">
        <v>63</v>
      </c>
      <c r="E7">
        <v>1</v>
      </c>
      <c r="F7" s="3">
        <v>46143</v>
      </c>
      <c r="G7" s="5">
        <v>46143</v>
      </c>
      <c r="H7" t="s">
        <v>58</v>
      </c>
      <c r="I7" t="s">
        <v>64</v>
      </c>
      <c r="J7" t="s">
        <v>65</v>
      </c>
      <c r="K7" s="3">
        <v>46143</v>
      </c>
      <c r="L7" s="3">
        <v>46143</v>
      </c>
      <c r="M7" s="3">
        <v>46143</v>
      </c>
      <c r="N7" t="s">
        <v>66</v>
      </c>
      <c r="P7" t="s">
        <v>67</v>
      </c>
      <c r="Q7" t="s">
        <v>54</v>
      </c>
      <c r="Z7" t="s">
        <v>49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>
      <c r="A8">
        <v>7</v>
      </c>
      <c r="B8" t="s">
        <v>68</v>
      </c>
      <c r="C8" t="s">
        <v>56</v>
      </c>
      <c r="D8" t="s">
        <v>69</v>
      </c>
      <c r="E8">
        <v>1</v>
      </c>
      <c r="F8" s="3">
        <v>46174</v>
      </c>
      <c r="G8" s="5">
        <v>46174</v>
      </c>
      <c r="H8" t="s">
        <v>58</v>
      </c>
      <c r="I8" t="s">
        <v>64</v>
      </c>
      <c r="J8" t="s">
        <v>70</v>
      </c>
      <c r="K8" s="3">
        <v>46174</v>
      </c>
      <c r="L8" s="3">
        <v>46174</v>
      </c>
      <c r="M8" s="3">
        <v>46174</v>
      </c>
      <c r="N8" t="s">
        <v>61</v>
      </c>
      <c r="P8" t="s">
        <v>71</v>
      </c>
      <c r="Q8" t="s">
        <v>54</v>
      </c>
      <c r="Z8" t="s">
        <v>49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>
        <v>8</v>
      </c>
      <c r="B9" t="s">
        <v>72</v>
      </c>
      <c r="C9" t="s">
        <v>56</v>
      </c>
      <c r="D9" t="s">
        <v>73</v>
      </c>
      <c r="E9">
        <v>0</v>
      </c>
      <c r="F9" s="3">
        <v>46205</v>
      </c>
      <c r="G9" s="5">
        <v>46205</v>
      </c>
      <c r="H9" t="s">
        <v>74</v>
      </c>
      <c r="I9" t="s">
        <v>64</v>
      </c>
      <c r="J9" t="s">
        <v>75</v>
      </c>
      <c r="K9" s="3">
        <v>46205</v>
      </c>
      <c r="L9" s="3">
        <v>46205</v>
      </c>
      <c r="M9" s="3">
        <v>46205</v>
      </c>
      <c r="N9" t="s">
        <v>67</v>
      </c>
      <c r="P9" t="s">
        <v>76</v>
      </c>
      <c r="Q9" t="s">
        <v>54</v>
      </c>
      <c r="Z9" t="s">
        <v>49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idden="1">
      <c r="A10">
        <v>9</v>
      </c>
      <c r="B10" t="s">
        <v>77</v>
      </c>
      <c r="C10" t="s">
        <v>56</v>
      </c>
      <c r="D10" t="s">
        <v>78</v>
      </c>
      <c r="E10">
        <v>0</v>
      </c>
      <c r="F10" s="3">
        <v>46237</v>
      </c>
      <c r="G10" s="3">
        <v>46237</v>
      </c>
      <c r="H10" t="s">
        <v>74</v>
      </c>
      <c r="I10" t="s">
        <v>64</v>
      </c>
      <c r="J10" t="s">
        <v>79</v>
      </c>
      <c r="K10" s="3">
        <v>46237</v>
      </c>
      <c r="L10" s="3">
        <v>46237</v>
      </c>
      <c r="M10" s="3">
        <v>46237</v>
      </c>
      <c r="N10" t="s">
        <v>71</v>
      </c>
      <c r="P10" t="s">
        <v>80</v>
      </c>
      <c r="Q10" t="s">
        <v>54</v>
      </c>
      <c r="Z10" t="s">
        <v>49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idden="1">
      <c r="A11">
        <v>10</v>
      </c>
      <c r="B11" t="s">
        <v>81</v>
      </c>
      <c r="C11" t="s">
        <v>56</v>
      </c>
      <c r="D11" t="s">
        <v>82</v>
      </c>
      <c r="E11">
        <v>0</v>
      </c>
      <c r="F11" s="3">
        <v>46268</v>
      </c>
      <c r="G11" s="3">
        <v>46268</v>
      </c>
      <c r="H11" t="s">
        <v>74</v>
      </c>
      <c r="I11" t="s">
        <v>64</v>
      </c>
      <c r="J11" t="s">
        <v>83</v>
      </c>
      <c r="K11" s="3">
        <v>46268</v>
      </c>
      <c r="L11" s="3">
        <v>46268</v>
      </c>
      <c r="M11" s="3">
        <v>46268</v>
      </c>
      <c r="N11" t="s">
        <v>76</v>
      </c>
      <c r="Q11" t="s">
        <v>54</v>
      </c>
      <c r="Z11" t="s">
        <v>49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>
        <v>11</v>
      </c>
      <c r="B12" t="s">
        <v>84</v>
      </c>
      <c r="C12" t="s">
        <v>45</v>
      </c>
      <c r="D12" t="s">
        <v>85</v>
      </c>
      <c r="E12">
        <v>0.52</v>
      </c>
      <c r="F12" s="3">
        <v>46112</v>
      </c>
      <c r="G12" s="5">
        <v>46196</v>
      </c>
      <c r="I12" t="s">
        <v>86</v>
      </c>
      <c r="J12" t="s">
        <v>42</v>
      </c>
      <c r="N12" t="s">
        <v>87</v>
      </c>
      <c r="Z12" t="s">
        <v>49</v>
      </c>
      <c r="AB12">
        <v>0.52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>
      <c r="A13">
        <v>12</v>
      </c>
      <c r="B13" t="s">
        <v>88</v>
      </c>
      <c r="C13" t="s">
        <v>45</v>
      </c>
      <c r="D13" t="s">
        <v>85</v>
      </c>
      <c r="E13">
        <v>0.74</v>
      </c>
      <c r="F13" s="3">
        <v>46112</v>
      </c>
      <c r="G13" s="5">
        <v>46202</v>
      </c>
      <c r="I13" t="s">
        <v>89</v>
      </c>
      <c r="J13" t="s">
        <v>42</v>
      </c>
      <c r="N13" t="s">
        <v>87</v>
      </c>
      <c r="Z13" t="s">
        <v>49</v>
      </c>
      <c r="AB13">
        <v>0.74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>
      <c r="A14">
        <v>13</v>
      </c>
      <c r="B14" t="s">
        <v>90</v>
      </c>
      <c r="C14" t="s">
        <v>45</v>
      </c>
      <c r="D14" t="s">
        <v>85</v>
      </c>
      <c r="E14">
        <v>0.78</v>
      </c>
      <c r="F14" s="3">
        <v>46112</v>
      </c>
      <c r="G14" s="5">
        <v>46203</v>
      </c>
      <c r="H14" t="s">
        <v>40</v>
      </c>
      <c r="I14" t="s">
        <v>91</v>
      </c>
      <c r="J14" t="s">
        <v>42</v>
      </c>
      <c r="K14" s="3">
        <v>46112</v>
      </c>
      <c r="L14" s="3">
        <v>46196</v>
      </c>
      <c r="M14" s="3">
        <v>46196</v>
      </c>
      <c r="P14" t="s">
        <v>92</v>
      </c>
      <c r="Q14" t="s">
        <v>93</v>
      </c>
      <c r="Z14" t="s">
        <v>49</v>
      </c>
      <c r="AB14">
        <v>0.78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>
        <v>14</v>
      </c>
      <c r="B15" t="s">
        <v>94</v>
      </c>
      <c r="C15" t="s">
        <v>95</v>
      </c>
      <c r="D15" t="s">
        <v>96</v>
      </c>
      <c r="E15">
        <v>1</v>
      </c>
      <c r="F15" s="3">
        <v>46135</v>
      </c>
      <c r="G15" s="5">
        <v>46135</v>
      </c>
      <c r="H15" t="s">
        <v>58</v>
      </c>
      <c r="I15" t="s">
        <v>64</v>
      </c>
      <c r="J15" t="s">
        <v>97</v>
      </c>
      <c r="K15" s="3">
        <v>46135</v>
      </c>
      <c r="L15" s="3">
        <v>46135</v>
      </c>
      <c r="M15" s="3">
        <v>46135</v>
      </c>
      <c r="Q15" t="s">
        <v>93</v>
      </c>
      <c r="Z15" t="s">
        <v>49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>
        <v>15</v>
      </c>
      <c r="B16" t="s">
        <v>98</v>
      </c>
      <c r="C16" t="s">
        <v>95</v>
      </c>
      <c r="D16" t="s">
        <v>99</v>
      </c>
      <c r="E16">
        <v>1</v>
      </c>
      <c r="F16" s="3">
        <v>46135</v>
      </c>
      <c r="G16" s="5">
        <v>46135</v>
      </c>
      <c r="H16" t="s">
        <v>58</v>
      </c>
      <c r="I16" t="s">
        <v>64</v>
      </c>
      <c r="J16" t="s">
        <v>97</v>
      </c>
      <c r="K16" s="3">
        <v>46135</v>
      </c>
      <c r="L16" s="3">
        <v>46135</v>
      </c>
      <c r="M16" s="3">
        <v>46135</v>
      </c>
      <c r="Q16" t="s">
        <v>93</v>
      </c>
      <c r="Z16" t="s">
        <v>49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>
        <v>16</v>
      </c>
      <c r="B17" t="s">
        <v>100</v>
      </c>
      <c r="C17" t="s">
        <v>95</v>
      </c>
      <c r="D17" t="s">
        <v>101</v>
      </c>
      <c r="E17">
        <v>0.9</v>
      </c>
      <c r="F17" s="3">
        <v>46112</v>
      </c>
      <c r="G17" s="5">
        <v>46203</v>
      </c>
      <c r="H17" t="s">
        <v>40</v>
      </c>
      <c r="I17" t="s">
        <v>91</v>
      </c>
      <c r="J17" t="s">
        <v>97</v>
      </c>
      <c r="K17" s="3">
        <v>46112</v>
      </c>
      <c r="L17" s="3">
        <v>46175</v>
      </c>
      <c r="M17" s="3">
        <v>46175</v>
      </c>
      <c r="Q17" t="s">
        <v>93</v>
      </c>
      <c r="Z17" t="s">
        <v>49</v>
      </c>
      <c r="AB17">
        <v>0.9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>
        <v>17</v>
      </c>
      <c r="B18" t="s">
        <v>102</v>
      </c>
      <c r="C18" t="s">
        <v>95</v>
      </c>
      <c r="D18" t="s">
        <v>103</v>
      </c>
      <c r="E18">
        <v>0.9</v>
      </c>
      <c r="F18" s="3">
        <v>46134</v>
      </c>
      <c r="G18" s="5">
        <v>46203</v>
      </c>
      <c r="H18" t="s">
        <v>52</v>
      </c>
      <c r="I18" t="s">
        <v>104</v>
      </c>
      <c r="J18" t="s">
        <v>97</v>
      </c>
      <c r="K18" s="3">
        <v>46134</v>
      </c>
      <c r="L18" s="3">
        <v>46175</v>
      </c>
      <c r="M18" s="3">
        <v>46175</v>
      </c>
      <c r="Q18" t="s">
        <v>93</v>
      </c>
      <c r="Z18" t="s">
        <v>49</v>
      </c>
      <c r="AB18">
        <v>0.9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>
        <v>18</v>
      </c>
      <c r="B19" t="s">
        <v>105</v>
      </c>
      <c r="C19" t="s">
        <v>95</v>
      </c>
      <c r="D19" t="s">
        <v>106</v>
      </c>
      <c r="E19">
        <v>0.76</v>
      </c>
      <c r="F19" s="3">
        <v>46146</v>
      </c>
      <c r="G19" s="5">
        <v>46203</v>
      </c>
      <c r="H19" t="s">
        <v>40</v>
      </c>
      <c r="I19" t="s">
        <v>107</v>
      </c>
      <c r="J19" t="s">
        <v>97</v>
      </c>
      <c r="K19" s="3">
        <v>46146</v>
      </c>
      <c r="L19" s="3">
        <v>46175</v>
      </c>
      <c r="M19" s="3">
        <v>46175</v>
      </c>
      <c r="Q19" t="s">
        <v>93</v>
      </c>
      <c r="Z19" t="s">
        <v>49</v>
      </c>
      <c r="AB19">
        <v>0.76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>
      <c r="A20">
        <v>19</v>
      </c>
      <c r="B20" t="s">
        <v>108</v>
      </c>
      <c r="C20" t="s">
        <v>95</v>
      </c>
      <c r="D20" t="s">
        <v>109</v>
      </c>
      <c r="E20">
        <v>0.71</v>
      </c>
      <c r="F20" s="3">
        <v>46155</v>
      </c>
      <c r="G20" s="5">
        <v>46203</v>
      </c>
      <c r="H20" t="s">
        <v>40</v>
      </c>
      <c r="I20" t="s">
        <v>110</v>
      </c>
      <c r="J20" t="s">
        <v>97</v>
      </c>
      <c r="K20" s="3">
        <v>46155</v>
      </c>
      <c r="L20" s="3">
        <v>46182</v>
      </c>
      <c r="M20" s="3">
        <v>46182</v>
      </c>
      <c r="Q20" t="s">
        <v>93</v>
      </c>
      <c r="Z20" t="s">
        <v>49</v>
      </c>
      <c r="AB20">
        <v>0.71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>
        <v>20</v>
      </c>
      <c r="B21" t="s">
        <v>111</v>
      </c>
      <c r="C21" t="s">
        <v>95</v>
      </c>
      <c r="D21" t="s">
        <v>112</v>
      </c>
      <c r="E21">
        <v>0.67</v>
      </c>
      <c r="F21" s="3">
        <v>46162</v>
      </c>
      <c r="G21" s="5">
        <v>46203</v>
      </c>
      <c r="H21" t="s">
        <v>40</v>
      </c>
      <c r="I21" t="s">
        <v>113</v>
      </c>
      <c r="J21" t="s">
        <v>97</v>
      </c>
      <c r="K21" s="3">
        <v>46162</v>
      </c>
      <c r="L21" s="3">
        <v>46189</v>
      </c>
      <c r="M21" s="3">
        <v>46189</v>
      </c>
      <c r="Q21" t="s">
        <v>93</v>
      </c>
      <c r="Z21" t="s">
        <v>49</v>
      </c>
      <c r="AB21">
        <v>0.67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>
        <v>21</v>
      </c>
      <c r="B22" t="s">
        <v>114</v>
      </c>
      <c r="C22" t="s">
        <v>95</v>
      </c>
      <c r="D22" t="s">
        <v>115</v>
      </c>
      <c r="E22">
        <v>0</v>
      </c>
      <c r="F22" s="3">
        <v>46190</v>
      </c>
      <c r="G22" s="5">
        <v>46203</v>
      </c>
      <c r="H22" t="s">
        <v>40</v>
      </c>
      <c r="I22" t="s">
        <v>116</v>
      </c>
      <c r="J22" t="s">
        <v>117</v>
      </c>
      <c r="K22" s="3">
        <v>46190</v>
      </c>
      <c r="L22" s="3">
        <v>46196</v>
      </c>
      <c r="M22" s="3">
        <v>46196</v>
      </c>
      <c r="P22" t="s">
        <v>118</v>
      </c>
      <c r="Q22" t="s">
        <v>93</v>
      </c>
      <c r="Z22" t="s">
        <v>43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hidden="1">
      <c r="A23">
        <v>22</v>
      </c>
      <c r="B23" t="s">
        <v>119</v>
      </c>
      <c r="C23" t="s">
        <v>45</v>
      </c>
      <c r="D23" t="s">
        <v>120</v>
      </c>
      <c r="E23">
        <v>0</v>
      </c>
      <c r="F23" s="3">
        <v>46197</v>
      </c>
      <c r="G23" s="3">
        <v>46288</v>
      </c>
      <c r="I23" t="s">
        <v>121</v>
      </c>
      <c r="J23" t="s">
        <v>42</v>
      </c>
      <c r="N23" t="s">
        <v>122</v>
      </c>
      <c r="Z23" t="s">
        <v>49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idden="1">
      <c r="A24">
        <v>23</v>
      </c>
      <c r="B24" t="s">
        <v>123</v>
      </c>
      <c r="C24" t="s">
        <v>45</v>
      </c>
      <c r="D24" t="s">
        <v>120</v>
      </c>
      <c r="E24">
        <v>0</v>
      </c>
      <c r="F24" s="3">
        <v>46204</v>
      </c>
      <c r="G24" s="3">
        <v>46296</v>
      </c>
      <c r="H24" t="s">
        <v>74</v>
      </c>
      <c r="I24" t="s">
        <v>121</v>
      </c>
      <c r="J24" t="s">
        <v>42</v>
      </c>
      <c r="K24" s="3">
        <v>46197</v>
      </c>
      <c r="L24" s="3">
        <v>46289</v>
      </c>
      <c r="M24" s="3">
        <v>46289</v>
      </c>
      <c r="N24" t="s">
        <v>124</v>
      </c>
      <c r="P24" t="s">
        <v>125</v>
      </c>
      <c r="Z24" t="s">
        <v>49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hidden="1">
      <c r="A25">
        <v>24</v>
      </c>
      <c r="B25" t="s">
        <v>126</v>
      </c>
      <c r="C25" t="s">
        <v>127</v>
      </c>
      <c r="D25" t="s">
        <v>128</v>
      </c>
      <c r="E25">
        <v>0</v>
      </c>
      <c r="F25" s="3">
        <v>46275</v>
      </c>
      <c r="G25" s="3">
        <v>46296</v>
      </c>
      <c r="H25" t="s">
        <v>74</v>
      </c>
      <c r="I25" t="s">
        <v>129</v>
      </c>
      <c r="J25" t="s">
        <v>83</v>
      </c>
      <c r="K25" s="3">
        <v>46268</v>
      </c>
      <c r="L25" s="3">
        <v>46289</v>
      </c>
      <c r="M25" s="3">
        <v>46289</v>
      </c>
      <c r="O25" t="s">
        <v>130</v>
      </c>
      <c r="Q25" t="s">
        <v>131</v>
      </c>
      <c r="R25" t="s">
        <v>132</v>
      </c>
      <c r="U25" t="s">
        <v>133</v>
      </c>
      <c r="V25" t="s">
        <v>134</v>
      </c>
      <c r="W25" t="s">
        <v>135</v>
      </c>
      <c r="X25" t="s">
        <v>136</v>
      </c>
      <c r="Y25">
        <v>1</v>
      </c>
      <c r="Z25" t="s">
        <v>49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hidden="1">
      <c r="A26">
        <v>25</v>
      </c>
      <c r="B26" t="s">
        <v>137</v>
      </c>
      <c r="C26" t="s">
        <v>138</v>
      </c>
      <c r="D26" t="s">
        <v>139</v>
      </c>
      <c r="E26">
        <v>0</v>
      </c>
      <c r="F26" s="3">
        <v>46275</v>
      </c>
      <c r="G26" s="3">
        <v>46282</v>
      </c>
      <c r="H26" t="s">
        <v>74</v>
      </c>
      <c r="I26" t="s">
        <v>140</v>
      </c>
      <c r="J26" t="s">
        <v>83</v>
      </c>
      <c r="L26" s="3">
        <v>46275</v>
      </c>
      <c r="M26" s="3">
        <v>46275</v>
      </c>
      <c r="N26">
        <v>414</v>
      </c>
      <c r="P26" t="s">
        <v>141</v>
      </c>
      <c r="Q26" t="s">
        <v>131</v>
      </c>
      <c r="Z26" t="s">
        <v>49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idden="1">
      <c r="A27">
        <v>26</v>
      </c>
      <c r="B27" t="s">
        <v>142</v>
      </c>
      <c r="C27" t="s">
        <v>138</v>
      </c>
      <c r="D27" t="s">
        <v>143</v>
      </c>
      <c r="E27">
        <v>0</v>
      </c>
      <c r="F27" s="3">
        <v>46282</v>
      </c>
      <c r="G27" s="3">
        <v>46289</v>
      </c>
      <c r="H27" t="s">
        <v>74</v>
      </c>
      <c r="I27" t="s">
        <v>140</v>
      </c>
      <c r="J27" t="s">
        <v>144</v>
      </c>
      <c r="L27" s="3">
        <v>46282</v>
      </c>
      <c r="M27" s="3">
        <v>46282</v>
      </c>
      <c r="N27">
        <v>25</v>
      </c>
      <c r="P27">
        <v>27</v>
      </c>
      <c r="Q27" t="s">
        <v>131</v>
      </c>
      <c r="Z27" t="s">
        <v>49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hidden="1">
      <c r="A28">
        <v>27</v>
      </c>
      <c r="B28" t="s">
        <v>145</v>
      </c>
      <c r="C28" t="s">
        <v>138</v>
      </c>
      <c r="D28" t="s">
        <v>146</v>
      </c>
      <c r="E28">
        <v>0</v>
      </c>
      <c r="F28" s="3">
        <v>46289</v>
      </c>
      <c r="G28" s="3">
        <v>46294</v>
      </c>
      <c r="H28" t="s">
        <v>74</v>
      </c>
      <c r="I28" t="s">
        <v>147</v>
      </c>
      <c r="J28" t="s">
        <v>148</v>
      </c>
      <c r="L28" s="3">
        <v>46287</v>
      </c>
      <c r="M28" s="3">
        <v>46287</v>
      </c>
      <c r="N28">
        <v>26</v>
      </c>
      <c r="P28">
        <v>28</v>
      </c>
      <c r="Q28" t="s">
        <v>131</v>
      </c>
      <c r="Z28" t="s">
        <v>49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hidden="1">
      <c r="A29">
        <v>28</v>
      </c>
      <c r="B29" t="s">
        <v>149</v>
      </c>
      <c r="C29" t="s">
        <v>138</v>
      </c>
      <c r="D29" t="s">
        <v>150</v>
      </c>
      <c r="E29">
        <v>0</v>
      </c>
      <c r="F29" s="3">
        <v>46294</v>
      </c>
      <c r="G29" s="3">
        <v>46296</v>
      </c>
      <c r="H29" t="s">
        <v>74</v>
      </c>
      <c r="I29" t="s">
        <v>151</v>
      </c>
      <c r="J29" t="s">
        <v>148</v>
      </c>
      <c r="L29" s="3">
        <v>46289</v>
      </c>
      <c r="M29" s="3">
        <v>46289</v>
      </c>
      <c r="N29">
        <v>27</v>
      </c>
      <c r="Q29" t="s">
        <v>131</v>
      </c>
      <c r="Z29" t="s">
        <v>49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idden="1">
      <c r="A30">
        <v>29</v>
      </c>
      <c r="B30" t="s">
        <v>152</v>
      </c>
      <c r="C30" t="s">
        <v>127</v>
      </c>
      <c r="D30" t="s">
        <v>153</v>
      </c>
      <c r="E30">
        <v>0</v>
      </c>
      <c r="F30" s="3">
        <v>46275</v>
      </c>
      <c r="G30" s="3">
        <v>46296</v>
      </c>
      <c r="H30" t="s">
        <v>74</v>
      </c>
      <c r="I30" t="s">
        <v>129</v>
      </c>
      <c r="J30" t="s">
        <v>83</v>
      </c>
      <c r="K30" s="3">
        <v>46268</v>
      </c>
      <c r="L30" s="3">
        <v>46289</v>
      </c>
      <c r="M30" s="3">
        <v>46289</v>
      </c>
      <c r="O30" t="s">
        <v>154</v>
      </c>
      <c r="Q30" t="s">
        <v>131</v>
      </c>
      <c r="R30" t="s">
        <v>155</v>
      </c>
      <c r="U30" t="s">
        <v>133</v>
      </c>
      <c r="V30" t="s">
        <v>134</v>
      </c>
      <c r="W30" t="s">
        <v>135</v>
      </c>
      <c r="X30" t="s">
        <v>136</v>
      </c>
      <c r="Y30">
        <v>1</v>
      </c>
      <c r="Z30" t="s">
        <v>49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hidden="1">
      <c r="A31">
        <v>30</v>
      </c>
      <c r="B31" t="s">
        <v>156</v>
      </c>
      <c r="C31" t="s">
        <v>157</v>
      </c>
      <c r="D31" t="s">
        <v>139</v>
      </c>
      <c r="E31">
        <v>0</v>
      </c>
      <c r="F31" s="3">
        <v>46275</v>
      </c>
      <c r="G31" s="3">
        <v>46282</v>
      </c>
      <c r="H31" t="s">
        <v>74</v>
      </c>
      <c r="I31" t="s">
        <v>140</v>
      </c>
      <c r="J31" t="s">
        <v>83</v>
      </c>
      <c r="L31" s="3">
        <v>46275</v>
      </c>
      <c r="M31" s="3">
        <v>46275</v>
      </c>
      <c r="N31">
        <v>414</v>
      </c>
      <c r="P31">
        <v>31</v>
      </c>
      <c r="Q31" t="s">
        <v>131</v>
      </c>
      <c r="Z31" t="s">
        <v>49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hidden="1">
      <c r="A32">
        <v>31</v>
      </c>
      <c r="B32" t="s">
        <v>158</v>
      </c>
      <c r="C32" t="s">
        <v>157</v>
      </c>
      <c r="D32" t="s">
        <v>143</v>
      </c>
      <c r="E32">
        <v>0</v>
      </c>
      <c r="F32" s="3">
        <v>46282</v>
      </c>
      <c r="G32" s="3">
        <v>46289</v>
      </c>
      <c r="H32" t="s">
        <v>74</v>
      </c>
      <c r="I32" t="s">
        <v>140</v>
      </c>
      <c r="J32" t="s">
        <v>144</v>
      </c>
      <c r="L32" s="3">
        <v>46282</v>
      </c>
      <c r="M32" s="3">
        <v>46282</v>
      </c>
      <c r="N32">
        <v>30</v>
      </c>
      <c r="P32">
        <v>32</v>
      </c>
      <c r="Q32" t="s">
        <v>131</v>
      </c>
      <c r="Z32" t="s">
        <v>49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hidden="1">
      <c r="A33">
        <v>32</v>
      </c>
      <c r="B33" t="s">
        <v>159</v>
      </c>
      <c r="C33" t="s">
        <v>157</v>
      </c>
      <c r="D33" t="s">
        <v>146</v>
      </c>
      <c r="E33">
        <v>0</v>
      </c>
      <c r="F33" s="3">
        <v>46289</v>
      </c>
      <c r="G33" s="3">
        <v>46294</v>
      </c>
      <c r="H33" t="s">
        <v>74</v>
      </c>
      <c r="I33" t="s">
        <v>147</v>
      </c>
      <c r="J33" t="s">
        <v>148</v>
      </c>
      <c r="L33" s="3">
        <v>46287</v>
      </c>
      <c r="M33" s="3">
        <v>46287</v>
      </c>
      <c r="N33">
        <v>31</v>
      </c>
      <c r="P33">
        <v>33</v>
      </c>
      <c r="Q33" t="s">
        <v>131</v>
      </c>
      <c r="Z33" t="s">
        <v>49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hidden="1">
      <c r="A34">
        <v>33</v>
      </c>
      <c r="B34" t="s">
        <v>160</v>
      </c>
      <c r="C34" t="s">
        <v>157</v>
      </c>
      <c r="D34" t="s">
        <v>150</v>
      </c>
      <c r="E34">
        <v>0</v>
      </c>
      <c r="F34" s="3">
        <v>46294</v>
      </c>
      <c r="G34" s="3">
        <v>46296</v>
      </c>
      <c r="H34" t="s">
        <v>74</v>
      </c>
      <c r="I34" t="s">
        <v>151</v>
      </c>
      <c r="J34" t="s">
        <v>148</v>
      </c>
      <c r="L34" s="3">
        <v>46289</v>
      </c>
      <c r="M34" s="3">
        <v>46289</v>
      </c>
      <c r="N34">
        <v>32</v>
      </c>
      <c r="Q34" t="s">
        <v>131</v>
      </c>
      <c r="Z34" t="s">
        <v>49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hidden="1">
      <c r="A35">
        <v>34</v>
      </c>
      <c r="B35" t="s">
        <v>161</v>
      </c>
      <c r="C35" t="s">
        <v>127</v>
      </c>
      <c r="D35" t="s">
        <v>162</v>
      </c>
      <c r="E35">
        <v>0</v>
      </c>
      <c r="F35" s="3">
        <v>46275</v>
      </c>
      <c r="G35" s="3">
        <v>46296</v>
      </c>
      <c r="H35" t="s">
        <v>74</v>
      </c>
      <c r="I35" t="s">
        <v>129</v>
      </c>
      <c r="J35" t="s">
        <v>83</v>
      </c>
      <c r="K35" s="3">
        <v>46268</v>
      </c>
      <c r="L35" s="3">
        <v>46289</v>
      </c>
      <c r="M35" s="3">
        <v>46289</v>
      </c>
      <c r="O35" t="s">
        <v>163</v>
      </c>
      <c r="Q35" t="s">
        <v>131</v>
      </c>
      <c r="R35" t="s">
        <v>164</v>
      </c>
      <c r="U35" t="s">
        <v>133</v>
      </c>
      <c r="V35" t="s">
        <v>134</v>
      </c>
      <c r="W35" t="s">
        <v>135</v>
      </c>
      <c r="X35" t="s">
        <v>136</v>
      </c>
      <c r="Y35">
        <v>1</v>
      </c>
      <c r="Z35" t="s">
        <v>49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hidden="1">
      <c r="A36">
        <v>35</v>
      </c>
      <c r="B36" t="s">
        <v>165</v>
      </c>
      <c r="C36" t="s">
        <v>166</v>
      </c>
      <c r="D36" t="s">
        <v>139</v>
      </c>
      <c r="E36">
        <v>0</v>
      </c>
      <c r="F36" s="3">
        <v>46275</v>
      </c>
      <c r="G36" s="3">
        <v>46282</v>
      </c>
      <c r="H36" t="s">
        <v>74</v>
      </c>
      <c r="I36" t="s">
        <v>140</v>
      </c>
      <c r="J36" t="s">
        <v>83</v>
      </c>
      <c r="L36" s="3">
        <v>46275</v>
      </c>
      <c r="M36" s="3">
        <v>46275</v>
      </c>
      <c r="N36">
        <v>414</v>
      </c>
      <c r="P36">
        <v>36</v>
      </c>
      <c r="Q36" t="s">
        <v>131</v>
      </c>
      <c r="Z36" t="s">
        <v>49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hidden="1">
      <c r="A37">
        <v>36</v>
      </c>
      <c r="B37" t="s">
        <v>167</v>
      </c>
      <c r="C37" t="s">
        <v>166</v>
      </c>
      <c r="D37" t="s">
        <v>143</v>
      </c>
      <c r="E37">
        <v>0</v>
      </c>
      <c r="F37" s="3">
        <v>46282</v>
      </c>
      <c r="G37" s="3">
        <v>46289</v>
      </c>
      <c r="H37" t="s">
        <v>74</v>
      </c>
      <c r="I37" t="s">
        <v>140</v>
      </c>
      <c r="J37" t="s">
        <v>144</v>
      </c>
      <c r="L37" s="3">
        <v>46282</v>
      </c>
      <c r="M37" s="3">
        <v>46282</v>
      </c>
      <c r="N37">
        <v>35</v>
      </c>
      <c r="P37">
        <v>37</v>
      </c>
      <c r="Q37" t="s">
        <v>131</v>
      </c>
      <c r="Z37" t="s">
        <v>49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hidden="1">
      <c r="A38">
        <v>37</v>
      </c>
      <c r="B38" t="s">
        <v>168</v>
      </c>
      <c r="C38" t="s">
        <v>166</v>
      </c>
      <c r="D38" t="s">
        <v>146</v>
      </c>
      <c r="E38">
        <v>0</v>
      </c>
      <c r="F38" s="3">
        <v>46289</v>
      </c>
      <c r="G38" s="3">
        <v>46294</v>
      </c>
      <c r="H38" t="s">
        <v>74</v>
      </c>
      <c r="I38" t="s">
        <v>147</v>
      </c>
      <c r="J38" t="s">
        <v>148</v>
      </c>
      <c r="L38" s="3">
        <v>46287</v>
      </c>
      <c r="M38" s="3">
        <v>46287</v>
      </c>
      <c r="N38">
        <v>36</v>
      </c>
      <c r="P38">
        <v>38</v>
      </c>
      <c r="Q38" t="s">
        <v>131</v>
      </c>
      <c r="Z38" t="s">
        <v>49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hidden="1">
      <c r="A39">
        <v>38</v>
      </c>
      <c r="B39" t="s">
        <v>169</v>
      </c>
      <c r="C39" t="s">
        <v>166</v>
      </c>
      <c r="D39" t="s">
        <v>150</v>
      </c>
      <c r="E39">
        <v>0</v>
      </c>
      <c r="F39" s="3">
        <v>46294</v>
      </c>
      <c r="G39" s="3">
        <v>46296</v>
      </c>
      <c r="H39" t="s">
        <v>74</v>
      </c>
      <c r="I39" t="s">
        <v>151</v>
      </c>
      <c r="J39" t="s">
        <v>148</v>
      </c>
      <c r="L39" s="3">
        <v>46289</v>
      </c>
      <c r="M39" s="3">
        <v>46289</v>
      </c>
      <c r="N39">
        <v>37</v>
      </c>
      <c r="Q39" t="s">
        <v>131</v>
      </c>
      <c r="Z39" t="s">
        <v>49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hidden="1">
      <c r="A40">
        <v>39</v>
      </c>
      <c r="B40" t="s">
        <v>170</v>
      </c>
      <c r="C40" t="s">
        <v>127</v>
      </c>
      <c r="D40" t="s">
        <v>171</v>
      </c>
      <c r="E40">
        <v>0</v>
      </c>
      <c r="F40" s="3">
        <v>46204</v>
      </c>
      <c r="G40" s="3">
        <v>46246</v>
      </c>
      <c r="H40" t="s">
        <v>74</v>
      </c>
      <c r="I40" t="s">
        <v>172</v>
      </c>
      <c r="J40" t="s">
        <v>75</v>
      </c>
      <c r="K40" s="3">
        <v>46197</v>
      </c>
      <c r="L40" s="3">
        <v>46239</v>
      </c>
      <c r="M40" s="3">
        <v>46239</v>
      </c>
      <c r="O40" t="s">
        <v>163</v>
      </c>
      <c r="Q40" t="s">
        <v>131</v>
      </c>
      <c r="R40" t="s">
        <v>173</v>
      </c>
      <c r="U40" t="s">
        <v>174</v>
      </c>
      <c r="V40" t="s">
        <v>134</v>
      </c>
      <c r="W40" t="s">
        <v>175</v>
      </c>
      <c r="X40" t="s">
        <v>136</v>
      </c>
      <c r="Y40">
        <v>1</v>
      </c>
      <c r="Z40" t="s">
        <v>49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hidden="1">
      <c r="A41">
        <v>40</v>
      </c>
      <c r="B41" t="s">
        <v>176</v>
      </c>
      <c r="C41" t="s">
        <v>177</v>
      </c>
      <c r="D41" t="s">
        <v>139</v>
      </c>
      <c r="E41">
        <v>0</v>
      </c>
      <c r="F41" s="3">
        <v>46204</v>
      </c>
      <c r="G41" s="3">
        <v>46225</v>
      </c>
      <c r="H41" t="s">
        <v>74</v>
      </c>
      <c r="I41" t="s">
        <v>129</v>
      </c>
      <c r="J41" t="s">
        <v>75</v>
      </c>
      <c r="L41" s="3">
        <v>46218</v>
      </c>
      <c r="M41" s="3">
        <v>46218</v>
      </c>
      <c r="P41">
        <v>41</v>
      </c>
      <c r="Q41" t="s">
        <v>131</v>
      </c>
      <c r="Z41" t="s">
        <v>49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hidden="1">
      <c r="A42">
        <v>41</v>
      </c>
      <c r="B42" t="s">
        <v>178</v>
      </c>
      <c r="C42" t="s">
        <v>177</v>
      </c>
      <c r="D42" t="s">
        <v>143</v>
      </c>
      <c r="E42">
        <v>0</v>
      </c>
      <c r="F42" s="3">
        <v>46225</v>
      </c>
      <c r="G42" s="3">
        <v>46232</v>
      </c>
      <c r="H42" t="s">
        <v>74</v>
      </c>
      <c r="I42" t="s">
        <v>140</v>
      </c>
      <c r="J42" t="s">
        <v>179</v>
      </c>
      <c r="L42" s="3">
        <v>46225</v>
      </c>
      <c r="M42" s="3">
        <v>46225</v>
      </c>
      <c r="N42">
        <v>40</v>
      </c>
      <c r="P42">
        <v>42</v>
      </c>
      <c r="Q42" t="s">
        <v>131</v>
      </c>
      <c r="Z42" t="s">
        <v>49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hidden="1">
      <c r="A43">
        <v>42</v>
      </c>
      <c r="B43" t="s">
        <v>180</v>
      </c>
      <c r="C43" t="s">
        <v>177</v>
      </c>
      <c r="D43" t="s">
        <v>146</v>
      </c>
      <c r="E43">
        <v>0</v>
      </c>
      <c r="F43" s="3">
        <v>46232</v>
      </c>
      <c r="G43" s="3">
        <v>46239</v>
      </c>
      <c r="H43" t="s">
        <v>74</v>
      </c>
      <c r="I43" t="s">
        <v>140</v>
      </c>
      <c r="J43" t="s">
        <v>181</v>
      </c>
      <c r="L43" s="3">
        <v>46232</v>
      </c>
      <c r="M43" s="3">
        <v>46232</v>
      </c>
      <c r="N43">
        <v>41</v>
      </c>
      <c r="P43">
        <v>43</v>
      </c>
      <c r="Q43" t="s">
        <v>131</v>
      </c>
      <c r="Z43" t="s">
        <v>49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hidden="1">
      <c r="A44">
        <v>43</v>
      </c>
      <c r="B44" t="s">
        <v>182</v>
      </c>
      <c r="C44" t="s">
        <v>177</v>
      </c>
      <c r="D44" t="s">
        <v>150</v>
      </c>
      <c r="E44">
        <v>0</v>
      </c>
      <c r="F44" s="3">
        <v>46239</v>
      </c>
      <c r="G44" s="3">
        <v>46246</v>
      </c>
      <c r="H44" t="s">
        <v>74</v>
      </c>
      <c r="I44" t="s">
        <v>140</v>
      </c>
      <c r="J44" t="s">
        <v>79</v>
      </c>
      <c r="L44" s="3">
        <v>46239</v>
      </c>
      <c r="M44" s="3">
        <v>46239</v>
      </c>
      <c r="N44">
        <v>42</v>
      </c>
      <c r="Q44" t="s">
        <v>131</v>
      </c>
      <c r="Z44" t="s">
        <v>49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hidden="1">
      <c r="A45">
        <v>44</v>
      </c>
      <c r="B45" t="s">
        <v>183</v>
      </c>
      <c r="C45" t="s">
        <v>127</v>
      </c>
      <c r="D45" t="s">
        <v>184</v>
      </c>
      <c r="E45">
        <v>0</v>
      </c>
      <c r="F45" s="3">
        <v>46254</v>
      </c>
      <c r="G45" s="3">
        <v>46296</v>
      </c>
      <c r="H45" t="s">
        <v>74</v>
      </c>
      <c r="I45" t="s">
        <v>172</v>
      </c>
      <c r="J45" t="s">
        <v>185</v>
      </c>
      <c r="K45" s="3">
        <v>46247</v>
      </c>
      <c r="L45" s="3">
        <v>46289</v>
      </c>
      <c r="M45" s="3">
        <v>46289</v>
      </c>
      <c r="O45" t="s">
        <v>186</v>
      </c>
      <c r="Q45" t="s">
        <v>131</v>
      </c>
      <c r="R45" t="s">
        <v>187</v>
      </c>
      <c r="U45" t="s">
        <v>188</v>
      </c>
      <c r="V45" t="s">
        <v>134</v>
      </c>
      <c r="W45" t="s">
        <v>135</v>
      </c>
      <c r="X45" t="s">
        <v>136</v>
      </c>
      <c r="Y45">
        <v>1</v>
      </c>
      <c r="Z45" t="s">
        <v>49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hidden="1">
      <c r="A46">
        <v>45</v>
      </c>
      <c r="B46" t="s">
        <v>189</v>
      </c>
      <c r="C46" t="s">
        <v>190</v>
      </c>
      <c r="D46" t="s">
        <v>139</v>
      </c>
      <c r="E46">
        <v>0</v>
      </c>
      <c r="F46" s="3">
        <v>46254</v>
      </c>
      <c r="G46" s="3">
        <v>46275</v>
      </c>
      <c r="H46" t="s">
        <v>74</v>
      </c>
      <c r="I46" t="s">
        <v>129</v>
      </c>
      <c r="J46" t="s">
        <v>185</v>
      </c>
      <c r="L46" s="3">
        <v>46268</v>
      </c>
      <c r="M46" s="3">
        <v>46268</v>
      </c>
      <c r="N46" t="s">
        <v>191</v>
      </c>
      <c r="P46">
        <v>46</v>
      </c>
      <c r="Q46" t="s">
        <v>131</v>
      </c>
      <c r="Z46" t="s">
        <v>49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hidden="1">
      <c r="A47">
        <v>46</v>
      </c>
      <c r="B47" t="s">
        <v>192</v>
      </c>
      <c r="C47" t="s">
        <v>190</v>
      </c>
      <c r="D47" t="s">
        <v>143</v>
      </c>
      <c r="E47">
        <v>0</v>
      </c>
      <c r="F47" s="3">
        <v>46275</v>
      </c>
      <c r="G47" s="3">
        <v>46282</v>
      </c>
      <c r="H47" t="s">
        <v>74</v>
      </c>
      <c r="I47" t="s">
        <v>140</v>
      </c>
      <c r="J47" t="s">
        <v>83</v>
      </c>
      <c r="L47" s="3">
        <v>46275</v>
      </c>
      <c r="M47" s="3">
        <v>46275</v>
      </c>
      <c r="N47">
        <v>45</v>
      </c>
      <c r="P47">
        <v>47</v>
      </c>
      <c r="Q47" t="s">
        <v>131</v>
      </c>
      <c r="Z47" t="s">
        <v>49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hidden="1">
      <c r="A48">
        <v>47</v>
      </c>
      <c r="B48" t="s">
        <v>193</v>
      </c>
      <c r="C48" t="s">
        <v>190</v>
      </c>
      <c r="D48" t="s">
        <v>146</v>
      </c>
      <c r="E48">
        <v>0</v>
      </c>
      <c r="F48" s="3">
        <v>46282</v>
      </c>
      <c r="G48" s="3">
        <v>46289</v>
      </c>
      <c r="H48" t="s">
        <v>74</v>
      </c>
      <c r="I48" t="s">
        <v>140</v>
      </c>
      <c r="J48" t="s">
        <v>144</v>
      </c>
      <c r="L48" s="3">
        <v>46282</v>
      </c>
      <c r="M48" s="3">
        <v>46282</v>
      </c>
      <c r="N48">
        <v>46</v>
      </c>
      <c r="P48">
        <v>48</v>
      </c>
      <c r="Q48" t="s">
        <v>131</v>
      </c>
      <c r="Z48" t="s">
        <v>49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hidden="1">
      <c r="A49">
        <v>48</v>
      </c>
      <c r="B49" t="s">
        <v>194</v>
      </c>
      <c r="C49" t="s">
        <v>190</v>
      </c>
      <c r="D49" t="s">
        <v>150</v>
      </c>
      <c r="E49">
        <v>0</v>
      </c>
      <c r="F49" s="3">
        <v>46289</v>
      </c>
      <c r="G49" s="3">
        <v>46296</v>
      </c>
      <c r="H49" t="s">
        <v>74</v>
      </c>
      <c r="I49" t="s">
        <v>140</v>
      </c>
      <c r="J49" t="s">
        <v>148</v>
      </c>
      <c r="L49" s="3">
        <v>46289</v>
      </c>
      <c r="M49" s="3">
        <v>46289</v>
      </c>
      <c r="N49">
        <v>47</v>
      </c>
      <c r="Z49" t="s">
        <v>49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hidden="1">
      <c r="A50">
        <v>49</v>
      </c>
      <c r="B50" t="s">
        <v>195</v>
      </c>
      <c r="C50" t="s">
        <v>45</v>
      </c>
      <c r="D50" t="s">
        <v>196</v>
      </c>
      <c r="E50">
        <v>0</v>
      </c>
      <c r="F50" s="3">
        <v>46203</v>
      </c>
      <c r="G50" s="3">
        <v>46301</v>
      </c>
      <c r="I50" t="s">
        <v>197</v>
      </c>
      <c r="J50" t="s">
        <v>42</v>
      </c>
      <c r="N50" t="s">
        <v>198</v>
      </c>
      <c r="Z50" t="s">
        <v>43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hidden="1">
      <c r="A51">
        <v>50</v>
      </c>
      <c r="B51" t="s">
        <v>199</v>
      </c>
      <c r="C51" t="s">
        <v>45</v>
      </c>
      <c r="D51" t="s">
        <v>120</v>
      </c>
      <c r="E51">
        <v>0</v>
      </c>
      <c r="F51" s="3">
        <v>46204</v>
      </c>
      <c r="G51" s="3">
        <v>46296</v>
      </c>
      <c r="I51" t="s">
        <v>200</v>
      </c>
      <c r="J51" t="s">
        <v>42</v>
      </c>
      <c r="N51" t="s">
        <v>198</v>
      </c>
      <c r="Z51" t="s">
        <v>49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hidden="1">
      <c r="A52">
        <v>51</v>
      </c>
      <c r="B52" t="s">
        <v>201</v>
      </c>
      <c r="C52" t="s">
        <v>45</v>
      </c>
      <c r="D52" t="s">
        <v>196</v>
      </c>
      <c r="E52">
        <v>0</v>
      </c>
      <c r="F52" s="3">
        <v>46203</v>
      </c>
      <c r="G52" s="3">
        <v>46301</v>
      </c>
      <c r="I52" t="s">
        <v>197</v>
      </c>
      <c r="J52" t="s">
        <v>42</v>
      </c>
      <c r="N52" t="s">
        <v>198</v>
      </c>
      <c r="Z52" t="s">
        <v>49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hidden="1">
      <c r="A53">
        <v>52</v>
      </c>
      <c r="B53" t="s">
        <v>202</v>
      </c>
      <c r="C53" t="s">
        <v>45</v>
      </c>
      <c r="D53" t="s">
        <v>196</v>
      </c>
      <c r="E53">
        <v>0</v>
      </c>
      <c r="F53" s="3">
        <v>46203</v>
      </c>
      <c r="G53" s="3">
        <v>46301</v>
      </c>
      <c r="H53" t="s">
        <v>74</v>
      </c>
      <c r="I53" t="s">
        <v>203</v>
      </c>
      <c r="J53" t="s">
        <v>42</v>
      </c>
      <c r="K53" s="3">
        <v>46197</v>
      </c>
      <c r="L53" s="3">
        <v>46294</v>
      </c>
      <c r="M53" s="3">
        <v>46294</v>
      </c>
      <c r="P53" t="s">
        <v>204</v>
      </c>
      <c r="Z53" t="s">
        <v>43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hidden="1">
      <c r="A54">
        <v>53</v>
      </c>
      <c r="B54" t="s">
        <v>205</v>
      </c>
      <c r="C54" t="s">
        <v>206</v>
      </c>
      <c r="D54" t="s">
        <v>207</v>
      </c>
      <c r="E54">
        <v>0</v>
      </c>
      <c r="F54" s="3">
        <v>46203</v>
      </c>
      <c r="G54" s="3">
        <v>46234</v>
      </c>
      <c r="H54" t="s">
        <v>74</v>
      </c>
      <c r="I54" t="s">
        <v>208</v>
      </c>
      <c r="J54" t="s">
        <v>75</v>
      </c>
      <c r="K54" s="3">
        <v>46197</v>
      </c>
      <c r="L54" s="3">
        <v>46227</v>
      </c>
      <c r="M54" s="3">
        <v>46227</v>
      </c>
      <c r="O54" t="s">
        <v>154</v>
      </c>
      <c r="Q54" t="s">
        <v>209</v>
      </c>
      <c r="R54" t="s">
        <v>210</v>
      </c>
      <c r="S54">
        <v>1</v>
      </c>
      <c r="U54" t="s">
        <v>211</v>
      </c>
      <c r="V54" t="s">
        <v>134</v>
      </c>
      <c r="W54" t="s">
        <v>212</v>
      </c>
      <c r="X54" t="s">
        <v>213</v>
      </c>
      <c r="Y54">
        <v>1</v>
      </c>
      <c r="Z54" t="s">
        <v>49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hidden="1">
      <c r="A55">
        <v>54</v>
      </c>
      <c r="B55" t="s">
        <v>214</v>
      </c>
      <c r="C55" t="s">
        <v>215</v>
      </c>
      <c r="D55" t="s">
        <v>139</v>
      </c>
      <c r="E55">
        <v>0</v>
      </c>
      <c r="F55" s="3">
        <v>46203</v>
      </c>
      <c r="G55" s="3">
        <v>46217</v>
      </c>
      <c r="H55" t="s">
        <v>74</v>
      </c>
      <c r="I55" t="s">
        <v>216</v>
      </c>
      <c r="J55" t="s">
        <v>75</v>
      </c>
      <c r="L55" s="3">
        <v>46210</v>
      </c>
      <c r="M55" s="3">
        <v>46210</v>
      </c>
      <c r="N55">
        <v>21</v>
      </c>
      <c r="P55" t="s">
        <v>217</v>
      </c>
      <c r="Q55" t="s">
        <v>209</v>
      </c>
      <c r="Z55" t="s">
        <v>49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hidden="1">
      <c r="A56">
        <v>55</v>
      </c>
      <c r="B56" t="s">
        <v>218</v>
      </c>
      <c r="C56" t="s">
        <v>215</v>
      </c>
      <c r="D56" t="s">
        <v>143</v>
      </c>
      <c r="E56">
        <v>0</v>
      </c>
      <c r="F56" s="3">
        <v>46217</v>
      </c>
      <c r="G56" s="3">
        <v>46224</v>
      </c>
      <c r="H56" t="s">
        <v>74</v>
      </c>
      <c r="I56" t="s">
        <v>140</v>
      </c>
      <c r="J56" t="s">
        <v>219</v>
      </c>
      <c r="L56" s="3">
        <v>46217</v>
      </c>
      <c r="M56" s="3">
        <v>46217</v>
      </c>
      <c r="N56">
        <v>54</v>
      </c>
      <c r="P56">
        <v>56</v>
      </c>
      <c r="Q56" t="s">
        <v>209</v>
      </c>
      <c r="Z56" t="s">
        <v>49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hidden="1">
      <c r="A57">
        <v>56</v>
      </c>
      <c r="B57" t="s">
        <v>220</v>
      </c>
      <c r="C57" t="s">
        <v>215</v>
      </c>
      <c r="D57" t="s">
        <v>146</v>
      </c>
      <c r="E57">
        <v>0</v>
      </c>
      <c r="F57" s="3">
        <v>46224</v>
      </c>
      <c r="G57" s="3">
        <v>46227</v>
      </c>
      <c r="H57" t="s">
        <v>74</v>
      </c>
      <c r="I57" t="s">
        <v>147</v>
      </c>
      <c r="J57" t="s">
        <v>179</v>
      </c>
      <c r="L57" s="3">
        <v>46220</v>
      </c>
      <c r="M57" s="3">
        <v>46220</v>
      </c>
      <c r="N57">
        <v>55</v>
      </c>
      <c r="P57">
        <v>57</v>
      </c>
      <c r="Q57" t="s">
        <v>209</v>
      </c>
      <c r="Z57" t="s">
        <v>49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hidden="1">
      <c r="A58">
        <v>57</v>
      </c>
      <c r="B58" t="s">
        <v>221</v>
      </c>
      <c r="C58" t="s">
        <v>215</v>
      </c>
      <c r="D58" t="s">
        <v>150</v>
      </c>
      <c r="E58">
        <v>0</v>
      </c>
      <c r="F58" s="3">
        <v>46227</v>
      </c>
      <c r="G58" s="3">
        <v>46234</v>
      </c>
      <c r="H58" t="s">
        <v>74</v>
      </c>
      <c r="I58" t="s">
        <v>140</v>
      </c>
      <c r="J58" t="s">
        <v>179</v>
      </c>
      <c r="L58" s="3">
        <v>46227</v>
      </c>
      <c r="M58" s="3">
        <v>46227</v>
      </c>
      <c r="N58">
        <v>56</v>
      </c>
      <c r="Q58" t="s">
        <v>209</v>
      </c>
      <c r="Z58" t="s">
        <v>49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hidden="1">
      <c r="A59">
        <v>58</v>
      </c>
      <c r="B59" t="s">
        <v>222</v>
      </c>
      <c r="C59" t="s">
        <v>206</v>
      </c>
      <c r="D59" t="s">
        <v>223</v>
      </c>
      <c r="E59">
        <v>0</v>
      </c>
      <c r="F59" s="3">
        <v>46217</v>
      </c>
      <c r="G59" s="3">
        <v>46245</v>
      </c>
      <c r="H59" t="s">
        <v>74</v>
      </c>
      <c r="I59" t="s">
        <v>224</v>
      </c>
      <c r="J59" t="s">
        <v>219</v>
      </c>
      <c r="K59" s="3">
        <v>46211</v>
      </c>
      <c r="L59" s="3">
        <v>46238</v>
      </c>
      <c r="M59" s="3">
        <v>46238</v>
      </c>
      <c r="O59" t="s">
        <v>154</v>
      </c>
      <c r="Q59" t="s">
        <v>209</v>
      </c>
      <c r="R59" t="s">
        <v>225</v>
      </c>
      <c r="S59">
        <v>2</v>
      </c>
      <c r="U59" t="s">
        <v>211</v>
      </c>
      <c r="V59" t="s">
        <v>134</v>
      </c>
      <c r="W59" t="s">
        <v>212</v>
      </c>
      <c r="X59" t="s">
        <v>213</v>
      </c>
      <c r="Y59">
        <v>1</v>
      </c>
      <c r="Z59" t="s">
        <v>49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hidden="1">
      <c r="A60">
        <v>59</v>
      </c>
      <c r="B60" t="s">
        <v>226</v>
      </c>
      <c r="C60" t="s">
        <v>227</v>
      </c>
      <c r="D60" t="s">
        <v>139</v>
      </c>
      <c r="E60">
        <v>0</v>
      </c>
      <c r="F60" s="3">
        <v>46217</v>
      </c>
      <c r="G60" s="3">
        <v>46231</v>
      </c>
      <c r="H60" t="s">
        <v>74</v>
      </c>
      <c r="I60" t="s">
        <v>216</v>
      </c>
      <c r="J60" t="s">
        <v>219</v>
      </c>
      <c r="L60" s="3">
        <v>46224</v>
      </c>
      <c r="M60" s="3">
        <v>46224</v>
      </c>
      <c r="N60">
        <v>54</v>
      </c>
      <c r="P60">
        <v>60</v>
      </c>
      <c r="Q60" t="s">
        <v>209</v>
      </c>
      <c r="Z60" t="s">
        <v>49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hidden="1">
      <c r="A61">
        <v>60</v>
      </c>
      <c r="B61" t="s">
        <v>228</v>
      </c>
      <c r="C61" t="s">
        <v>227</v>
      </c>
      <c r="D61" t="s">
        <v>143</v>
      </c>
      <c r="E61">
        <v>0</v>
      </c>
      <c r="F61" s="3">
        <v>46231</v>
      </c>
      <c r="G61" s="3">
        <v>46238</v>
      </c>
      <c r="H61" t="s">
        <v>74</v>
      </c>
      <c r="I61" t="s">
        <v>140</v>
      </c>
      <c r="J61" t="s">
        <v>181</v>
      </c>
      <c r="L61" s="3">
        <v>46231</v>
      </c>
      <c r="M61" s="3">
        <v>46231</v>
      </c>
      <c r="N61">
        <v>59</v>
      </c>
      <c r="P61">
        <v>61</v>
      </c>
      <c r="Q61" t="s">
        <v>209</v>
      </c>
      <c r="Z61" t="s">
        <v>49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hidden="1">
      <c r="A62">
        <v>61</v>
      </c>
      <c r="B62" t="s">
        <v>229</v>
      </c>
      <c r="C62" t="s">
        <v>227</v>
      </c>
      <c r="D62" t="s">
        <v>146</v>
      </c>
      <c r="E62">
        <v>0</v>
      </c>
      <c r="F62" s="3">
        <v>46238</v>
      </c>
      <c r="G62" s="3">
        <v>46241</v>
      </c>
      <c r="H62" t="s">
        <v>74</v>
      </c>
      <c r="I62" t="s">
        <v>147</v>
      </c>
      <c r="J62" t="s">
        <v>79</v>
      </c>
      <c r="L62" s="3">
        <v>46234</v>
      </c>
      <c r="M62" s="3">
        <v>46234</v>
      </c>
      <c r="N62">
        <v>60</v>
      </c>
      <c r="P62">
        <v>62</v>
      </c>
      <c r="Q62" t="s">
        <v>209</v>
      </c>
      <c r="Z62" t="s">
        <v>49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hidden="1">
      <c r="A63">
        <v>62</v>
      </c>
      <c r="B63" t="s">
        <v>230</v>
      </c>
      <c r="C63" t="s">
        <v>227</v>
      </c>
      <c r="D63" t="s">
        <v>150</v>
      </c>
      <c r="E63">
        <v>0</v>
      </c>
      <c r="F63" s="3">
        <v>46241</v>
      </c>
      <c r="G63" s="3">
        <v>46245</v>
      </c>
      <c r="H63" t="s">
        <v>74</v>
      </c>
      <c r="I63" t="s">
        <v>151</v>
      </c>
      <c r="J63" t="s">
        <v>79</v>
      </c>
      <c r="L63" s="3">
        <v>46238</v>
      </c>
      <c r="M63" s="3">
        <v>46238</v>
      </c>
      <c r="N63">
        <v>61</v>
      </c>
      <c r="Q63" t="s">
        <v>209</v>
      </c>
      <c r="Z63" t="s">
        <v>49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hidden="1">
      <c r="A64">
        <v>63</v>
      </c>
      <c r="B64" t="s">
        <v>231</v>
      </c>
      <c r="C64" t="s">
        <v>206</v>
      </c>
      <c r="D64" t="s">
        <v>232</v>
      </c>
      <c r="E64">
        <v>0</v>
      </c>
      <c r="F64" s="3">
        <v>46217</v>
      </c>
      <c r="G64" s="3">
        <v>46239</v>
      </c>
      <c r="H64" t="s">
        <v>74</v>
      </c>
      <c r="I64" t="s">
        <v>233</v>
      </c>
      <c r="J64" t="s">
        <v>219</v>
      </c>
      <c r="K64" s="3">
        <v>46211</v>
      </c>
      <c r="L64" s="3">
        <v>46232</v>
      </c>
      <c r="M64" s="3">
        <v>46232</v>
      </c>
      <c r="O64" t="s">
        <v>154</v>
      </c>
      <c r="Q64" t="s">
        <v>209</v>
      </c>
      <c r="R64" t="s">
        <v>234</v>
      </c>
      <c r="S64">
        <v>2</v>
      </c>
      <c r="U64" t="s">
        <v>211</v>
      </c>
      <c r="V64" t="s">
        <v>134</v>
      </c>
      <c r="W64" t="s">
        <v>212</v>
      </c>
      <c r="X64" t="s">
        <v>213</v>
      </c>
      <c r="Y64">
        <v>1</v>
      </c>
      <c r="Z64" t="s">
        <v>49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hidden="1">
      <c r="A65">
        <v>64</v>
      </c>
      <c r="B65" t="s">
        <v>235</v>
      </c>
      <c r="C65" t="s">
        <v>236</v>
      </c>
      <c r="D65" t="s">
        <v>139</v>
      </c>
      <c r="E65">
        <v>0</v>
      </c>
      <c r="F65" s="3">
        <v>46217</v>
      </c>
      <c r="G65" s="3">
        <v>46231</v>
      </c>
      <c r="H65" t="s">
        <v>74</v>
      </c>
      <c r="I65" t="s">
        <v>216</v>
      </c>
      <c r="J65" t="s">
        <v>219</v>
      </c>
      <c r="L65" s="3">
        <v>46224</v>
      </c>
      <c r="M65" s="3">
        <v>46224</v>
      </c>
      <c r="N65">
        <v>54</v>
      </c>
      <c r="P65">
        <v>65</v>
      </c>
      <c r="Q65" t="s">
        <v>209</v>
      </c>
      <c r="Z65" t="s">
        <v>49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hidden="1">
      <c r="A66">
        <v>65</v>
      </c>
      <c r="B66" t="s">
        <v>237</v>
      </c>
      <c r="C66" t="s">
        <v>236</v>
      </c>
      <c r="D66" t="s">
        <v>143</v>
      </c>
      <c r="E66">
        <v>0</v>
      </c>
      <c r="F66" s="3">
        <v>46231</v>
      </c>
      <c r="G66" s="3">
        <v>46232</v>
      </c>
      <c r="H66" t="s">
        <v>74</v>
      </c>
      <c r="I66" t="s">
        <v>64</v>
      </c>
      <c r="J66" t="s">
        <v>181</v>
      </c>
      <c r="L66" s="3">
        <v>46225</v>
      </c>
      <c r="M66" s="3">
        <v>46225</v>
      </c>
      <c r="N66">
        <v>64</v>
      </c>
      <c r="P66">
        <v>66</v>
      </c>
      <c r="Q66" t="s">
        <v>209</v>
      </c>
      <c r="Z66" t="s">
        <v>49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hidden="1">
      <c r="A67">
        <v>66</v>
      </c>
      <c r="B67" t="s">
        <v>238</v>
      </c>
      <c r="C67" t="s">
        <v>236</v>
      </c>
      <c r="D67" t="s">
        <v>146</v>
      </c>
      <c r="E67">
        <v>0</v>
      </c>
      <c r="F67" s="3">
        <v>46232</v>
      </c>
      <c r="G67" s="3">
        <v>46237</v>
      </c>
      <c r="H67" t="s">
        <v>74</v>
      </c>
      <c r="I67" t="s">
        <v>147</v>
      </c>
      <c r="J67" t="s">
        <v>79</v>
      </c>
      <c r="L67" s="3">
        <v>46230</v>
      </c>
      <c r="M67" s="3">
        <v>46230</v>
      </c>
      <c r="N67">
        <v>65</v>
      </c>
      <c r="P67">
        <v>67</v>
      </c>
      <c r="Q67" t="s">
        <v>209</v>
      </c>
      <c r="Z67" t="s">
        <v>49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hidden="1">
      <c r="A68">
        <v>67</v>
      </c>
      <c r="B68" t="s">
        <v>239</v>
      </c>
      <c r="C68" t="s">
        <v>236</v>
      </c>
      <c r="D68" t="s">
        <v>150</v>
      </c>
      <c r="E68">
        <v>0</v>
      </c>
      <c r="F68" s="3">
        <v>46237</v>
      </c>
      <c r="G68" s="3">
        <v>46239</v>
      </c>
      <c r="H68" t="s">
        <v>74</v>
      </c>
      <c r="I68" t="s">
        <v>151</v>
      </c>
      <c r="J68" t="s">
        <v>181</v>
      </c>
      <c r="L68" s="3">
        <v>46232</v>
      </c>
      <c r="M68" s="3">
        <v>46232</v>
      </c>
      <c r="N68">
        <v>66</v>
      </c>
      <c r="Q68" t="s">
        <v>209</v>
      </c>
      <c r="Z68" t="s">
        <v>49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hidden="1">
      <c r="A69">
        <v>68</v>
      </c>
      <c r="B69" t="s">
        <v>240</v>
      </c>
      <c r="C69" t="s">
        <v>206</v>
      </c>
      <c r="D69" t="s">
        <v>241</v>
      </c>
      <c r="E69">
        <v>0</v>
      </c>
      <c r="F69" s="3">
        <v>46217</v>
      </c>
      <c r="G69" s="3">
        <v>46245</v>
      </c>
      <c r="H69" t="s">
        <v>74</v>
      </c>
      <c r="I69" t="s">
        <v>224</v>
      </c>
      <c r="J69" t="s">
        <v>219</v>
      </c>
      <c r="K69" s="3">
        <v>46211</v>
      </c>
      <c r="L69" s="3">
        <v>46238</v>
      </c>
      <c r="M69" s="3">
        <v>46238</v>
      </c>
      <c r="O69" t="s">
        <v>154</v>
      </c>
      <c r="Q69" t="s">
        <v>209</v>
      </c>
      <c r="R69" t="s">
        <v>242</v>
      </c>
      <c r="S69">
        <v>2</v>
      </c>
      <c r="U69" t="s">
        <v>211</v>
      </c>
      <c r="V69" t="s">
        <v>134</v>
      </c>
      <c r="W69" t="s">
        <v>212</v>
      </c>
      <c r="X69" t="s">
        <v>213</v>
      </c>
      <c r="Y69">
        <v>1</v>
      </c>
      <c r="Z69" t="s">
        <v>49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hidden="1">
      <c r="A70">
        <v>69</v>
      </c>
      <c r="B70" t="s">
        <v>243</v>
      </c>
      <c r="C70" t="s">
        <v>244</v>
      </c>
      <c r="D70" t="s">
        <v>139</v>
      </c>
      <c r="E70">
        <v>0</v>
      </c>
      <c r="F70" s="3">
        <v>46217</v>
      </c>
      <c r="G70" s="3">
        <v>46231</v>
      </c>
      <c r="H70" t="s">
        <v>74</v>
      </c>
      <c r="I70" t="s">
        <v>216</v>
      </c>
      <c r="J70" t="s">
        <v>219</v>
      </c>
      <c r="L70" s="3">
        <v>46224</v>
      </c>
      <c r="M70" s="3">
        <v>46224</v>
      </c>
      <c r="N70">
        <v>54</v>
      </c>
      <c r="P70">
        <v>70</v>
      </c>
      <c r="Q70" t="s">
        <v>209</v>
      </c>
      <c r="Z70" t="s">
        <v>49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hidden="1">
      <c r="A71">
        <v>70</v>
      </c>
      <c r="B71" t="s">
        <v>245</v>
      </c>
      <c r="C71" t="s">
        <v>244</v>
      </c>
      <c r="D71" t="s">
        <v>143</v>
      </c>
      <c r="E71">
        <v>0</v>
      </c>
      <c r="F71" s="3">
        <v>46231</v>
      </c>
      <c r="G71" s="3">
        <v>46238</v>
      </c>
      <c r="H71" t="s">
        <v>74</v>
      </c>
      <c r="I71" t="s">
        <v>140</v>
      </c>
      <c r="J71" t="s">
        <v>181</v>
      </c>
      <c r="L71" s="3">
        <v>46231</v>
      </c>
      <c r="M71" s="3">
        <v>46231</v>
      </c>
      <c r="N71">
        <v>69</v>
      </c>
      <c r="P71">
        <v>71</v>
      </c>
      <c r="Q71" t="s">
        <v>209</v>
      </c>
      <c r="Z71" t="s">
        <v>49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hidden="1">
      <c r="A72">
        <v>71</v>
      </c>
      <c r="B72" t="s">
        <v>246</v>
      </c>
      <c r="C72" t="s">
        <v>244</v>
      </c>
      <c r="D72" t="s">
        <v>146</v>
      </c>
      <c r="E72">
        <v>0</v>
      </c>
      <c r="F72" s="3">
        <v>46238</v>
      </c>
      <c r="G72" s="3">
        <v>46241</v>
      </c>
      <c r="H72" t="s">
        <v>74</v>
      </c>
      <c r="I72" t="s">
        <v>147</v>
      </c>
      <c r="J72" t="s">
        <v>79</v>
      </c>
      <c r="L72" s="3">
        <v>46234</v>
      </c>
      <c r="M72" s="3">
        <v>46234</v>
      </c>
      <c r="N72">
        <v>70</v>
      </c>
      <c r="P72">
        <v>72</v>
      </c>
      <c r="Q72" t="s">
        <v>209</v>
      </c>
      <c r="Z72" t="s">
        <v>49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hidden="1">
      <c r="A73">
        <v>72</v>
      </c>
      <c r="B73" t="s">
        <v>247</v>
      </c>
      <c r="C73" t="s">
        <v>244</v>
      </c>
      <c r="D73" t="s">
        <v>150</v>
      </c>
      <c r="E73">
        <v>0</v>
      </c>
      <c r="F73" s="3">
        <v>46241</v>
      </c>
      <c r="G73" s="3">
        <v>46245</v>
      </c>
      <c r="H73" t="s">
        <v>74</v>
      </c>
      <c r="I73" t="s">
        <v>151</v>
      </c>
      <c r="J73" t="s">
        <v>79</v>
      </c>
      <c r="L73" s="3">
        <v>46238</v>
      </c>
      <c r="M73" s="3">
        <v>46238</v>
      </c>
      <c r="N73">
        <v>71</v>
      </c>
      <c r="Q73" t="s">
        <v>209</v>
      </c>
      <c r="Z73" t="s">
        <v>49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hidden="1">
      <c r="A74">
        <v>73</v>
      </c>
      <c r="B74" t="s">
        <v>248</v>
      </c>
      <c r="C74" t="s">
        <v>206</v>
      </c>
      <c r="D74" t="s">
        <v>249</v>
      </c>
      <c r="E74">
        <v>0</v>
      </c>
      <c r="F74" s="3">
        <v>46217</v>
      </c>
      <c r="G74" s="3">
        <v>46245</v>
      </c>
      <c r="H74" t="s">
        <v>74</v>
      </c>
      <c r="I74" t="s">
        <v>224</v>
      </c>
      <c r="J74" t="s">
        <v>219</v>
      </c>
      <c r="K74" s="3">
        <v>46211</v>
      </c>
      <c r="L74" s="3">
        <v>46238</v>
      </c>
      <c r="M74" s="3">
        <v>46238</v>
      </c>
      <c r="O74" t="s">
        <v>154</v>
      </c>
      <c r="Q74" t="s">
        <v>209</v>
      </c>
      <c r="R74" t="s">
        <v>250</v>
      </c>
      <c r="S74">
        <v>4</v>
      </c>
      <c r="U74" t="s">
        <v>211</v>
      </c>
      <c r="V74" t="s">
        <v>134</v>
      </c>
      <c r="W74" t="s">
        <v>212</v>
      </c>
      <c r="X74" t="s">
        <v>213</v>
      </c>
      <c r="Y74">
        <v>1</v>
      </c>
      <c r="Z74" t="s">
        <v>49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hidden="1">
      <c r="A75">
        <v>74</v>
      </c>
      <c r="B75" t="s">
        <v>251</v>
      </c>
      <c r="C75" t="s">
        <v>252</v>
      </c>
      <c r="D75" t="s">
        <v>139</v>
      </c>
      <c r="E75">
        <v>0</v>
      </c>
      <c r="F75" s="3">
        <v>46217</v>
      </c>
      <c r="G75" s="3">
        <v>46231</v>
      </c>
      <c r="H75" t="s">
        <v>74</v>
      </c>
      <c r="I75" t="s">
        <v>216</v>
      </c>
      <c r="J75" t="s">
        <v>219</v>
      </c>
      <c r="L75" s="3">
        <v>46224</v>
      </c>
      <c r="M75" s="3">
        <v>46224</v>
      </c>
      <c r="N75">
        <v>54</v>
      </c>
      <c r="P75">
        <v>75</v>
      </c>
      <c r="Q75" t="s">
        <v>209</v>
      </c>
      <c r="Z75" t="s">
        <v>49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hidden="1">
      <c r="A76">
        <v>75</v>
      </c>
      <c r="B76" t="s">
        <v>253</v>
      </c>
      <c r="C76" t="s">
        <v>252</v>
      </c>
      <c r="D76" t="s">
        <v>143</v>
      </c>
      <c r="E76">
        <v>0</v>
      </c>
      <c r="F76" s="3">
        <v>46231</v>
      </c>
      <c r="G76" s="3">
        <v>46238</v>
      </c>
      <c r="H76" t="s">
        <v>74</v>
      </c>
      <c r="I76" t="s">
        <v>140</v>
      </c>
      <c r="J76" t="s">
        <v>181</v>
      </c>
      <c r="L76" s="3">
        <v>46231</v>
      </c>
      <c r="M76" s="3">
        <v>46231</v>
      </c>
      <c r="N76">
        <v>74</v>
      </c>
      <c r="P76">
        <v>76</v>
      </c>
      <c r="Q76" t="s">
        <v>209</v>
      </c>
      <c r="Z76" t="s">
        <v>49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hidden="1">
      <c r="A77">
        <v>76</v>
      </c>
      <c r="B77" t="s">
        <v>254</v>
      </c>
      <c r="C77" t="s">
        <v>252</v>
      </c>
      <c r="D77" t="s">
        <v>146</v>
      </c>
      <c r="E77">
        <v>0</v>
      </c>
      <c r="F77" s="3">
        <v>46238</v>
      </c>
      <c r="G77" s="3">
        <v>46241</v>
      </c>
      <c r="H77" t="s">
        <v>74</v>
      </c>
      <c r="I77" t="s">
        <v>147</v>
      </c>
      <c r="J77" t="s">
        <v>79</v>
      </c>
      <c r="L77" s="3">
        <v>46234</v>
      </c>
      <c r="M77" s="3">
        <v>46234</v>
      </c>
      <c r="N77">
        <v>75</v>
      </c>
      <c r="P77">
        <v>77</v>
      </c>
      <c r="Q77" t="s">
        <v>209</v>
      </c>
      <c r="Z77" t="s">
        <v>49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hidden="1">
      <c r="A78">
        <v>77</v>
      </c>
      <c r="B78" t="s">
        <v>255</v>
      </c>
      <c r="C78" t="s">
        <v>252</v>
      </c>
      <c r="D78" t="s">
        <v>150</v>
      </c>
      <c r="E78">
        <v>0</v>
      </c>
      <c r="F78" s="3">
        <v>46241</v>
      </c>
      <c r="G78" s="3">
        <v>46245</v>
      </c>
      <c r="H78" t="s">
        <v>74</v>
      </c>
      <c r="I78" t="s">
        <v>151</v>
      </c>
      <c r="J78" t="s">
        <v>79</v>
      </c>
      <c r="L78" s="3">
        <v>46238</v>
      </c>
      <c r="M78" s="3">
        <v>46238</v>
      </c>
      <c r="N78">
        <v>76</v>
      </c>
      <c r="Q78" t="s">
        <v>209</v>
      </c>
      <c r="Z78" t="s">
        <v>49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hidden="1">
      <c r="A79">
        <v>78</v>
      </c>
      <c r="B79" t="s">
        <v>256</v>
      </c>
      <c r="C79" t="s">
        <v>206</v>
      </c>
      <c r="D79" t="s">
        <v>257</v>
      </c>
      <c r="E79">
        <v>0</v>
      </c>
      <c r="F79" s="3">
        <v>46217</v>
      </c>
      <c r="G79" s="3">
        <v>46248</v>
      </c>
      <c r="H79" t="s">
        <v>74</v>
      </c>
      <c r="I79" t="s">
        <v>208</v>
      </c>
      <c r="J79" t="s">
        <v>219</v>
      </c>
      <c r="K79" s="3">
        <v>46211</v>
      </c>
      <c r="L79" s="3">
        <v>46241</v>
      </c>
      <c r="M79" s="3">
        <v>46241</v>
      </c>
      <c r="O79" t="s">
        <v>154</v>
      </c>
      <c r="Q79" t="s">
        <v>209</v>
      </c>
      <c r="R79" t="s">
        <v>258</v>
      </c>
      <c r="S79">
        <v>4</v>
      </c>
      <c r="U79" t="s">
        <v>211</v>
      </c>
      <c r="V79" t="s">
        <v>134</v>
      </c>
      <c r="W79" t="s">
        <v>212</v>
      </c>
      <c r="X79" t="s">
        <v>213</v>
      </c>
      <c r="Y79">
        <v>1</v>
      </c>
      <c r="Z79" t="s">
        <v>49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hidden="1">
      <c r="A80">
        <v>79</v>
      </c>
      <c r="B80" t="s">
        <v>259</v>
      </c>
      <c r="C80" t="s">
        <v>260</v>
      </c>
      <c r="D80" t="s">
        <v>139</v>
      </c>
      <c r="E80">
        <v>0</v>
      </c>
      <c r="F80" s="3">
        <v>46217</v>
      </c>
      <c r="G80" s="3">
        <v>46231</v>
      </c>
      <c r="H80" t="s">
        <v>74</v>
      </c>
      <c r="I80" t="s">
        <v>216</v>
      </c>
      <c r="J80" t="s">
        <v>219</v>
      </c>
      <c r="L80" s="3">
        <v>46224</v>
      </c>
      <c r="M80" s="3">
        <v>46224</v>
      </c>
      <c r="N80">
        <v>54</v>
      </c>
      <c r="P80">
        <v>80</v>
      </c>
      <c r="Q80" t="s">
        <v>209</v>
      </c>
      <c r="Z80" t="s">
        <v>49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idden="1">
      <c r="A81">
        <v>80</v>
      </c>
      <c r="B81" t="s">
        <v>261</v>
      </c>
      <c r="C81" t="s">
        <v>260</v>
      </c>
      <c r="D81" t="s">
        <v>143</v>
      </c>
      <c r="E81">
        <v>0</v>
      </c>
      <c r="F81" s="3">
        <v>46231</v>
      </c>
      <c r="G81" s="3">
        <v>46238</v>
      </c>
      <c r="H81" t="s">
        <v>74</v>
      </c>
      <c r="I81" t="s">
        <v>140</v>
      </c>
      <c r="J81" t="s">
        <v>181</v>
      </c>
      <c r="L81" s="3">
        <v>46231</v>
      </c>
      <c r="M81" s="3">
        <v>46231</v>
      </c>
      <c r="N81">
        <v>79</v>
      </c>
      <c r="P81">
        <v>81</v>
      </c>
      <c r="Q81" t="s">
        <v>209</v>
      </c>
      <c r="Z81" t="s">
        <v>49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hidden="1">
      <c r="A82">
        <v>81</v>
      </c>
      <c r="B82" t="s">
        <v>262</v>
      </c>
      <c r="C82" t="s">
        <v>260</v>
      </c>
      <c r="D82" t="s">
        <v>146</v>
      </c>
      <c r="E82">
        <v>0</v>
      </c>
      <c r="F82" s="3">
        <v>46238</v>
      </c>
      <c r="G82" s="3">
        <v>46241</v>
      </c>
      <c r="H82" t="s">
        <v>74</v>
      </c>
      <c r="I82" t="s">
        <v>147</v>
      </c>
      <c r="J82" t="s">
        <v>79</v>
      </c>
      <c r="L82" s="3">
        <v>46234</v>
      </c>
      <c r="M82" s="3">
        <v>46234</v>
      </c>
      <c r="N82">
        <v>80</v>
      </c>
      <c r="P82">
        <v>82</v>
      </c>
      <c r="Q82" t="s">
        <v>209</v>
      </c>
      <c r="Z82" t="s">
        <v>49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hidden="1">
      <c r="A83">
        <v>82</v>
      </c>
      <c r="B83" t="s">
        <v>263</v>
      </c>
      <c r="C83" t="s">
        <v>260</v>
      </c>
      <c r="D83" t="s">
        <v>150</v>
      </c>
      <c r="E83">
        <v>0</v>
      </c>
      <c r="F83" s="3">
        <v>46241</v>
      </c>
      <c r="G83" s="3">
        <v>46248</v>
      </c>
      <c r="H83" t="s">
        <v>74</v>
      </c>
      <c r="I83" t="s">
        <v>140</v>
      </c>
      <c r="J83" t="s">
        <v>79</v>
      </c>
      <c r="L83" s="3">
        <v>46241</v>
      </c>
      <c r="M83" s="3">
        <v>46241</v>
      </c>
      <c r="N83">
        <v>81</v>
      </c>
      <c r="Q83" t="s">
        <v>209</v>
      </c>
      <c r="Z83" t="s">
        <v>49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hidden="1">
      <c r="A84">
        <v>83</v>
      </c>
      <c r="B84" t="s">
        <v>264</v>
      </c>
      <c r="C84" t="s">
        <v>206</v>
      </c>
      <c r="D84" t="s">
        <v>265</v>
      </c>
      <c r="E84">
        <v>0</v>
      </c>
      <c r="F84" s="3">
        <v>46217</v>
      </c>
      <c r="G84" s="3">
        <v>46245</v>
      </c>
      <c r="H84" t="s">
        <v>74</v>
      </c>
      <c r="I84" t="s">
        <v>224</v>
      </c>
      <c r="J84" t="s">
        <v>219</v>
      </c>
      <c r="K84" s="3">
        <v>46211</v>
      </c>
      <c r="L84" s="3">
        <v>46238</v>
      </c>
      <c r="M84" s="3">
        <v>46238</v>
      </c>
      <c r="O84" t="s">
        <v>154</v>
      </c>
      <c r="Q84" t="s">
        <v>209</v>
      </c>
      <c r="R84" t="s">
        <v>266</v>
      </c>
      <c r="S84">
        <v>4</v>
      </c>
      <c r="U84" t="s">
        <v>211</v>
      </c>
      <c r="V84" t="s">
        <v>134</v>
      </c>
      <c r="W84" t="s">
        <v>212</v>
      </c>
      <c r="X84" t="s">
        <v>213</v>
      </c>
      <c r="Y84">
        <v>1</v>
      </c>
      <c r="Z84" t="s">
        <v>49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hidden="1">
      <c r="A85">
        <v>84</v>
      </c>
      <c r="B85" t="s">
        <v>267</v>
      </c>
      <c r="C85" t="s">
        <v>268</v>
      </c>
      <c r="D85" t="s">
        <v>139</v>
      </c>
      <c r="E85">
        <v>0</v>
      </c>
      <c r="F85" s="3">
        <v>46217</v>
      </c>
      <c r="G85" s="3">
        <v>46231</v>
      </c>
      <c r="H85" t="s">
        <v>74</v>
      </c>
      <c r="I85" t="s">
        <v>216</v>
      </c>
      <c r="J85" t="s">
        <v>219</v>
      </c>
      <c r="L85" s="3">
        <v>46224</v>
      </c>
      <c r="M85" s="3">
        <v>46224</v>
      </c>
      <c r="N85">
        <v>54</v>
      </c>
      <c r="P85">
        <v>85</v>
      </c>
      <c r="Q85" t="s">
        <v>209</v>
      </c>
      <c r="Z85" t="s">
        <v>49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hidden="1">
      <c r="A86">
        <v>85</v>
      </c>
      <c r="B86" t="s">
        <v>269</v>
      </c>
      <c r="C86" t="s">
        <v>268</v>
      </c>
      <c r="D86" t="s">
        <v>143</v>
      </c>
      <c r="E86">
        <v>0</v>
      </c>
      <c r="F86" s="3">
        <v>46231</v>
      </c>
      <c r="G86" s="3">
        <v>46238</v>
      </c>
      <c r="H86" t="s">
        <v>74</v>
      </c>
      <c r="I86" t="s">
        <v>140</v>
      </c>
      <c r="J86" t="s">
        <v>181</v>
      </c>
      <c r="L86" s="3">
        <v>46231</v>
      </c>
      <c r="M86" s="3">
        <v>46231</v>
      </c>
      <c r="N86">
        <v>84</v>
      </c>
      <c r="P86">
        <v>86</v>
      </c>
      <c r="Q86" t="s">
        <v>209</v>
      </c>
      <c r="Z86" t="s">
        <v>49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hidden="1">
      <c r="A87">
        <v>86</v>
      </c>
      <c r="B87" t="s">
        <v>270</v>
      </c>
      <c r="C87" t="s">
        <v>268</v>
      </c>
      <c r="D87" t="s">
        <v>146</v>
      </c>
      <c r="E87">
        <v>0</v>
      </c>
      <c r="F87" s="3">
        <v>46238</v>
      </c>
      <c r="G87" s="3">
        <v>46241</v>
      </c>
      <c r="H87" t="s">
        <v>74</v>
      </c>
      <c r="I87" t="s">
        <v>147</v>
      </c>
      <c r="J87" t="s">
        <v>79</v>
      </c>
      <c r="L87" s="3">
        <v>46234</v>
      </c>
      <c r="M87" s="3">
        <v>46234</v>
      </c>
      <c r="N87">
        <v>85</v>
      </c>
      <c r="P87">
        <v>87</v>
      </c>
      <c r="Q87" t="s">
        <v>209</v>
      </c>
      <c r="Z87" t="s">
        <v>49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hidden="1">
      <c r="A88">
        <v>87</v>
      </c>
      <c r="B88" t="s">
        <v>271</v>
      </c>
      <c r="C88" t="s">
        <v>268</v>
      </c>
      <c r="D88" t="s">
        <v>150</v>
      </c>
      <c r="E88">
        <v>0</v>
      </c>
      <c r="F88" s="3">
        <v>46241</v>
      </c>
      <c r="G88" s="3">
        <v>46245</v>
      </c>
      <c r="H88" t="s">
        <v>74</v>
      </c>
      <c r="I88" t="s">
        <v>151</v>
      </c>
      <c r="J88" t="s">
        <v>79</v>
      </c>
      <c r="L88" s="3">
        <v>46238</v>
      </c>
      <c r="M88" s="3">
        <v>46238</v>
      </c>
      <c r="N88">
        <v>86</v>
      </c>
      <c r="Q88" t="s">
        <v>209</v>
      </c>
      <c r="Z88" t="s">
        <v>49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hidden="1">
      <c r="A89">
        <v>88</v>
      </c>
      <c r="B89" t="s">
        <v>272</v>
      </c>
      <c r="C89" t="s">
        <v>206</v>
      </c>
      <c r="D89" t="s">
        <v>273</v>
      </c>
      <c r="E89">
        <v>0</v>
      </c>
      <c r="F89" s="3">
        <v>46217</v>
      </c>
      <c r="G89" s="3">
        <v>46245</v>
      </c>
      <c r="H89" t="s">
        <v>74</v>
      </c>
      <c r="I89" t="s">
        <v>224</v>
      </c>
      <c r="J89" t="s">
        <v>219</v>
      </c>
      <c r="K89" s="3">
        <v>46211</v>
      </c>
      <c r="L89" s="3">
        <v>46238</v>
      </c>
      <c r="M89" s="3">
        <v>46238</v>
      </c>
      <c r="O89" t="s">
        <v>154</v>
      </c>
      <c r="Q89" t="s">
        <v>209</v>
      </c>
      <c r="R89" t="s">
        <v>266</v>
      </c>
      <c r="S89">
        <v>4</v>
      </c>
      <c r="U89" t="s">
        <v>211</v>
      </c>
      <c r="V89" t="s">
        <v>134</v>
      </c>
      <c r="W89" t="s">
        <v>212</v>
      </c>
      <c r="X89" t="s">
        <v>213</v>
      </c>
      <c r="Y89">
        <v>1</v>
      </c>
      <c r="Z89" t="s">
        <v>49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hidden="1">
      <c r="A90">
        <v>89</v>
      </c>
      <c r="B90" t="s">
        <v>274</v>
      </c>
      <c r="C90" t="s">
        <v>275</v>
      </c>
      <c r="D90" t="s">
        <v>139</v>
      </c>
      <c r="E90">
        <v>0</v>
      </c>
      <c r="F90" s="3">
        <v>46217</v>
      </c>
      <c r="G90" s="3">
        <v>46231</v>
      </c>
      <c r="H90" t="s">
        <v>74</v>
      </c>
      <c r="I90" t="s">
        <v>216</v>
      </c>
      <c r="J90" t="s">
        <v>219</v>
      </c>
      <c r="L90" s="3">
        <v>46224</v>
      </c>
      <c r="M90" s="3">
        <v>46224</v>
      </c>
      <c r="N90">
        <v>54</v>
      </c>
      <c r="P90">
        <v>90</v>
      </c>
      <c r="Q90" t="s">
        <v>209</v>
      </c>
      <c r="Z90" t="s">
        <v>49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hidden="1">
      <c r="A91">
        <v>90</v>
      </c>
      <c r="B91" t="s">
        <v>276</v>
      </c>
      <c r="C91" t="s">
        <v>275</v>
      </c>
      <c r="D91" t="s">
        <v>143</v>
      </c>
      <c r="E91">
        <v>0</v>
      </c>
      <c r="F91" s="3">
        <v>46231</v>
      </c>
      <c r="G91" s="3">
        <v>46238</v>
      </c>
      <c r="H91" t="s">
        <v>74</v>
      </c>
      <c r="I91" t="s">
        <v>140</v>
      </c>
      <c r="J91" t="s">
        <v>181</v>
      </c>
      <c r="L91" s="3">
        <v>46231</v>
      </c>
      <c r="M91" s="3">
        <v>46231</v>
      </c>
      <c r="N91">
        <v>89</v>
      </c>
      <c r="P91">
        <v>91</v>
      </c>
      <c r="Q91" t="s">
        <v>209</v>
      </c>
      <c r="Z91" t="s">
        <v>49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hidden="1">
      <c r="A92">
        <v>91</v>
      </c>
      <c r="B92" t="s">
        <v>277</v>
      </c>
      <c r="C92" t="s">
        <v>275</v>
      </c>
      <c r="D92" t="s">
        <v>146</v>
      </c>
      <c r="E92">
        <v>0</v>
      </c>
      <c r="F92" s="3">
        <v>46238</v>
      </c>
      <c r="G92" s="3">
        <v>46241</v>
      </c>
      <c r="H92" t="s">
        <v>74</v>
      </c>
      <c r="I92" t="s">
        <v>147</v>
      </c>
      <c r="J92" t="s">
        <v>79</v>
      </c>
      <c r="L92" s="3">
        <v>46234</v>
      </c>
      <c r="M92" s="3">
        <v>46234</v>
      </c>
      <c r="N92">
        <v>90</v>
      </c>
      <c r="P92">
        <v>92</v>
      </c>
      <c r="Q92" t="s">
        <v>209</v>
      </c>
      <c r="Z92" t="s">
        <v>49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hidden="1">
      <c r="A93">
        <v>92</v>
      </c>
      <c r="B93" t="s">
        <v>278</v>
      </c>
      <c r="C93" t="s">
        <v>275</v>
      </c>
      <c r="D93" t="s">
        <v>150</v>
      </c>
      <c r="E93">
        <v>0</v>
      </c>
      <c r="F93" s="3">
        <v>46241</v>
      </c>
      <c r="G93" s="3">
        <v>46245</v>
      </c>
      <c r="H93" t="s">
        <v>74</v>
      </c>
      <c r="I93" t="s">
        <v>151</v>
      </c>
      <c r="J93" t="s">
        <v>79</v>
      </c>
      <c r="L93" s="3">
        <v>46238</v>
      </c>
      <c r="M93" s="3">
        <v>46238</v>
      </c>
      <c r="N93">
        <v>91</v>
      </c>
      <c r="Q93" t="s">
        <v>209</v>
      </c>
      <c r="Z93" t="s">
        <v>49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hidden="1">
      <c r="A94">
        <v>93</v>
      </c>
      <c r="B94" t="s">
        <v>279</v>
      </c>
      <c r="C94" t="s">
        <v>206</v>
      </c>
      <c r="D94" t="s">
        <v>280</v>
      </c>
      <c r="E94">
        <v>0</v>
      </c>
      <c r="F94" s="3">
        <v>46217</v>
      </c>
      <c r="G94" s="3">
        <v>46245</v>
      </c>
      <c r="H94" t="s">
        <v>74</v>
      </c>
      <c r="I94" t="s">
        <v>224</v>
      </c>
      <c r="J94" t="s">
        <v>219</v>
      </c>
      <c r="K94" s="3">
        <v>46211</v>
      </c>
      <c r="L94" s="3">
        <v>46238</v>
      </c>
      <c r="M94" s="3">
        <v>46238</v>
      </c>
      <c r="O94" t="s">
        <v>154</v>
      </c>
      <c r="Q94" t="s">
        <v>209</v>
      </c>
      <c r="R94" t="s">
        <v>281</v>
      </c>
      <c r="S94">
        <v>4</v>
      </c>
      <c r="U94" t="s">
        <v>211</v>
      </c>
      <c r="V94" t="s">
        <v>134</v>
      </c>
      <c r="W94" t="s">
        <v>212</v>
      </c>
      <c r="X94" t="s">
        <v>213</v>
      </c>
      <c r="Y94">
        <v>1</v>
      </c>
      <c r="Z94" t="s">
        <v>49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hidden="1">
      <c r="A95">
        <v>94</v>
      </c>
      <c r="B95" t="s">
        <v>282</v>
      </c>
      <c r="C95" t="s">
        <v>283</v>
      </c>
      <c r="D95" t="s">
        <v>139</v>
      </c>
      <c r="E95">
        <v>0</v>
      </c>
      <c r="F95" s="3">
        <v>46217</v>
      </c>
      <c r="G95" s="3">
        <v>46231</v>
      </c>
      <c r="H95" t="s">
        <v>74</v>
      </c>
      <c r="I95" t="s">
        <v>216</v>
      </c>
      <c r="J95" t="s">
        <v>219</v>
      </c>
      <c r="L95" s="3">
        <v>46224</v>
      </c>
      <c r="M95" s="3">
        <v>46224</v>
      </c>
      <c r="N95">
        <v>54</v>
      </c>
      <c r="P95">
        <v>95</v>
      </c>
      <c r="Q95" t="s">
        <v>209</v>
      </c>
      <c r="Z95" t="s">
        <v>49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hidden="1">
      <c r="A96">
        <v>95</v>
      </c>
      <c r="B96" t="s">
        <v>284</v>
      </c>
      <c r="C96" t="s">
        <v>283</v>
      </c>
      <c r="D96" t="s">
        <v>143</v>
      </c>
      <c r="E96">
        <v>0</v>
      </c>
      <c r="F96" s="3">
        <v>46231</v>
      </c>
      <c r="G96" s="3">
        <v>46238</v>
      </c>
      <c r="H96" t="s">
        <v>74</v>
      </c>
      <c r="I96" t="s">
        <v>140</v>
      </c>
      <c r="J96" t="s">
        <v>181</v>
      </c>
      <c r="L96" s="3">
        <v>46231</v>
      </c>
      <c r="M96" s="3">
        <v>46231</v>
      </c>
      <c r="N96">
        <v>94</v>
      </c>
      <c r="P96">
        <v>96</v>
      </c>
      <c r="Q96" t="s">
        <v>209</v>
      </c>
      <c r="Z96" t="s">
        <v>49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hidden="1">
      <c r="A97">
        <v>96</v>
      </c>
      <c r="B97" t="s">
        <v>285</v>
      </c>
      <c r="C97" t="s">
        <v>283</v>
      </c>
      <c r="D97" t="s">
        <v>146</v>
      </c>
      <c r="E97">
        <v>0</v>
      </c>
      <c r="F97" s="3">
        <v>46238</v>
      </c>
      <c r="G97" s="3">
        <v>46241</v>
      </c>
      <c r="H97" t="s">
        <v>74</v>
      </c>
      <c r="I97" t="s">
        <v>147</v>
      </c>
      <c r="J97" t="s">
        <v>79</v>
      </c>
      <c r="L97" s="3">
        <v>46234</v>
      </c>
      <c r="M97" s="3">
        <v>46234</v>
      </c>
      <c r="N97">
        <v>95</v>
      </c>
      <c r="P97">
        <v>97</v>
      </c>
      <c r="Q97" t="s">
        <v>209</v>
      </c>
      <c r="Z97" t="s">
        <v>49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hidden="1">
      <c r="A98">
        <v>97</v>
      </c>
      <c r="B98" t="s">
        <v>286</v>
      </c>
      <c r="C98" t="s">
        <v>283</v>
      </c>
      <c r="D98" t="s">
        <v>150</v>
      </c>
      <c r="E98">
        <v>0</v>
      </c>
      <c r="F98" s="3">
        <v>46241</v>
      </c>
      <c r="G98" s="3">
        <v>46245</v>
      </c>
      <c r="H98" t="s">
        <v>74</v>
      </c>
      <c r="I98" t="s">
        <v>151</v>
      </c>
      <c r="J98" t="s">
        <v>79</v>
      </c>
      <c r="L98" s="3">
        <v>46238</v>
      </c>
      <c r="M98" s="3">
        <v>46238</v>
      </c>
      <c r="N98">
        <v>96</v>
      </c>
      <c r="Q98" t="s">
        <v>209</v>
      </c>
      <c r="Z98" t="s">
        <v>49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hidden="1">
      <c r="A99">
        <v>98</v>
      </c>
      <c r="B99" t="s">
        <v>287</v>
      </c>
      <c r="C99" t="s">
        <v>206</v>
      </c>
      <c r="D99" t="s">
        <v>288</v>
      </c>
      <c r="E99">
        <v>0</v>
      </c>
      <c r="F99" s="3">
        <v>46217</v>
      </c>
      <c r="G99" s="3">
        <v>46245</v>
      </c>
      <c r="H99" t="s">
        <v>74</v>
      </c>
      <c r="I99" t="s">
        <v>224</v>
      </c>
      <c r="J99" t="s">
        <v>219</v>
      </c>
      <c r="K99" s="3">
        <v>46211</v>
      </c>
      <c r="L99" s="3">
        <v>46238</v>
      </c>
      <c r="M99" s="3">
        <v>46238</v>
      </c>
      <c r="O99" t="s">
        <v>154</v>
      </c>
      <c r="Q99" t="s">
        <v>209</v>
      </c>
      <c r="R99" t="s">
        <v>289</v>
      </c>
      <c r="S99">
        <v>4</v>
      </c>
      <c r="U99" t="s">
        <v>211</v>
      </c>
      <c r="V99" t="s">
        <v>134</v>
      </c>
      <c r="W99" t="s">
        <v>212</v>
      </c>
      <c r="X99" t="s">
        <v>213</v>
      </c>
      <c r="Y99">
        <v>1</v>
      </c>
      <c r="Z99" t="s">
        <v>49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hidden="1">
      <c r="A100">
        <v>99</v>
      </c>
      <c r="B100" t="s">
        <v>290</v>
      </c>
      <c r="C100" t="s">
        <v>291</v>
      </c>
      <c r="D100" t="s">
        <v>139</v>
      </c>
      <c r="E100">
        <v>0</v>
      </c>
      <c r="F100" s="3">
        <v>46217</v>
      </c>
      <c r="G100" s="3">
        <v>46231</v>
      </c>
      <c r="H100" t="s">
        <v>74</v>
      </c>
      <c r="I100" t="s">
        <v>216</v>
      </c>
      <c r="J100" t="s">
        <v>219</v>
      </c>
      <c r="L100" s="3">
        <v>46224</v>
      </c>
      <c r="M100" s="3">
        <v>46224</v>
      </c>
      <c r="N100">
        <v>54</v>
      </c>
      <c r="P100" t="s">
        <v>292</v>
      </c>
      <c r="Q100" t="s">
        <v>209</v>
      </c>
      <c r="Z100" t="s">
        <v>49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hidden="1">
      <c r="A101">
        <v>100</v>
      </c>
      <c r="B101" t="s">
        <v>293</v>
      </c>
      <c r="C101" t="s">
        <v>291</v>
      </c>
      <c r="D101" t="s">
        <v>143</v>
      </c>
      <c r="E101">
        <v>0</v>
      </c>
      <c r="F101" s="3">
        <v>46231</v>
      </c>
      <c r="G101" s="3">
        <v>46238</v>
      </c>
      <c r="H101" t="s">
        <v>74</v>
      </c>
      <c r="I101" t="s">
        <v>140</v>
      </c>
      <c r="J101" t="s">
        <v>181</v>
      </c>
      <c r="L101" s="3">
        <v>46231</v>
      </c>
      <c r="M101" s="3">
        <v>46231</v>
      </c>
      <c r="N101">
        <v>99</v>
      </c>
      <c r="P101">
        <v>101</v>
      </c>
      <c r="Q101" t="s">
        <v>209</v>
      </c>
      <c r="Z101" t="s">
        <v>49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hidden="1">
      <c r="A102">
        <v>101</v>
      </c>
      <c r="B102" t="s">
        <v>294</v>
      </c>
      <c r="C102" t="s">
        <v>291</v>
      </c>
      <c r="D102" t="s">
        <v>146</v>
      </c>
      <c r="E102">
        <v>0</v>
      </c>
      <c r="F102" s="3">
        <v>46238</v>
      </c>
      <c r="G102" s="3">
        <v>46241</v>
      </c>
      <c r="H102" t="s">
        <v>74</v>
      </c>
      <c r="I102" t="s">
        <v>147</v>
      </c>
      <c r="J102" t="s">
        <v>79</v>
      </c>
      <c r="L102" s="3">
        <v>46234</v>
      </c>
      <c r="M102" s="3">
        <v>46234</v>
      </c>
      <c r="N102">
        <v>100</v>
      </c>
      <c r="P102">
        <v>102</v>
      </c>
      <c r="Q102" t="s">
        <v>209</v>
      </c>
      <c r="Z102" t="s">
        <v>49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 hidden="1">
      <c r="A103">
        <v>102</v>
      </c>
      <c r="B103" t="s">
        <v>295</v>
      </c>
      <c r="C103" t="s">
        <v>291</v>
      </c>
      <c r="D103" t="s">
        <v>150</v>
      </c>
      <c r="E103">
        <v>0</v>
      </c>
      <c r="F103" s="3">
        <v>46241</v>
      </c>
      <c r="G103" s="3">
        <v>46245</v>
      </c>
      <c r="H103" t="s">
        <v>74</v>
      </c>
      <c r="I103" t="s">
        <v>151</v>
      </c>
      <c r="J103" t="s">
        <v>79</v>
      </c>
      <c r="L103" s="3">
        <v>46238</v>
      </c>
      <c r="M103" s="3">
        <v>46238</v>
      </c>
      <c r="N103">
        <v>101</v>
      </c>
      <c r="Q103" t="s">
        <v>209</v>
      </c>
      <c r="Z103" t="s">
        <v>49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hidden="1">
      <c r="A104">
        <v>103</v>
      </c>
      <c r="B104" t="s">
        <v>296</v>
      </c>
      <c r="C104" t="s">
        <v>206</v>
      </c>
      <c r="D104" t="s">
        <v>297</v>
      </c>
      <c r="E104">
        <v>0</v>
      </c>
      <c r="F104" s="3">
        <v>46217</v>
      </c>
      <c r="G104" s="3">
        <v>46245</v>
      </c>
      <c r="H104" t="s">
        <v>74</v>
      </c>
      <c r="I104" t="s">
        <v>224</v>
      </c>
      <c r="J104" t="s">
        <v>219</v>
      </c>
      <c r="K104" s="3">
        <v>46211</v>
      </c>
      <c r="L104" s="3">
        <v>46238</v>
      </c>
      <c r="M104" s="3">
        <v>46238</v>
      </c>
      <c r="O104" t="s">
        <v>154</v>
      </c>
      <c r="Q104" t="s">
        <v>209</v>
      </c>
      <c r="R104" t="s">
        <v>298</v>
      </c>
      <c r="S104">
        <v>4</v>
      </c>
      <c r="U104" t="s">
        <v>299</v>
      </c>
      <c r="V104" t="s">
        <v>134</v>
      </c>
      <c r="W104" t="s">
        <v>212</v>
      </c>
      <c r="X104" t="s">
        <v>213</v>
      </c>
      <c r="Y104">
        <v>1</v>
      </c>
      <c r="Z104" t="s">
        <v>49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hidden="1">
      <c r="A105">
        <v>104</v>
      </c>
      <c r="B105" t="s">
        <v>300</v>
      </c>
      <c r="C105" t="s">
        <v>301</v>
      </c>
      <c r="D105" t="s">
        <v>139</v>
      </c>
      <c r="E105">
        <v>0</v>
      </c>
      <c r="F105" s="3">
        <v>46217</v>
      </c>
      <c r="G105" s="3">
        <v>46231</v>
      </c>
      <c r="H105" t="s">
        <v>74</v>
      </c>
      <c r="I105" t="s">
        <v>216</v>
      </c>
      <c r="J105" t="s">
        <v>219</v>
      </c>
      <c r="L105" s="3">
        <v>46224</v>
      </c>
      <c r="M105" s="3">
        <v>46224</v>
      </c>
      <c r="N105">
        <v>54</v>
      </c>
      <c r="P105">
        <v>105</v>
      </c>
      <c r="Q105" t="s">
        <v>209</v>
      </c>
      <c r="Z105" t="s">
        <v>49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hidden="1">
      <c r="A106">
        <v>105</v>
      </c>
      <c r="B106" t="s">
        <v>302</v>
      </c>
      <c r="C106" t="s">
        <v>301</v>
      </c>
      <c r="D106" t="s">
        <v>143</v>
      </c>
      <c r="E106">
        <v>0</v>
      </c>
      <c r="F106" s="3">
        <v>46231</v>
      </c>
      <c r="G106" s="3">
        <v>46238</v>
      </c>
      <c r="H106" t="s">
        <v>74</v>
      </c>
      <c r="I106" t="s">
        <v>140</v>
      </c>
      <c r="J106" t="s">
        <v>181</v>
      </c>
      <c r="L106" s="3">
        <v>46231</v>
      </c>
      <c r="M106" s="3">
        <v>46231</v>
      </c>
      <c r="N106">
        <v>104</v>
      </c>
      <c r="P106" t="s">
        <v>303</v>
      </c>
      <c r="Q106" t="s">
        <v>209</v>
      </c>
      <c r="Z106" t="s">
        <v>49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hidden="1">
      <c r="A107">
        <v>106</v>
      </c>
      <c r="B107" t="s">
        <v>304</v>
      </c>
      <c r="C107" t="s">
        <v>301</v>
      </c>
      <c r="D107" t="s">
        <v>146</v>
      </c>
      <c r="E107">
        <v>0</v>
      </c>
      <c r="F107" s="3">
        <v>46238</v>
      </c>
      <c r="G107" s="3">
        <v>46241</v>
      </c>
      <c r="H107" t="s">
        <v>74</v>
      </c>
      <c r="I107" t="s">
        <v>147</v>
      </c>
      <c r="J107" t="s">
        <v>79</v>
      </c>
      <c r="L107" s="3">
        <v>46234</v>
      </c>
      <c r="M107" s="3">
        <v>46234</v>
      </c>
      <c r="N107">
        <v>105</v>
      </c>
      <c r="P107">
        <v>107</v>
      </c>
      <c r="Q107" t="s">
        <v>209</v>
      </c>
      <c r="Z107" t="s">
        <v>49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hidden="1">
      <c r="A108">
        <v>107</v>
      </c>
      <c r="B108" t="s">
        <v>305</v>
      </c>
      <c r="C108" t="s">
        <v>301</v>
      </c>
      <c r="D108" t="s">
        <v>150</v>
      </c>
      <c r="E108">
        <v>0</v>
      </c>
      <c r="F108" s="3">
        <v>46241</v>
      </c>
      <c r="G108" s="3">
        <v>46245</v>
      </c>
      <c r="H108" t="s">
        <v>74</v>
      </c>
      <c r="I108" t="s">
        <v>151</v>
      </c>
      <c r="J108" t="s">
        <v>79</v>
      </c>
      <c r="L108" s="3">
        <v>46238</v>
      </c>
      <c r="M108" s="3">
        <v>46238</v>
      </c>
      <c r="N108">
        <v>106</v>
      </c>
      <c r="Q108" t="s">
        <v>209</v>
      </c>
      <c r="Z108" t="s">
        <v>49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hidden="1">
      <c r="A109">
        <v>108</v>
      </c>
      <c r="B109" t="s">
        <v>306</v>
      </c>
      <c r="C109" t="s">
        <v>206</v>
      </c>
      <c r="D109" t="s">
        <v>307</v>
      </c>
      <c r="E109">
        <v>0</v>
      </c>
      <c r="F109" s="3">
        <v>46217</v>
      </c>
      <c r="G109" s="3">
        <v>46245</v>
      </c>
      <c r="H109" t="s">
        <v>74</v>
      </c>
      <c r="I109" t="s">
        <v>224</v>
      </c>
      <c r="J109" t="s">
        <v>219</v>
      </c>
      <c r="K109" s="3">
        <v>46211</v>
      </c>
      <c r="L109" s="3">
        <v>46238</v>
      </c>
      <c r="M109" s="3">
        <v>46238</v>
      </c>
      <c r="O109" t="s">
        <v>154</v>
      </c>
      <c r="Q109" t="s">
        <v>209</v>
      </c>
      <c r="R109" t="s">
        <v>308</v>
      </c>
      <c r="S109">
        <v>4</v>
      </c>
      <c r="U109" t="s">
        <v>299</v>
      </c>
      <c r="V109" t="s">
        <v>134</v>
      </c>
      <c r="W109" t="s">
        <v>212</v>
      </c>
      <c r="X109" t="s">
        <v>213</v>
      </c>
      <c r="Y109">
        <v>1</v>
      </c>
      <c r="Z109" t="s">
        <v>49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hidden="1">
      <c r="A110">
        <v>109</v>
      </c>
      <c r="B110" t="s">
        <v>309</v>
      </c>
      <c r="C110" t="s">
        <v>310</v>
      </c>
      <c r="D110" t="s">
        <v>139</v>
      </c>
      <c r="E110">
        <v>0</v>
      </c>
      <c r="F110" s="3">
        <v>46217</v>
      </c>
      <c r="G110" s="3">
        <v>46231</v>
      </c>
      <c r="H110" t="s">
        <v>74</v>
      </c>
      <c r="I110" t="s">
        <v>216</v>
      </c>
      <c r="J110" t="s">
        <v>219</v>
      </c>
      <c r="L110" s="3">
        <v>46224</v>
      </c>
      <c r="M110" s="3">
        <v>46224</v>
      </c>
      <c r="N110">
        <v>54</v>
      </c>
      <c r="P110">
        <v>110</v>
      </c>
      <c r="Q110" t="s">
        <v>209</v>
      </c>
      <c r="Z110" t="s">
        <v>49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hidden="1">
      <c r="A111">
        <v>110</v>
      </c>
      <c r="B111" t="s">
        <v>311</v>
      </c>
      <c r="C111" t="s">
        <v>310</v>
      </c>
      <c r="D111" t="s">
        <v>143</v>
      </c>
      <c r="E111">
        <v>0</v>
      </c>
      <c r="F111" s="3">
        <v>46231</v>
      </c>
      <c r="G111" s="3">
        <v>46238</v>
      </c>
      <c r="H111" t="s">
        <v>74</v>
      </c>
      <c r="I111" t="s">
        <v>140</v>
      </c>
      <c r="J111" t="s">
        <v>181</v>
      </c>
      <c r="L111" s="3">
        <v>46231</v>
      </c>
      <c r="M111" s="3">
        <v>46231</v>
      </c>
      <c r="N111">
        <v>109</v>
      </c>
      <c r="P111">
        <v>111</v>
      </c>
      <c r="Q111" t="s">
        <v>209</v>
      </c>
      <c r="Z111" t="s">
        <v>49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hidden="1">
      <c r="A112">
        <v>111</v>
      </c>
      <c r="B112" t="s">
        <v>312</v>
      </c>
      <c r="C112" t="s">
        <v>310</v>
      </c>
      <c r="D112" t="s">
        <v>146</v>
      </c>
      <c r="E112">
        <v>0</v>
      </c>
      <c r="F112" s="3">
        <v>46238</v>
      </c>
      <c r="G112" s="3">
        <v>46241</v>
      </c>
      <c r="H112" t="s">
        <v>74</v>
      </c>
      <c r="I112" t="s">
        <v>147</v>
      </c>
      <c r="J112" t="s">
        <v>79</v>
      </c>
      <c r="L112" s="3">
        <v>46234</v>
      </c>
      <c r="M112" s="3">
        <v>46234</v>
      </c>
      <c r="N112">
        <v>110</v>
      </c>
      <c r="P112">
        <v>112</v>
      </c>
      <c r="Q112" t="s">
        <v>209</v>
      </c>
      <c r="Z112" t="s">
        <v>49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hidden="1">
      <c r="A113">
        <v>112</v>
      </c>
      <c r="B113" t="s">
        <v>313</v>
      </c>
      <c r="C113" t="s">
        <v>310</v>
      </c>
      <c r="D113" t="s">
        <v>150</v>
      </c>
      <c r="E113">
        <v>0</v>
      </c>
      <c r="F113" s="3">
        <v>46241</v>
      </c>
      <c r="G113" s="3">
        <v>46245</v>
      </c>
      <c r="H113" t="s">
        <v>74</v>
      </c>
      <c r="I113" t="s">
        <v>151</v>
      </c>
      <c r="J113" t="s">
        <v>79</v>
      </c>
      <c r="L113" s="3">
        <v>46238</v>
      </c>
      <c r="M113" s="3">
        <v>46238</v>
      </c>
      <c r="N113">
        <v>111</v>
      </c>
      <c r="Q113" t="s">
        <v>209</v>
      </c>
      <c r="Z113" t="s">
        <v>49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hidden="1">
      <c r="A114">
        <v>113</v>
      </c>
      <c r="B114" t="s">
        <v>314</v>
      </c>
      <c r="C114" t="s">
        <v>206</v>
      </c>
      <c r="D114" t="s">
        <v>315</v>
      </c>
      <c r="E114">
        <v>0</v>
      </c>
      <c r="F114" s="3">
        <v>46217</v>
      </c>
      <c r="G114" s="3">
        <v>46245</v>
      </c>
      <c r="H114" t="s">
        <v>74</v>
      </c>
      <c r="I114" t="s">
        <v>224</v>
      </c>
      <c r="J114" t="s">
        <v>219</v>
      </c>
      <c r="K114" s="3">
        <v>46211</v>
      </c>
      <c r="L114" s="3">
        <v>46238</v>
      </c>
      <c r="M114" s="3">
        <v>46238</v>
      </c>
      <c r="O114" t="s">
        <v>154</v>
      </c>
      <c r="Q114" t="s">
        <v>209</v>
      </c>
      <c r="R114" t="s">
        <v>316</v>
      </c>
      <c r="S114">
        <v>4</v>
      </c>
      <c r="U114" t="s">
        <v>299</v>
      </c>
      <c r="V114" t="s">
        <v>134</v>
      </c>
      <c r="W114" t="s">
        <v>212</v>
      </c>
      <c r="X114" t="s">
        <v>213</v>
      </c>
      <c r="Y114">
        <v>1</v>
      </c>
      <c r="Z114" t="s">
        <v>49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hidden="1">
      <c r="A115">
        <v>114</v>
      </c>
      <c r="B115" t="s">
        <v>317</v>
      </c>
      <c r="C115" t="s">
        <v>318</v>
      </c>
      <c r="D115" t="s">
        <v>139</v>
      </c>
      <c r="E115">
        <v>0</v>
      </c>
      <c r="F115" s="3">
        <v>46217</v>
      </c>
      <c r="G115" s="3">
        <v>46231</v>
      </c>
      <c r="H115" t="s">
        <v>74</v>
      </c>
      <c r="I115" t="s">
        <v>216</v>
      </c>
      <c r="J115" t="s">
        <v>219</v>
      </c>
      <c r="L115" s="3">
        <v>46224</v>
      </c>
      <c r="M115" s="3">
        <v>46224</v>
      </c>
      <c r="N115">
        <v>54</v>
      </c>
      <c r="P115">
        <v>115</v>
      </c>
      <c r="Q115" t="s">
        <v>209</v>
      </c>
      <c r="Z115" t="s">
        <v>49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hidden="1">
      <c r="A116">
        <v>115</v>
      </c>
      <c r="B116" t="s">
        <v>319</v>
      </c>
      <c r="C116" t="s">
        <v>318</v>
      </c>
      <c r="D116" t="s">
        <v>143</v>
      </c>
      <c r="E116">
        <v>0</v>
      </c>
      <c r="F116" s="3">
        <v>46231</v>
      </c>
      <c r="G116" s="3">
        <v>46238</v>
      </c>
      <c r="H116" t="s">
        <v>74</v>
      </c>
      <c r="I116" t="s">
        <v>140</v>
      </c>
      <c r="J116" t="s">
        <v>181</v>
      </c>
      <c r="L116" s="3">
        <v>46231</v>
      </c>
      <c r="M116" s="3">
        <v>46231</v>
      </c>
      <c r="N116">
        <v>114</v>
      </c>
      <c r="P116">
        <v>116</v>
      </c>
      <c r="Q116" t="s">
        <v>209</v>
      </c>
      <c r="Z116" t="s">
        <v>49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hidden="1">
      <c r="A117">
        <v>116</v>
      </c>
      <c r="B117" t="s">
        <v>320</v>
      </c>
      <c r="C117" t="s">
        <v>318</v>
      </c>
      <c r="D117" t="s">
        <v>146</v>
      </c>
      <c r="E117">
        <v>0</v>
      </c>
      <c r="F117" s="3">
        <v>46238</v>
      </c>
      <c r="G117" s="3">
        <v>46241</v>
      </c>
      <c r="H117" t="s">
        <v>74</v>
      </c>
      <c r="I117" t="s">
        <v>147</v>
      </c>
      <c r="J117" t="s">
        <v>79</v>
      </c>
      <c r="L117" s="3">
        <v>46234</v>
      </c>
      <c r="M117" s="3">
        <v>46234</v>
      </c>
      <c r="N117">
        <v>115</v>
      </c>
      <c r="P117">
        <v>117</v>
      </c>
      <c r="Q117" t="s">
        <v>209</v>
      </c>
      <c r="Z117" t="s">
        <v>49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hidden="1">
      <c r="A118">
        <v>117</v>
      </c>
      <c r="B118" t="s">
        <v>321</v>
      </c>
      <c r="C118" t="s">
        <v>318</v>
      </c>
      <c r="D118" t="s">
        <v>150</v>
      </c>
      <c r="E118">
        <v>0</v>
      </c>
      <c r="F118" s="3">
        <v>46241</v>
      </c>
      <c r="G118" s="3">
        <v>46245</v>
      </c>
      <c r="H118" t="s">
        <v>74</v>
      </c>
      <c r="I118" t="s">
        <v>151</v>
      </c>
      <c r="J118" t="s">
        <v>79</v>
      </c>
      <c r="L118" s="3">
        <v>46238</v>
      </c>
      <c r="M118" s="3">
        <v>46238</v>
      </c>
      <c r="N118">
        <v>116</v>
      </c>
      <c r="Q118" t="s">
        <v>209</v>
      </c>
      <c r="Z118" t="s">
        <v>49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hidden="1">
      <c r="A119">
        <v>118</v>
      </c>
      <c r="B119" t="s">
        <v>322</v>
      </c>
      <c r="C119" t="s">
        <v>206</v>
      </c>
      <c r="D119" t="s">
        <v>323</v>
      </c>
      <c r="E119">
        <v>0</v>
      </c>
      <c r="F119" s="3">
        <v>46217</v>
      </c>
      <c r="G119" s="3">
        <v>46245</v>
      </c>
      <c r="H119" t="s">
        <v>74</v>
      </c>
      <c r="I119" t="s">
        <v>224</v>
      </c>
      <c r="J119" t="s">
        <v>219</v>
      </c>
      <c r="K119" s="3">
        <v>46211</v>
      </c>
      <c r="L119" s="3">
        <v>46238</v>
      </c>
      <c r="M119" s="3">
        <v>46238</v>
      </c>
      <c r="O119" t="s">
        <v>154</v>
      </c>
      <c r="Q119" t="s">
        <v>209</v>
      </c>
      <c r="R119" t="s">
        <v>324</v>
      </c>
      <c r="S119">
        <v>4</v>
      </c>
      <c r="U119" t="s">
        <v>299</v>
      </c>
      <c r="V119" t="s">
        <v>134</v>
      </c>
      <c r="W119" t="s">
        <v>212</v>
      </c>
      <c r="X119" t="s">
        <v>213</v>
      </c>
      <c r="Y119">
        <v>1</v>
      </c>
      <c r="Z119" t="s">
        <v>49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hidden="1">
      <c r="A120">
        <v>119</v>
      </c>
      <c r="B120" t="s">
        <v>325</v>
      </c>
      <c r="C120" t="s">
        <v>326</v>
      </c>
      <c r="D120" t="s">
        <v>139</v>
      </c>
      <c r="E120">
        <v>0</v>
      </c>
      <c r="F120" s="3">
        <v>46217</v>
      </c>
      <c r="G120" s="3">
        <v>46231</v>
      </c>
      <c r="H120" t="s">
        <v>74</v>
      </c>
      <c r="I120" t="s">
        <v>216</v>
      </c>
      <c r="J120" t="s">
        <v>219</v>
      </c>
      <c r="L120" s="3">
        <v>46224</v>
      </c>
      <c r="M120" s="3">
        <v>46224</v>
      </c>
      <c r="N120">
        <v>54</v>
      </c>
      <c r="P120">
        <v>120</v>
      </c>
      <c r="Q120" t="s">
        <v>209</v>
      </c>
      <c r="Z120" t="s">
        <v>49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hidden="1">
      <c r="A121">
        <v>120</v>
      </c>
      <c r="B121" t="s">
        <v>327</v>
      </c>
      <c r="C121" t="s">
        <v>326</v>
      </c>
      <c r="D121" t="s">
        <v>143</v>
      </c>
      <c r="E121">
        <v>0</v>
      </c>
      <c r="F121" s="3">
        <v>46231</v>
      </c>
      <c r="G121" s="3">
        <v>46238</v>
      </c>
      <c r="H121" t="s">
        <v>74</v>
      </c>
      <c r="I121" t="s">
        <v>140</v>
      </c>
      <c r="J121" t="s">
        <v>181</v>
      </c>
      <c r="L121" s="3">
        <v>46231</v>
      </c>
      <c r="M121" s="3">
        <v>46231</v>
      </c>
      <c r="N121">
        <v>119</v>
      </c>
      <c r="P121">
        <v>121</v>
      </c>
      <c r="Q121" t="s">
        <v>209</v>
      </c>
      <c r="Z121" t="s">
        <v>49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hidden="1">
      <c r="A122">
        <v>121</v>
      </c>
      <c r="B122" t="s">
        <v>328</v>
      </c>
      <c r="C122" t="s">
        <v>326</v>
      </c>
      <c r="D122" t="s">
        <v>146</v>
      </c>
      <c r="E122">
        <v>0</v>
      </c>
      <c r="F122" s="3">
        <v>46238</v>
      </c>
      <c r="G122" s="3">
        <v>46241</v>
      </c>
      <c r="H122" t="s">
        <v>74</v>
      </c>
      <c r="I122" t="s">
        <v>147</v>
      </c>
      <c r="J122" t="s">
        <v>79</v>
      </c>
      <c r="L122" s="3">
        <v>46234</v>
      </c>
      <c r="M122" s="3">
        <v>46234</v>
      </c>
      <c r="N122">
        <v>120</v>
      </c>
      <c r="P122">
        <v>122</v>
      </c>
      <c r="Q122" t="s">
        <v>209</v>
      </c>
      <c r="Z122" t="s">
        <v>49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hidden="1">
      <c r="A123">
        <v>122</v>
      </c>
      <c r="B123" t="s">
        <v>329</v>
      </c>
      <c r="C123" t="s">
        <v>326</v>
      </c>
      <c r="D123" t="s">
        <v>150</v>
      </c>
      <c r="E123">
        <v>0</v>
      </c>
      <c r="F123" s="3">
        <v>46241</v>
      </c>
      <c r="G123" s="3">
        <v>46245</v>
      </c>
      <c r="H123" t="s">
        <v>74</v>
      </c>
      <c r="I123" t="s">
        <v>151</v>
      </c>
      <c r="J123" t="s">
        <v>79</v>
      </c>
      <c r="L123" s="3">
        <v>46238</v>
      </c>
      <c r="M123" s="3">
        <v>46238</v>
      </c>
      <c r="N123">
        <v>121</v>
      </c>
      <c r="Q123" t="s">
        <v>209</v>
      </c>
      <c r="Z123" t="s">
        <v>49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hidden="1">
      <c r="A124">
        <v>123</v>
      </c>
      <c r="B124" t="s">
        <v>330</v>
      </c>
      <c r="C124" t="s">
        <v>206</v>
      </c>
      <c r="D124" t="s">
        <v>331</v>
      </c>
      <c r="E124">
        <v>0</v>
      </c>
      <c r="F124" s="3">
        <v>46217</v>
      </c>
      <c r="G124" s="3">
        <v>46245</v>
      </c>
      <c r="H124" t="s">
        <v>74</v>
      </c>
      <c r="I124" t="s">
        <v>224</v>
      </c>
      <c r="J124" t="s">
        <v>219</v>
      </c>
      <c r="K124" s="3">
        <v>46211</v>
      </c>
      <c r="L124" s="3">
        <v>46238</v>
      </c>
      <c r="M124" s="3">
        <v>46238</v>
      </c>
      <c r="O124" t="s">
        <v>154</v>
      </c>
      <c r="Q124" t="s">
        <v>209</v>
      </c>
      <c r="R124" t="s">
        <v>332</v>
      </c>
      <c r="S124">
        <v>4</v>
      </c>
      <c r="U124" t="s">
        <v>299</v>
      </c>
      <c r="V124" t="s">
        <v>134</v>
      </c>
      <c r="W124" t="s">
        <v>212</v>
      </c>
      <c r="X124" t="s">
        <v>213</v>
      </c>
      <c r="Y124">
        <v>1</v>
      </c>
      <c r="Z124" t="s">
        <v>49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hidden="1">
      <c r="A125">
        <v>124</v>
      </c>
      <c r="B125" t="s">
        <v>333</v>
      </c>
      <c r="C125" t="s">
        <v>334</v>
      </c>
      <c r="D125" t="s">
        <v>139</v>
      </c>
      <c r="E125">
        <v>0</v>
      </c>
      <c r="F125" s="3">
        <v>46217</v>
      </c>
      <c r="G125" s="3">
        <v>46231</v>
      </c>
      <c r="H125" t="s">
        <v>74</v>
      </c>
      <c r="I125" t="s">
        <v>216</v>
      </c>
      <c r="J125" t="s">
        <v>219</v>
      </c>
      <c r="L125" s="3">
        <v>46224</v>
      </c>
      <c r="M125" s="3">
        <v>46224</v>
      </c>
      <c r="N125">
        <v>54</v>
      </c>
      <c r="P125">
        <v>125</v>
      </c>
      <c r="Q125" t="s">
        <v>209</v>
      </c>
      <c r="Z125" t="s">
        <v>49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hidden="1">
      <c r="A126">
        <v>125</v>
      </c>
      <c r="B126" t="s">
        <v>335</v>
      </c>
      <c r="C126" t="s">
        <v>334</v>
      </c>
      <c r="D126" t="s">
        <v>143</v>
      </c>
      <c r="E126">
        <v>0</v>
      </c>
      <c r="F126" s="3">
        <v>46231</v>
      </c>
      <c r="G126" s="3">
        <v>46238</v>
      </c>
      <c r="H126" t="s">
        <v>74</v>
      </c>
      <c r="I126" t="s">
        <v>140</v>
      </c>
      <c r="J126" t="s">
        <v>181</v>
      </c>
      <c r="L126" s="3">
        <v>46231</v>
      </c>
      <c r="M126" s="3">
        <v>46231</v>
      </c>
      <c r="N126">
        <v>124</v>
      </c>
      <c r="P126">
        <v>126</v>
      </c>
      <c r="Q126" t="s">
        <v>209</v>
      </c>
      <c r="Z126" t="s">
        <v>49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hidden="1">
      <c r="A127">
        <v>126</v>
      </c>
      <c r="B127" t="s">
        <v>336</v>
      </c>
      <c r="C127" t="s">
        <v>334</v>
      </c>
      <c r="D127" t="s">
        <v>146</v>
      </c>
      <c r="E127">
        <v>0</v>
      </c>
      <c r="F127" s="3">
        <v>46238</v>
      </c>
      <c r="G127" s="3">
        <v>46241</v>
      </c>
      <c r="H127" t="s">
        <v>74</v>
      </c>
      <c r="I127" t="s">
        <v>147</v>
      </c>
      <c r="J127" t="s">
        <v>79</v>
      </c>
      <c r="L127" s="3">
        <v>46234</v>
      </c>
      <c r="M127" s="3">
        <v>46234</v>
      </c>
      <c r="N127">
        <v>125</v>
      </c>
      <c r="P127">
        <v>127</v>
      </c>
      <c r="Q127" t="s">
        <v>209</v>
      </c>
      <c r="Z127" t="s">
        <v>49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hidden="1">
      <c r="A128">
        <v>127</v>
      </c>
      <c r="B128" t="s">
        <v>337</v>
      </c>
      <c r="C128" t="s">
        <v>334</v>
      </c>
      <c r="D128" t="s">
        <v>150</v>
      </c>
      <c r="E128">
        <v>0</v>
      </c>
      <c r="F128" s="3">
        <v>46241</v>
      </c>
      <c r="G128" s="3">
        <v>46245</v>
      </c>
      <c r="H128" t="s">
        <v>74</v>
      </c>
      <c r="I128" t="s">
        <v>151</v>
      </c>
      <c r="J128" t="s">
        <v>79</v>
      </c>
      <c r="L128" s="3">
        <v>46238</v>
      </c>
      <c r="M128" s="3">
        <v>46238</v>
      </c>
      <c r="N128">
        <v>126</v>
      </c>
      <c r="Q128" t="s">
        <v>209</v>
      </c>
      <c r="Z128" t="s">
        <v>49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hidden="1">
      <c r="A129">
        <v>128</v>
      </c>
      <c r="B129" t="s">
        <v>338</v>
      </c>
      <c r="C129" t="s">
        <v>206</v>
      </c>
      <c r="D129" t="s">
        <v>339</v>
      </c>
      <c r="E129">
        <v>0</v>
      </c>
      <c r="F129" s="3">
        <v>46217</v>
      </c>
      <c r="G129" s="3">
        <v>46245</v>
      </c>
      <c r="H129" t="s">
        <v>74</v>
      </c>
      <c r="I129" t="s">
        <v>224</v>
      </c>
      <c r="J129" t="s">
        <v>219</v>
      </c>
      <c r="K129" s="3">
        <v>46211</v>
      </c>
      <c r="L129" s="3">
        <v>46238</v>
      </c>
      <c r="M129" s="3">
        <v>46238</v>
      </c>
      <c r="O129" t="s">
        <v>154</v>
      </c>
      <c r="Q129" t="s">
        <v>209</v>
      </c>
      <c r="R129" t="s">
        <v>340</v>
      </c>
      <c r="S129">
        <v>4</v>
      </c>
      <c r="U129" t="s">
        <v>299</v>
      </c>
      <c r="V129" t="s">
        <v>134</v>
      </c>
      <c r="W129" t="s">
        <v>212</v>
      </c>
      <c r="X129" t="s">
        <v>213</v>
      </c>
      <c r="Y129">
        <v>1</v>
      </c>
      <c r="Z129" t="s">
        <v>49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hidden="1">
      <c r="A130">
        <v>129</v>
      </c>
      <c r="B130" t="s">
        <v>341</v>
      </c>
      <c r="C130" t="s">
        <v>342</v>
      </c>
      <c r="D130" t="s">
        <v>139</v>
      </c>
      <c r="E130">
        <v>0</v>
      </c>
      <c r="F130" s="3">
        <v>46217</v>
      </c>
      <c r="G130" s="3">
        <v>46231</v>
      </c>
      <c r="H130" t="s">
        <v>74</v>
      </c>
      <c r="I130" t="s">
        <v>216</v>
      </c>
      <c r="J130" t="s">
        <v>219</v>
      </c>
      <c r="L130" s="3">
        <v>46224</v>
      </c>
      <c r="M130" s="3">
        <v>46224</v>
      </c>
      <c r="N130">
        <v>54</v>
      </c>
      <c r="P130" t="s">
        <v>343</v>
      </c>
      <c r="Q130" t="s">
        <v>209</v>
      </c>
      <c r="Z130" t="s">
        <v>49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hidden="1">
      <c r="A131">
        <v>130</v>
      </c>
      <c r="B131" t="s">
        <v>344</v>
      </c>
      <c r="C131" t="s">
        <v>342</v>
      </c>
      <c r="D131" t="s">
        <v>143</v>
      </c>
      <c r="E131">
        <v>0</v>
      </c>
      <c r="F131" s="3">
        <v>46231</v>
      </c>
      <c r="G131" s="3">
        <v>46238</v>
      </c>
      <c r="H131" t="s">
        <v>74</v>
      </c>
      <c r="I131" t="s">
        <v>140</v>
      </c>
      <c r="J131" t="s">
        <v>181</v>
      </c>
      <c r="L131" s="3">
        <v>46231</v>
      </c>
      <c r="M131" s="3">
        <v>46231</v>
      </c>
      <c r="N131">
        <v>129</v>
      </c>
      <c r="P131">
        <v>131</v>
      </c>
      <c r="Q131" t="s">
        <v>209</v>
      </c>
      <c r="Z131" t="s">
        <v>49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hidden="1">
      <c r="A132">
        <v>131</v>
      </c>
      <c r="B132" t="s">
        <v>345</v>
      </c>
      <c r="C132" t="s">
        <v>342</v>
      </c>
      <c r="D132" t="s">
        <v>146</v>
      </c>
      <c r="E132">
        <v>0</v>
      </c>
      <c r="F132" s="3">
        <v>46238</v>
      </c>
      <c r="G132" s="3">
        <v>46241</v>
      </c>
      <c r="H132" t="s">
        <v>74</v>
      </c>
      <c r="I132" t="s">
        <v>147</v>
      </c>
      <c r="J132" t="s">
        <v>79</v>
      </c>
      <c r="L132" s="3">
        <v>46234</v>
      </c>
      <c r="M132" s="3">
        <v>46234</v>
      </c>
      <c r="N132">
        <v>130</v>
      </c>
      <c r="P132">
        <v>132</v>
      </c>
      <c r="Q132" t="s">
        <v>209</v>
      </c>
      <c r="Z132" t="s">
        <v>49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hidden="1">
      <c r="A133">
        <v>132</v>
      </c>
      <c r="B133" t="s">
        <v>346</v>
      </c>
      <c r="C133" t="s">
        <v>342</v>
      </c>
      <c r="D133" t="s">
        <v>150</v>
      </c>
      <c r="E133">
        <v>0</v>
      </c>
      <c r="F133" s="3">
        <v>46241</v>
      </c>
      <c r="G133" s="3">
        <v>46245</v>
      </c>
      <c r="H133" t="s">
        <v>74</v>
      </c>
      <c r="I133" t="s">
        <v>151</v>
      </c>
      <c r="J133" t="s">
        <v>79</v>
      </c>
      <c r="L133" s="3">
        <v>46238</v>
      </c>
      <c r="M133" s="3">
        <v>46238</v>
      </c>
      <c r="N133">
        <v>131</v>
      </c>
      <c r="Q133" t="s">
        <v>209</v>
      </c>
      <c r="Z133" t="s">
        <v>49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hidden="1">
      <c r="A134">
        <v>133</v>
      </c>
      <c r="B134" t="s">
        <v>347</v>
      </c>
      <c r="C134" t="s">
        <v>206</v>
      </c>
      <c r="D134" t="s">
        <v>348</v>
      </c>
      <c r="E134">
        <v>0</v>
      </c>
      <c r="F134" s="3">
        <v>46231</v>
      </c>
      <c r="G134" s="3">
        <v>46259</v>
      </c>
      <c r="H134" t="s">
        <v>74</v>
      </c>
      <c r="I134" t="s">
        <v>224</v>
      </c>
      <c r="J134" t="s">
        <v>181</v>
      </c>
      <c r="K134" s="3">
        <v>46225</v>
      </c>
      <c r="L134" s="3">
        <v>46252</v>
      </c>
      <c r="M134" s="3">
        <v>46252</v>
      </c>
      <c r="O134" t="s">
        <v>154</v>
      </c>
      <c r="Q134" t="s">
        <v>209</v>
      </c>
      <c r="R134" t="s">
        <v>349</v>
      </c>
      <c r="S134">
        <v>4</v>
      </c>
      <c r="U134" t="s">
        <v>299</v>
      </c>
      <c r="V134" t="s">
        <v>134</v>
      </c>
      <c r="W134" t="s">
        <v>212</v>
      </c>
      <c r="X134" t="s">
        <v>213</v>
      </c>
      <c r="Y134">
        <v>1</v>
      </c>
      <c r="Z134" t="s">
        <v>49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hidden="1">
      <c r="A135">
        <v>134</v>
      </c>
      <c r="B135" t="s">
        <v>350</v>
      </c>
      <c r="C135" t="s">
        <v>351</v>
      </c>
      <c r="D135" t="s">
        <v>139</v>
      </c>
      <c r="E135">
        <v>0</v>
      </c>
      <c r="F135" s="3">
        <v>46231</v>
      </c>
      <c r="G135" s="3">
        <v>46245</v>
      </c>
      <c r="H135" t="s">
        <v>74</v>
      </c>
      <c r="I135" t="s">
        <v>216</v>
      </c>
      <c r="J135" t="s">
        <v>181</v>
      </c>
      <c r="L135" s="3">
        <v>46238</v>
      </c>
      <c r="M135" s="3">
        <v>46238</v>
      </c>
      <c r="N135">
        <v>129</v>
      </c>
      <c r="P135">
        <v>135</v>
      </c>
      <c r="Q135" t="s">
        <v>209</v>
      </c>
      <c r="Z135" t="s">
        <v>49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hidden="1">
      <c r="A136">
        <v>135</v>
      </c>
      <c r="B136" t="s">
        <v>352</v>
      </c>
      <c r="C136" t="s">
        <v>351</v>
      </c>
      <c r="D136" t="s">
        <v>143</v>
      </c>
      <c r="E136">
        <v>0</v>
      </c>
      <c r="F136" s="3">
        <v>46245</v>
      </c>
      <c r="G136" s="3">
        <v>46252</v>
      </c>
      <c r="H136" t="s">
        <v>74</v>
      </c>
      <c r="I136" t="s">
        <v>140</v>
      </c>
      <c r="J136" t="s">
        <v>353</v>
      </c>
      <c r="L136" s="3">
        <v>46245</v>
      </c>
      <c r="M136" s="3">
        <v>46245</v>
      </c>
      <c r="N136">
        <v>134</v>
      </c>
      <c r="P136">
        <v>136</v>
      </c>
      <c r="Q136" t="s">
        <v>209</v>
      </c>
      <c r="Z136" t="s">
        <v>49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hidden="1">
      <c r="A137">
        <v>136</v>
      </c>
      <c r="B137" t="s">
        <v>354</v>
      </c>
      <c r="C137" t="s">
        <v>351</v>
      </c>
      <c r="D137" t="s">
        <v>146</v>
      </c>
      <c r="E137">
        <v>0</v>
      </c>
      <c r="F137" s="3">
        <v>46252</v>
      </c>
      <c r="G137" s="3">
        <v>46255</v>
      </c>
      <c r="H137" t="s">
        <v>74</v>
      </c>
      <c r="I137" t="s">
        <v>147</v>
      </c>
      <c r="J137" t="s">
        <v>185</v>
      </c>
      <c r="L137" s="3">
        <v>46248</v>
      </c>
      <c r="M137" s="3">
        <v>46248</v>
      </c>
      <c r="N137">
        <v>135</v>
      </c>
      <c r="P137">
        <v>137</v>
      </c>
      <c r="Q137" t="s">
        <v>209</v>
      </c>
      <c r="Z137" t="s">
        <v>49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hidden="1">
      <c r="A138">
        <v>137</v>
      </c>
      <c r="B138" t="s">
        <v>355</v>
      </c>
      <c r="C138" t="s">
        <v>351</v>
      </c>
      <c r="D138" t="s">
        <v>150</v>
      </c>
      <c r="E138">
        <v>0</v>
      </c>
      <c r="F138" s="3">
        <v>46255</v>
      </c>
      <c r="G138" s="3">
        <v>46259</v>
      </c>
      <c r="H138" t="s">
        <v>74</v>
      </c>
      <c r="I138" t="s">
        <v>151</v>
      </c>
      <c r="J138" t="s">
        <v>185</v>
      </c>
      <c r="L138" s="3">
        <v>46252</v>
      </c>
      <c r="M138" s="3">
        <v>46252</v>
      </c>
      <c r="N138">
        <v>136</v>
      </c>
      <c r="Q138" t="s">
        <v>209</v>
      </c>
      <c r="Z138" t="s">
        <v>49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hidden="1">
      <c r="A139">
        <v>138</v>
      </c>
      <c r="B139" t="s">
        <v>356</v>
      </c>
      <c r="C139" t="s">
        <v>206</v>
      </c>
      <c r="D139" t="s">
        <v>357</v>
      </c>
      <c r="E139">
        <v>0</v>
      </c>
      <c r="F139" s="3">
        <v>46231</v>
      </c>
      <c r="G139" s="3">
        <v>46259</v>
      </c>
      <c r="H139" t="s">
        <v>74</v>
      </c>
      <c r="I139" t="s">
        <v>224</v>
      </c>
      <c r="J139" t="s">
        <v>181</v>
      </c>
      <c r="K139" s="3">
        <v>46225</v>
      </c>
      <c r="L139" s="3">
        <v>46252</v>
      </c>
      <c r="M139" s="3">
        <v>46252</v>
      </c>
      <c r="O139" t="s">
        <v>154</v>
      </c>
      <c r="Q139" t="s">
        <v>209</v>
      </c>
      <c r="R139" t="s">
        <v>358</v>
      </c>
      <c r="S139">
        <v>4</v>
      </c>
      <c r="U139" t="s">
        <v>299</v>
      </c>
      <c r="V139" t="s">
        <v>134</v>
      </c>
      <c r="W139" t="s">
        <v>212</v>
      </c>
      <c r="X139" t="s">
        <v>213</v>
      </c>
      <c r="Y139">
        <v>1</v>
      </c>
      <c r="Z139" t="s">
        <v>49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hidden="1">
      <c r="A140">
        <v>139</v>
      </c>
      <c r="B140" t="s">
        <v>359</v>
      </c>
      <c r="C140" t="s">
        <v>360</v>
      </c>
      <c r="D140" t="s">
        <v>139</v>
      </c>
      <c r="E140">
        <v>0</v>
      </c>
      <c r="F140" s="3">
        <v>46231</v>
      </c>
      <c r="G140" s="3">
        <v>46245</v>
      </c>
      <c r="H140" t="s">
        <v>74</v>
      </c>
      <c r="I140" t="s">
        <v>216</v>
      </c>
      <c r="J140" t="s">
        <v>181</v>
      </c>
      <c r="L140" s="3">
        <v>46238</v>
      </c>
      <c r="M140" s="3">
        <v>46238</v>
      </c>
      <c r="N140">
        <v>129</v>
      </c>
      <c r="P140">
        <v>140</v>
      </c>
      <c r="Q140" t="s">
        <v>209</v>
      </c>
      <c r="Z140" t="s">
        <v>49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hidden="1">
      <c r="A141">
        <v>140</v>
      </c>
      <c r="B141" t="s">
        <v>361</v>
      </c>
      <c r="C141" t="s">
        <v>360</v>
      </c>
      <c r="D141" t="s">
        <v>143</v>
      </c>
      <c r="E141">
        <v>0</v>
      </c>
      <c r="F141" s="3">
        <v>46245</v>
      </c>
      <c r="G141" s="3">
        <v>46252</v>
      </c>
      <c r="H141" t="s">
        <v>74</v>
      </c>
      <c r="I141" t="s">
        <v>140</v>
      </c>
      <c r="J141" t="s">
        <v>353</v>
      </c>
      <c r="L141" s="3">
        <v>46245</v>
      </c>
      <c r="M141" s="3">
        <v>46245</v>
      </c>
      <c r="N141">
        <v>139</v>
      </c>
      <c r="P141">
        <v>141</v>
      </c>
      <c r="Q141" t="s">
        <v>209</v>
      </c>
      <c r="Z141" t="s">
        <v>49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hidden="1">
      <c r="A142">
        <v>141</v>
      </c>
      <c r="B142" t="s">
        <v>362</v>
      </c>
      <c r="C142" t="s">
        <v>360</v>
      </c>
      <c r="D142" t="s">
        <v>146</v>
      </c>
      <c r="E142">
        <v>0</v>
      </c>
      <c r="F142" s="3">
        <v>46252</v>
      </c>
      <c r="G142" s="3">
        <v>46255</v>
      </c>
      <c r="H142" t="s">
        <v>74</v>
      </c>
      <c r="I142" t="s">
        <v>147</v>
      </c>
      <c r="J142" t="s">
        <v>185</v>
      </c>
      <c r="L142" s="3">
        <v>46248</v>
      </c>
      <c r="M142" s="3">
        <v>46248</v>
      </c>
      <c r="N142">
        <v>140</v>
      </c>
      <c r="P142">
        <v>142</v>
      </c>
      <c r="Q142" t="s">
        <v>209</v>
      </c>
      <c r="Z142" t="s">
        <v>49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hidden="1">
      <c r="A143">
        <v>142</v>
      </c>
      <c r="B143" t="s">
        <v>363</v>
      </c>
      <c r="C143" t="s">
        <v>360</v>
      </c>
      <c r="D143" t="s">
        <v>150</v>
      </c>
      <c r="E143">
        <v>0</v>
      </c>
      <c r="F143" s="3">
        <v>46255</v>
      </c>
      <c r="G143" s="3">
        <v>46259</v>
      </c>
      <c r="H143" t="s">
        <v>74</v>
      </c>
      <c r="I143" t="s">
        <v>151</v>
      </c>
      <c r="J143" t="s">
        <v>185</v>
      </c>
      <c r="L143" s="3">
        <v>46252</v>
      </c>
      <c r="M143" s="3">
        <v>46252</v>
      </c>
      <c r="N143">
        <v>141</v>
      </c>
      <c r="Q143" t="s">
        <v>209</v>
      </c>
      <c r="Z143" t="s">
        <v>49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hidden="1">
      <c r="A144">
        <v>143</v>
      </c>
      <c r="B144" t="s">
        <v>364</v>
      </c>
      <c r="C144" t="s">
        <v>206</v>
      </c>
      <c r="D144" t="s">
        <v>365</v>
      </c>
      <c r="E144">
        <v>0</v>
      </c>
      <c r="F144" s="3">
        <v>46231</v>
      </c>
      <c r="G144" s="3">
        <v>46259</v>
      </c>
      <c r="H144" t="s">
        <v>74</v>
      </c>
      <c r="I144" t="s">
        <v>224</v>
      </c>
      <c r="J144" t="s">
        <v>181</v>
      </c>
      <c r="K144" s="3">
        <v>46225</v>
      </c>
      <c r="L144" s="3">
        <v>46252</v>
      </c>
      <c r="M144" s="3">
        <v>46252</v>
      </c>
      <c r="O144" t="s">
        <v>154</v>
      </c>
      <c r="Q144" t="s">
        <v>209</v>
      </c>
      <c r="R144" t="s">
        <v>366</v>
      </c>
      <c r="S144">
        <v>4</v>
      </c>
      <c r="U144" t="s">
        <v>299</v>
      </c>
      <c r="V144" t="s">
        <v>134</v>
      </c>
      <c r="W144" t="s">
        <v>212</v>
      </c>
      <c r="X144" t="s">
        <v>213</v>
      </c>
      <c r="Y144">
        <v>1</v>
      </c>
      <c r="Z144" t="s">
        <v>49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hidden="1">
      <c r="A145">
        <v>144</v>
      </c>
      <c r="B145" t="s">
        <v>367</v>
      </c>
      <c r="C145" t="s">
        <v>368</v>
      </c>
      <c r="D145" t="s">
        <v>139</v>
      </c>
      <c r="E145">
        <v>0</v>
      </c>
      <c r="F145" s="3">
        <v>46231</v>
      </c>
      <c r="G145" s="3">
        <v>46245</v>
      </c>
      <c r="H145" t="s">
        <v>74</v>
      </c>
      <c r="I145" t="s">
        <v>216</v>
      </c>
      <c r="J145" t="s">
        <v>181</v>
      </c>
      <c r="L145" s="3">
        <v>46238</v>
      </c>
      <c r="M145" s="3">
        <v>46238</v>
      </c>
      <c r="N145">
        <v>129</v>
      </c>
      <c r="P145">
        <v>145</v>
      </c>
      <c r="Q145" t="s">
        <v>209</v>
      </c>
      <c r="Z145" t="s">
        <v>49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hidden="1">
      <c r="A146">
        <v>145</v>
      </c>
      <c r="B146" t="s">
        <v>369</v>
      </c>
      <c r="C146" t="s">
        <v>368</v>
      </c>
      <c r="D146" t="s">
        <v>143</v>
      </c>
      <c r="E146">
        <v>0</v>
      </c>
      <c r="F146" s="3">
        <v>46245</v>
      </c>
      <c r="G146" s="3">
        <v>46252</v>
      </c>
      <c r="H146" t="s">
        <v>74</v>
      </c>
      <c r="I146" t="s">
        <v>140</v>
      </c>
      <c r="J146" t="s">
        <v>353</v>
      </c>
      <c r="L146" s="3">
        <v>46245</v>
      </c>
      <c r="M146" s="3">
        <v>46245</v>
      </c>
      <c r="N146">
        <v>144</v>
      </c>
      <c r="P146">
        <v>146</v>
      </c>
      <c r="Q146" t="s">
        <v>209</v>
      </c>
      <c r="Z146" t="s">
        <v>49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hidden="1">
      <c r="A147">
        <v>146</v>
      </c>
      <c r="B147" t="s">
        <v>370</v>
      </c>
      <c r="C147" t="s">
        <v>368</v>
      </c>
      <c r="D147" t="s">
        <v>146</v>
      </c>
      <c r="E147">
        <v>0</v>
      </c>
      <c r="F147" s="3">
        <v>46252</v>
      </c>
      <c r="G147" s="3">
        <v>46255</v>
      </c>
      <c r="H147" t="s">
        <v>74</v>
      </c>
      <c r="I147" t="s">
        <v>147</v>
      </c>
      <c r="J147" t="s">
        <v>185</v>
      </c>
      <c r="L147" s="3">
        <v>46248</v>
      </c>
      <c r="M147" s="3">
        <v>46248</v>
      </c>
      <c r="N147">
        <v>145</v>
      </c>
      <c r="P147">
        <v>147</v>
      </c>
      <c r="Q147" t="s">
        <v>209</v>
      </c>
      <c r="Z147" t="s">
        <v>49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hidden="1">
      <c r="A148">
        <v>147</v>
      </c>
      <c r="B148" t="s">
        <v>371</v>
      </c>
      <c r="C148" t="s">
        <v>368</v>
      </c>
      <c r="D148" t="s">
        <v>150</v>
      </c>
      <c r="E148">
        <v>0</v>
      </c>
      <c r="F148" s="3">
        <v>46255</v>
      </c>
      <c r="G148" s="3">
        <v>46259</v>
      </c>
      <c r="H148" t="s">
        <v>74</v>
      </c>
      <c r="I148" t="s">
        <v>151</v>
      </c>
      <c r="J148" t="s">
        <v>185</v>
      </c>
      <c r="L148" s="3">
        <v>46252</v>
      </c>
      <c r="M148" s="3">
        <v>46252</v>
      </c>
      <c r="N148">
        <v>146</v>
      </c>
      <c r="Q148" t="s">
        <v>209</v>
      </c>
      <c r="Z148" t="s">
        <v>49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hidden="1">
      <c r="A149">
        <v>148</v>
      </c>
      <c r="B149" t="s">
        <v>372</v>
      </c>
      <c r="C149" t="s">
        <v>206</v>
      </c>
      <c r="D149" t="s">
        <v>373</v>
      </c>
      <c r="E149">
        <v>0</v>
      </c>
      <c r="F149" s="3">
        <v>46231</v>
      </c>
      <c r="G149" s="3">
        <v>46259</v>
      </c>
      <c r="H149" t="s">
        <v>74</v>
      </c>
      <c r="I149" t="s">
        <v>224</v>
      </c>
      <c r="J149" t="s">
        <v>181</v>
      </c>
      <c r="K149" s="3">
        <v>46225</v>
      </c>
      <c r="L149" s="3">
        <v>46252</v>
      </c>
      <c r="M149" s="3">
        <v>46252</v>
      </c>
      <c r="O149" t="s">
        <v>154</v>
      </c>
      <c r="Q149" t="s">
        <v>209</v>
      </c>
      <c r="R149" t="s">
        <v>374</v>
      </c>
      <c r="S149">
        <v>4</v>
      </c>
      <c r="U149" t="s">
        <v>299</v>
      </c>
      <c r="V149" t="s">
        <v>134</v>
      </c>
      <c r="W149" t="s">
        <v>212</v>
      </c>
      <c r="X149" t="s">
        <v>213</v>
      </c>
      <c r="Y149">
        <v>1</v>
      </c>
      <c r="Z149" t="s">
        <v>49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hidden="1">
      <c r="A150">
        <v>149</v>
      </c>
      <c r="B150" t="s">
        <v>375</v>
      </c>
      <c r="C150" t="s">
        <v>376</v>
      </c>
      <c r="D150" t="s">
        <v>139</v>
      </c>
      <c r="E150">
        <v>0</v>
      </c>
      <c r="F150" s="3">
        <v>46231</v>
      </c>
      <c r="G150" s="3">
        <v>46245</v>
      </c>
      <c r="H150" t="s">
        <v>74</v>
      </c>
      <c r="I150" t="s">
        <v>216</v>
      </c>
      <c r="J150" t="s">
        <v>181</v>
      </c>
      <c r="L150" s="3">
        <v>46238</v>
      </c>
      <c r="M150" s="3">
        <v>46238</v>
      </c>
      <c r="N150">
        <v>129</v>
      </c>
      <c r="P150">
        <v>150</v>
      </c>
      <c r="Q150" t="s">
        <v>209</v>
      </c>
      <c r="Z150" t="s">
        <v>49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hidden="1">
      <c r="A151">
        <v>150</v>
      </c>
      <c r="B151" t="s">
        <v>377</v>
      </c>
      <c r="C151" t="s">
        <v>376</v>
      </c>
      <c r="D151" t="s">
        <v>143</v>
      </c>
      <c r="E151">
        <v>0</v>
      </c>
      <c r="F151" s="3">
        <v>46245</v>
      </c>
      <c r="G151" s="3">
        <v>46252</v>
      </c>
      <c r="H151" t="s">
        <v>74</v>
      </c>
      <c r="I151" t="s">
        <v>140</v>
      </c>
      <c r="J151" t="s">
        <v>353</v>
      </c>
      <c r="L151" s="3">
        <v>46245</v>
      </c>
      <c r="M151" s="3">
        <v>46245</v>
      </c>
      <c r="N151">
        <v>149</v>
      </c>
      <c r="P151">
        <v>151</v>
      </c>
      <c r="Q151" t="s">
        <v>209</v>
      </c>
      <c r="Z151" t="s">
        <v>49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hidden="1">
      <c r="A152">
        <v>151</v>
      </c>
      <c r="B152" t="s">
        <v>378</v>
      </c>
      <c r="C152" t="s">
        <v>376</v>
      </c>
      <c r="D152" t="s">
        <v>146</v>
      </c>
      <c r="E152">
        <v>0</v>
      </c>
      <c r="F152" s="3">
        <v>46252</v>
      </c>
      <c r="G152" s="3">
        <v>46255</v>
      </c>
      <c r="H152" t="s">
        <v>74</v>
      </c>
      <c r="I152" t="s">
        <v>147</v>
      </c>
      <c r="J152" t="s">
        <v>185</v>
      </c>
      <c r="L152" s="3">
        <v>46248</v>
      </c>
      <c r="M152" s="3">
        <v>46248</v>
      </c>
      <c r="N152">
        <v>150</v>
      </c>
      <c r="P152">
        <v>152</v>
      </c>
      <c r="Q152" t="s">
        <v>209</v>
      </c>
      <c r="Z152" t="s">
        <v>49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hidden="1">
      <c r="A153">
        <v>152</v>
      </c>
      <c r="B153" t="s">
        <v>379</v>
      </c>
      <c r="C153" t="s">
        <v>376</v>
      </c>
      <c r="D153" t="s">
        <v>150</v>
      </c>
      <c r="E153">
        <v>0</v>
      </c>
      <c r="F153" s="3">
        <v>46255</v>
      </c>
      <c r="G153" s="3">
        <v>46259</v>
      </c>
      <c r="H153" t="s">
        <v>74</v>
      </c>
      <c r="I153" t="s">
        <v>151</v>
      </c>
      <c r="J153" t="s">
        <v>185</v>
      </c>
      <c r="L153" s="3">
        <v>46252</v>
      </c>
      <c r="M153" s="3">
        <v>46252</v>
      </c>
      <c r="N153">
        <v>151</v>
      </c>
      <c r="Q153" t="s">
        <v>209</v>
      </c>
      <c r="Z153" t="s">
        <v>49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hidden="1">
      <c r="A154">
        <v>153</v>
      </c>
      <c r="B154" t="s">
        <v>380</v>
      </c>
      <c r="C154" t="s">
        <v>206</v>
      </c>
      <c r="D154" t="s">
        <v>381</v>
      </c>
      <c r="E154">
        <v>0</v>
      </c>
      <c r="F154" s="3">
        <v>46231</v>
      </c>
      <c r="G154" s="3">
        <v>46266</v>
      </c>
      <c r="H154" t="s">
        <v>74</v>
      </c>
      <c r="I154" t="s">
        <v>382</v>
      </c>
      <c r="J154" t="s">
        <v>181</v>
      </c>
      <c r="K154" s="3">
        <v>46225</v>
      </c>
      <c r="L154" s="3">
        <v>46259</v>
      </c>
      <c r="M154" s="3">
        <v>46259</v>
      </c>
      <c r="O154" t="s">
        <v>154</v>
      </c>
      <c r="Q154" t="s">
        <v>209</v>
      </c>
      <c r="R154" t="s">
        <v>383</v>
      </c>
      <c r="S154">
        <v>4</v>
      </c>
      <c r="U154" t="s">
        <v>299</v>
      </c>
      <c r="V154" t="s">
        <v>134</v>
      </c>
      <c r="W154" t="s">
        <v>212</v>
      </c>
      <c r="X154" t="s">
        <v>213</v>
      </c>
      <c r="Y154">
        <v>1</v>
      </c>
      <c r="Z154" t="s">
        <v>49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hidden="1">
      <c r="A155">
        <v>154</v>
      </c>
      <c r="B155" t="s">
        <v>384</v>
      </c>
      <c r="C155" t="s">
        <v>385</v>
      </c>
      <c r="D155" t="s">
        <v>139</v>
      </c>
      <c r="E155">
        <v>0</v>
      </c>
      <c r="F155" s="3">
        <v>46231</v>
      </c>
      <c r="G155" s="3">
        <v>46245</v>
      </c>
      <c r="H155" t="s">
        <v>74</v>
      </c>
      <c r="I155" t="s">
        <v>216</v>
      </c>
      <c r="J155" t="s">
        <v>181</v>
      </c>
      <c r="L155" s="3">
        <v>46238</v>
      </c>
      <c r="M155" s="3">
        <v>46238</v>
      </c>
      <c r="N155">
        <v>129</v>
      </c>
      <c r="P155" t="s">
        <v>386</v>
      </c>
      <c r="Q155" t="s">
        <v>209</v>
      </c>
      <c r="Z155" t="s">
        <v>49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hidden="1">
      <c r="A156">
        <v>155</v>
      </c>
      <c r="B156" t="s">
        <v>387</v>
      </c>
      <c r="C156" t="s">
        <v>385</v>
      </c>
      <c r="D156" t="s">
        <v>143</v>
      </c>
      <c r="E156">
        <v>0</v>
      </c>
      <c r="F156" s="3">
        <v>46245</v>
      </c>
      <c r="G156" s="3">
        <v>46252</v>
      </c>
      <c r="H156" t="s">
        <v>74</v>
      </c>
      <c r="I156" t="s">
        <v>140</v>
      </c>
      <c r="J156" t="s">
        <v>353</v>
      </c>
      <c r="L156" s="3">
        <v>46245</v>
      </c>
      <c r="M156" s="3">
        <v>46245</v>
      </c>
      <c r="N156">
        <v>154</v>
      </c>
      <c r="P156">
        <v>156</v>
      </c>
      <c r="Q156" t="s">
        <v>209</v>
      </c>
      <c r="Z156" t="s">
        <v>49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hidden="1">
      <c r="A157">
        <v>156</v>
      </c>
      <c r="B157" t="s">
        <v>388</v>
      </c>
      <c r="C157" t="s">
        <v>385</v>
      </c>
      <c r="D157" t="s">
        <v>146</v>
      </c>
      <c r="E157">
        <v>0</v>
      </c>
      <c r="F157" s="3">
        <v>46252</v>
      </c>
      <c r="G157" s="3">
        <v>46259</v>
      </c>
      <c r="H157" t="s">
        <v>74</v>
      </c>
      <c r="I157" t="s">
        <v>140</v>
      </c>
      <c r="J157" t="s">
        <v>185</v>
      </c>
      <c r="L157" s="3">
        <v>46252</v>
      </c>
      <c r="M157" s="3">
        <v>46252</v>
      </c>
      <c r="N157">
        <v>155</v>
      </c>
      <c r="P157">
        <v>157</v>
      </c>
      <c r="Q157" t="s">
        <v>209</v>
      </c>
      <c r="Z157" t="s">
        <v>49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hidden="1">
      <c r="A158">
        <v>157</v>
      </c>
      <c r="B158" t="s">
        <v>389</v>
      </c>
      <c r="C158" t="s">
        <v>385</v>
      </c>
      <c r="D158" t="s">
        <v>150</v>
      </c>
      <c r="E158">
        <v>0</v>
      </c>
      <c r="F158" s="3">
        <v>46259</v>
      </c>
      <c r="G158" s="3">
        <v>46266</v>
      </c>
      <c r="H158" t="s">
        <v>74</v>
      </c>
      <c r="I158" t="s">
        <v>140</v>
      </c>
      <c r="J158" t="s">
        <v>185</v>
      </c>
      <c r="L158" s="3">
        <v>46259</v>
      </c>
      <c r="M158" s="3">
        <v>46259</v>
      </c>
      <c r="N158">
        <v>156</v>
      </c>
      <c r="Q158" t="s">
        <v>209</v>
      </c>
      <c r="Z158" t="s">
        <v>49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hidden="1">
      <c r="A159">
        <v>158</v>
      </c>
      <c r="B159" t="s">
        <v>390</v>
      </c>
      <c r="C159" t="s">
        <v>206</v>
      </c>
      <c r="D159" t="s">
        <v>391</v>
      </c>
      <c r="E159">
        <v>0</v>
      </c>
      <c r="F159" s="3">
        <v>46245</v>
      </c>
      <c r="G159" s="3">
        <v>46273</v>
      </c>
      <c r="H159" t="s">
        <v>74</v>
      </c>
      <c r="I159" t="s">
        <v>224</v>
      </c>
      <c r="J159" t="s">
        <v>353</v>
      </c>
      <c r="K159" s="3">
        <v>46239</v>
      </c>
      <c r="L159" s="3">
        <v>46266</v>
      </c>
      <c r="M159" s="3">
        <v>46266</v>
      </c>
      <c r="O159" t="s">
        <v>154</v>
      </c>
      <c r="Q159" t="s">
        <v>209</v>
      </c>
      <c r="R159" t="s">
        <v>392</v>
      </c>
      <c r="S159">
        <v>3</v>
      </c>
      <c r="U159" t="s">
        <v>299</v>
      </c>
      <c r="V159" t="s">
        <v>134</v>
      </c>
      <c r="W159" t="s">
        <v>212</v>
      </c>
      <c r="X159" t="s">
        <v>213</v>
      </c>
      <c r="Y159">
        <v>1</v>
      </c>
      <c r="Z159" t="s">
        <v>49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hidden="1">
      <c r="A160">
        <v>159</v>
      </c>
      <c r="B160" t="s">
        <v>393</v>
      </c>
      <c r="C160" t="s">
        <v>394</v>
      </c>
      <c r="D160" t="s">
        <v>139</v>
      </c>
      <c r="E160">
        <v>0</v>
      </c>
      <c r="F160" s="3">
        <v>46245</v>
      </c>
      <c r="G160" s="3">
        <v>46259</v>
      </c>
      <c r="H160" t="s">
        <v>74</v>
      </c>
      <c r="I160" t="s">
        <v>216</v>
      </c>
      <c r="J160" t="s">
        <v>353</v>
      </c>
      <c r="L160" s="3">
        <v>46252</v>
      </c>
      <c r="M160" s="3">
        <v>46252</v>
      </c>
      <c r="N160">
        <v>154</v>
      </c>
      <c r="P160" t="s">
        <v>395</v>
      </c>
      <c r="Q160" t="s">
        <v>209</v>
      </c>
      <c r="Z160" t="s">
        <v>49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hidden="1">
      <c r="A161">
        <v>160</v>
      </c>
      <c r="B161" t="s">
        <v>396</v>
      </c>
      <c r="C161" t="s">
        <v>394</v>
      </c>
      <c r="D161" t="s">
        <v>143</v>
      </c>
      <c r="E161">
        <v>0</v>
      </c>
      <c r="F161" s="3">
        <v>46259</v>
      </c>
      <c r="G161" s="3">
        <v>46266</v>
      </c>
      <c r="H161" t="s">
        <v>74</v>
      </c>
      <c r="I161" t="s">
        <v>140</v>
      </c>
      <c r="J161" t="s">
        <v>185</v>
      </c>
      <c r="L161" s="3">
        <v>46259</v>
      </c>
      <c r="M161" s="3">
        <v>46259</v>
      </c>
      <c r="N161">
        <v>159</v>
      </c>
      <c r="P161">
        <v>161</v>
      </c>
      <c r="Q161" t="s">
        <v>209</v>
      </c>
      <c r="Z161" t="s">
        <v>49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hidden="1">
      <c r="A162">
        <v>161</v>
      </c>
      <c r="B162" t="s">
        <v>397</v>
      </c>
      <c r="C162" t="s">
        <v>394</v>
      </c>
      <c r="D162" t="s">
        <v>146</v>
      </c>
      <c r="E162">
        <v>0</v>
      </c>
      <c r="F162" s="3">
        <v>46266</v>
      </c>
      <c r="G162" s="3">
        <v>46269</v>
      </c>
      <c r="H162" t="s">
        <v>74</v>
      </c>
      <c r="I162" t="s">
        <v>147</v>
      </c>
      <c r="J162" t="s">
        <v>398</v>
      </c>
      <c r="L162" s="3">
        <v>46262</v>
      </c>
      <c r="M162" s="3">
        <v>46262</v>
      </c>
      <c r="N162">
        <v>160</v>
      </c>
      <c r="P162">
        <v>162</v>
      </c>
      <c r="Q162" t="s">
        <v>209</v>
      </c>
      <c r="Z162" t="s">
        <v>49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hidden="1">
      <c r="A163">
        <v>162</v>
      </c>
      <c r="B163" t="s">
        <v>399</v>
      </c>
      <c r="C163" t="s">
        <v>394</v>
      </c>
      <c r="D163" t="s">
        <v>150</v>
      </c>
      <c r="E163">
        <v>0</v>
      </c>
      <c r="F163" s="3">
        <v>46269</v>
      </c>
      <c r="G163" s="3">
        <v>46273</v>
      </c>
      <c r="H163" t="s">
        <v>74</v>
      </c>
      <c r="I163" t="s">
        <v>151</v>
      </c>
      <c r="J163" t="s">
        <v>398</v>
      </c>
      <c r="L163" s="3">
        <v>46266</v>
      </c>
      <c r="M163" s="3">
        <v>46266</v>
      </c>
      <c r="N163">
        <v>161</v>
      </c>
      <c r="Q163" t="s">
        <v>209</v>
      </c>
      <c r="Z163" t="s">
        <v>49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hidden="1">
      <c r="A164">
        <v>163</v>
      </c>
      <c r="B164" t="s">
        <v>400</v>
      </c>
      <c r="C164" t="s">
        <v>206</v>
      </c>
      <c r="D164" t="s">
        <v>401</v>
      </c>
      <c r="E164">
        <v>0</v>
      </c>
      <c r="F164" s="3">
        <v>46245</v>
      </c>
      <c r="G164" s="3">
        <v>46273</v>
      </c>
      <c r="H164" t="s">
        <v>74</v>
      </c>
      <c r="I164" t="s">
        <v>224</v>
      </c>
      <c r="J164" t="s">
        <v>353</v>
      </c>
      <c r="K164" s="3">
        <v>46239</v>
      </c>
      <c r="L164" s="3">
        <v>46266</v>
      </c>
      <c r="M164" s="3">
        <v>46266</v>
      </c>
      <c r="O164" t="s">
        <v>154</v>
      </c>
      <c r="Q164" t="s">
        <v>209</v>
      </c>
      <c r="R164" t="s">
        <v>402</v>
      </c>
      <c r="S164">
        <v>3</v>
      </c>
      <c r="U164" t="s">
        <v>299</v>
      </c>
      <c r="V164" t="s">
        <v>134</v>
      </c>
      <c r="W164" t="s">
        <v>212</v>
      </c>
      <c r="X164" t="s">
        <v>213</v>
      </c>
      <c r="Y164">
        <v>1</v>
      </c>
      <c r="Z164" t="s">
        <v>49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hidden="1">
      <c r="A165">
        <v>164</v>
      </c>
      <c r="B165" t="s">
        <v>403</v>
      </c>
      <c r="C165" t="s">
        <v>404</v>
      </c>
      <c r="D165" t="s">
        <v>139</v>
      </c>
      <c r="E165">
        <v>0</v>
      </c>
      <c r="F165" s="3">
        <v>46245</v>
      </c>
      <c r="G165" s="3">
        <v>46259</v>
      </c>
      <c r="H165" t="s">
        <v>74</v>
      </c>
      <c r="I165" t="s">
        <v>216</v>
      </c>
      <c r="J165" t="s">
        <v>353</v>
      </c>
      <c r="L165" s="3">
        <v>46252</v>
      </c>
      <c r="M165" s="3">
        <v>46252</v>
      </c>
      <c r="N165">
        <v>154</v>
      </c>
      <c r="P165">
        <v>165</v>
      </c>
      <c r="Q165" t="s">
        <v>209</v>
      </c>
      <c r="Z165" t="s">
        <v>49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hidden="1">
      <c r="A166">
        <v>165</v>
      </c>
      <c r="B166" t="s">
        <v>405</v>
      </c>
      <c r="C166" t="s">
        <v>404</v>
      </c>
      <c r="D166" t="s">
        <v>143</v>
      </c>
      <c r="E166">
        <v>0</v>
      </c>
      <c r="F166" s="3">
        <v>46259</v>
      </c>
      <c r="G166" s="3">
        <v>46266</v>
      </c>
      <c r="H166" t="s">
        <v>74</v>
      </c>
      <c r="I166" t="s">
        <v>140</v>
      </c>
      <c r="J166" t="s">
        <v>185</v>
      </c>
      <c r="L166" s="3">
        <v>46259</v>
      </c>
      <c r="M166" s="3">
        <v>46259</v>
      </c>
      <c r="N166">
        <v>164</v>
      </c>
      <c r="P166">
        <v>166</v>
      </c>
      <c r="Q166" t="s">
        <v>209</v>
      </c>
      <c r="Z166" t="s">
        <v>49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hidden="1">
      <c r="A167">
        <v>166</v>
      </c>
      <c r="B167" t="s">
        <v>406</v>
      </c>
      <c r="C167" t="s">
        <v>404</v>
      </c>
      <c r="D167" t="s">
        <v>146</v>
      </c>
      <c r="E167">
        <v>0</v>
      </c>
      <c r="F167" s="3">
        <v>46266</v>
      </c>
      <c r="G167" s="3">
        <v>46269</v>
      </c>
      <c r="H167" t="s">
        <v>74</v>
      </c>
      <c r="I167" t="s">
        <v>147</v>
      </c>
      <c r="J167" t="s">
        <v>398</v>
      </c>
      <c r="L167" s="3">
        <v>46262</v>
      </c>
      <c r="M167" s="3">
        <v>46262</v>
      </c>
      <c r="N167">
        <v>165</v>
      </c>
      <c r="P167">
        <v>167</v>
      </c>
      <c r="Q167" t="s">
        <v>209</v>
      </c>
      <c r="Z167" t="s">
        <v>49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hidden="1">
      <c r="A168">
        <v>167</v>
      </c>
      <c r="B168" t="s">
        <v>407</v>
      </c>
      <c r="C168" t="s">
        <v>404</v>
      </c>
      <c r="D168" t="s">
        <v>150</v>
      </c>
      <c r="E168">
        <v>0</v>
      </c>
      <c r="F168" s="3">
        <v>46269</v>
      </c>
      <c r="G168" s="3">
        <v>46273</v>
      </c>
      <c r="H168" t="s">
        <v>74</v>
      </c>
      <c r="I168" t="s">
        <v>151</v>
      </c>
      <c r="J168" t="s">
        <v>398</v>
      </c>
      <c r="L168" s="3">
        <v>46266</v>
      </c>
      <c r="M168" s="3">
        <v>46266</v>
      </c>
      <c r="N168">
        <v>166</v>
      </c>
      <c r="Q168" t="s">
        <v>209</v>
      </c>
      <c r="Z168" t="s">
        <v>49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hidden="1">
      <c r="A169">
        <v>168</v>
      </c>
      <c r="B169" t="s">
        <v>408</v>
      </c>
      <c r="C169" t="s">
        <v>206</v>
      </c>
      <c r="D169" t="s">
        <v>409</v>
      </c>
      <c r="E169">
        <v>0</v>
      </c>
      <c r="F169" s="3">
        <v>46245</v>
      </c>
      <c r="G169" s="3">
        <v>46273</v>
      </c>
      <c r="H169" t="s">
        <v>74</v>
      </c>
      <c r="I169" t="s">
        <v>224</v>
      </c>
      <c r="J169" t="s">
        <v>353</v>
      </c>
      <c r="K169" s="3">
        <v>46239</v>
      </c>
      <c r="L169" s="3">
        <v>46266</v>
      </c>
      <c r="M169" s="3">
        <v>46266</v>
      </c>
      <c r="O169" t="s">
        <v>154</v>
      </c>
      <c r="Q169" t="s">
        <v>209</v>
      </c>
      <c r="R169" t="s">
        <v>410</v>
      </c>
      <c r="S169">
        <v>4</v>
      </c>
      <c r="U169" t="s">
        <v>299</v>
      </c>
      <c r="V169" t="s">
        <v>134</v>
      </c>
      <c r="W169" t="s">
        <v>212</v>
      </c>
      <c r="X169" t="s">
        <v>213</v>
      </c>
      <c r="Y169">
        <v>1</v>
      </c>
      <c r="Z169" t="s">
        <v>49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hidden="1">
      <c r="A170">
        <v>169</v>
      </c>
      <c r="B170" t="s">
        <v>411</v>
      </c>
      <c r="C170" t="s">
        <v>412</v>
      </c>
      <c r="D170" t="s">
        <v>139</v>
      </c>
      <c r="E170">
        <v>0</v>
      </c>
      <c r="F170" s="3">
        <v>46245</v>
      </c>
      <c r="G170" s="3">
        <v>46259</v>
      </c>
      <c r="H170" t="s">
        <v>74</v>
      </c>
      <c r="I170" t="s">
        <v>216</v>
      </c>
      <c r="J170" t="s">
        <v>353</v>
      </c>
      <c r="L170" s="3">
        <v>46252</v>
      </c>
      <c r="M170" s="3">
        <v>46252</v>
      </c>
      <c r="N170">
        <v>154</v>
      </c>
      <c r="P170">
        <v>170</v>
      </c>
      <c r="Q170" t="s">
        <v>209</v>
      </c>
      <c r="Z170" t="s">
        <v>49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hidden="1">
      <c r="A171">
        <v>170</v>
      </c>
      <c r="B171" t="s">
        <v>413</v>
      </c>
      <c r="C171" t="s">
        <v>412</v>
      </c>
      <c r="D171" t="s">
        <v>143</v>
      </c>
      <c r="E171">
        <v>0</v>
      </c>
      <c r="F171" s="3">
        <v>46259</v>
      </c>
      <c r="G171" s="3">
        <v>46266</v>
      </c>
      <c r="H171" t="s">
        <v>74</v>
      </c>
      <c r="I171" t="s">
        <v>140</v>
      </c>
      <c r="J171" t="s">
        <v>185</v>
      </c>
      <c r="L171" s="3">
        <v>46259</v>
      </c>
      <c r="M171" s="3">
        <v>46259</v>
      </c>
      <c r="N171">
        <v>169</v>
      </c>
      <c r="P171">
        <v>171</v>
      </c>
      <c r="Q171" t="s">
        <v>209</v>
      </c>
      <c r="Z171" t="s">
        <v>49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hidden="1">
      <c r="A172">
        <v>171</v>
      </c>
      <c r="B172" t="s">
        <v>414</v>
      </c>
      <c r="C172" t="s">
        <v>412</v>
      </c>
      <c r="D172" t="s">
        <v>146</v>
      </c>
      <c r="E172">
        <v>0</v>
      </c>
      <c r="F172" s="3">
        <v>46266</v>
      </c>
      <c r="G172" s="3">
        <v>46269</v>
      </c>
      <c r="H172" t="s">
        <v>74</v>
      </c>
      <c r="I172" t="s">
        <v>147</v>
      </c>
      <c r="J172" t="s">
        <v>398</v>
      </c>
      <c r="L172" s="3">
        <v>46262</v>
      </c>
      <c r="M172" s="3">
        <v>46262</v>
      </c>
      <c r="N172">
        <v>170</v>
      </c>
      <c r="P172">
        <v>172</v>
      </c>
      <c r="Q172" t="s">
        <v>209</v>
      </c>
      <c r="Z172" t="s">
        <v>49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hidden="1">
      <c r="A173">
        <v>172</v>
      </c>
      <c r="B173" t="s">
        <v>415</v>
      </c>
      <c r="C173" t="s">
        <v>412</v>
      </c>
      <c r="D173" t="s">
        <v>150</v>
      </c>
      <c r="E173">
        <v>0</v>
      </c>
      <c r="F173" s="3">
        <v>46269</v>
      </c>
      <c r="G173" s="3">
        <v>46273</v>
      </c>
      <c r="H173" t="s">
        <v>74</v>
      </c>
      <c r="I173" t="s">
        <v>151</v>
      </c>
      <c r="J173" t="s">
        <v>398</v>
      </c>
      <c r="L173" s="3">
        <v>46266</v>
      </c>
      <c r="M173" s="3">
        <v>46266</v>
      </c>
      <c r="N173">
        <v>171</v>
      </c>
      <c r="Q173" t="s">
        <v>209</v>
      </c>
      <c r="Z173" t="s">
        <v>49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hidden="1">
      <c r="A174">
        <v>173</v>
      </c>
      <c r="B174" t="s">
        <v>416</v>
      </c>
      <c r="C174" t="s">
        <v>206</v>
      </c>
      <c r="D174" t="s">
        <v>417</v>
      </c>
      <c r="E174">
        <v>0</v>
      </c>
      <c r="F174" s="3">
        <v>46245</v>
      </c>
      <c r="G174" s="3">
        <v>46273</v>
      </c>
      <c r="H174" t="s">
        <v>74</v>
      </c>
      <c r="I174" t="s">
        <v>224</v>
      </c>
      <c r="J174" t="s">
        <v>353</v>
      </c>
      <c r="K174" s="3">
        <v>46239</v>
      </c>
      <c r="L174" s="3">
        <v>46266</v>
      </c>
      <c r="M174" s="3">
        <v>46266</v>
      </c>
      <c r="O174" t="s">
        <v>154</v>
      </c>
      <c r="Q174" t="s">
        <v>209</v>
      </c>
      <c r="R174" t="s">
        <v>418</v>
      </c>
      <c r="S174">
        <v>4</v>
      </c>
      <c r="U174" t="s">
        <v>299</v>
      </c>
      <c r="V174" t="s">
        <v>134</v>
      </c>
      <c r="W174" t="s">
        <v>212</v>
      </c>
      <c r="X174" t="s">
        <v>213</v>
      </c>
      <c r="Y174">
        <v>1</v>
      </c>
      <c r="Z174" t="s">
        <v>49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hidden="1">
      <c r="A175">
        <v>174</v>
      </c>
      <c r="B175" t="s">
        <v>419</v>
      </c>
      <c r="C175" t="s">
        <v>420</v>
      </c>
      <c r="D175" t="s">
        <v>139</v>
      </c>
      <c r="E175">
        <v>0</v>
      </c>
      <c r="F175" s="3">
        <v>46245</v>
      </c>
      <c r="G175" s="3">
        <v>46259</v>
      </c>
      <c r="H175" t="s">
        <v>74</v>
      </c>
      <c r="I175" t="s">
        <v>216</v>
      </c>
      <c r="J175" t="s">
        <v>353</v>
      </c>
      <c r="L175" s="3">
        <v>46252</v>
      </c>
      <c r="M175" s="3">
        <v>46252</v>
      </c>
      <c r="N175">
        <v>154</v>
      </c>
      <c r="P175">
        <v>175</v>
      </c>
      <c r="Q175" t="s">
        <v>209</v>
      </c>
      <c r="Z175" t="s">
        <v>49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 hidden="1">
      <c r="A176">
        <v>175</v>
      </c>
      <c r="B176" t="s">
        <v>421</v>
      </c>
      <c r="C176" t="s">
        <v>420</v>
      </c>
      <c r="D176" t="s">
        <v>143</v>
      </c>
      <c r="E176">
        <v>0</v>
      </c>
      <c r="F176" s="3">
        <v>46259</v>
      </c>
      <c r="G176" s="3">
        <v>46266</v>
      </c>
      <c r="H176" t="s">
        <v>74</v>
      </c>
      <c r="I176" t="s">
        <v>140</v>
      </c>
      <c r="J176" t="s">
        <v>185</v>
      </c>
      <c r="L176" s="3">
        <v>46259</v>
      </c>
      <c r="M176" s="3">
        <v>46259</v>
      </c>
      <c r="N176">
        <v>174</v>
      </c>
      <c r="P176">
        <v>176</v>
      </c>
      <c r="Q176" t="s">
        <v>209</v>
      </c>
      <c r="Z176" t="s">
        <v>49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hidden="1">
      <c r="A177">
        <v>176</v>
      </c>
      <c r="B177" t="s">
        <v>422</v>
      </c>
      <c r="C177" t="s">
        <v>420</v>
      </c>
      <c r="D177" t="s">
        <v>146</v>
      </c>
      <c r="E177">
        <v>0</v>
      </c>
      <c r="F177" s="3">
        <v>46266</v>
      </c>
      <c r="G177" s="3">
        <v>46269</v>
      </c>
      <c r="H177" t="s">
        <v>74</v>
      </c>
      <c r="I177" t="s">
        <v>147</v>
      </c>
      <c r="J177" t="s">
        <v>398</v>
      </c>
      <c r="L177" s="3">
        <v>46262</v>
      </c>
      <c r="M177" s="3">
        <v>46262</v>
      </c>
      <c r="N177">
        <v>175</v>
      </c>
      <c r="P177">
        <v>177</v>
      </c>
      <c r="Q177" t="s">
        <v>209</v>
      </c>
      <c r="Z177" t="s">
        <v>49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hidden="1">
      <c r="A178">
        <v>177</v>
      </c>
      <c r="B178" t="s">
        <v>423</v>
      </c>
      <c r="C178" t="s">
        <v>420</v>
      </c>
      <c r="D178" t="s">
        <v>150</v>
      </c>
      <c r="E178">
        <v>0</v>
      </c>
      <c r="F178" s="3">
        <v>46269</v>
      </c>
      <c r="G178" s="3">
        <v>46273</v>
      </c>
      <c r="H178" t="s">
        <v>74</v>
      </c>
      <c r="I178" t="s">
        <v>151</v>
      </c>
      <c r="J178" t="s">
        <v>398</v>
      </c>
      <c r="L178" s="3">
        <v>46266</v>
      </c>
      <c r="M178" s="3">
        <v>46266</v>
      </c>
      <c r="N178">
        <v>176</v>
      </c>
      <c r="Q178" t="s">
        <v>209</v>
      </c>
      <c r="Z178" t="s">
        <v>49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hidden="1">
      <c r="A179">
        <v>178</v>
      </c>
      <c r="B179" t="s">
        <v>424</v>
      </c>
      <c r="C179" t="s">
        <v>206</v>
      </c>
      <c r="D179" t="s">
        <v>425</v>
      </c>
      <c r="E179">
        <v>0</v>
      </c>
      <c r="F179" s="3">
        <v>46245</v>
      </c>
      <c r="G179" s="3">
        <v>46273</v>
      </c>
      <c r="H179" t="s">
        <v>74</v>
      </c>
      <c r="I179" t="s">
        <v>224</v>
      </c>
      <c r="J179" t="s">
        <v>353</v>
      </c>
      <c r="K179" s="3">
        <v>46239</v>
      </c>
      <c r="L179" s="3">
        <v>46266</v>
      </c>
      <c r="M179" s="3">
        <v>46266</v>
      </c>
      <c r="O179" t="s">
        <v>154</v>
      </c>
      <c r="Q179" t="s">
        <v>209</v>
      </c>
      <c r="R179" t="s">
        <v>426</v>
      </c>
      <c r="S179">
        <v>4</v>
      </c>
      <c r="U179" t="s">
        <v>299</v>
      </c>
      <c r="V179" t="s">
        <v>134</v>
      </c>
      <c r="W179" t="s">
        <v>212</v>
      </c>
      <c r="X179" t="s">
        <v>213</v>
      </c>
      <c r="Y179">
        <v>1</v>
      </c>
      <c r="Z179" t="s">
        <v>49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hidden="1">
      <c r="A180">
        <v>179</v>
      </c>
      <c r="B180" t="s">
        <v>427</v>
      </c>
      <c r="C180" t="s">
        <v>428</v>
      </c>
      <c r="D180" t="s">
        <v>139</v>
      </c>
      <c r="E180">
        <v>0</v>
      </c>
      <c r="F180" s="3">
        <v>46245</v>
      </c>
      <c r="G180" s="3">
        <v>46259</v>
      </c>
      <c r="H180" t="s">
        <v>74</v>
      </c>
      <c r="I180" t="s">
        <v>216</v>
      </c>
      <c r="J180" t="s">
        <v>353</v>
      </c>
      <c r="L180" s="3">
        <v>46252</v>
      </c>
      <c r="M180" s="3">
        <v>46252</v>
      </c>
      <c r="N180">
        <v>154</v>
      </c>
      <c r="P180">
        <v>180</v>
      </c>
      <c r="Q180" t="s">
        <v>209</v>
      </c>
      <c r="Z180" t="s">
        <v>49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hidden="1">
      <c r="A181">
        <v>180</v>
      </c>
      <c r="B181" t="s">
        <v>429</v>
      </c>
      <c r="C181" t="s">
        <v>428</v>
      </c>
      <c r="D181" t="s">
        <v>143</v>
      </c>
      <c r="E181">
        <v>0</v>
      </c>
      <c r="F181" s="3">
        <v>46259</v>
      </c>
      <c r="G181" s="3">
        <v>46266</v>
      </c>
      <c r="H181" t="s">
        <v>74</v>
      </c>
      <c r="I181" t="s">
        <v>140</v>
      </c>
      <c r="J181" t="s">
        <v>185</v>
      </c>
      <c r="L181" s="3">
        <v>46259</v>
      </c>
      <c r="M181" s="3">
        <v>46259</v>
      </c>
      <c r="N181">
        <v>179</v>
      </c>
      <c r="P181">
        <v>181</v>
      </c>
      <c r="Q181" t="s">
        <v>209</v>
      </c>
      <c r="Z181" t="s">
        <v>49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hidden="1">
      <c r="A182">
        <v>181</v>
      </c>
      <c r="B182" t="s">
        <v>430</v>
      </c>
      <c r="C182" t="s">
        <v>428</v>
      </c>
      <c r="D182" t="s">
        <v>146</v>
      </c>
      <c r="E182">
        <v>0</v>
      </c>
      <c r="F182" s="3">
        <v>46266</v>
      </c>
      <c r="G182" s="3">
        <v>46269</v>
      </c>
      <c r="H182" t="s">
        <v>74</v>
      </c>
      <c r="I182" t="s">
        <v>147</v>
      </c>
      <c r="J182" t="s">
        <v>398</v>
      </c>
      <c r="L182" s="3">
        <v>46262</v>
      </c>
      <c r="M182" s="3">
        <v>46262</v>
      </c>
      <c r="N182">
        <v>180</v>
      </c>
      <c r="P182">
        <v>182</v>
      </c>
      <c r="Q182" t="s">
        <v>209</v>
      </c>
      <c r="Z182" t="s">
        <v>49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hidden="1">
      <c r="A183">
        <v>182</v>
      </c>
      <c r="B183" t="s">
        <v>431</v>
      </c>
      <c r="C183" t="s">
        <v>428</v>
      </c>
      <c r="D183" t="s">
        <v>150</v>
      </c>
      <c r="E183">
        <v>0</v>
      </c>
      <c r="F183" s="3">
        <v>46269</v>
      </c>
      <c r="G183" s="3">
        <v>46273</v>
      </c>
      <c r="H183" t="s">
        <v>74</v>
      </c>
      <c r="I183" t="s">
        <v>151</v>
      </c>
      <c r="J183" t="s">
        <v>398</v>
      </c>
      <c r="L183" s="3">
        <v>46266</v>
      </c>
      <c r="M183" s="3">
        <v>46266</v>
      </c>
      <c r="N183">
        <v>181</v>
      </c>
      <c r="Q183" t="s">
        <v>209</v>
      </c>
      <c r="Z183" t="s">
        <v>49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hidden="1">
      <c r="A184">
        <v>183</v>
      </c>
      <c r="B184" t="s">
        <v>432</v>
      </c>
      <c r="C184" t="s">
        <v>206</v>
      </c>
      <c r="D184" t="s">
        <v>433</v>
      </c>
      <c r="E184">
        <v>0</v>
      </c>
      <c r="F184" s="3">
        <v>46245</v>
      </c>
      <c r="G184" s="3">
        <v>46273</v>
      </c>
      <c r="H184" t="s">
        <v>74</v>
      </c>
      <c r="I184" t="s">
        <v>224</v>
      </c>
      <c r="J184" t="s">
        <v>353</v>
      </c>
      <c r="K184" s="3">
        <v>46239</v>
      </c>
      <c r="L184" s="3">
        <v>46266</v>
      </c>
      <c r="M184" s="3">
        <v>46266</v>
      </c>
      <c r="O184" t="s">
        <v>154</v>
      </c>
      <c r="Q184" t="s">
        <v>209</v>
      </c>
      <c r="R184" t="s">
        <v>434</v>
      </c>
      <c r="S184">
        <v>4</v>
      </c>
      <c r="U184" t="s">
        <v>299</v>
      </c>
      <c r="V184" t="s">
        <v>134</v>
      </c>
      <c r="W184" t="s">
        <v>212</v>
      </c>
      <c r="X184" t="s">
        <v>213</v>
      </c>
      <c r="Y184">
        <v>1</v>
      </c>
      <c r="Z184" t="s">
        <v>49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hidden="1">
      <c r="A185">
        <v>184</v>
      </c>
      <c r="B185" t="s">
        <v>435</v>
      </c>
      <c r="C185" t="s">
        <v>436</v>
      </c>
      <c r="D185" t="s">
        <v>139</v>
      </c>
      <c r="E185">
        <v>0</v>
      </c>
      <c r="F185" s="3">
        <v>46245</v>
      </c>
      <c r="G185" s="3">
        <v>46259</v>
      </c>
      <c r="H185" t="s">
        <v>74</v>
      </c>
      <c r="I185" t="s">
        <v>216</v>
      </c>
      <c r="J185" t="s">
        <v>353</v>
      </c>
      <c r="L185" s="3">
        <v>46252</v>
      </c>
      <c r="M185" s="3">
        <v>46252</v>
      </c>
      <c r="N185">
        <v>154</v>
      </c>
      <c r="P185">
        <v>185</v>
      </c>
      <c r="Q185" t="s">
        <v>209</v>
      </c>
      <c r="Z185" t="s">
        <v>49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hidden="1">
      <c r="A186">
        <v>185</v>
      </c>
      <c r="B186" t="s">
        <v>437</v>
      </c>
      <c r="C186" t="s">
        <v>436</v>
      </c>
      <c r="D186" t="s">
        <v>143</v>
      </c>
      <c r="E186">
        <v>0</v>
      </c>
      <c r="F186" s="3">
        <v>46259</v>
      </c>
      <c r="G186" s="3">
        <v>46266</v>
      </c>
      <c r="H186" t="s">
        <v>74</v>
      </c>
      <c r="I186" t="s">
        <v>140</v>
      </c>
      <c r="J186" t="s">
        <v>185</v>
      </c>
      <c r="L186" s="3">
        <v>46259</v>
      </c>
      <c r="M186" s="3">
        <v>46259</v>
      </c>
      <c r="N186">
        <v>184</v>
      </c>
      <c r="P186">
        <v>186</v>
      </c>
      <c r="Q186" t="s">
        <v>209</v>
      </c>
      <c r="Z186" t="s">
        <v>49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hidden="1">
      <c r="A187">
        <v>186</v>
      </c>
      <c r="B187" t="s">
        <v>438</v>
      </c>
      <c r="C187" t="s">
        <v>436</v>
      </c>
      <c r="D187" t="s">
        <v>146</v>
      </c>
      <c r="E187">
        <v>0</v>
      </c>
      <c r="F187" s="3">
        <v>46266</v>
      </c>
      <c r="G187" s="3">
        <v>46269</v>
      </c>
      <c r="H187" t="s">
        <v>74</v>
      </c>
      <c r="I187" t="s">
        <v>147</v>
      </c>
      <c r="J187" t="s">
        <v>398</v>
      </c>
      <c r="L187" s="3">
        <v>46262</v>
      </c>
      <c r="M187" s="3">
        <v>46262</v>
      </c>
      <c r="N187">
        <v>185</v>
      </c>
      <c r="P187">
        <v>187</v>
      </c>
      <c r="Q187" t="s">
        <v>209</v>
      </c>
      <c r="Z187" t="s">
        <v>49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hidden="1">
      <c r="A188">
        <v>187</v>
      </c>
      <c r="B188" t="s">
        <v>439</v>
      </c>
      <c r="C188" t="s">
        <v>436</v>
      </c>
      <c r="D188" t="s">
        <v>150</v>
      </c>
      <c r="E188">
        <v>0</v>
      </c>
      <c r="F188" s="3">
        <v>46269</v>
      </c>
      <c r="G188" s="3">
        <v>46273</v>
      </c>
      <c r="H188" t="s">
        <v>74</v>
      </c>
      <c r="I188" t="s">
        <v>151</v>
      </c>
      <c r="J188" t="s">
        <v>398</v>
      </c>
      <c r="L188" s="3">
        <v>46266</v>
      </c>
      <c r="M188" s="3">
        <v>46266</v>
      </c>
      <c r="N188">
        <v>186</v>
      </c>
      <c r="Q188" t="s">
        <v>209</v>
      </c>
      <c r="Z188" t="s">
        <v>49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hidden="1">
      <c r="A189">
        <v>188</v>
      </c>
      <c r="B189" t="s">
        <v>440</v>
      </c>
      <c r="C189" t="s">
        <v>206</v>
      </c>
      <c r="D189" t="s">
        <v>441</v>
      </c>
      <c r="E189">
        <v>0</v>
      </c>
      <c r="F189" s="3">
        <v>46245</v>
      </c>
      <c r="G189" s="3">
        <v>46273</v>
      </c>
      <c r="H189" t="s">
        <v>74</v>
      </c>
      <c r="I189" t="s">
        <v>224</v>
      </c>
      <c r="J189" t="s">
        <v>353</v>
      </c>
      <c r="K189" s="3">
        <v>46239</v>
      </c>
      <c r="L189" s="3">
        <v>46266</v>
      </c>
      <c r="M189" s="3">
        <v>46266</v>
      </c>
      <c r="O189" t="s">
        <v>154</v>
      </c>
      <c r="Q189" t="s">
        <v>209</v>
      </c>
      <c r="R189" t="s">
        <v>442</v>
      </c>
      <c r="S189">
        <v>4</v>
      </c>
      <c r="U189" t="s">
        <v>299</v>
      </c>
      <c r="V189" t="s">
        <v>134</v>
      </c>
      <c r="W189" t="s">
        <v>212</v>
      </c>
      <c r="X189" t="s">
        <v>213</v>
      </c>
      <c r="Y189">
        <v>1</v>
      </c>
      <c r="Z189" t="s">
        <v>49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hidden="1">
      <c r="A190">
        <v>189</v>
      </c>
      <c r="B190" t="s">
        <v>443</v>
      </c>
      <c r="C190" t="s">
        <v>444</v>
      </c>
      <c r="D190" t="s">
        <v>139</v>
      </c>
      <c r="E190">
        <v>0</v>
      </c>
      <c r="F190" s="3">
        <v>46245</v>
      </c>
      <c r="G190" s="3">
        <v>46259</v>
      </c>
      <c r="H190" t="s">
        <v>74</v>
      </c>
      <c r="I190" t="s">
        <v>216</v>
      </c>
      <c r="J190" t="s">
        <v>353</v>
      </c>
      <c r="L190" s="3">
        <v>46252</v>
      </c>
      <c r="M190" s="3">
        <v>46252</v>
      </c>
      <c r="N190">
        <v>154</v>
      </c>
      <c r="P190">
        <v>190</v>
      </c>
      <c r="Q190" t="s">
        <v>209</v>
      </c>
      <c r="Z190" t="s">
        <v>49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hidden="1">
      <c r="A191">
        <v>190</v>
      </c>
      <c r="B191" t="s">
        <v>445</v>
      </c>
      <c r="C191" t="s">
        <v>444</v>
      </c>
      <c r="D191" t="s">
        <v>143</v>
      </c>
      <c r="E191">
        <v>0</v>
      </c>
      <c r="F191" s="3">
        <v>46259</v>
      </c>
      <c r="G191" s="3">
        <v>46266</v>
      </c>
      <c r="H191" t="s">
        <v>74</v>
      </c>
      <c r="I191" t="s">
        <v>140</v>
      </c>
      <c r="J191" t="s">
        <v>185</v>
      </c>
      <c r="L191" s="3">
        <v>46259</v>
      </c>
      <c r="M191" s="3">
        <v>46259</v>
      </c>
      <c r="N191">
        <v>189</v>
      </c>
      <c r="P191">
        <v>191</v>
      </c>
      <c r="Q191" t="s">
        <v>209</v>
      </c>
      <c r="Z191" t="s">
        <v>49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hidden="1">
      <c r="A192">
        <v>191</v>
      </c>
      <c r="B192" t="s">
        <v>446</v>
      </c>
      <c r="C192" t="s">
        <v>444</v>
      </c>
      <c r="D192" t="s">
        <v>146</v>
      </c>
      <c r="E192">
        <v>0</v>
      </c>
      <c r="F192" s="3">
        <v>46266</v>
      </c>
      <c r="G192" s="3">
        <v>46269</v>
      </c>
      <c r="H192" t="s">
        <v>74</v>
      </c>
      <c r="I192" t="s">
        <v>147</v>
      </c>
      <c r="J192" t="s">
        <v>398</v>
      </c>
      <c r="L192" s="3">
        <v>46262</v>
      </c>
      <c r="M192" s="3">
        <v>46262</v>
      </c>
      <c r="N192">
        <v>190</v>
      </c>
      <c r="P192">
        <v>192</v>
      </c>
      <c r="Q192" t="s">
        <v>209</v>
      </c>
      <c r="Z192" t="s">
        <v>49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hidden="1">
      <c r="A193">
        <v>192</v>
      </c>
      <c r="B193" t="s">
        <v>447</v>
      </c>
      <c r="C193" t="s">
        <v>444</v>
      </c>
      <c r="D193" t="s">
        <v>150</v>
      </c>
      <c r="E193">
        <v>0</v>
      </c>
      <c r="F193" s="3">
        <v>46269</v>
      </c>
      <c r="G193" s="3">
        <v>46273</v>
      </c>
      <c r="H193" t="s">
        <v>74</v>
      </c>
      <c r="I193" t="s">
        <v>151</v>
      </c>
      <c r="J193" t="s">
        <v>398</v>
      </c>
      <c r="L193" s="3">
        <v>46266</v>
      </c>
      <c r="M193" s="3">
        <v>46266</v>
      </c>
      <c r="N193">
        <v>191</v>
      </c>
      <c r="Q193" t="s">
        <v>209</v>
      </c>
      <c r="Z193" t="s">
        <v>49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hidden="1">
      <c r="A194">
        <v>193</v>
      </c>
      <c r="B194" t="s">
        <v>448</v>
      </c>
      <c r="C194" t="s">
        <v>206</v>
      </c>
      <c r="D194" t="s">
        <v>449</v>
      </c>
      <c r="E194">
        <v>0</v>
      </c>
      <c r="F194" s="3">
        <v>46245</v>
      </c>
      <c r="G194" s="3">
        <v>46273</v>
      </c>
      <c r="H194" t="s">
        <v>74</v>
      </c>
      <c r="I194" t="s">
        <v>224</v>
      </c>
      <c r="J194" t="s">
        <v>353</v>
      </c>
      <c r="K194" s="3">
        <v>46239</v>
      </c>
      <c r="L194" s="3">
        <v>46266</v>
      </c>
      <c r="M194" s="3">
        <v>46266</v>
      </c>
      <c r="O194" t="s">
        <v>154</v>
      </c>
      <c r="Q194" t="s">
        <v>209</v>
      </c>
      <c r="R194" t="s">
        <v>450</v>
      </c>
      <c r="S194">
        <v>4</v>
      </c>
      <c r="U194" t="s">
        <v>299</v>
      </c>
      <c r="V194" t="s">
        <v>134</v>
      </c>
      <c r="W194" t="s">
        <v>212</v>
      </c>
      <c r="X194" t="s">
        <v>213</v>
      </c>
      <c r="Y194">
        <v>1</v>
      </c>
      <c r="Z194" t="s">
        <v>49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hidden="1">
      <c r="A195">
        <v>194</v>
      </c>
      <c r="B195" t="s">
        <v>451</v>
      </c>
      <c r="C195" t="s">
        <v>452</v>
      </c>
      <c r="D195" t="s">
        <v>139</v>
      </c>
      <c r="E195">
        <v>0</v>
      </c>
      <c r="F195" s="3">
        <v>46245</v>
      </c>
      <c r="G195" s="3">
        <v>46259</v>
      </c>
      <c r="H195" t="s">
        <v>74</v>
      </c>
      <c r="I195" t="s">
        <v>216</v>
      </c>
      <c r="J195" t="s">
        <v>353</v>
      </c>
      <c r="L195" s="3">
        <v>46252</v>
      </c>
      <c r="M195" s="3">
        <v>46252</v>
      </c>
      <c r="N195">
        <v>154</v>
      </c>
      <c r="P195">
        <v>195</v>
      </c>
      <c r="Q195" t="s">
        <v>209</v>
      </c>
      <c r="Z195" t="s">
        <v>49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hidden="1">
      <c r="A196">
        <v>195</v>
      </c>
      <c r="B196" t="s">
        <v>453</v>
      </c>
      <c r="C196" t="s">
        <v>452</v>
      </c>
      <c r="D196" t="s">
        <v>143</v>
      </c>
      <c r="E196">
        <v>0</v>
      </c>
      <c r="F196" s="3">
        <v>46259</v>
      </c>
      <c r="G196" s="3">
        <v>46266</v>
      </c>
      <c r="H196" t="s">
        <v>74</v>
      </c>
      <c r="I196" t="s">
        <v>140</v>
      </c>
      <c r="J196" t="s">
        <v>185</v>
      </c>
      <c r="L196" s="3">
        <v>46259</v>
      </c>
      <c r="M196" s="3">
        <v>46259</v>
      </c>
      <c r="N196">
        <v>194</v>
      </c>
      <c r="P196">
        <v>196</v>
      </c>
      <c r="Q196" t="s">
        <v>209</v>
      </c>
      <c r="Z196" t="s">
        <v>49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hidden="1">
      <c r="A197">
        <v>196</v>
      </c>
      <c r="B197" t="s">
        <v>454</v>
      </c>
      <c r="C197" t="s">
        <v>452</v>
      </c>
      <c r="D197" t="s">
        <v>146</v>
      </c>
      <c r="E197">
        <v>0</v>
      </c>
      <c r="F197" s="3">
        <v>46266</v>
      </c>
      <c r="G197" s="3">
        <v>46269</v>
      </c>
      <c r="H197" t="s">
        <v>74</v>
      </c>
      <c r="I197" t="s">
        <v>147</v>
      </c>
      <c r="J197" t="s">
        <v>398</v>
      </c>
      <c r="L197" s="3">
        <v>46262</v>
      </c>
      <c r="M197" s="3">
        <v>46262</v>
      </c>
      <c r="N197">
        <v>195</v>
      </c>
      <c r="P197">
        <v>197</v>
      </c>
      <c r="Q197" t="s">
        <v>209</v>
      </c>
      <c r="Z197" t="s">
        <v>49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hidden="1">
      <c r="A198">
        <v>197</v>
      </c>
      <c r="B198" t="s">
        <v>455</v>
      </c>
      <c r="C198" t="s">
        <v>452</v>
      </c>
      <c r="D198" t="s">
        <v>150</v>
      </c>
      <c r="E198">
        <v>0</v>
      </c>
      <c r="F198" s="3">
        <v>46269</v>
      </c>
      <c r="G198" s="3">
        <v>46273</v>
      </c>
      <c r="H198" t="s">
        <v>74</v>
      </c>
      <c r="I198" t="s">
        <v>151</v>
      </c>
      <c r="J198" t="s">
        <v>398</v>
      </c>
      <c r="L198" s="3">
        <v>46266</v>
      </c>
      <c r="M198" s="3">
        <v>46266</v>
      </c>
      <c r="N198">
        <v>196</v>
      </c>
      <c r="Q198" t="s">
        <v>209</v>
      </c>
      <c r="Z198" t="s">
        <v>49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hidden="1">
      <c r="A199">
        <v>198</v>
      </c>
      <c r="B199" t="s">
        <v>456</v>
      </c>
      <c r="C199" t="s">
        <v>206</v>
      </c>
      <c r="D199" t="s">
        <v>457</v>
      </c>
      <c r="E199">
        <v>0</v>
      </c>
      <c r="F199" s="3">
        <v>46245</v>
      </c>
      <c r="G199" s="3">
        <v>46273</v>
      </c>
      <c r="H199" t="s">
        <v>74</v>
      </c>
      <c r="I199" t="s">
        <v>224</v>
      </c>
      <c r="J199" t="s">
        <v>353</v>
      </c>
      <c r="K199" s="3">
        <v>46239</v>
      </c>
      <c r="L199" s="3">
        <v>46266</v>
      </c>
      <c r="M199" s="3">
        <v>46266</v>
      </c>
      <c r="O199" t="s">
        <v>154</v>
      </c>
      <c r="Q199" t="s">
        <v>209</v>
      </c>
      <c r="R199" t="s">
        <v>458</v>
      </c>
      <c r="S199">
        <v>3</v>
      </c>
      <c r="U199" t="s">
        <v>299</v>
      </c>
      <c r="V199" t="s">
        <v>134</v>
      </c>
      <c r="W199" t="s">
        <v>212</v>
      </c>
      <c r="X199" t="s">
        <v>213</v>
      </c>
      <c r="Y199">
        <v>1</v>
      </c>
      <c r="Z199" t="s">
        <v>49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hidden="1">
      <c r="A200">
        <v>199</v>
      </c>
      <c r="B200" t="s">
        <v>459</v>
      </c>
      <c r="C200" t="s">
        <v>460</v>
      </c>
      <c r="D200" t="s">
        <v>139</v>
      </c>
      <c r="E200">
        <v>0</v>
      </c>
      <c r="F200" s="3">
        <v>46245</v>
      </c>
      <c r="G200" s="3">
        <v>46259</v>
      </c>
      <c r="H200" t="s">
        <v>74</v>
      </c>
      <c r="I200" t="s">
        <v>216</v>
      </c>
      <c r="J200" t="s">
        <v>353</v>
      </c>
      <c r="L200" s="3">
        <v>46252</v>
      </c>
      <c r="M200" s="3">
        <v>46252</v>
      </c>
      <c r="N200">
        <v>154</v>
      </c>
      <c r="P200" t="s">
        <v>461</v>
      </c>
      <c r="Q200" t="s">
        <v>209</v>
      </c>
      <c r="Z200" t="s">
        <v>49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hidden="1">
      <c r="A201">
        <v>200</v>
      </c>
      <c r="B201" t="s">
        <v>462</v>
      </c>
      <c r="C201" t="s">
        <v>460</v>
      </c>
      <c r="D201" t="s">
        <v>143</v>
      </c>
      <c r="E201">
        <v>0</v>
      </c>
      <c r="F201" s="3">
        <v>46259</v>
      </c>
      <c r="G201" s="3">
        <v>46266</v>
      </c>
      <c r="H201" t="s">
        <v>74</v>
      </c>
      <c r="I201" t="s">
        <v>140</v>
      </c>
      <c r="J201" t="s">
        <v>185</v>
      </c>
      <c r="L201" s="3">
        <v>46259</v>
      </c>
      <c r="M201" s="3">
        <v>46259</v>
      </c>
      <c r="N201">
        <v>199</v>
      </c>
      <c r="P201">
        <v>201</v>
      </c>
      <c r="Q201" t="s">
        <v>209</v>
      </c>
      <c r="Z201" t="s">
        <v>49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hidden="1">
      <c r="A202">
        <v>201</v>
      </c>
      <c r="B202" t="s">
        <v>463</v>
      </c>
      <c r="C202" t="s">
        <v>460</v>
      </c>
      <c r="D202" t="s">
        <v>146</v>
      </c>
      <c r="E202">
        <v>0</v>
      </c>
      <c r="F202" s="3">
        <v>46266</v>
      </c>
      <c r="G202" s="3">
        <v>46269</v>
      </c>
      <c r="H202" t="s">
        <v>74</v>
      </c>
      <c r="I202" t="s">
        <v>147</v>
      </c>
      <c r="J202" t="s">
        <v>398</v>
      </c>
      <c r="L202" s="3">
        <v>46262</v>
      </c>
      <c r="M202" s="3">
        <v>46262</v>
      </c>
      <c r="N202">
        <v>200</v>
      </c>
      <c r="P202">
        <v>202</v>
      </c>
      <c r="Q202" t="s">
        <v>209</v>
      </c>
      <c r="Z202" t="s">
        <v>49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hidden="1">
      <c r="A203">
        <v>202</v>
      </c>
      <c r="B203" t="s">
        <v>464</v>
      </c>
      <c r="C203" t="s">
        <v>460</v>
      </c>
      <c r="D203" t="s">
        <v>150</v>
      </c>
      <c r="E203">
        <v>0</v>
      </c>
      <c r="F203" s="3">
        <v>46269</v>
      </c>
      <c r="G203" s="3">
        <v>46273</v>
      </c>
      <c r="H203" t="s">
        <v>74</v>
      </c>
      <c r="I203" t="s">
        <v>151</v>
      </c>
      <c r="J203" t="s">
        <v>398</v>
      </c>
      <c r="L203" s="3">
        <v>46266</v>
      </c>
      <c r="M203" s="3">
        <v>46266</v>
      </c>
      <c r="N203">
        <v>201</v>
      </c>
      <c r="Q203" t="s">
        <v>209</v>
      </c>
      <c r="Z203" t="s">
        <v>49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hidden="1">
      <c r="A204">
        <v>203</v>
      </c>
      <c r="B204" t="s">
        <v>465</v>
      </c>
      <c r="C204" t="s">
        <v>206</v>
      </c>
      <c r="D204" t="s">
        <v>466</v>
      </c>
      <c r="E204">
        <v>0</v>
      </c>
      <c r="F204" s="3">
        <v>46245</v>
      </c>
      <c r="G204" s="3">
        <v>46273</v>
      </c>
      <c r="H204" t="s">
        <v>74</v>
      </c>
      <c r="I204" t="s">
        <v>224</v>
      </c>
      <c r="J204" t="s">
        <v>353</v>
      </c>
      <c r="K204" s="3">
        <v>46239</v>
      </c>
      <c r="L204" s="3">
        <v>46266</v>
      </c>
      <c r="M204" s="3">
        <v>46266</v>
      </c>
      <c r="O204" t="s">
        <v>154</v>
      </c>
      <c r="Q204" t="s">
        <v>209</v>
      </c>
      <c r="R204" t="s">
        <v>467</v>
      </c>
      <c r="S204">
        <v>4</v>
      </c>
      <c r="U204" t="s">
        <v>299</v>
      </c>
      <c r="V204" t="s">
        <v>134</v>
      </c>
      <c r="W204" t="s">
        <v>212</v>
      </c>
      <c r="X204" t="s">
        <v>213</v>
      </c>
      <c r="Y204">
        <v>1</v>
      </c>
      <c r="Z204" t="s">
        <v>49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hidden="1">
      <c r="A205">
        <v>204</v>
      </c>
      <c r="B205" t="s">
        <v>468</v>
      </c>
      <c r="C205" t="s">
        <v>469</v>
      </c>
      <c r="D205" t="s">
        <v>139</v>
      </c>
      <c r="E205">
        <v>0</v>
      </c>
      <c r="F205" s="3">
        <v>46245</v>
      </c>
      <c r="G205" s="3">
        <v>46259</v>
      </c>
      <c r="H205" t="s">
        <v>74</v>
      </c>
      <c r="I205" t="s">
        <v>216</v>
      </c>
      <c r="J205" t="s">
        <v>353</v>
      </c>
      <c r="L205" s="3">
        <v>46252</v>
      </c>
      <c r="M205" s="3">
        <v>46252</v>
      </c>
      <c r="N205">
        <v>154</v>
      </c>
      <c r="P205">
        <v>205</v>
      </c>
      <c r="Q205" t="s">
        <v>209</v>
      </c>
      <c r="Z205" t="s">
        <v>49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hidden="1">
      <c r="A206">
        <v>205</v>
      </c>
      <c r="B206" t="s">
        <v>470</v>
      </c>
      <c r="C206" t="s">
        <v>469</v>
      </c>
      <c r="D206" t="s">
        <v>143</v>
      </c>
      <c r="E206">
        <v>0</v>
      </c>
      <c r="F206" s="3">
        <v>46259</v>
      </c>
      <c r="G206" s="3">
        <v>46266</v>
      </c>
      <c r="H206" t="s">
        <v>74</v>
      </c>
      <c r="I206" t="s">
        <v>140</v>
      </c>
      <c r="J206" t="s">
        <v>185</v>
      </c>
      <c r="L206" s="3">
        <v>46259</v>
      </c>
      <c r="M206" s="3">
        <v>46259</v>
      </c>
      <c r="N206">
        <v>204</v>
      </c>
      <c r="P206">
        <v>206</v>
      </c>
      <c r="Q206" t="s">
        <v>209</v>
      </c>
      <c r="Z206" t="s">
        <v>49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hidden="1">
      <c r="A207">
        <v>206</v>
      </c>
      <c r="B207" t="s">
        <v>471</v>
      </c>
      <c r="C207" t="s">
        <v>469</v>
      </c>
      <c r="D207" t="s">
        <v>146</v>
      </c>
      <c r="E207">
        <v>0</v>
      </c>
      <c r="F207" s="3">
        <v>46266</v>
      </c>
      <c r="G207" s="3">
        <v>46269</v>
      </c>
      <c r="H207" t="s">
        <v>74</v>
      </c>
      <c r="I207" t="s">
        <v>147</v>
      </c>
      <c r="J207" t="s">
        <v>398</v>
      </c>
      <c r="L207" s="3">
        <v>46262</v>
      </c>
      <c r="M207" s="3">
        <v>46262</v>
      </c>
      <c r="N207">
        <v>205</v>
      </c>
      <c r="P207">
        <v>207</v>
      </c>
      <c r="Q207" t="s">
        <v>209</v>
      </c>
      <c r="Z207" t="s">
        <v>49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hidden="1">
      <c r="A208">
        <v>207</v>
      </c>
      <c r="B208" t="s">
        <v>472</v>
      </c>
      <c r="C208" t="s">
        <v>469</v>
      </c>
      <c r="D208" t="s">
        <v>150</v>
      </c>
      <c r="E208">
        <v>0</v>
      </c>
      <c r="F208" s="3">
        <v>46269</v>
      </c>
      <c r="G208" s="3">
        <v>46273</v>
      </c>
      <c r="H208" t="s">
        <v>74</v>
      </c>
      <c r="I208" t="s">
        <v>151</v>
      </c>
      <c r="J208" t="s">
        <v>398</v>
      </c>
      <c r="L208" s="3">
        <v>46266</v>
      </c>
      <c r="M208" s="3">
        <v>46266</v>
      </c>
      <c r="N208">
        <v>206</v>
      </c>
      <c r="Q208" t="s">
        <v>209</v>
      </c>
      <c r="Z208" t="s">
        <v>49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hidden="1">
      <c r="A209">
        <v>208</v>
      </c>
      <c r="B209" t="s">
        <v>473</v>
      </c>
      <c r="C209" t="s">
        <v>206</v>
      </c>
      <c r="D209" t="s">
        <v>474</v>
      </c>
      <c r="E209">
        <v>0</v>
      </c>
      <c r="F209" s="3">
        <v>46259</v>
      </c>
      <c r="G209" s="3">
        <v>46287</v>
      </c>
      <c r="H209" t="s">
        <v>74</v>
      </c>
      <c r="I209" t="s">
        <v>224</v>
      </c>
      <c r="J209" t="s">
        <v>185</v>
      </c>
      <c r="K209" s="3">
        <v>46253</v>
      </c>
      <c r="L209" s="3">
        <v>46280</v>
      </c>
      <c r="M209" s="3">
        <v>46280</v>
      </c>
      <c r="O209" t="s">
        <v>154</v>
      </c>
      <c r="Q209" t="s">
        <v>209</v>
      </c>
      <c r="R209" t="s">
        <v>475</v>
      </c>
      <c r="S209">
        <v>4</v>
      </c>
      <c r="U209" t="s">
        <v>299</v>
      </c>
      <c r="V209" t="s">
        <v>134</v>
      </c>
      <c r="W209" t="s">
        <v>212</v>
      </c>
      <c r="X209" t="s">
        <v>213</v>
      </c>
      <c r="Y209">
        <v>1</v>
      </c>
      <c r="Z209" t="s">
        <v>49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hidden="1">
      <c r="A210">
        <v>209</v>
      </c>
      <c r="B210" t="s">
        <v>476</v>
      </c>
      <c r="C210" t="s">
        <v>477</v>
      </c>
      <c r="D210" t="s">
        <v>139</v>
      </c>
      <c r="E210">
        <v>0</v>
      </c>
      <c r="F210" s="3">
        <v>46259</v>
      </c>
      <c r="G210" s="3">
        <v>46273</v>
      </c>
      <c r="H210" t="s">
        <v>74</v>
      </c>
      <c r="I210" t="s">
        <v>216</v>
      </c>
      <c r="J210" t="s">
        <v>185</v>
      </c>
      <c r="L210" s="3">
        <v>46266</v>
      </c>
      <c r="M210" s="3">
        <v>46266</v>
      </c>
      <c r="N210">
        <v>199</v>
      </c>
      <c r="P210">
        <v>210</v>
      </c>
      <c r="Q210" t="s">
        <v>209</v>
      </c>
      <c r="Z210" t="s">
        <v>49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hidden="1">
      <c r="A211">
        <v>210</v>
      </c>
      <c r="B211" t="s">
        <v>478</v>
      </c>
      <c r="C211" t="s">
        <v>477</v>
      </c>
      <c r="D211" t="s">
        <v>143</v>
      </c>
      <c r="E211">
        <v>0</v>
      </c>
      <c r="F211" s="3">
        <v>46273</v>
      </c>
      <c r="G211" s="3">
        <v>46280</v>
      </c>
      <c r="H211" t="s">
        <v>74</v>
      </c>
      <c r="I211" t="s">
        <v>140</v>
      </c>
      <c r="J211" t="s">
        <v>83</v>
      </c>
      <c r="L211" s="3">
        <v>46273</v>
      </c>
      <c r="M211" s="3">
        <v>46273</v>
      </c>
      <c r="N211">
        <v>209</v>
      </c>
      <c r="P211">
        <v>211</v>
      </c>
      <c r="Q211" t="s">
        <v>209</v>
      </c>
      <c r="Z211" t="s">
        <v>49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hidden="1">
      <c r="A212">
        <v>211</v>
      </c>
      <c r="B212" t="s">
        <v>479</v>
      </c>
      <c r="C212" t="s">
        <v>477</v>
      </c>
      <c r="D212" t="s">
        <v>146</v>
      </c>
      <c r="E212">
        <v>0</v>
      </c>
      <c r="F212" s="3">
        <v>46280</v>
      </c>
      <c r="G212" s="3">
        <v>46283</v>
      </c>
      <c r="H212" t="s">
        <v>74</v>
      </c>
      <c r="I212" t="s">
        <v>147</v>
      </c>
      <c r="J212" t="s">
        <v>83</v>
      </c>
      <c r="L212" s="3">
        <v>46276</v>
      </c>
      <c r="M212" s="3">
        <v>46276</v>
      </c>
      <c r="N212">
        <v>210</v>
      </c>
      <c r="P212">
        <v>212</v>
      </c>
      <c r="Q212" t="s">
        <v>209</v>
      </c>
      <c r="Z212" t="s">
        <v>49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hidden="1">
      <c r="A213">
        <v>212</v>
      </c>
      <c r="B213" t="s">
        <v>480</v>
      </c>
      <c r="C213" t="s">
        <v>477</v>
      </c>
      <c r="D213" t="s">
        <v>150</v>
      </c>
      <c r="E213">
        <v>0</v>
      </c>
      <c r="F213" s="3">
        <v>46283</v>
      </c>
      <c r="G213" s="3">
        <v>46287</v>
      </c>
      <c r="H213" t="s">
        <v>74</v>
      </c>
      <c r="I213" t="s">
        <v>151</v>
      </c>
      <c r="J213" t="s">
        <v>144</v>
      </c>
      <c r="L213" s="3">
        <v>46280</v>
      </c>
      <c r="M213" s="3">
        <v>46280</v>
      </c>
      <c r="N213">
        <v>211</v>
      </c>
      <c r="Q213" t="s">
        <v>209</v>
      </c>
      <c r="Z213" t="s">
        <v>49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hidden="1">
      <c r="A214">
        <v>213</v>
      </c>
      <c r="B214" t="s">
        <v>481</v>
      </c>
      <c r="C214" t="s">
        <v>206</v>
      </c>
      <c r="D214" t="s">
        <v>482</v>
      </c>
      <c r="E214">
        <v>0</v>
      </c>
      <c r="F214" s="3">
        <v>46259</v>
      </c>
      <c r="G214" s="3">
        <v>46287</v>
      </c>
      <c r="H214" t="s">
        <v>74</v>
      </c>
      <c r="I214" t="s">
        <v>224</v>
      </c>
      <c r="J214" t="s">
        <v>185</v>
      </c>
      <c r="K214" s="3">
        <v>46253</v>
      </c>
      <c r="L214" s="3">
        <v>46280</v>
      </c>
      <c r="M214" s="3">
        <v>46280</v>
      </c>
      <c r="O214" t="s">
        <v>154</v>
      </c>
      <c r="Q214" t="s">
        <v>209</v>
      </c>
      <c r="R214" t="s">
        <v>483</v>
      </c>
      <c r="S214">
        <v>4</v>
      </c>
      <c r="U214" t="s">
        <v>299</v>
      </c>
      <c r="V214" t="s">
        <v>134</v>
      </c>
      <c r="W214" t="s">
        <v>212</v>
      </c>
      <c r="X214" t="s">
        <v>213</v>
      </c>
      <c r="Y214">
        <v>1</v>
      </c>
      <c r="Z214" t="s">
        <v>49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hidden="1">
      <c r="A215">
        <v>214</v>
      </c>
      <c r="B215" t="s">
        <v>484</v>
      </c>
      <c r="C215" t="s">
        <v>485</v>
      </c>
      <c r="D215" t="s">
        <v>139</v>
      </c>
      <c r="E215">
        <v>0</v>
      </c>
      <c r="F215" s="3">
        <v>46259</v>
      </c>
      <c r="G215" s="3">
        <v>46273</v>
      </c>
      <c r="H215" t="s">
        <v>74</v>
      </c>
      <c r="I215" t="s">
        <v>216</v>
      </c>
      <c r="J215" t="s">
        <v>185</v>
      </c>
      <c r="L215" s="3">
        <v>46266</v>
      </c>
      <c r="M215" s="3">
        <v>46266</v>
      </c>
      <c r="N215">
        <v>199</v>
      </c>
      <c r="P215">
        <v>215</v>
      </c>
      <c r="Q215" t="s">
        <v>209</v>
      </c>
      <c r="Z215" t="s">
        <v>49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hidden="1">
      <c r="A216">
        <v>215</v>
      </c>
      <c r="B216" t="s">
        <v>486</v>
      </c>
      <c r="C216" t="s">
        <v>485</v>
      </c>
      <c r="D216" t="s">
        <v>143</v>
      </c>
      <c r="E216">
        <v>0</v>
      </c>
      <c r="F216" s="3">
        <v>46273</v>
      </c>
      <c r="G216" s="3">
        <v>46280</v>
      </c>
      <c r="H216" t="s">
        <v>74</v>
      </c>
      <c r="I216" t="s">
        <v>140</v>
      </c>
      <c r="J216" t="s">
        <v>83</v>
      </c>
      <c r="L216" s="3">
        <v>46273</v>
      </c>
      <c r="M216" s="3">
        <v>46273</v>
      </c>
      <c r="N216">
        <v>214</v>
      </c>
      <c r="P216">
        <v>216</v>
      </c>
      <c r="Q216" t="s">
        <v>209</v>
      </c>
      <c r="Z216" t="s">
        <v>49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hidden="1">
      <c r="A217">
        <v>216</v>
      </c>
      <c r="B217" t="s">
        <v>487</v>
      </c>
      <c r="C217" t="s">
        <v>485</v>
      </c>
      <c r="D217" t="s">
        <v>146</v>
      </c>
      <c r="E217">
        <v>0</v>
      </c>
      <c r="F217" s="3">
        <v>46280</v>
      </c>
      <c r="G217" s="3">
        <v>46283</v>
      </c>
      <c r="H217" t="s">
        <v>74</v>
      </c>
      <c r="I217" t="s">
        <v>147</v>
      </c>
      <c r="J217" t="s">
        <v>83</v>
      </c>
      <c r="L217" s="3">
        <v>46276</v>
      </c>
      <c r="M217" s="3">
        <v>46276</v>
      </c>
      <c r="N217">
        <v>215</v>
      </c>
      <c r="P217">
        <v>217</v>
      </c>
      <c r="Q217" t="s">
        <v>209</v>
      </c>
      <c r="Z217" t="s">
        <v>49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hidden="1">
      <c r="A218">
        <v>217</v>
      </c>
      <c r="B218" t="s">
        <v>488</v>
      </c>
      <c r="C218" t="s">
        <v>485</v>
      </c>
      <c r="D218" t="s">
        <v>150</v>
      </c>
      <c r="E218">
        <v>0</v>
      </c>
      <c r="F218" s="3">
        <v>46283</v>
      </c>
      <c r="G218" s="3">
        <v>46287</v>
      </c>
      <c r="H218" t="s">
        <v>74</v>
      </c>
      <c r="I218" t="s">
        <v>151</v>
      </c>
      <c r="J218" t="s">
        <v>144</v>
      </c>
      <c r="L218" s="3">
        <v>46280</v>
      </c>
      <c r="M218" s="3">
        <v>46280</v>
      </c>
      <c r="N218">
        <v>216</v>
      </c>
      <c r="Q218" t="s">
        <v>209</v>
      </c>
      <c r="Z218" t="s">
        <v>49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hidden="1">
      <c r="A219">
        <v>218</v>
      </c>
      <c r="B219" t="s">
        <v>489</v>
      </c>
      <c r="C219" t="s">
        <v>206</v>
      </c>
      <c r="D219" t="s">
        <v>490</v>
      </c>
      <c r="E219">
        <v>0</v>
      </c>
      <c r="F219" s="3">
        <v>46259</v>
      </c>
      <c r="G219" s="3">
        <v>46287</v>
      </c>
      <c r="H219" t="s">
        <v>74</v>
      </c>
      <c r="I219" t="s">
        <v>224</v>
      </c>
      <c r="J219" t="s">
        <v>185</v>
      </c>
      <c r="K219" s="3">
        <v>46253</v>
      </c>
      <c r="L219" s="3">
        <v>46280</v>
      </c>
      <c r="M219" s="3">
        <v>46280</v>
      </c>
      <c r="O219" t="s">
        <v>154</v>
      </c>
      <c r="Q219" t="s">
        <v>209</v>
      </c>
      <c r="R219" t="s">
        <v>491</v>
      </c>
      <c r="S219">
        <v>4</v>
      </c>
      <c r="U219" t="s">
        <v>299</v>
      </c>
      <c r="V219" t="s">
        <v>134</v>
      </c>
      <c r="W219" t="s">
        <v>212</v>
      </c>
      <c r="X219" t="s">
        <v>213</v>
      </c>
      <c r="Y219">
        <v>1</v>
      </c>
      <c r="Z219" t="s">
        <v>49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hidden="1">
      <c r="A220">
        <v>219</v>
      </c>
      <c r="B220" t="s">
        <v>492</v>
      </c>
      <c r="C220" t="s">
        <v>493</v>
      </c>
      <c r="D220" t="s">
        <v>139</v>
      </c>
      <c r="E220">
        <v>0</v>
      </c>
      <c r="F220" s="3">
        <v>46259</v>
      </c>
      <c r="G220" s="3">
        <v>46273</v>
      </c>
      <c r="H220" t="s">
        <v>74</v>
      </c>
      <c r="I220" t="s">
        <v>216</v>
      </c>
      <c r="J220" t="s">
        <v>185</v>
      </c>
      <c r="L220" s="3">
        <v>46266</v>
      </c>
      <c r="M220" s="3">
        <v>46266</v>
      </c>
      <c r="N220">
        <v>199</v>
      </c>
      <c r="P220">
        <v>220</v>
      </c>
      <c r="Q220" t="s">
        <v>209</v>
      </c>
      <c r="Z220" t="s">
        <v>49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hidden="1">
      <c r="A221">
        <v>220</v>
      </c>
      <c r="B221" t="s">
        <v>494</v>
      </c>
      <c r="C221" t="s">
        <v>493</v>
      </c>
      <c r="D221" t="s">
        <v>143</v>
      </c>
      <c r="E221">
        <v>0</v>
      </c>
      <c r="F221" s="3">
        <v>46273</v>
      </c>
      <c r="G221" s="3">
        <v>46280</v>
      </c>
      <c r="H221" t="s">
        <v>74</v>
      </c>
      <c r="I221" t="s">
        <v>140</v>
      </c>
      <c r="J221" t="s">
        <v>83</v>
      </c>
      <c r="L221" s="3">
        <v>46273</v>
      </c>
      <c r="M221" s="3">
        <v>46273</v>
      </c>
      <c r="N221">
        <v>219</v>
      </c>
      <c r="P221">
        <v>221</v>
      </c>
      <c r="Q221" t="s">
        <v>209</v>
      </c>
      <c r="Z221" t="s">
        <v>49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hidden="1">
      <c r="A222">
        <v>221</v>
      </c>
      <c r="B222" t="s">
        <v>495</v>
      </c>
      <c r="C222" t="s">
        <v>493</v>
      </c>
      <c r="D222" t="s">
        <v>146</v>
      </c>
      <c r="E222">
        <v>0</v>
      </c>
      <c r="F222" s="3">
        <v>46280</v>
      </c>
      <c r="G222" s="3">
        <v>46283</v>
      </c>
      <c r="H222" t="s">
        <v>74</v>
      </c>
      <c r="I222" t="s">
        <v>147</v>
      </c>
      <c r="J222" t="s">
        <v>83</v>
      </c>
      <c r="L222" s="3">
        <v>46276</v>
      </c>
      <c r="M222" s="3">
        <v>46276</v>
      </c>
      <c r="N222">
        <v>220</v>
      </c>
      <c r="P222">
        <v>222</v>
      </c>
      <c r="Q222" t="s">
        <v>209</v>
      </c>
      <c r="Z222" t="s">
        <v>49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hidden="1">
      <c r="A223">
        <v>222</v>
      </c>
      <c r="B223" t="s">
        <v>496</v>
      </c>
      <c r="C223" t="s">
        <v>493</v>
      </c>
      <c r="D223" t="s">
        <v>150</v>
      </c>
      <c r="E223">
        <v>0</v>
      </c>
      <c r="F223" s="3">
        <v>46283</v>
      </c>
      <c r="G223" s="3">
        <v>46287</v>
      </c>
      <c r="H223" t="s">
        <v>74</v>
      </c>
      <c r="I223" t="s">
        <v>151</v>
      </c>
      <c r="J223" t="s">
        <v>144</v>
      </c>
      <c r="L223" s="3">
        <v>46280</v>
      </c>
      <c r="M223" s="3">
        <v>46280</v>
      </c>
      <c r="N223">
        <v>221</v>
      </c>
      <c r="Q223" t="s">
        <v>209</v>
      </c>
      <c r="Z223" t="s">
        <v>49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hidden="1">
      <c r="A224">
        <v>223</v>
      </c>
      <c r="B224" t="s">
        <v>497</v>
      </c>
      <c r="C224" t="s">
        <v>206</v>
      </c>
      <c r="D224" t="s">
        <v>498</v>
      </c>
      <c r="E224">
        <v>0</v>
      </c>
      <c r="F224" s="3">
        <v>46259</v>
      </c>
      <c r="G224" s="3">
        <v>46287</v>
      </c>
      <c r="H224" t="s">
        <v>74</v>
      </c>
      <c r="I224" t="s">
        <v>224</v>
      </c>
      <c r="J224" t="s">
        <v>185</v>
      </c>
      <c r="K224" s="3">
        <v>46253</v>
      </c>
      <c r="L224" s="3">
        <v>46280</v>
      </c>
      <c r="M224" s="3">
        <v>46280</v>
      </c>
      <c r="O224" t="s">
        <v>154</v>
      </c>
      <c r="Q224" t="s">
        <v>209</v>
      </c>
      <c r="R224" t="s">
        <v>499</v>
      </c>
      <c r="S224">
        <v>4</v>
      </c>
      <c r="U224" t="s">
        <v>299</v>
      </c>
      <c r="V224" t="s">
        <v>134</v>
      </c>
      <c r="W224" t="s">
        <v>212</v>
      </c>
      <c r="X224" t="s">
        <v>213</v>
      </c>
      <c r="Y224">
        <v>1</v>
      </c>
      <c r="Z224" t="s">
        <v>49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hidden="1">
      <c r="A225">
        <v>224</v>
      </c>
      <c r="B225" t="s">
        <v>500</v>
      </c>
      <c r="C225" t="s">
        <v>501</v>
      </c>
      <c r="D225" t="s">
        <v>139</v>
      </c>
      <c r="E225">
        <v>0</v>
      </c>
      <c r="F225" s="3">
        <v>46259</v>
      </c>
      <c r="G225" s="3">
        <v>46273</v>
      </c>
      <c r="H225" t="s">
        <v>74</v>
      </c>
      <c r="I225" t="s">
        <v>216</v>
      </c>
      <c r="J225" t="s">
        <v>185</v>
      </c>
      <c r="L225" s="3">
        <v>46266</v>
      </c>
      <c r="M225" s="3">
        <v>46266</v>
      </c>
      <c r="N225">
        <v>199</v>
      </c>
      <c r="P225">
        <v>225</v>
      </c>
      <c r="Q225" t="s">
        <v>209</v>
      </c>
      <c r="Z225" t="s">
        <v>49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hidden="1">
      <c r="A226">
        <v>225</v>
      </c>
      <c r="B226" t="s">
        <v>502</v>
      </c>
      <c r="C226" t="s">
        <v>501</v>
      </c>
      <c r="D226" t="s">
        <v>143</v>
      </c>
      <c r="E226">
        <v>0</v>
      </c>
      <c r="F226" s="3">
        <v>46273</v>
      </c>
      <c r="G226" s="3">
        <v>46280</v>
      </c>
      <c r="H226" t="s">
        <v>74</v>
      </c>
      <c r="I226" t="s">
        <v>140</v>
      </c>
      <c r="J226" t="s">
        <v>83</v>
      </c>
      <c r="L226" s="3">
        <v>46273</v>
      </c>
      <c r="M226" s="3">
        <v>46273</v>
      </c>
      <c r="N226">
        <v>224</v>
      </c>
      <c r="P226">
        <v>226</v>
      </c>
      <c r="Q226" t="s">
        <v>209</v>
      </c>
      <c r="Z226" t="s">
        <v>49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hidden="1">
      <c r="A227">
        <v>226</v>
      </c>
      <c r="B227" t="s">
        <v>503</v>
      </c>
      <c r="C227" t="s">
        <v>501</v>
      </c>
      <c r="D227" t="s">
        <v>146</v>
      </c>
      <c r="E227">
        <v>0</v>
      </c>
      <c r="F227" s="3">
        <v>46280</v>
      </c>
      <c r="G227" s="3">
        <v>46283</v>
      </c>
      <c r="H227" t="s">
        <v>74</v>
      </c>
      <c r="I227" t="s">
        <v>147</v>
      </c>
      <c r="J227" t="s">
        <v>83</v>
      </c>
      <c r="L227" s="3">
        <v>46276</v>
      </c>
      <c r="M227" s="3">
        <v>46276</v>
      </c>
      <c r="N227">
        <v>225</v>
      </c>
      <c r="P227">
        <v>227</v>
      </c>
      <c r="Q227" t="s">
        <v>209</v>
      </c>
      <c r="Z227" t="s">
        <v>49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hidden="1">
      <c r="A228">
        <v>227</v>
      </c>
      <c r="B228" t="s">
        <v>504</v>
      </c>
      <c r="C228" t="s">
        <v>501</v>
      </c>
      <c r="D228" t="s">
        <v>150</v>
      </c>
      <c r="E228">
        <v>0</v>
      </c>
      <c r="F228" s="3">
        <v>46283</v>
      </c>
      <c r="G228" s="3">
        <v>46287</v>
      </c>
      <c r="H228" t="s">
        <v>74</v>
      </c>
      <c r="I228" t="s">
        <v>151</v>
      </c>
      <c r="J228" t="s">
        <v>144</v>
      </c>
      <c r="L228" s="3">
        <v>46280</v>
      </c>
      <c r="M228" s="3">
        <v>46280</v>
      </c>
      <c r="N228">
        <v>226</v>
      </c>
      <c r="Q228" t="s">
        <v>209</v>
      </c>
      <c r="Z228" t="s">
        <v>49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 hidden="1">
      <c r="A229">
        <v>228</v>
      </c>
      <c r="B229" t="s">
        <v>505</v>
      </c>
      <c r="C229" t="s">
        <v>206</v>
      </c>
      <c r="D229" t="s">
        <v>506</v>
      </c>
      <c r="E229">
        <v>0</v>
      </c>
      <c r="F229" s="3">
        <v>46259</v>
      </c>
      <c r="G229" s="3">
        <v>46287</v>
      </c>
      <c r="H229" t="s">
        <v>74</v>
      </c>
      <c r="I229" t="s">
        <v>224</v>
      </c>
      <c r="J229" t="s">
        <v>185</v>
      </c>
      <c r="K229" s="3">
        <v>46253</v>
      </c>
      <c r="L229" s="3">
        <v>46280</v>
      </c>
      <c r="M229" s="3">
        <v>46280</v>
      </c>
      <c r="O229" t="s">
        <v>154</v>
      </c>
      <c r="Q229" t="s">
        <v>209</v>
      </c>
      <c r="R229" t="s">
        <v>507</v>
      </c>
      <c r="S229">
        <v>4</v>
      </c>
      <c r="U229" t="s">
        <v>299</v>
      </c>
      <c r="V229" t="s">
        <v>134</v>
      </c>
      <c r="W229" t="s">
        <v>212</v>
      </c>
      <c r="X229" t="s">
        <v>213</v>
      </c>
      <c r="Y229">
        <v>1</v>
      </c>
      <c r="Z229" t="s">
        <v>49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hidden="1">
      <c r="A230">
        <v>229</v>
      </c>
      <c r="B230" t="s">
        <v>508</v>
      </c>
      <c r="C230" t="s">
        <v>509</v>
      </c>
      <c r="D230" t="s">
        <v>139</v>
      </c>
      <c r="E230">
        <v>0</v>
      </c>
      <c r="F230" s="3">
        <v>46259</v>
      </c>
      <c r="G230" s="3">
        <v>46273</v>
      </c>
      <c r="H230" t="s">
        <v>74</v>
      </c>
      <c r="I230" t="s">
        <v>216</v>
      </c>
      <c r="J230" t="s">
        <v>185</v>
      </c>
      <c r="L230" s="3">
        <v>46266</v>
      </c>
      <c r="M230" s="3">
        <v>46266</v>
      </c>
      <c r="N230">
        <v>199</v>
      </c>
      <c r="P230">
        <v>230</v>
      </c>
      <c r="Q230" t="s">
        <v>209</v>
      </c>
      <c r="Z230" t="s">
        <v>49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hidden="1">
      <c r="A231">
        <v>230</v>
      </c>
      <c r="B231" t="s">
        <v>510</v>
      </c>
      <c r="C231" t="s">
        <v>509</v>
      </c>
      <c r="D231" t="s">
        <v>143</v>
      </c>
      <c r="E231">
        <v>0</v>
      </c>
      <c r="F231" s="3">
        <v>46273</v>
      </c>
      <c r="G231" s="3">
        <v>46280</v>
      </c>
      <c r="H231" t="s">
        <v>74</v>
      </c>
      <c r="I231" t="s">
        <v>140</v>
      </c>
      <c r="J231" t="s">
        <v>83</v>
      </c>
      <c r="L231" s="3">
        <v>46273</v>
      </c>
      <c r="M231" s="3">
        <v>46273</v>
      </c>
      <c r="N231">
        <v>229</v>
      </c>
      <c r="P231">
        <v>231</v>
      </c>
      <c r="Q231" t="s">
        <v>209</v>
      </c>
      <c r="Z231" t="s">
        <v>49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hidden="1">
      <c r="A232">
        <v>231</v>
      </c>
      <c r="B232" t="s">
        <v>511</v>
      </c>
      <c r="C232" t="s">
        <v>509</v>
      </c>
      <c r="D232" t="s">
        <v>146</v>
      </c>
      <c r="E232">
        <v>0</v>
      </c>
      <c r="F232" s="3">
        <v>46280</v>
      </c>
      <c r="G232" s="3">
        <v>46283</v>
      </c>
      <c r="H232" t="s">
        <v>74</v>
      </c>
      <c r="I232" t="s">
        <v>147</v>
      </c>
      <c r="J232" t="s">
        <v>83</v>
      </c>
      <c r="L232" s="3">
        <v>46276</v>
      </c>
      <c r="M232" s="3">
        <v>46276</v>
      </c>
      <c r="N232">
        <v>230</v>
      </c>
      <c r="P232">
        <v>232</v>
      </c>
      <c r="Q232" t="s">
        <v>209</v>
      </c>
      <c r="Z232" t="s">
        <v>49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hidden="1">
      <c r="A233">
        <v>232</v>
      </c>
      <c r="B233" t="s">
        <v>512</v>
      </c>
      <c r="C233" t="s">
        <v>509</v>
      </c>
      <c r="D233" t="s">
        <v>150</v>
      </c>
      <c r="E233">
        <v>0</v>
      </c>
      <c r="F233" s="3">
        <v>46283</v>
      </c>
      <c r="G233" s="3">
        <v>46287</v>
      </c>
      <c r="H233" t="s">
        <v>74</v>
      </c>
      <c r="I233" t="s">
        <v>151</v>
      </c>
      <c r="J233" t="s">
        <v>144</v>
      </c>
      <c r="L233" s="3">
        <v>46280</v>
      </c>
      <c r="M233" s="3">
        <v>46280</v>
      </c>
      <c r="N233">
        <v>231</v>
      </c>
      <c r="Q233" t="s">
        <v>209</v>
      </c>
      <c r="Z233" t="s">
        <v>49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hidden="1">
      <c r="A234">
        <v>233</v>
      </c>
      <c r="B234" t="s">
        <v>513</v>
      </c>
      <c r="C234" t="s">
        <v>206</v>
      </c>
      <c r="D234" t="s">
        <v>514</v>
      </c>
      <c r="E234">
        <v>0</v>
      </c>
      <c r="F234" s="3">
        <v>46259</v>
      </c>
      <c r="G234" s="3">
        <v>46287</v>
      </c>
      <c r="H234" t="s">
        <v>74</v>
      </c>
      <c r="I234" t="s">
        <v>224</v>
      </c>
      <c r="J234" t="s">
        <v>185</v>
      </c>
      <c r="K234" s="3">
        <v>46253</v>
      </c>
      <c r="L234" s="3">
        <v>46280</v>
      </c>
      <c r="M234" s="3">
        <v>46280</v>
      </c>
      <c r="O234" t="s">
        <v>154</v>
      </c>
      <c r="Q234" t="s">
        <v>209</v>
      </c>
      <c r="R234" t="s">
        <v>515</v>
      </c>
      <c r="S234">
        <v>3</v>
      </c>
      <c r="U234" t="s">
        <v>299</v>
      </c>
      <c r="V234" t="s">
        <v>134</v>
      </c>
      <c r="W234" t="s">
        <v>212</v>
      </c>
      <c r="X234" t="s">
        <v>213</v>
      </c>
      <c r="Y234">
        <v>1</v>
      </c>
      <c r="Z234" t="s">
        <v>49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hidden="1">
      <c r="A235">
        <v>234</v>
      </c>
      <c r="B235" t="s">
        <v>516</v>
      </c>
      <c r="C235" t="s">
        <v>517</v>
      </c>
      <c r="D235" t="s">
        <v>139</v>
      </c>
      <c r="E235">
        <v>0</v>
      </c>
      <c r="F235" s="3">
        <v>46259</v>
      </c>
      <c r="G235" s="3">
        <v>46273</v>
      </c>
      <c r="H235" t="s">
        <v>74</v>
      </c>
      <c r="I235" t="s">
        <v>216</v>
      </c>
      <c r="J235" t="s">
        <v>185</v>
      </c>
      <c r="L235" s="3">
        <v>46266</v>
      </c>
      <c r="M235" s="3">
        <v>46266</v>
      </c>
      <c r="N235">
        <v>199</v>
      </c>
      <c r="P235">
        <v>235</v>
      </c>
      <c r="Q235" t="s">
        <v>209</v>
      </c>
      <c r="Z235" t="s">
        <v>49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hidden="1">
      <c r="A236">
        <v>235</v>
      </c>
      <c r="B236" t="s">
        <v>518</v>
      </c>
      <c r="C236" t="s">
        <v>517</v>
      </c>
      <c r="D236" t="s">
        <v>143</v>
      </c>
      <c r="E236">
        <v>0</v>
      </c>
      <c r="F236" s="3">
        <v>46273</v>
      </c>
      <c r="G236" s="3">
        <v>46280</v>
      </c>
      <c r="H236" t="s">
        <v>74</v>
      </c>
      <c r="I236" t="s">
        <v>140</v>
      </c>
      <c r="J236" t="s">
        <v>83</v>
      </c>
      <c r="L236" s="3">
        <v>46273</v>
      </c>
      <c r="M236" s="3">
        <v>46273</v>
      </c>
      <c r="N236">
        <v>234</v>
      </c>
      <c r="P236">
        <v>236</v>
      </c>
      <c r="Q236" t="s">
        <v>209</v>
      </c>
      <c r="Z236" t="s">
        <v>49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hidden="1">
      <c r="A237">
        <v>236</v>
      </c>
      <c r="B237" t="s">
        <v>519</v>
      </c>
      <c r="C237" t="s">
        <v>517</v>
      </c>
      <c r="D237" t="s">
        <v>146</v>
      </c>
      <c r="E237">
        <v>0</v>
      </c>
      <c r="F237" s="3">
        <v>46280</v>
      </c>
      <c r="G237" s="3">
        <v>46283</v>
      </c>
      <c r="H237" t="s">
        <v>74</v>
      </c>
      <c r="I237" t="s">
        <v>147</v>
      </c>
      <c r="J237" t="s">
        <v>83</v>
      </c>
      <c r="L237" s="3">
        <v>46276</v>
      </c>
      <c r="M237" s="3">
        <v>46276</v>
      </c>
      <c r="N237">
        <v>235</v>
      </c>
      <c r="P237">
        <v>237</v>
      </c>
      <c r="Q237" t="s">
        <v>209</v>
      </c>
      <c r="Z237" t="s">
        <v>49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hidden="1">
      <c r="A238">
        <v>237</v>
      </c>
      <c r="B238" t="s">
        <v>520</v>
      </c>
      <c r="C238" t="s">
        <v>517</v>
      </c>
      <c r="D238" t="s">
        <v>150</v>
      </c>
      <c r="E238">
        <v>0</v>
      </c>
      <c r="F238" s="3">
        <v>46283</v>
      </c>
      <c r="G238" s="3">
        <v>46287</v>
      </c>
      <c r="H238" t="s">
        <v>74</v>
      </c>
      <c r="I238" t="s">
        <v>151</v>
      </c>
      <c r="J238" t="s">
        <v>144</v>
      </c>
      <c r="L238" s="3">
        <v>46280</v>
      </c>
      <c r="M238" s="3">
        <v>46280</v>
      </c>
      <c r="N238">
        <v>236</v>
      </c>
      <c r="Q238" t="s">
        <v>209</v>
      </c>
      <c r="Z238" t="s">
        <v>49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hidden="1">
      <c r="A239">
        <v>238</v>
      </c>
      <c r="B239" t="s">
        <v>521</v>
      </c>
      <c r="C239" t="s">
        <v>206</v>
      </c>
      <c r="D239" t="s">
        <v>522</v>
      </c>
      <c r="E239">
        <v>0</v>
      </c>
      <c r="F239" s="3">
        <v>46259</v>
      </c>
      <c r="G239" s="3">
        <v>46287</v>
      </c>
      <c r="H239" t="s">
        <v>74</v>
      </c>
      <c r="I239" t="s">
        <v>224</v>
      </c>
      <c r="J239" t="s">
        <v>185</v>
      </c>
      <c r="K239" s="3">
        <v>46253</v>
      </c>
      <c r="L239" s="3">
        <v>46280</v>
      </c>
      <c r="M239" s="3">
        <v>46280</v>
      </c>
      <c r="O239" t="s">
        <v>154</v>
      </c>
      <c r="Q239" t="s">
        <v>209</v>
      </c>
      <c r="R239" t="s">
        <v>523</v>
      </c>
      <c r="S239">
        <v>4</v>
      </c>
      <c r="U239" t="s">
        <v>299</v>
      </c>
      <c r="V239" t="s">
        <v>134</v>
      </c>
      <c r="W239" t="s">
        <v>212</v>
      </c>
      <c r="X239" t="s">
        <v>213</v>
      </c>
      <c r="Y239">
        <v>1</v>
      </c>
      <c r="Z239" t="s">
        <v>49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hidden="1">
      <c r="A240">
        <v>239</v>
      </c>
      <c r="B240" t="s">
        <v>524</v>
      </c>
      <c r="C240" t="s">
        <v>525</v>
      </c>
      <c r="D240" t="s">
        <v>139</v>
      </c>
      <c r="E240">
        <v>0</v>
      </c>
      <c r="F240" s="3">
        <v>46259</v>
      </c>
      <c r="G240" s="3">
        <v>46273</v>
      </c>
      <c r="H240" t="s">
        <v>74</v>
      </c>
      <c r="I240" t="s">
        <v>216</v>
      </c>
      <c r="J240" t="s">
        <v>185</v>
      </c>
      <c r="L240" s="3">
        <v>46266</v>
      </c>
      <c r="M240" s="3">
        <v>46266</v>
      </c>
      <c r="N240">
        <v>199</v>
      </c>
      <c r="P240">
        <v>240</v>
      </c>
      <c r="Q240" t="s">
        <v>209</v>
      </c>
      <c r="Z240" t="s">
        <v>49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hidden="1">
      <c r="A241">
        <v>240</v>
      </c>
      <c r="B241" t="s">
        <v>526</v>
      </c>
      <c r="C241" t="s">
        <v>525</v>
      </c>
      <c r="D241" t="s">
        <v>143</v>
      </c>
      <c r="E241">
        <v>0</v>
      </c>
      <c r="F241" s="3">
        <v>46273</v>
      </c>
      <c r="G241" s="3">
        <v>46280</v>
      </c>
      <c r="H241" t="s">
        <v>74</v>
      </c>
      <c r="I241" t="s">
        <v>140</v>
      </c>
      <c r="J241" t="s">
        <v>83</v>
      </c>
      <c r="L241" s="3">
        <v>46273</v>
      </c>
      <c r="M241" s="3">
        <v>46273</v>
      </c>
      <c r="N241">
        <v>239</v>
      </c>
      <c r="P241">
        <v>241</v>
      </c>
      <c r="Q241" t="s">
        <v>209</v>
      </c>
      <c r="Z241" t="s">
        <v>49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hidden="1">
      <c r="A242">
        <v>241</v>
      </c>
      <c r="B242" t="s">
        <v>527</v>
      </c>
      <c r="C242" t="s">
        <v>525</v>
      </c>
      <c r="D242" t="s">
        <v>146</v>
      </c>
      <c r="E242">
        <v>0</v>
      </c>
      <c r="F242" s="3">
        <v>46280</v>
      </c>
      <c r="G242" s="3">
        <v>46283</v>
      </c>
      <c r="H242" t="s">
        <v>74</v>
      </c>
      <c r="I242" t="s">
        <v>147</v>
      </c>
      <c r="J242" t="s">
        <v>83</v>
      </c>
      <c r="L242" s="3">
        <v>46276</v>
      </c>
      <c r="M242" s="3">
        <v>46276</v>
      </c>
      <c r="N242">
        <v>240</v>
      </c>
      <c r="P242">
        <v>242</v>
      </c>
      <c r="Q242" t="s">
        <v>209</v>
      </c>
      <c r="Z242" t="s">
        <v>49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hidden="1">
      <c r="A243">
        <v>242</v>
      </c>
      <c r="B243" t="s">
        <v>528</v>
      </c>
      <c r="C243" t="s">
        <v>525</v>
      </c>
      <c r="D243" t="s">
        <v>150</v>
      </c>
      <c r="E243">
        <v>0</v>
      </c>
      <c r="F243" s="3">
        <v>46283</v>
      </c>
      <c r="G243" s="3">
        <v>46287</v>
      </c>
      <c r="H243" t="s">
        <v>74</v>
      </c>
      <c r="I243" t="s">
        <v>151</v>
      </c>
      <c r="J243" t="s">
        <v>144</v>
      </c>
      <c r="L243" s="3">
        <v>46280</v>
      </c>
      <c r="M243" s="3">
        <v>46280</v>
      </c>
      <c r="N243">
        <v>241</v>
      </c>
      <c r="Q243" t="s">
        <v>209</v>
      </c>
      <c r="Z243" t="s">
        <v>49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hidden="1">
      <c r="A244">
        <v>243</v>
      </c>
      <c r="B244" t="s">
        <v>529</v>
      </c>
      <c r="C244" t="s">
        <v>206</v>
      </c>
      <c r="D244" t="s">
        <v>530</v>
      </c>
      <c r="E244">
        <v>0</v>
      </c>
      <c r="F244" s="3">
        <v>46259</v>
      </c>
      <c r="G244" s="3">
        <v>46287</v>
      </c>
      <c r="H244" t="s">
        <v>74</v>
      </c>
      <c r="I244" t="s">
        <v>224</v>
      </c>
      <c r="J244" t="s">
        <v>185</v>
      </c>
      <c r="K244" s="3">
        <v>46253</v>
      </c>
      <c r="L244" s="3">
        <v>46280</v>
      </c>
      <c r="M244" s="3">
        <v>46280</v>
      </c>
      <c r="O244" t="s">
        <v>154</v>
      </c>
      <c r="Q244" t="s">
        <v>209</v>
      </c>
      <c r="R244" t="s">
        <v>531</v>
      </c>
      <c r="S244">
        <v>4</v>
      </c>
      <c r="U244" t="s">
        <v>299</v>
      </c>
      <c r="V244" t="s">
        <v>134</v>
      </c>
      <c r="W244" t="s">
        <v>212</v>
      </c>
      <c r="X244" t="s">
        <v>213</v>
      </c>
      <c r="Y244">
        <v>1</v>
      </c>
      <c r="Z244" t="s">
        <v>49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hidden="1">
      <c r="A245">
        <v>244</v>
      </c>
      <c r="B245" t="s">
        <v>532</v>
      </c>
      <c r="C245" t="s">
        <v>533</v>
      </c>
      <c r="D245" t="s">
        <v>139</v>
      </c>
      <c r="E245">
        <v>0</v>
      </c>
      <c r="F245" s="3">
        <v>46259</v>
      </c>
      <c r="G245" s="3">
        <v>46273</v>
      </c>
      <c r="H245" t="s">
        <v>74</v>
      </c>
      <c r="I245" t="s">
        <v>216</v>
      </c>
      <c r="J245" t="s">
        <v>185</v>
      </c>
      <c r="L245" s="3">
        <v>46266</v>
      </c>
      <c r="M245" s="3">
        <v>46266</v>
      </c>
      <c r="N245">
        <v>199</v>
      </c>
      <c r="P245">
        <v>245</v>
      </c>
      <c r="Q245" t="s">
        <v>209</v>
      </c>
      <c r="Z245" t="s">
        <v>49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hidden="1">
      <c r="A246">
        <v>245</v>
      </c>
      <c r="B246" t="s">
        <v>534</v>
      </c>
      <c r="C246" t="s">
        <v>533</v>
      </c>
      <c r="D246" t="s">
        <v>143</v>
      </c>
      <c r="E246">
        <v>0</v>
      </c>
      <c r="F246" s="3">
        <v>46273</v>
      </c>
      <c r="G246" s="3">
        <v>46280</v>
      </c>
      <c r="H246" t="s">
        <v>74</v>
      </c>
      <c r="I246" t="s">
        <v>140</v>
      </c>
      <c r="J246" t="s">
        <v>83</v>
      </c>
      <c r="L246" s="3">
        <v>46273</v>
      </c>
      <c r="M246" s="3">
        <v>46273</v>
      </c>
      <c r="N246">
        <v>244</v>
      </c>
      <c r="P246">
        <v>246</v>
      </c>
      <c r="Q246" t="s">
        <v>209</v>
      </c>
      <c r="Z246" t="s">
        <v>49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hidden="1">
      <c r="A247">
        <v>246</v>
      </c>
      <c r="B247" t="s">
        <v>535</v>
      </c>
      <c r="C247" t="s">
        <v>533</v>
      </c>
      <c r="D247" t="s">
        <v>146</v>
      </c>
      <c r="E247">
        <v>0</v>
      </c>
      <c r="F247" s="3">
        <v>46280</v>
      </c>
      <c r="G247" s="3">
        <v>46283</v>
      </c>
      <c r="H247" t="s">
        <v>74</v>
      </c>
      <c r="I247" t="s">
        <v>147</v>
      </c>
      <c r="J247" t="s">
        <v>83</v>
      </c>
      <c r="L247" s="3">
        <v>46276</v>
      </c>
      <c r="M247" s="3">
        <v>46276</v>
      </c>
      <c r="N247">
        <v>245</v>
      </c>
      <c r="P247">
        <v>247</v>
      </c>
      <c r="Q247" t="s">
        <v>209</v>
      </c>
      <c r="Z247" t="s">
        <v>49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hidden="1">
      <c r="A248">
        <v>247</v>
      </c>
      <c r="B248" t="s">
        <v>536</v>
      </c>
      <c r="C248" t="s">
        <v>533</v>
      </c>
      <c r="D248" t="s">
        <v>150</v>
      </c>
      <c r="E248">
        <v>0</v>
      </c>
      <c r="F248" s="3">
        <v>46283</v>
      </c>
      <c r="G248" s="3">
        <v>46287</v>
      </c>
      <c r="H248" t="s">
        <v>74</v>
      </c>
      <c r="I248" t="s">
        <v>151</v>
      </c>
      <c r="J248" t="s">
        <v>144</v>
      </c>
      <c r="L248" s="3">
        <v>46280</v>
      </c>
      <c r="M248" s="3">
        <v>46280</v>
      </c>
      <c r="N248">
        <v>246</v>
      </c>
      <c r="Q248" t="s">
        <v>209</v>
      </c>
      <c r="Z248" t="s">
        <v>49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hidden="1">
      <c r="A249">
        <v>248</v>
      </c>
      <c r="B249" t="s">
        <v>537</v>
      </c>
      <c r="C249" t="s">
        <v>206</v>
      </c>
      <c r="D249" t="s">
        <v>538</v>
      </c>
      <c r="E249">
        <v>0</v>
      </c>
      <c r="F249" s="3">
        <v>46259</v>
      </c>
      <c r="G249" s="3">
        <v>46287</v>
      </c>
      <c r="H249" t="s">
        <v>74</v>
      </c>
      <c r="I249" t="s">
        <v>224</v>
      </c>
      <c r="J249" t="s">
        <v>185</v>
      </c>
      <c r="K249" s="3">
        <v>46253</v>
      </c>
      <c r="L249" s="3">
        <v>46280</v>
      </c>
      <c r="M249" s="3">
        <v>46280</v>
      </c>
      <c r="O249" t="s">
        <v>154</v>
      </c>
      <c r="Q249" t="s">
        <v>209</v>
      </c>
      <c r="R249" t="s">
        <v>539</v>
      </c>
      <c r="S249">
        <v>4</v>
      </c>
      <c r="U249" t="s">
        <v>299</v>
      </c>
      <c r="V249" t="s">
        <v>134</v>
      </c>
      <c r="W249" t="s">
        <v>212</v>
      </c>
      <c r="X249" t="s">
        <v>213</v>
      </c>
      <c r="Y249">
        <v>1</v>
      </c>
      <c r="Z249" t="s">
        <v>49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hidden="1">
      <c r="A250">
        <v>249</v>
      </c>
      <c r="B250" t="s">
        <v>540</v>
      </c>
      <c r="C250" t="s">
        <v>541</v>
      </c>
      <c r="D250" t="s">
        <v>139</v>
      </c>
      <c r="E250">
        <v>0</v>
      </c>
      <c r="F250" s="3">
        <v>46259</v>
      </c>
      <c r="G250" s="3">
        <v>46273</v>
      </c>
      <c r="H250" t="s">
        <v>74</v>
      </c>
      <c r="I250" t="s">
        <v>216</v>
      </c>
      <c r="J250" t="s">
        <v>185</v>
      </c>
      <c r="L250" s="3">
        <v>46266</v>
      </c>
      <c r="M250" s="3">
        <v>46266</v>
      </c>
      <c r="N250">
        <v>199</v>
      </c>
      <c r="P250">
        <v>250</v>
      </c>
      <c r="Q250" t="s">
        <v>209</v>
      </c>
      <c r="Z250" t="s">
        <v>49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hidden="1">
      <c r="A251">
        <v>250</v>
      </c>
      <c r="B251" t="s">
        <v>542</v>
      </c>
      <c r="C251" t="s">
        <v>541</v>
      </c>
      <c r="D251" t="s">
        <v>143</v>
      </c>
      <c r="E251">
        <v>0</v>
      </c>
      <c r="F251" s="3">
        <v>46273</v>
      </c>
      <c r="G251" s="3">
        <v>46280</v>
      </c>
      <c r="H251" t="s">
        <v>74</v>
      </c>
      <c r="I251" t="s">
        <v>140</v>
      </c>
      <c r="J251" t="s">
        <v>83</v>
      </c>
      <c r="L251" s="3">
        <v>46273</v>
      </c>
      <c r="M251" s="3">
        <v>46273</v>
      </c>
      <c r="N251">
        <v>249</v>
      </c>
      <c r="P251">
        <v>251</v>
      </c>
      <c r="Q251" t="s">
        <v>209</v>
      </c>
      <c r="Z251" t="s">
        <v>49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hidden="1">
      <c r="A252">
        <v>251</v>
      </c>
      <c r="B252" t="s">
        <v>543</v>
      </c>
      <c r="C252" t="s">
        <v>541</v>
      </c>
      <c r="D252" t="s">
        <v>146</v>
      </c>
      <c r="E252">
        <v>0</v>
      </c>
      <c r="F252" s="3">
        <v>46280</v>
      </c>
      <c r="G252" s="3">
        <v>46283</v>
      </c>
      <c r="H252" t="s">
        <v>74</v>
      </c>
      <c r="I252" t="s">
        <v>147</v>
      </c>
      <c r="J252" t="s">
        <v>83</v>
      </c>
      <c r="L252" s="3">
        <v>46276</v>
      </c>
      <c r="M252" s="3">
        <v>46276</v>
      </c>
      <c r="N252">
        <v>250</v>
      </c>
      <c r="P252">
        <v>252</v>
      </c>
      <c r="Q252" t="s">
        <v>209</v>
      </c>
      <c r="Z252" t="s">
        <v>49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hidden="1">
      <c r="A253">
        <v>252</v>
      </c>
      <c r="B253" t="s">
        <v>544</v>
      </c>
      <c r="C253" t="s">
        <v>541</v>
      </c>
      <c r="D253" t="s">
        <v>150</v>
      </c>
      <c r="E253">
        <v>0</v>
      </c>
      <c r="F253" s="3">
        <v>46283</v>
      </c>
      <c r="G253" s="3">
        <v>46287</v>
      </c>
      <c r="H253" t="s">
        <v>74</v>
      </c>
      <c r="I253" t="s">
        <v>151</v>
      </c>
      <c r="J253" t="s">
        <v>144</v>
      </c>
      <c r="L253" s="3">
        <v>46280</v>
      </c>
      <c r="M253" s="3">
        <v>46280</v>
      </c>
      <c r="N253">
        <v>251</v>
      </c>
      <c r="Q253" t="s">
        <v>209</v>
      </c>
      <c r="Z253" t="s">
        <v>49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hidden="1">
      <c r="A254">
        <v>253</v>
      </c>
      <c r="B254" t="s">
        <v>545</v>
      </c>
      <c r="C254" t="s">
        <v>206</v>
      </c>
      <c r="D254" t="s">
        <v>546</v>
      </c>
      <c r="E254">
        <v>0</v>
      </c>
      <c r="F254" s="3">
        <v>46259</v>
      </c>
      <c r="G254" s="3">
        <v>46287</v>
      </c>
      <c r="H254" t="s">
        <v>74</v>
      </c>
      <c r="I254" t="s">
        <v>224</v>
      </c>
      <c r="J254" t="s">
        <v>185</v>
      </c>
      <c r="K254" s="3">
        <v>46253</v>
      </c>
      <c r="L254" s="3">
        <v>46280</v>
      </c>
      <c r="M254" s="3">
        <v>46280</v>
      </c>
      <c r="O254" t="s">
        <v>154</v>
      </c>
      <c r="Q254" t="s">
        <v>209</v>
      </c>
      <c r="R254" t="s">
        <v>547</v>
      </c>
      <c r="S254">
        <v>4</v>
      </c>
      <c r="U254" t="s">
        <v>299</v>
      </c>
      <c r="V254" t="s">
        <v>134</v>
      </c>
      <c r="W254" t="s">
        <v>212</v>
      </c>
      <c r="X254" t="s">
        <v>213</v>
      </c>
      <c r="Y254">
        <v>1</v>
      </c>
      <c r="Z254" t="s">
        <v>49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hidden="1">
      <c r="A255">
        <v>254</v>
      </c>
      <c r="B255" t="s">
        <v>548</v>
      </c>
      <c r="C255" t="s">
        <v>549</v>
      </c>
      <c r="D255" t="s">
        <v>139</v>
      </c>
      <c r="E255">
        <v>0</v>
      </c>
      <c r="F255" s="3">
        <v>46259</v>
      </c>
      <c r="G255" s="3">
        <v>46273</v>
      </c>
      <c r="H255" t="s">
        <v>74</v>
      </c>
      <c r="I255" t="s">
        <v>216</v>
      </c>
      <c r="J255" t="s">
        <v>185</v>
      </c>
      <c r="L255" s="3">
        <v>46266</v>
      </c>
      <c r="M255" s="3">
        <v>46266</v>
      </c>
      <c r="N255">
        <v>199</v>
      </c>
      <c r="P255">
        <v>255</v>
      </c>
      <c r="Q255" t="s">
        <v>209</v>
      </c>
      <c r="Z255" t="s">
        <v>49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hidden="1">
      <c r="A256">
        <v>255</v>
      </c>
      <c r="B256" t="s">
        <v>550</v>
      </c>
      <c r="C256" t="s">
        <v>549</v>
      </c>
      <c r="D256" t="s">
        <v>143</v>
      </c>
      <c r="E256">
        <v>0</v>
      </c>
      <c r="F256" s="3">
        <v>46273</v>
      </c>
      <c r="G256" s="3">
        <v>46280</v>
      </c>
      <c r="H256" t="s">
        <v>74</v>
      </c>
      <c r="I256" t="s">
        <v>140</v>
      </c>
      <c r="J256" t="s">
        <v>83</v>
      </c>
      <c r="L256" s="3">
        <v>46273</v>
      </c>
      <c r="M256" s="3">
        <v>46273</v>
      </c>
      <c r="N256">
        <v>254</v>
      </c>
      <c r="P256">
        <v>256</v>
      </c>
      <c r="Q256" t="s">
        <v>209</v>
      </c>
      <c r="Z256" t="s">
        <v>49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hidden="1">
      <c r="A257">
        <v>256</v>
      </c>
      <c r="B257" t="s">
        <v>551</v>
      </c>
      <c r="C257" t="s">
        <v>549</v>
      </c>
      <c r="D257" t="s">
        <v>146</v>
      </c>
      <c r="E257">
        <v>0</v>
      </c>
      <c r="F257" s="3">
        <v>46280</v>
      </c>
      <c r="G257" s="3">
        <v>46283</v>
      </c>
      <c r="H257" t="s">
        <v>74</v>
      </c>
      <c r="I257" t="s">
        <v>147</v>
      </c>
      <c r="J257" t="s">
        <v>83</v>
      </c>
      <c r="L257" s="3">
        <v>46276</v>
      </c>
      <c r="M257" s="3">
        <v>46276</v>
      </c>
      <c r="N257">
        <v>255</v>
      </c>
      <c r="P257">
        <v>257</v>
      </c>
      <c r="Q257" t="s">
        <v>209</v>
      </c>
      <c r="Z257" t="s">
        <v>49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hidden="1">
      <c r="A258">
        <v>257</v>
      </c>
      <c r="B258" t="s">
        <v>552</v>
      </c>
      <c r="C258" t="s">
        <v>549</v>
      </c>
      <c r="D258" t="s">
        <v>150</v>
      </c>
      <c r="E258">
        <v>0</v>
      </c>
      <c r="F258" s="3">
        <v>46283</v>
      </c>
      <c r="G258" s="3">
        <v>46287</v>
      </c>
      <c r="H258" t="s">
        <v>74</v>
      </c>
      <c r="I258" t="s">
        <v>151</v>
      </c>
      <c r="J258" t="s">
        <v>144</v>
      </c>
      <c r="L258" s="3">
        <v>46280</v>
      </c>
      <c r="M258" s="3">
        <v>46280</v>
      </c>
      <c r="N258">
        <v>256</v>
      </c>
      <c r="Q258" t="s">
        <v>209</v>
      </c>
      <c r="Z258" t="s">
        <v>49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hidden="1">
      <c r="A259">
        <v>258</v>
      </c>
      <c r="B259" t="s">
        <v>553</v>
      </c>
      <c r="C259" t="s">
        <v>206</v>
      </c>
      <c r="D259" t="s">
        <v>554</v>
      </c>
      <c r="E259">
        <v>0</v>
      </c>
      <c r="F259" s="3">
        <v>46233</v>
      </c>
      <c r="G259" s="3">
        <v>46261</v>
      </c>
      <c r="H259" t="s">
        <v>74</v>
      </c>
      <c r="I259" t="s">
        <v>224</v>
      </c>
      <c r="J259" t="s">
        <v>181</v>
      </c>
      <c r="K259" s="3">
        <v>46226</v>
      </c>
      <c r="L259" s="3">
        <v>46254</v>
      </c>
      <c r="M259" s="3">
        <v>46254</v>
      </c>
      <c r="N259">
        <v>21</v>
      </c>
      <c r="O259" t="s">
        <v>555</v>
      </c>
      <c r="Q259" t="s">
        <v>209</v>
      </c>
      <c r="R259" t="s">
        <v>556</v>
      </c>
      <c r="S259">
        <v>1</v>
      </c>
      <c r="U259" t="s">
        <v>211</v>
      </c>
      <c r="V259" t="s">
        <v>134</v>
      </c>
      <c r="W259" t="s">
        <v>135</v>
      </c>
      <c r="X259" t="s">
        <v>213</v>
      </c>
      <c r="Y259">
        <v>1</v>
      </c>
      <c r="Z259" t="s">
        <v>49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hidden="1">
      <c r="A260">
        <v>259</v>
      </c>
      <c r="B260" t="s">
        <v>557</v>
      </c>
      <c r="C260" t="s">
        <v>558</v>
      </c>
      <c r="D260" t="s">
        <v>139</v>
      </c>
      <c r="E260">
        <v>0</v>
      </c>
      <c r="F260" s="3">
        <v>46233</v>
      </c>
      <c r="G260" s="3">
        <v>46247</v>
      </c>
      <c r="H260" t="s">
        <v>74</v>
      </c>
      <c r="I260" t="s">
        <v>216</v>
      </c>
      <c r="J260" t="s">
        <v>181</v>
      </c>
      <c r="L260" s="3">
        <v>46240</v>
      </c>
      <c r="M260" s="3">
        <v>46240</v>
      </c>
      <c r="N260">
        <v>919</v>
      </c>
      <c r="P260" t="s">
        <v>559</v>
      </c>
      <c r="Q260" t="s">
        <v>209</v>
      </c>
      <c r="Z260" t="s">
        <v>49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hidden="1">
      <c r="A261">
        <v>260</v>
      </c>
      <c r="B261" t="s">
        <v>560</v>
      </c>
      <c r="C261" t="s">
        <v>558</v>
      </c>
      <c r="D261" t="s">
        <v>143</v>
      </c>
      <c r="E261">
        <v>0</v>
      </c>
      <c r="F261" s="3">
        <v>46247</v>
      </c>
      <c r="G261" s="3">
        <v>46254</v>
      </c>
      <c r="H261" t="s">
        <v>74</v>
      </c>
      <c r="I261" t="s">
        <v>140</v>
      </c>
      <c r="J261" t="s">
        <v>353</v>
      </c>
      <c r="L261" s="3">
        <v>46247</v>
      </c>
      <c r="M261" s="3">
        <v>46247</v>
      </c>
      <c r="N261">
        <v>259</v>
      </c>
      <c r="P261">
        <v>261</v>
      </c>
      <c r="Q261" t="s">
        <v>209</v>
      </c>
      <c r="Z261" t="s">
        <v>49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hidden="1">
      <c r="A262">
        <v>261</v>
      </c>
      <c r="B262" t="s">
        <v>561</v>
      </c>
      <c r="C262" t="s">
        <v>558</v>
      </c>
      <c r="D262" t="s">
        <v>146</v>
      </c>
      <c r="E262">
        <v>0</v>
      </c>
      <c r="F262" s="3">
        <v>46254</v>
      </c>
      <c r="G262" s="3">
        <v>46259</v>
      </c>
      <c r="H262" t="s">
        <v>74</v>
      </c>
      <c r="I262" t="s">
        <v>147</v>
      </c>
      <c r="J262" t="s">
        <v>185</v>
      </c>
      <c r="L262" s="3">
        <v>46252</v>
      </c>
      <c r="M262" s="3">
        <v>46252</v>
      </c>
      <c r="N262">
        <v>260</v>
      </c>
      <c r="P262">
        <v>262</v>
      </c>
      <c r="Q262" t="s">
        <v>209</v>
      </c>
      <c r="Z262" t="s">
        <v>49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hidden="1">
      <c r="A263">
        <v>262</v>
      </c>
      <c r="B263" t="s">
        <v>562</v>
      </c>
      <c r="C263" t="s">
        <v>558</v>
      </c>
      <c r="D263" t="s">
        <v>150</v>
      </c>
      <c r="E263">
        <v>0</v>
      </c>
      <c r="F263" s="3">
        <v>46259</v>
      </c>
      <c r="G263" s="3">
        <v>46261</v>
      </c>
      <c r="H263" t="s">
        <v>74</v>
      </c>
      <c r="I263" t="s">
        <v>151</v>
      </c>
      <c r="J263" t="s">
        <v>185</v>
      </c>
      <c r="L263" s="3">
        <v>46254</v>
      </c>
      <c r="M263" s="3">
        <v>46254</v>
      </c>
      <c r="N263">
        <v>261</v>
      </c>
      <c r="Q263" t="s">
        <v>209</v>
      </c>
      <c r="Z263" t="s">
        <v>49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hidden="1">
      <c r="A264">
        <v>263</v>
      </c>
      <c r="B264" t="s">
        <v>563</v>
      </c>
      <c r="C264" t="s">
        <v>206</v>
      </c>
      <c r="D264" t="s">
        <v>564</v>
      </c>
      <c r="E264">
        <v>0</v>
      </c>
      <c r="F264" s="3">
        <v>46219</v>
      </c>
      <c r="G264" s="3">
        <v>46247</v>
      </c>
      <c r="H264" t="s">
        <v>74</v>
      </c>
      <c r="I264" t="s">
        <v>224</v>
      </c>
      <c r="J264" t="s">
        <v>219</v>
      </c>
      <c r="K264" s="3">
        <v>46212</v>
      </c>
      <c r="L264" s="3">
        <v>46240</v>
      </c>
      <c r="M264" s="3">
        <v>46240</v>
      </c>
      <c r="O264" t="s">
        <v>130</v>
      </c>
      <c r="Q264" t="s">
        <v>209</v>
      </c>
      <c r="R264" t="s">
        <v>565</v>
      </c>
      <c r="S264">
        <v>2</v>
      </c>
      <c r="U264" t="s">
        <v>211</v>
      </c>
      <c r="V264" t="s">
        <v>134</v>
      </c>
      <c r="W264" t="s">
        <v>135</v>
      </c>
      <c r="X264" t="s">
        <v>213</v>
      </c>
      <c r="Y264">
        <v>1</v>
      </c>
      <c r="Z264" t="s">
        <v>49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hidden="1">
      <c r="A265">
        <v>264</v>
      </c>
      <c r="B265" t="s">
        <v>566</v>
      </c>
      <c r="C265" t="s">
        <v>567</v>
      </c>
      <c r="D265" t="s">
        <v>139</v>
      </c>
      <c r="E265">
        <v>0</v>
      </c>
      <c r="F265" s="3">
        <v>46219</v>
      </c>
      <c r="G265" s="3">
        <v>46233</v>
      </c>
      <c r="H265" t="s">
        <v>74</v>
      </c>
      <c r="I265" t="s">
        <v>216</v>
      </c>
      <c r="J265" t="s">
        <v>219</v>
      </c>
      <c r="L265" s="3">
        <v>46226</v>
      </c>
      <c r="M265" s="3">
        <v>46226</v>
      </c>
      <c r="N265" t="s">
        <v>568</v>
      </c>
      <c r="P265">
        <v>265</v>
      </c>
      <c r="Q265" t="s">
        <v>209</v>
      </c>
      <c r="Z265" t="s">
        <v>49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hidden="1">
      <c r="A266">
        <v>265</v>
      </c>
      <c r="B266" t="s">
        <v>569</v>
      </c>
      <c r="C266" t="s">
        <v>567</v>
      </c>
      <c r="D266" t="s">
        <v>143</v>
      </c>
      <c r="E266">
        <v>0</v>
      </c>
      <c r="F266" s="3">
        <v>46233</v>
      </c>
      <c r="G266" s="3">
        <v>46240</v>
      </c>
      <c r="H266" t="s">
        <v>74</v>
      </c>
      <c r="I266" t="s">
        <v>140</v>
      </c>
      <c r="J266" t="s">
        <v>181</v>
      </c>
      <c r="L266" s="3">
        <v>46233</v>
      </c>
      <c r="M266" s="3">
        <v>46233</v>
      </c>
      <c r="N266">
        <v>264</v>
      </c>
      <c r="P266">
        <v>266</v>
      </c>
      <c r="Q266" t="s">
        <v>209</v>
      </c>
      <c r="Z266" t="s">
        <v>49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hidden="1">
      <c r="A267">
        <v>266</v>
      </c>
      <c r="B267" t="s">
        <v>570</v>
      </c>
      <c r="C267" t="s">
        <v>567</v>
      </c>
      <c r="D267" t="s">
        <v>146</v>
      </c>
      <c r="E267">
        <v>0</v>
      </c>
      <c r="F267" s="3">
        <v>46240</v>
      </c>
      <c r="G267" s="3">
        <v>46245</v>
      </c>
      <c r="H267" t="s">
        <v>74</v>
      </c>
      <c r="I267" t="s">
        <v>147</v>
      </c>
      <c r="J267" t="s">
        <v>79</v>
      </c>
      <c r="L267" s="3">
        <v>46238</v>
      </c>
      <c r="M267" s="3">
        <v>46238</v>
      </c>
      <c r="N267">
        <v>265</v>
      </c>
      <c r="P267">
        <v>267</v>
      </c>
      <c r="Q267" t="s">
        <v>209</v>
      </c>
      <c r="Z267" t="s">
        <v>49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 hidden="1">
      <c r="A268">
        <v>267</v>
      </c>
      <c r="B268" t="s">
        <v>571</v>
      </c>
      <c r="C268" t="s">
        <v>567</v>
      </c>
      <c r="D268" t="s">
        <v>150</v>
      </c>
      <c r="E268">
        <v>0</v>
      </c>
      <c r="F268" s="3">
        <v>46245</v>
      </c>
      <c r="G268" s="3">
        <v>46247</v>
      </c>
      <c r="H268" t="s">
        <v>74</v>
      </c>
      <c r="I268" t="s">
        <v>151</v>
      </c>
      <c r="J268" t="s">
        <v>79</v>
      </c>
      <c r="L268" s="3">
        <v>46240</v>
      </c>
      <c r="M268" s="3">
        <v>46240</v>
      </c>
      <c r="N268">
        <v>266</v>
      </c>
      <c r="Q268" t="s">
        <v>209</v>
      </c>
      <c r="Z268" t="s">
        <v>49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hidden="1">
      <c r="A269">
        <v>268</v>
      </c>
      <c r="B269" t="s">
        <v>572</v>
      </c>
      <c r="C269" t="s">
        <v>206</v>
      </c>
      <c r="D269" t="s">
        <v>573</v>
      </c>
      <c r="E269">
        <v>0</v>
      </c>
      <c r="F269" s="3">
        <v>46219</v>
      </c>
      <c r="G269" s="3">
        <v>46247</v>
      </c>
      <c r="H269" t="s">
        <v>74</v>
      </c>
      <c r="I269" t="s">
        <v>224</v>
      </c>
      <c r="J269" t="s">
        <v>219</v>
      </c>
      <c r="K269" s="3">
        <v>46212</v>
      </c>
      <c r="L269" s="3">
        <v>46240</v>
      </c>
      <c r="M269" s="3">
        <v>46240</v>
      </c>
      <c r="O269" t="s">
        <v>130</v>
      </c>
      <c r="Q269" t="s">
        <v>209</v>
      </c>
      <c r="R269" t="s">
        <v>574</v>
      </c>
      <c r="S269">
        <v>2</v>
      </c>
      <c r="U269" t="s">
        <v>211</v>
      </c>
      <c r="V269" t="s">
        <v>134</v>
      </c>
      <c r="W269" t="s">
        <v>135</v>
      </c>
      <c r="X269" t="s">
        <v>213</v>
      </c>
      <c r="Y269">
        <v>1</v>
      </c>
      <c r="Z269" t="s">
        <v>49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hidden="1">
      <c r="A270">
        <v>269</v>
      </c>
      <c r="B270" t="s">
        <v>575</v>
      </c>
      <c r="C270" t="s">
        <v>576</v>
      </c>
      <c r="D270" t="s">
        <v>139</v>
      </c>
      <c r="E270">
        <v>0</v>
      </c>
      <c r="F270" s="3">
        <v>46219</v>
      </c>
      <c r="G270" s="3">
        <v>46233</v>
      </c>
      <c r="H270" t="s">
        <v>74</v>
      </c>
      <c r="I270" t="s">
        <v>216</v>
      </c>
      <c r="J270" t="s">
        <v>219</v>
      </c>
      <c r="L270" s="3">
        <v>46226</v>
      </c>
      <c r="M270" s="3">
        <v>46226</v>
      </c>
      <c r="N270" t="s">
        <v>568</v>
      </c>
      <c r="P270">
        <v>270</v>
      </c>
      <c r="Q270" t="s">
        <v>209</v>
      </c>
      <c r="Z270" t="s">
        <v>49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 hidden="1">
      <c r="A271">
        <v>270</v>
      </c>
      <c r="B271" t="s">
        <v>577</v>
      </c>
      <c r="C271" t="s">
        <v>576</v>
      </c>
      <c r="D271" t="s">
        <v>143</v>
      </c>
      <c r="E271">
        <v>0</v>
      </c>
      <c r="F271" s="3">
        <v>46233</v>
      </c>
      <c r="G271" s="3">
        <v>46240</v>
      </c>
      <c r="H271" t="s">
        <v>74</v>
      </c>
      <c r="I271" t="s">
        <v>140</v>
      </c>
      <c r="J271" t="s">
        <v>181</v>
      </c>
      <c r="L271" s="3">
        <v>46233</v>
      </c>
      <c r="M271" s="3">
        <v>46233</v>
      </c>
      <c r="N271">
        <v>269</v>
      </c>
      <c r="P271">
        <v>271</v>
      </c>
      <c r="Q271" t="s">
        <v>209</v>
      </c>
      <c r="Z271" t="s">
        <v>49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hidden="1">
      <c r="A272">
        <v>271</v>
      </c>
      <c r="B272" t="s">
        <v>578</v>
      </c>
      <c r="C272" t="s">
        <v>576</v>
      </c>
      <c r="D272" t="s">
        <v>146</v>
      </c>
      <c r="E272">
        <v>0</v>
      </c>
      <c r="F272" s="3">
        <v>46240</v>
      </c>
      <c r="G272" s="3">
        <v>46245</v>
      </c>
      <c r="H272" t="s">
        <v>74</v>
      </c>
      <c r="I272" t="s">
        <v>147</v>
      </c>
      <c r="J272" t="s">
        <v>79</v>
      </c>
      <c r="L272" s="3">
        <v>46238</v>
      </c>
      <c r="M272" s="3">
        <v>46238</v>
      </c>
      <c r="N272">
        <v>270</v>
      </c>
      <c r="P272">
        <v>272</v>
      </c>
      <c r="Q272" t="s">
        <v>209</v>
      </c>
      <c r="Z272" t="s">
        <v>49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hidden="1">
      <c r="A273">
        <v>272</v>
      </c>
      <c r="B273" t="s">
        <v>579</v>
      </c>
      <c r="C273" t="s">
        <v>576</v>
      </c>
      <c r="D273" t="s">
        <v>150</v>
      </c>
      <c r="E273">
        <v>0</v>
      </c>
      <c r="F273" s="3">
        <v>46245</v>
      </c>
      <c r="G273" s="3">
        <v>46247</v>
      </c>
      <c r="H273" t="s">
        <v>74</v>
      </c>
      <c r="I273" t="s">
        <v>151</v>
      </c>
      <c r="J273" t="s">
        <v>79</v>
      </c>
      <c r="L273" s="3">
        <v>46240</v>
      </c>
      <c r="M273" s="3">
        <v>46240</v>
      </c>
      <c r="N273">
        <v>271</v>
      </c>
      <c r="Q273" t="s">
        <v>209</v>
      </c>
      <c r="Z273" t="s">
        <v>49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hidden="1">
      <c r="A274">
        <v>273</v>
      </c>
      <c r="B274" t="s">
        <v>580</v>
      </c>
      <c r="C274" t="s">
        <v>206</v>
      </c>
      <c r="D274" t="s">
        <v>581</v>
      </c>
      <c r="E274">
        <v>0</v>
      </c>
      <c r="F274" s="3">
        <v>46219</v>
      </c>
      <c r="G274" s="3">
        <v>46247</v>
      </c>
      <c r="H274" t="s">
        <v>74</v>
      </c>
      <c r="I274" t="s">
        <v>224</v>
      </c>
      <c r="J274" t="s">
        <v>219</v>
      </c>
      <c r="K274" s="3">
        <v>46212</v>
      </c>
      <c r="L274" s="3">
        <v>46240</v>
      </c>
      <c r="M274" s="3">
        <v>46240</v>
      </c>
      <c r="O274" t="s">
        <v>130</v>
      </c>
      <c r="Q274" t="s">
        <v>209</v>
      </c>
      <c r="R274" t="s">
        <v>582</v>
      </c>
      <c r="S274">
        <v>2</v>
      </c>
      <c r="U274" t="s">
        <v>211</v>
      </c>
      <c r="V274" t="s">
        <v>134</v>
      </c>
      <c r="W274" t="s">
        <v>135</v>
      </c>
      <c r="X274" t="s">
        <v>213</v>
      </c>
      <c r="Y274">
        <v>1</v>
      </c>
      <c r="Z274" t="s">
        <v>49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 hidden="1">
      <c r="A275">
        <v>274</v>
      </c>
      <c r="B275" t="s">
        <v>583</v>
      </c>
      <c r="C275" t="s">
        <v>584</v>
      </c>
      <c r="D275" t="s">
        <v>139</v>
      </c>
      <c r="E275">
        <v>0</v>
      </c>
      <c r="F275" s="3">
        <v>46219</v>
      </c>
      <c r="G275" s="3">
        <v>46233</v>
      </c>
      <c r="H275" t="s">
        <v>74</v>
      </c>
      <c r="I275" t="s">
        <v>216</v>
      </c>
      <c r="J275" t="s">
        <v>219</v>
      </c>
      <c r="L275" s="3">
        <v>46226</v>
      </c>
      <c r="M275" s="3">
        <v>46226</v>
      </c>
      <c r="N275" t="s">
        <v>568</v>
      </c>
      <c r="P275">
        <v>275</v>
      </c>
      <c r="Q275" t="s">
        <v>209</v>
      </c>
      <c r="Z275" t="s">
        <v>49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hidden="1">
      <c r="A276">
        <v>275</v>
      </c>
      <c r="B276" t="s">
        <v>585</v>
      </c>
      <c r="C276" t="s">
        <v>584</v>
      </c>
      <c r="D276" t="s">
        <v>143</v>
      </c>
      <c r="E276">
        <v>0</v>
      </c>
      <c r="F276" s="3">
        <v>46233</v>
      </c>
      <c r="G276" s="3">
        <v>46240</v>
      </c>
      <c r="H276" t="s">
        <v>74</v>
      </c>
      <c r="I276" t="s">
        <v>140</v>
      </c>
      <c r="J276" t="s">
        <v>181</v>
      </c>
      <c r="L276" s="3">
        <v>46233</v>
      </c>
      <c r="M276" s="3">
        <v>46233</v>
      </c>
      <c r="N276">
        <v>274</v>
      </c>
      <c r="P276">
        <v>276</v>
      </c>
      <c r="Q276" t="s">
        <v>209</v>
      </c>
      <c r="Z276" t="s">
        <v>49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hidden="1">
      <c r="A277">
        <v>276</v>
      </c>
      <c r="B277" t="s">
        <v>586</v>
      </c>
      <c r="C277" t="s">
        <v>584</v>
      </c>
      <c r="D277" t="s">
        <v>146</v>
      </c>
      <c r="E277">
        <v>0</v>
      </c>
      <c r="F277" s="3">
        <v>46240</v>
      </c>
      <c r="G277" s="3">
        <v>46245</v>
      </c>
      <c r="H277" t="s">
        <v>74</v>
      </c>
      <c r="I277" t="s">
        <v>147</v>
      </c>
      <c r="J277" t="s">
        <v>79</v>
      </c>
      <c r="L277" s="3">
        <v>46238</v>
      </c>
      <c r="M277" s="3">
        <v>46238</v>
      </c>
      <c r="N277">
        <v>275</v>
      </c>
      <c r="P277">
        <v>277</v>
      </c>
      <c r="Q277" t="s">
        <v>209</v>
      </c>
      <c r="Z277" t="s">
        <v>49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hidden="1">
      <c r="A278">
        <v>277</v>
      </c>
      <c r="B278" t="s">
        <v>587</v>
      </c>
      <c r="C278" t="s">
        <v>584</v>
      </c>
      <c r="D278" t="s">
        <v>150</v>
      </c>
      <c r="E278">
        <v>0</v>
      </c>
      <c r="F278" s="3">
        <v>46245</v>
      </c>
      <c r="G278" s="3">
        <v>46247</v>
      </c>
      <c r="H278" t="s">
        <v>74</v>
      </c>
      <c r="I278" t="s">
        <v>151</v>
      </c>
      <c r="J278" t="s">
        <v>79</v>
      </c>
      <c r="L278" s="3">
        <v>46240</v>
      </c>
      <c r="M278" s="3">
        <v>46240</v>
      </c>
      <c r="N278">
        <v>276</v>
      </c>
      <c r="Q278" t="s">
        <v>209</v>
      </c>
      <c r="Z278" t="s">
        <v>49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hidden="1">
      <c r="A279">
        <v>278</v>
      </c>
      <c r="B279" t="s">
        <v>588</v>
      </c>
      <c r="C279" t="s">
        <v>206</v>
      </c>
      <c r="D279" t="s">
        <v>589</v>
      </c>
      <c r="E279">
        <v>0</v>
      </c>
      <c r="F279" s="3">
        <v>46219</v>
      </c>
      <c r="G279" s="3">
        <v>46247</v>
      </c>
      <c r="H279" t="s">
        <v>74</v>
      </c>
      <c r="I279" t="s">
        <v>224</v>
      </c>
      <c r="J279" t="s">
        <v>219</v>
      </c>
      <c r="K279" s="3">
        <v>46212</v>
      </c>
      <c r="L279" s="3">
        <v>46240</v>
      </c>
      <c r="M279" s="3">
        <v>46240</v>
      </c>
      <c r="O279" t="s">
        <v>130</v>
      </c>
      <c r="Q279" t="s">
        <v>209</v>
      </c>
      <c r="R279" t="s">
        <v>590</v>
      </c>
      <c r="S279">
        <v>2</v>
      </c>
      <c r="U279" t="s">
        <v>211</v>
      </c>
      <c r="V279" t="s">
        <v>134</v>
      </c>
      <c r="W279" t="s">
        <v>135</v>
      </c>
      <c r="X279" t="s">
        <v>213</v>
      </c>
      <c r="Y279">
        <v>1</v>
      </c>
      <c r="Z279" t="s">
        <v>49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hidden="1">
      <c r="A280">
        <v>279</v>
      </c>
      <c r="B280" t="s">
        <v>591</v>
      </c>
      <c r="C280" t="s">
        <v>592</v>
      </c>
      <c r="D280" t="s">
        <v>139</v>
      </c>
      <c r="E280">
        <v>0</v>
      </c>
      <c r="F280" s="3">
        <v>46219</v>
      </c>
      <c r="G280" s="3">
        <v>46233</v>
      </c>
      <c r="H280" t="s">
        <v>74</v>
      </c>
      <c r="I280" t="s">
        <v>216</v>
      </c>
      <c r="J280" t="s">
        <v>219</v>
      </c>
      <c r="L280" s="3">
        <v>46226</v>
      </c>
      <c r="M280" s="3">
        <v>46226</v>
      </c>
      <c r="N280" t="s">
        <v>568</v>
      </c>
      <c r="P280">
        <v>280</v>
      </c>
      <c r="Q280" t="s">
        <v>209</v>
      </c>
      <c r="Z280" t="s">
        <v>49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hidden="1">
      <c r="A281">
        <v>280</v>
      </c>
      <c r="B281" t="s">
        <v>593</v>
      </c>
      <c r="C281" t="s">
        <v>592</v>
      </c>
      <c r="D281" t="s">
        <v>143</v>
      </c>
      <c r="E281">
        <v>0</v>
      </c>
      <c r="F281" s="3">
        <v>46233</v>
      </c>
      <c r="G281" s="3">
        <v>46240</v>
      </c>
      <c r="H281" t="s">
        <v>74</v>
      </c>
      <c r="I281" t="s">
        <v>140</v>
      </c>
      <c r="J281" t="s">
        <v>181</v>
      </c>
      <c r="L281" s="3">
        <v>46233</v>
      </c>
      <c r="M281" s="3">
        <v>46233</v>
      </c>
      <c r="N281">
        <v>279</v>
      </c>
      <c r="P281">
        <v>281</v>
      </c>
      <c r="Q281" t="s">
        <v>209</v>
      </c>
      <c r="Z281" t="s">
        <v>49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hidden="1">
      <c r="A282">
        <v>281</v>
      </c>
      <c r="B282" t="s">
        <v>594</v>
      </c>
      <c r="C282" t="s">
        <v>592</v>
      </c>
      <c r="D282" t="s">
        <v>146</v>
      </c>
      <c r="E282">
        <v>0</v>
      </c>
      <c r="F282" s="3">
        <v>46240</v>
      </c>
      <c r="G282" s="3">
        <v>46245</v>
      </c>
      <c r="H282" t="s">
        <v>74</v>
      </c>
      <c r="I282" t="s">
        <v>147</v>
      </c>
      <c r="J282" t="s">
        <v>79</v>
      </c>
      <c r="L282" s="3">
        <v>46238</v>
      </c>
      <c r="M282" s="3">
        <v>46238</v>
      </c>
      <c r="N282">
        <v>280</v>
      </c>
      <c r="P282">
        <v>282</v>
      </c>
      <c r="Q282" t="s">
        <v>209</v>
      </c>
      <c r="Z282" t="s">
        <v>49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hidden="1">
      <c r="A283">
        <v>282</v>
      </c>
      <c r="B283" t="s">
        <v>595</v>
      </c>
      <c r="C283" t="s">
        <v>592</v>
      </c>
      <c r="D283" t="s">
        <v>150</v>
      </c>
      <c r="E283">
        <v>0</v>
      </c>
      <c r="F283" s="3">
        <v>46245</v>
      </c>
      <c r="G283" s="3">
        <v>46247</v>
      </c>
      <c r="H283" t="s">
        <v>74</v>
      </c>
      <c r="I283" t="s">
        <v>151</v>
      </c>
      <c r="J283" t="s">
        <v>79</v>
      </c>
      <c r="L283" s="3">
        <v>46240</v>
      </c>
      <c r="M283" s="3">
        <v>46240</v>
      </c>
      <c r="N283">
        <v>281</v>
      </c>
      <c r="Q283" t="s">
        <v>209</v>
      </c>
      <c r="Z283" t="s">
        <v>49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hidden="1">
      <c r="A284">
        <v>283</v>
      </c>
      <c r="B284" t="s">
        <v>596</v>
      </c>
      <c r="C284" t="s">
        <v>206</v>
      </c>
      <c r="D284" t="s">
        <v>597</v>
      </c>
      <c r="E284">
        <v>0</v>
      </c>
      <c r="F284" s="3">
        <v>46219</v>
      </c>
      <c r="G284" s="3">
        <v>46247</v>
      </c>
      <c r="H284" t="s">
        <v>74</v>
      </c>
      <c r="I284" t="s">
        <v>224</v>
      </c>
      <c r="J284" t="s">
        <v>219</v>
      </c>
      <c r="K284" s="3">
        <v>46212</v>
      </c>
      <c r="L284" s="3">
        <v>46240</v>
      </c>
      <c r="M284" s="3">
        <v>46240</v>
      </c>
      <c r="O284" t="s">
        <v>130</v>
      </c>
      <c r="Q284" t="s">
        <v>209</v>
      </c>
      <c r="R284" t="s">
        <v>598</v>
      </c>
      <c r="S284">
        <v>2</v>
      </c>
      <c r="U284" t="s">
        <v>211</v>
      </c>
      <c r="V284" t="s">
        <v>134</v>
      </c>
      <c r="W284" t="s">
        <v>135</v>
      </c>
      <c r="X284" t="s">
        <v>213</v>
      </c>
      <c r="Y284">
        <v>1</v>
      </c>
      <c r="Z284" t="s">
        <v>49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hidden="1">
      <c r="A285">
        <v>284</v>
      </c>
      <c r="B285" t="s">
        <v>599</v>
      </c>
      <c r="C285" t="s">
        <v>600</v>
      </c>
      <c r="D285" t="s">
        <v>139</v>
      </c>
      <c r="E285">
        <v>0</v>
      </c>
      <c r="F285" s="3">
        <v>46219</v>
      </c>
      <c r="G285" s="3">
        <v>46233</v>
      </c>
      <c r="H285" t="s">
        <v>74</v>
      </c>
      <c r="I285" t="s">
        <v>216</v>
      </c>
      <c r="J285" t="s">
        <v>219</v>
      </c>
      <c r="L285" s="3">
        <v>46226</v>
      </c>
      <c r="M285" s="3">
        <v>46226</v>
      </c>
      <c r="N285" t="s">
        <v>568</v>
      </c>
      <c r="P285">
        <v>285</v>
      </c>
      <c r="Q285" t="s">
        <v>209</v>
      </c>
      <c r="Z285" t="s">
        <v>49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hidden="1">
      <c r="A286">
        <v>285</v>
      </c>
      <c r="B286" t="s">
        <v>601</v>
      </c>
      <c r="C286" t="s">
        <v>600</v>
      </c>
      <c r="D286" t="s">
        <v>143</v>
      </c>
      <c r="E286">
        <v>0</v>
      </c>
      <c r="F286" s="3">
        <v>46233</v>
      </c>
      <c r="G286" s="3">
        <v>46240</v>
      </c>
      <c r="H286" t="s">
        <v>74</v>
      </c>
      <c r="I286" t="s">
        <v>140</v>
      </c>
      <c r="J286" t="s">
        <v>181</v>
      </c>
      <c r="L286" s="3">
        <v>46233</v>
      </c>
      <c r="M286" s="3">
        <v>46233</v>
      </c>
      <c r="N286">
        <v>284</v>
      </c>
      <c r="P286">
        <v>286</v>
      </c>
      <c r="Q286" t="s">
        <v>209</v>
      </c>
      <c r="Z286" t="s">
        <v>49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hidden="1">
      <c r="A287">
        <v>286</v>
      </c>
      <c r="B287" t="s">
        <v>602</v>
      </c>
      <c r="C287" t="s">
        <v>600</v>
      </c>
      <c r="D287" t="s">
        <v>146</v>
      </c>
      <c r="E287">
        <v>0</v>
      </c>
      <c r="F287" s="3">
        <v>46240</v>
      </c>
      <c r="G287" s="3">
        <v>46245</v>
      </c>
      <c r="H287" t="s">
        <v>74</v>
      </c>
      <c r="I287" t="s">
        <v>147</v>
      </c>
      <c r="J287" t="s">
        <v>79</v>
      </c>
      <c r="L287" s="3">
        <v>46238</v>
      </c>
      <c r="M287" s="3">
        <v>46238</v>
      </c>
      <c r="N287">
        <v>285</v>
      </c>
      <c r="P287">
        <v>287</v>
      </c>
      <c r="Q287" t="s">
        <v>209</v>
      </c>
      <c r="Z287" t="s">
        <v>49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 hidden="1">
      <c r="A288">
        <v>287</v>
      </c>
      <c r="B288" t="s">
        <v>603</v>
      </c>
      <c r="C288" t="s">
        <v>600</v>
      </c>
      <c r="D288" t="s">
        <v>150</v>
      </c>
      <c r="E288">
        <v>0</v>
      </c>
      <c r="F288" s="3">
        <v>46245</v>
      </c>
      <c r="G288" s="3">
        <v>46247</v>
      </c>
      <c r="H288" t="s">
        <v>74</v>
      </c>
      <c r="I288" t="s">
        <v>151</v>
      </c>
      <c r="J288" t="s">
        <v>79</v>
      </c>
      <c r="L288" s="3">
        <v>46240</v>
      </c>
      <c r="M288" s="3">
        <v>46240</v>
      </c>
      <c r="N288">
        <v>286</v>
      </c>
      <c r="Q288" t="s">
        <v>209</v>
      </c>
      <c r="Z288" t="s">
        <v>49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hidden="1">
      <c r="A289">
        <v>288</v>
      </c>
      <c r="B289" t="s">
        <v>604</v>
      </c>
      <c r="C289" t="s">
        <v>206</v>
      </c>
      <c r="D289" t="s">
        <v>605</v>
      </c>
      <c r="E289">
        <v>0</v>
      </c>
      <c r="F289" s="3">
        <v>46219</v>
      </c>
      <c r="G289" s="3">
        <v>46247</v>
      </c>
      <c r="H289" t="s">
        <v>74</v>
      </c>
      <c r="I289" t="s">
        <v>224</v>
      </c>
      <c r="J289" t="s">
        <v>219</v>
      </c>
      <c r="K289" s="3">
        <v>46212</v>
      </c>
      <c r="L289" s="3">
        <v>46240</v>
      </c>
      <c r="M289" s="3">
        <v>46240</v>
      </c>
      <c r="O289" t="s">
        <v>154</v>
      </c>
      <c r="Q289" t="s">
        <v>209</v>
      </c>
      <c r="R289" t="s">
        <v>606</v>
      </c>
      <c r="S289">
        <v>3</v>
      </c>
      <c r="U289" t="s">
        <v>211</v>
      </c>
      <c r="V289" t="s">
        <v>134</v>
      </c>
      <c r="W289" t="s">
        <v>135</v>
      </c>
      <c r="X289" t="s">
        <v>213</v>
      </c>
      <c r="Y289">
        <v>1</v>
      </c>
      <c r="Z289" t="s">
        <v>49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hidden="1">
      <c r="A290">
        <v>289</v>
      </c>
      <c r="B290" t="s">
        <v>607</v>
      </c>
      <c r="C290" t="s">
        <v>608</v>
      </c>
      <c r="D290" t="s">
        <v>139</v>
      </c>
      <c r="E290">
        <v>0</v>
      </c>
      <c r="F290" s="3">
        <v>46219</v>
      </c>
      <c r="G290" s="3">
        <v>46233</v>
      </c>
      <c r="H290" t="s">
        <v>74</v>
      </c>
      <c r="I290" t="s">
        <v>216</v>
      </c>
      <c r="J290" t="s">
        <v>219</v>
      </c>
      <c r="L290" s="3">
        <v>46226</v>
      </c>
      <c r="M290" s="3">
        <v>46226</v>
      </c>
      <c r="N290" t="s">
        <v>568</v>
      </c>
      <c r="P290">
        <v>290</v>
      </c>
      <c r="Q290" t="s">
        <v>209</v>
      </c>
      <c r="Z290" t="s">
        <v>49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hidden="1">
      <c r="A291">
        <v>290</v>
      </c>
      <c r="B291" t="s">
        <v>609</v>
      </c>
      <c r="C291" t="s">
        <v>608</v>
      </c>
      <c r="D291" t="s">
        <v>143</v>
      </c>
      <c r="E291">
        <v>0</v>
      </c>
      <c r="F291" s="3">
        <v>46233</v>
      </c>
      <c r="G291" s="3">
        <v>46240</v>
      </c>
      <c r="H291" t="s">
        <v>74</v>
      </c>
      <c r="I291" t="s">
        <v>140</v>
      </c>
      <c r="J291" t="s">
        <v>181</v>
      </c>
      <c r="L291" s="3">
        <v>46233</v>
      </c>
      <c r="M291" s="3">
        <v>46233</v>
      </c>
      <c r="N291">
        <v>289</v>
      </c>
      <c r="P291">
        <v>291</v>
      </c>
      <c r="Q291" t="s">
        <v>209</v>
      </c>
      <c r="Z291" t="s">
        <v>49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hidden="1">
      <c r="A292">
        <v>291</v>
      </c>
      <c r="B292" t="s">
        <v>610</v>
      </c>
      <c r="C292" t="s">
        <v>608</v>
      </c>
      <c r="D292" t="s">
        <v>146</v>
      </c>
      <c r="E292">
        <v>0</v>
      </c>
      <c r="F292" s="3">
        <v>46240</v>
      </c>
      <c r="G292" s="3">
        <v>46245</v>
      </c>
      <c r="H292" t="s">
        <v>74</v>
      </c>
      <c r="I292" t="s">
        <v>147</v>
      </c>
      <c r="J292" t="s">
        <v>79</v>
      </c>
      <c r="L292" s="3">
        <v>46238</v>
      </c>
      <c r="M292" s="3">
        <v>46238</v>
      </c>
      <c r="N292">
        <v>290</v>
      </c>
      <c r="P292">
        <v>292</v>
      </c>
      <c r="Q292" t="s">
        <v>209</v>
      </c>
      <c r="Z292" t="s">
        <v>49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hidden="1">
      <c r="A293">
        <v>292</v>
      </c>
      <c r="B293" t="s">
        <v>611</v>
      </c>
      <c r="C293" t="s">
        <v>608</v>
      </c>
      <c r="D293" t="s">
        <v>150</v>
      </c>
      <c r="E293">
        <v>0</v>
      </c>
      <c r="F293" s="3">
        <v>46245</v>
      </c>
      <c r="G293" s="3">
        <v>46247</v>
      </c>
      <c r="H293" t="s">
        <v>74</v>
      </c>
      <c r="I293" t="s">
        <v>151</v>
      </c>
      <c r="J293" t="s">
        <v>79</v>
      </c>
      <c r="L293" s="3">
        <v>46240</v>
      </c>
      <c r="M293" s="3">
        <v>46240</v>
      </c>
      <c r="N293">
        <v>291</v>
      </c>
      <c r="Q293" t="s">
        <v>209</v>
      </c>
      <c r="Z293" t="s">
        <v>49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hidden="1">
      <c r="A294">
        <v>293</v>
      </c>
      <c r="B294" t="s">
        <v>612</v>
      </c>
      <c r="C294" t="s">
        <v>206</v>
      </c>
      <c r="D294" t="s">
        <v>613</v>
      </c>
      <c r="E294">
        <v>0</v>
      </c>
      <c r="F294" s="3">
        <v>46219</v>
      </c>
      <c r="G294" s="3">
        <v>46247</v>
      </c>
      <c r="H294" t="s">
        <v>74</v>
      </c>
      <c r="I294" t="s">
        <v>224</v>
      </c>
      <c r="J294" t="s">
        <v>219</v>
      </c>
      <c r="K294" s="3">
        <v>46212</v>
      </c>
      <c r="L294" s="3">
        <v>46240</v>
      </c>
      <c r="M294" s="3">
        <v>46240</v>
      </c>
      <c r="O294" t="s">
        <v>154</v>
      </c>
      <c r="Q294" t="s">
        <v>209</v>
      </c>
      <c r="R294" t="s">
        <v>606</v>
      </c>
      <c r="S294">
        <v>3</v>
      </c>
      <c r="U294" t="s">
        <v>211</v>
      </c>
      <c r="V294" t="s">
        <v>134</v>
      </c>
      <c r="W294" t="s">
        <v>135</v>
      </c>
      <c r="X294" t="s">
        <v>213</v>
      </c>
      <c r="Y294">
        <v>1</v>
      </c>
      <c r="Z294" t="s">
        <v>43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 hidden="1">
      <c r="A295">
        <v>294</v>
      </c>
      <c r="B295" t="s">
        <v>614</v>
      </c>
      <c r="C295" t="s">
        <v>615</v>
      </c>
      <c r="D295" t="s">
        <v>139</v>
      </c>
      <c r="E295">
        <v>0</v>
      </c>
      <c r="F295" s="3">
        <v>46219</v>
      </c>
      <c r="G295" s="3">
        <v>46233</v>
      </c>
      <c r="H295" t="s">
        <v>74</v>
      </c>
      <c r="I295" t="s">
        <v>216</v>
      </c>
      <c r="J295" t="s">
        <v>219</v>
      </c>
      <c r="L295" s="3">
        <v>46226</v>
      </c>
      <c r="M295" s="3">
        <v>46226</v>
      </c>
      <c r="N295" t="s">
        <v>568</v>
      </c>
      <c r="P295" t="s">
        <v>616</v>
      </c>
      <c r="Q295" t="s">
        <v>209</v>
      </c>
      <c r="Z295" t="s">
        <v>43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hidden="1">
      <c r="A296">
        <v>295</v>
      </c>
      <c r="B296" t="s">
        <v>617</v>
      </c>
      <c r="C296" t="s">
        <v>615</v>
      </c>
      <c r="D296" t="s">
        <v>143</v>
      </c>
      <c r="E296">
        <v>0</v>
      </c>
      <c r="F296" s="3">
        <v>46233</v>
      </c>
      <c r="G296" s="3">
        <v>46240</v>
      </c>
      <c r="H296" t="s">
        <v>74</v>
      </c>
      <c r="I296" t="s">
        <v>140</v>
      </c>
      <c r="J296" t="s">
        <v>181</v>
      </c>
      <c r="L296" s="3">
        <v>46233</v>
      </c>
      <c r="M296" s="3">
        <v>46233</v>
      </c>
      <c r="N296">
        <v>294</v>
      </c>
      <c r="P296">
        <v>296</v>
      </c>
      <c r="Q296" t="s">
        <v>209</v>
      </c>
      <c r="Z296" t="s">
        <v>49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hidden="1">
      <c r="A297">
        <v>296</v>
      </c>
      <c r="B297" t="s">
        <v>618</v>
      </c>
      <c r="C297" t="s">
        <v>615</v>
      </c>
      <c r="D297" t="s">
        <v>146</v>
      </c>
      <c r="E297">
        <v>0</v>
      </c>
      <c r="F297" s="3">
        <v>46240</v>
      </c>
      <c r="G297" s="3">
        <v>46245</v>
      </c>
      <c r="H297" t="s">
        <v>74</v>
      </c>
      <c r="I297" t="s">
        <v>147</v>
      </c>
      <c r="J297" t="s">
        <v>79</v>
      </c>
      <c r="L297" s="3">
        <v>46238</v>
      </c>
      <c r="M297" s="3">
        <v>46238</v>
      </c>
      <c r="N297">
        <v>295</v>
      </c>
      <c r="P297">
        <v>297</v>
      </c>
      <c r="Q297" t="s">
        <v>209</v>
      </c>
      <c r="Z297" t="s">
        <v>49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hidden="1">
      <c r="A298">
        <v>297</v>
      </c>
      <c r="B298" t="s">
        <v>619</v>
      </c>
      <c r="C298" t="s">
        <v>615</v>
      </c>
      <c r="D298" t="s">
        <v>150</v>
      </c>
      <c r="E298">
        <v>0</v>
      </c>
      <c r="F298" s="3">
        <v>46245</v>
      </c>
      <c r="G298" s="3">
        <v>46247</v>
      </c>
      <c r="H298" t="s">
        <v>74</v>
      </c>
      <c r="I298" t="s">
        <v>151</v>
      </c>
      <c r="J298" t="s">
        <v>79</v>
      </c>
      <c r="L298" s="3">
        <v>46240</v>
      </c>
      <c r="M298" s="3">
        <v>46240</v>
      </c>
      <c r="N298">
        <v>296</v>
      </c>
      <c r="Q298" t="s">
        <v>209</v>
      </c>
      <c r="Z298" t="s">
        <v>49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hidden="1">
      <c r="A299">
        <v>298</v>
      </c>
      <c r="B299" t="s">
        <v>620</v>
      </c>
      <c r="C299" t="s">
        <v>206</v>
      </c>
      <c r="D299" t="s">
        <v>621</v>
      </c>
      <c r="E299">
        <v>0</v>
      </c>
      <c r="F299" s="3">
        <v>46233</v>
      </c>
      <c r="G299" s="3">
        <v>46261</v>
      </c>
      <c r="H299" t="s">
        <v>74</v>
      </c>
      <c r="I299" t="s">
        <v>224</v>
      </c>
      <c r="J299" t="s">
        <v>181</v>
      </c>
      <c r="K299" s="3">
        <v>46226</v>
      </c>
      <c r="L299" s="3">
        <v>46254</v>
      </c>
      <c r="M299" s="3">
        <v>46254</v>
      </c>
      <c r="O299" t="s">
        <v>130</v>
      </c>
      <c r="Q299" t="s">
        <v>209</v>
      </c>
      <c r="R299" t="s">
        <v>622</v>
      </c>
      <c r="S299">
        <v>3</v>
      </c>
      <c r="U299" t="s">
        <v>299</v>
      </c>
      <c r="V299" t="s">
        <v>134</v>
      </c>
      <c r="W299" t="s">
        <v>135</v>
      </c>
      <c r="X299" t="s">
        <v>213</v>
      </c>
      <c r="Y299">
        <v>1</v>
      </c>
      <c r="Z299" t="s">
        <v>49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hidden="1">
      <c r="A300">
        <v>299</v>
      </c>
      <c r="B300" t="s">
        <v>623</v>
      </c>
      <c r="C300" t="s">
        <v>624</v>
      </c>
      <c r="D300" t="s">
        <v>139</v>
      </c>
      <c r="E300">
        <v>0</v>
      </c>
      <c r="F300" s="3">
        <v>46233</v>
      </c>
      <c r="G300" s="3">
        <v>46247</v>
      </c>
      <c r="H300" t="s">
        <v>74</v>
      </c>
      <c r="I300" t="s">
        <v>216</v>
      </c>
      <c r="J300" t="s">
        <v>181</v>
      </c>
      <c r="L300" s="3">
        <v>46240</v>
      </c>
      <c r="M300" s="3">
        <v>46240</v>
      </c>
      <c r="N300">
        <v>294</v>
      </c>
      <c r="P300">
        <v>300</v>
      </c>
      <c r="Q300" t="s">
        <v>209</v>
      </c>
      <c r="Z300" t="s">
        <v>49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hidden="1">
      <c r="A301">
        <v>300</v>
      </c>
      <c r="B301" t="s">
        <v>625</v>
      </c>
      <c r="C301" t="s">
        <v>624</v>
      </c>
      <c r="D301" t="s">
        <v>143</v>
      </c>
      <c r="E301">
        <v>0</v>
      </c>
      <c r="F301" s="3">
        <v>46247</v>
      </c>
      <c r="G301" s="3">
        <v>46254</v>
      </c>
      <c r="H301" t="s">
        <v>74</v>
      </c>
      <c r="I301" t="s">
        <v>140</v>
      </c>
      <c r="J301" t="s">
        <v>353</v>
      </c>
      <c r="L301" s="3">
        <v>46247</v>
      </c>
      <c r="M301" s="3">
        <v>46247</v>
      </c>
      <c r="N301">
        <v>299</v>
      </c>
      <c r="P301">
        <v>301</v>
      </c>
      <c r="Q301" t="s">
        <v>209</v>
      </c>
      <c r="Z301" t="s">
        <v>49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hidden="1">
      <c r="A302">
        <v>301</v>
      </c>
      <c r="B302" t="s">
        <v>626</v>
      </c>
      <c r="C302" t="s">
        <v>624</v>
      </c>
      <c r="D302" t="s">
        <v>146</v>
      </c>
      <c r="E302">
        <v>0</v>
      </c>
      <c r="F302" s="3">
        <v>46254</v>
      </c>
      <c r="G302" s="3">
        <v>46259</v>
      </c>
      <c r="H302" t="s">
        <v>74</v>
      </c>
      <c r="I302" t="s">
        <v>147</v>
      </c>
      <c r="J302" t="s">
        <v>185</v>
      </c>
      <c r="L302" s="3">
        <v>46252</v>
      </c>
      <c r="M302" s="3">
        <v>46252</v>
      </c>
      <c r="N302">
        <v>300</v>
      </c>
      <c r="P302">
        <v>302</v>
      </c>
      <c r="Q302" t="s">
        <v>209</v>
      </c>
      <c r="Z302" t="s">
        <v>49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hidden="1">
      <c r="A303">
        <v>302</v>
      </c>
      <c r="B303" t="s">
        <v>627</v>
      </c>
      <c r="C303" t="s">
        <v>624</v>
      </c>
      <c r="D303" t="s">
        <v>150</v>
      </c>
      <c r="E303">
        <v>0</v>
      </c>
      <c r="F303" s="3">
        <v>46259</v>
      </c>
      <c r="G303" s="3">
        <v>46261</v>
      </c>
      <c r="H303" t="s">
        <v>74</v>
      </c>
      <c r="I303" t="s">
        <v>151</v>
      </c>
      <c r="J303" t="s">
        <v>185</v>
      </c>
      <c r="L303" s="3">
        <v>46254</v>
      </c>
      <c r="M303" s="3">
        <v>46254</v>
      </c>
      <c r="N303">
        <v>301</v>
      </c>
      <c r="Q303" t="s">
        <v>209</v>
      </c>
      <c r="Z303" t="s">
        <v>49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hidden="1">
      <c r="A304">
        <v>303</v>
      </c>
      <c r="B304" t="s">
        <v>628</v>
      </c>
      <c r="C304" t="s">
        <v>206</v>
      </c>
      <c r="D304" t="s">
        <v>629</v>
      </c>
      <c r="E304">
        <v>0</v>
      </c>
      <c r="F304" s="3">
        <v>46233</v>
      </c>
      <c r="G304" s="3">
        <v>46261</v>
      </c>
      <c r="H304" t="s">
        <v>74</v>
      </c>
      <c r="I304" t="s">
        <v>224</v>
      </c>
      <c r="J304" t="s">
        <v>181</v>
      </c>
      <c r="K304" s="3">
        <v>46226</v>
      </c>
      <c r="L304" s="3">
        <v>46254</v>
      </c>
      <c r="M304" s="3">
        <v>46254</v>
      </c>
      <c r="O304" t="s">
        <v>130</v>
      </c>
      <c r="Q304" t="s">
        <v>209</v>
      </c>
      <c r="R304" t="s">
        <v>630</v>
      </c>
      <c r="S304">
        <v>3</v>
      </c>
      <c r="U304" t="s">
        <v>299</v>
      </c>
      <c r="V304" t="s">
        <v>134</v>
      </c>
      <c r="W304" t="s">
        <v>135</v>
      </c>
      <c r="X304" t="s">
        <v>213</v>
      </c>
      <c r="Y304">
        <v>1</v>
      </c>
      <c r="Z304" t="s">
        <v>49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hidden="1">
      <c r="A305">
        <v>304</v>
      </c>
      <c r="B305" t="s">
        <v>631</v>
      </c>
      <c r="C305" t="s">
        <v>632</v>
      </c>
      <c r="D305" t="s">
        <v>139</v>
      </c>
      <c r="E305">
        <v>0</v>
      </c>
      <c r="F305" s="3">
        <v>46233</v>
      </c>
      <c r="G305" s="3">
        <v>46247</v>
      </c>
      <c r="H305" t="s">
        <v>74</v>
      </c>
      <c r="I305" t="s">
        <v>216</v>
      </c>
      <c r="J305" t="s">
        <v>181</v>
      </c>
      <c r="L305" s="3">
        <v>46240</v>
      </c>
      <c r="M305" s="3">
        <v>46240</v>
      </c>
      <c r="N305">
        <v>294</v>
      </c>
      <c r="P305">
        <v>305</v>
      </c>
      <c r="Q305" t="s">
        <v>209</v>
      </c>
      <c r="Z305" t="s">
        <v>49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hidden="1">
      <c r="A306">
        <v>305</v>
      </c>
      <c r="B306" t="s">
        <v>633</v>
      </c>
      <c r="C306" t="s">
        <v>632</v>
      </c>
      <c r="D306" t="s">
        <v>143</v>
      </c>
      <c r="E306">
        <v>0</v>
      </c>
      <c r="F306" s="3">
        <v>46247</v>
      </c>
      <c r="G306" s="3">
        <v>46254</v>
      </c>
      <c r="H306" t="s">
        <v>74</v>
      </c>
      <c r="I306" t="s">
        <v>140</v>
      </c>
      <c r="J306" t="s">
        <v>353</v>
      </c>
      <c r="L306" s="3">
        <v>46247</v>
      </c>
      <c r="M306" s="3">
        <v>46247</v>
      </c>
      <c r="N306">
        <v>304</v>
      </c>
      <c r="P306">
        <v>306</v>
      </c>
      <c r="Q306" t="s">
        <v>209</v>
      </c>
      <c r="Z306" t="s">
        <v>49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hidden="1">
      <c r="A307">
        <v>306</v>
      </c>
      <c r="B307" t="s">
        <v>634</v>
      </c>
      <c r="C307" t="s">
        <v>632</v>
      </c>
      <c r="D307" t="s">
        <v>146</v>
      </c>
      <c r="E307">
        <v>0</v>
      </c>
      <c r="F307" s="3">
        <v>46254</v>
      </c>
      <c r="G307" s="3">
        <v>46259</v>
      </c>
      <c r="H307" t="s">
        <v>74</v>
      </c>
      <c r="I307" t="s">
        <v>147</v>
      </c>
      <c r="J307" t="s">
        <v>185</v>
      </c>
      <c r="L307" s="3">
        <v>46252</v>
      </c>
      <c r="M307" s="3">
        <v>46252</v>
      </c>
      <c r="N307">
        <v>305</v>
      </c>
      <c r="P307">
        <v>307</v>
      </c>
      <c r="Q307" t="s">
        <v>209</v>
      </c>
      <c r="Z307" t="s">
        <v>49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hidden="1">
      <c r="A308">
        <v>307</v>
      </c>
      <c r="B308" t="s">
        <v>635</v>
      </c>
      <c r="C308" t="s">
        <v>632</v>
      </c>
      <c r="D308" t="s">
        <v>150</v>
      </c>
      <c r="E308">
        <v>0</v>
      </c>
      <c r="F308" s="3">
        <v>46259</v>
      </c>
      <c r="G308" s="3">
        <v>46261</v>
      </c>
      <c r="H308" t="s">
        <v>74</v>
      </c>
      <c r="I308" t="s">
        <v>151</v>
      </c>
      <c r="J308" t="s">
        <v>185</v>
      </c>
      <c r="L308" s="3">
        <v>46254</v>
      </c>
      <c r="M308" s="3">
        <v>46254</v>
      </c>
      <c r="N308">
        <v>306</v>
      </c>
      <c r="Q308" t="s">
        <v>209</v>
      </c>
      <c r="Z308" t="s">
        <v>49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hidden="1">
      <c r="A309">
        <v>308</v>
      </c>
      <c r="B309" t="s">
        <v>636</v>
      </c>
      <c r="C309" t="s">
        <v>206</v>
      </c>
      <c r="D309" t="s">
        <v>637</v>
      </c>
      <c r="E309">
        <v>0</v>
      </c>
      <c r="F309" s="3">
        <v>46233</v>
      </c>
      <c r="G309" s="3">
        <v>46261</v>
      </c>
      <c r="H309" t="s">
        <v>74</v>
      </c>
      <c r="I309" t="s">
        <v>224</v>
      </c>
      <c r="J309" t="s">
        <v>181</v>
      </c>
      <c r="K309" s="3">
        <v>46226</v>
      </c>
      <c r="L309" s="3">
        <v>46254</v>
      </c>
      <c r="M309" s="3">
        <v>46254</v>
      </c>
      <c r="O309" t="s">
        <v>638</v>
      </c>
      <c r="Q309" t="s">
        <v>209</v>
      </c>
      <c r="R309" t="s">
        <v>639</v>
      </c>
      <c r="S309">
        <v>4</v>
      </c>
      <c r="U309" t="s">
        <v>299</v>
      </c>
      <c r="V309" t="s">
        <v>134</v>
      </c>
      <c r="W309" t="s">
        <v>135</v>
      </c>
      <c r="X309" t="s">
        <v>213</v>
      </c>
      <c r="Y309">
        <v>1</v>
      </c>
      <c r="Z309" t="s">
        <v>49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hidden="1">
      <c r="A310">
        <v>309</v>
      </c>
      <c r="B310" t="s">
        <v>640</v>
      </c>
      <c r="C310" t="s">
        <v>641</v>
      </c>
      <c r="D310" t="s">
        <v>139</v>
      </c>
      <c r="E310">
        <v>0</v>
      </c>
      <c r="F310" s="3">
        <v>46233</v>
      </c>
      <c r="G310" s="3">
        <v>46247</v>
      </c>
      <c r="H310" t="s">
        <v>74</v>
      </c>
      <c r="I310" t="s">
        <v>216</v>
      </c>
      <c r="J310" t="s">
        <v>181</v>
      </c>
      <c r="L310" s="3">
        <v>46240</v>
      </c>
      <c r="M310" s="3">
        <v>46240</v>
      </c>
      <c r="N310">
        <v>294</v>
      </c>
      <c r="P310">
        <v>310</v>
      </c>
      <c r="Q310" t="s">
        <v>209</v>
      </c>
      <c r="Z310" t="s">
        <v>49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hidden="1">
      <c r="A311">
        <v>310</v>
      </c>
      <c r="B311" t="s">
        <v>642</v>
      </c>
      <c r="C311" t="s">
        <v>641</v>
      </c>
      <c r="D311" t="s">
        <v>143</v>
      </c>
      <c r="E311">
        <v>0</v>
      </c>
      <c r="F311" s="3">
        <v>46247</v>
      </c>
      <c r="G311" s="3">
        <v>46254</v>
      </c>
      <c r="H311" t="s">
        <v>74</v>
      </c>
      <c r="I311" t="s">
        <v>140</v>
      </c>
      <c r="J311" t="s">
        <v>353</v>
      </c>
      <c r="L311" s="3">
        <v>46247</v>
      </c>
      <c r="M311" s="3">
        <v>46247</v>
      </c>
      <c r="N311">
        <v>309</v>
      </c>
      <c r="P311">
        <v>311</v>
      </c>
      <c r="Q311" t="s">
        <v>209</v>
      </c>
      <c r="Z311" t="s">
        <v>49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hidden="1">
      <c r="A312">
        <v>311</v>
      </c>
      <c r="B312" t="s">
        <v>643</v>
      </c>
      <c r="C312" t="s">
        <v>641</v>
      </c>
      <c r="D312" t="s">
        <v>146</v>
      </c>
      <c r="E312">
        <v>0</v>
      </c>
      <c r="F312" s="3">
        <v>46254</v>
      </c>
      <c r="G312" s="3">
        <v>46259</v>
      </c>
      <c r="H312" t="s">
        <v>74</v>
      </c>
      <c r="I312" t="s">
        <v>147</v>
      </c>
      <c r="J312" t="s">
        <v>185</v>
      </c>
      <c r="L312" s="3">
        <v>46252</v>
      </c>
      <c r="M312" s="3">
        <v>46252</v>
      </c>
      <c r="N312">
        <v>310</v>
      </c>
      <c r="P312">
        <v>312</v>
      </c>
      <c r="Q312" t="s">
        <v>209</v>
      </c>
      <c r="Z312" t="s">
        <v>49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hidden="1">
      <c r="A313">
        <v>312</v>
      </c>
      <c r="B313" t="s">
        <v>644</v>
      </c>
      <c r="C313" t="s">
        <v>641</v>
      </c>
      <c r="D313" t="s">
        <v>150</v>
      </c>
      <c r="E313">
        <v>0</v>
      </c>
      <c r="F313" s="3">
        <v>46259</v>
      </c>
      <c r="G313" s="3">
        <v>46261</v>
      </c>
      <c r="H313" t="s">
        <v>74</v>
      </c>
      <c r="I313" t="s">
        <v>151</v>
      </c>
      <c r="J313" t="s">
        <v>185</v>
      </c>
      <c r="L313" s="3">
        <v>46254</v>
      </c>
      <c r="M313" s="3">
        <v>46254</v>
      </c>
      <c r="N313">
        <v>311</v>
      </c>
      <c r="Q313" t="s">
        <v>209</v>
      </c>
      <c r="Z313" t="s">
        <v>49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hidden="1">
      <c r="A314">
        <v>313</v>
      </c>
      <c r="B314" t="s">
        <v>645</v>
      </c>
      <c r="C314" t="s">
        <v>206</v>
      </c>
      <c r="D314" t="s">
        <v>646</v>
      </c>
      <c r="E314">
        <v>0</v>
      </c>
      <c r="F314" s="3">
        <v>46233</v>
      </c>
      <c r="G314" s="3">
        <v>46261</v>
      </c>
      <c r="H314" t="s">
        <v>74</v>
      </c>
      <c r="I314" t="s">
        <v>224</v>
      </c>
      <c r="J314" t="s">
        <v>181</v>
      </c>
      <c r="K314" s="3">
        <v>46226</v>
      </c>
      <c r="L314" s="3">
        <v>46254</v>
      </c>
      <c r="M314" s="3">
        <v>46254</v>
      </c>
      <c r="O314" t="s">
        <v>638</v>
      </c>
      <c r="Q314" t="s">
        <v>209</v>
      </c>
      <c r="R314" t="s">
        <v>647</v>
      </c>
      <c r="S314">
        <v>3</v>
      </c>
      <c r="U314" t="s">
        <v>299</v>
      </c>
      <c r="V314" t="s">
        <v>134</v>
      </c>
      <c r="W314" t="s">
        <v>135</v>
      </c>
      <c r="X314" t="s">
        <v>213</v>
      </c>
      <c r="Y314">
        <v>1</v>
      </c>
      <c r="Z314" t="s">
        <v>43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 hidden="1">
      <c r="A315">
        <v>314</v>
      </c>
      <c r="B315" t="s">
        <v>648</v>
      </c>
      <c r="C315" t="s">
        <v>649</v>
      </c>
      <c r="D315" t="s">
        <v>139</v>
      </c>
      <c r="E315">
        <v>0</v>
      </c>
      <c r="F315" s="3">
        <v>46233</v>
      </c>
      <c r="G315" s="3">
        <v>46247</v>
      </c>
      <c r="H315" t="s">
        <v>74</v>
      </c>
      <c r="I315" t="s">
        <v>216</v>
      </c>
      <c r="J315" t="s">
        <v>181</v>
      </c>
      <c r="L315" s="3">
        <v>46240</v>
      </c>
      <c r="M315" s="3">
        <v>46240</v>
      </c>
      <c r="N315">
        <v>294</v>
      </c>
      <c r="P315" t="s">
        <v>650</v>
      </c>
      <c r="Q315" t="s">
        <v>209</v>
      </c>
      <c r="Z315" t="s">
        <v>43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hidden="1">
      <c r="A316">
        <v>315</v>
      </c>
      <c r="B316" t="s">
        <v>651</v>
      </c>
      <c r="C316" t="s">
        <v>649</v>
      </c>
      <c r="D316" t="s">
        <v>143</v>
      </c>
      <c r="E316">
        <v>0</v>
      </c>
      <c r="F316" s="3">
        <v>46247</v>
      </c>
      <c r="G316" s="3">
        <v>46254</v>
      </c>
      <c r="H316" t="s">
        <v>74</v>
      </c>
      <c r="I316" t="s">
        <v>140</v>
      </c>
      <c r="J316" t="s">
        <v>353</v>
      </c>
      <c r="L316" s="3">
        <v>46247</v>
      </c>
      <c r="M316" s="3">
        <v>46247</v>
      </c>
      <c r="N316">
        <v>314</v>
      </c>
      <c r="P316">
        <v>316</v>
      </c>
      <c r="Q316" t="s">
        <v>209</v>
      </c>
      <c r="Z316" t="s">
        <v>49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hidden="1">
      <c r="A317">
        <v>316</v>
      </c>
      <c r="B317" t="s">
        <v>652</v>
      </c>
      <c r="C317" t="s">
        <v>649</v>
      </c>
      <c r="D317" t="s">
        <v>146</v>
      </c>
      <c r="E317">
        <v>0</v>
      </c>
      <c r="F317" s="3">
        <v>46254</v>
      </c>
      <c r="G317" s="3">
        <v>46259</v>
      </c>
      <c r="H317" t="s">
        <v>74</v>
      </c>
      <c r="I317" t="s">
        <v>147</v>
      </c>
      <c r="J317" t="s">
        <v>185</v>
      </c>
      <c r="L317" s="3">
        <v>46252</v>
      </c>
      <c r="M317" s="3">
        <v>46252</v>
      </c>
      <c r="N317">
        <v>315</v>
      </c>
      <c r="P317">
        <v>317</v>
      </c>
      <c r="Q317" t="s">
        <v>209</v>
      </c>
      <c r="Z317" t="s">
        <v>49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hidden="1">
      <c r="A318">
        <v>317</v>
      </c>
      <c r="B318" t="s">
        <v>653</v>
      </c>
      <c r="C318" t="s">
        <v>649</v>
      </c>
      <c r="D318" t="s">
        <v>150</v>
      </c>
      <c r="E318">
        <v>0</v>
      </c>
      <c r="F318" s="3">
        <v>46259</v>
      </c>
      <c r="G318" s="3">
        <v>46261</v>
      </c>
      <c r="H318" t="s">
        <v>74</v>
      </c>
      <c r="I318" t="s">
        <v>151</v>
      </c>
      <c r="J318" t="s">
        <v>185</v>
      </c>
      <c r="L318" s="3">
        <v>46254</v>
      </c>
      <c r="M318" s="3">
        <v>46254</v>
      </c>
      <c r="N318">
        <v>316</v>
      </c>
      <c r="Q318" t="s">
        <v>209</v>
      </c>
      <c r="Z318" t="s">
        <v>49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hidden="1">
      <c r="A319">
        <v>318</v>
      </c>
      <c r="B319" t="s">
        <v>654</v>
      </c>
      <c r="C319" t="s">
        <v>206</v>
      </c>
      <c r="D319" t="s">
        <v>655</v>
      </c>
      <c r="E319">
        <v>0</v>
      </c>
      <c r="F319" s="3">
        <v>46247</v>
      </c>
      <c r="G319" s="3">
        <v>46275</v>
      </c>
      <c r="H319" t="s">
        <v>74</v>
      </c>
      <c r="I319" t="s">
        <v>224</v>
      </c>
      <c r="J319" t="s">
        <v>353</v>
      </c>
      <c r="K319" s="3">
        <v>46240</v>
      </c>
      <c r="L319" s="3">
        <v>46268</v>
      </c>
      <c r="M319" s="3">
        <v>46268</v>
      </c>
      <c r="O319" t="s">
        <v>638</v>
      </c>
      <c r="Q319" t="s">
        <v>209</v>
      </c>
      <c r="R319" t="s">
        <v>656</v>
      </c>
      <c r="S319">
        <v>3</v>
      </c>
      <c r="U319" t="s">
        <v>299</v>
      </c>
      <c r="V319" t="s">
        <v>134</v>
      </c>
      <c r="W319" t="s">
        <v>135</v>
      </c>
      <c r="X319" t="s">
        <v>213</v>
      </c>
      <c r="Y319">
        <v>1</v>
      </c>
      <c r="Z319" t="s">
        <v>49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hidden="1">
      <c r="A320">
        <v>319</v>
      </c>
      <c r="B320" t="s">
        <v>657</v>
      </c>
      <c r="C320" t="s">
        <v>658</v>
      </c>
      <c r="D320" t="s">
        <v>139</v>
      </c>
      <c r="E320">
        <v>0</v>
      </c>
      <c r="F320" s="3">
        <v>46247</v>
      </c>
      <c r="G320" s="3">
        <v>46261</v>
      </c>
      <c r="H320" t="s">
        <v>74</v>
      </c>
      <c r="I320" t="s">
        <v>216</v>
      </c>
      <c r="J320" t="s">
        <v>353</v>
      </c>
      <c r="L320" s="3">
        <v>46254</v>
      </c>
      <c r="M320" s="3">
        <v>46254</v>
      </c>
      <c r="N320">
        <v>314</v>
      </c>
      <c r="P320">
        <v>320</v>
      </c>
      <c r="Q320" t="s">
        <v>209</v>
      </c>
      <c r="Z320" t="s">
        <v>49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hidden="1">
      <c r="A321">
        <v>320</v>
      </c>
      <c r="B321" t="s">
        <v>659</v>
      </c>
      <c r="C321" t="s">
        <v>658</v>
      </c>
      <c r="D321" t="s">
        <v>143</v>
      </c>
      <c r="E321">
        <v>0</v>
      </c>
      <c r="F321" s="3">
        <v>46261</v>
      </c>
      <c r="G321" s="3">
        <v>46268</v>
      </c>
      <c r="H321" t="s">
        <v>74</v>
      </c>
      <c r="I321" t="s">
        <v>140</v>
      </c>
      <c r="J321" t="s">
        <v>185</v>
      </c>
      <c r="L321" s="3">
        <v>46261</v>
      </c>
      <c r="M321" s="3">
        <v>46261</v>
      </c>
      <c r="N321">
        <v>319</v>
      </c>
      <c r="P321">
        <v>321</v>
      </c>
      <c r="Q321" t="s">
        <v>209</v>
      </c>
      <c r="Z321" t="s">
        <v>49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hidden="1">
      <c r="A322">
        <v>321</v>
      </c>
      <c r="B322" t="s">
        <v>660</v>
      </c>
      <c r="C322" t="s">
        <v>658</v>
      </c>
      <c r="D322" t="s">
        <v>146</v>
      </c>
      <c r="E322">
        <v>0</v>
      </c>
      <c r="F322" s="3">
        <v>46268</v>
      </c>
      <c r="G322" s="3">
        <v>46273</v>
      </c>
      <c r="H322" t="s">
        <v>74</v>
      </c>
      <c r="I322" t="s">
        <v>147</v>
      </c>
      <c r="J322" t="s">
        <v>398</v>
      </c>
      <c r="L322" s="3">
        <v>46266</v>
      </c>
      <c r="M322" s="3">
        <v>46266</v>
      </c>
      <c r="N322">
        <v>320</v>
      </c>
      <c r="P322">
        <v>322</v>
      </c>
      <c r="Q322" t="s">
        <v>209</v>
      </c>
      <c r="Z322" t="s">
        <v>49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hidden="1">
      <c r="A323">
        <v>322</v>
      </c>
      <c r="B323" t="s">
        <v>661</v>
      </c>
      <c r="C323" t="s">
        <v>658</v>
      </c>
      <c r="D323" t="s">
        <v>150</v>
      </c>
      <c r="E323">
        <v>0</v>
      </c>
      <c r="F323" s="3">
        <v>46273</v>
      </c>
      <c r="G323" s="3">
        <v>46275</v>
      </c>
      <c r="H323" t="s">
        <v>74</v>
      </c>
      <c r="I323" t="s">
        <v>151</v>
      </c>
      <c r="J323" t="s">
        <v>398</v>
      </c>
      <c r="L323" s="3">
        <v>46268</v>
      </c>
      <c r="M323" s="3">
        <v>46268</v>
      </c>
      <c r="N323">
        <v>321</v>
      </c>
      <c r="Q323" t="s">
        <v>209</v>
      </c>
      <c r="Z323" t="s">
        <v>49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hidden="1">
      <c r="A324">
        <v>323</v>
      </c>
      <c r="B324" t="s">
        <v>662</v>
      </c>
      <c r="C324" t="s">
        <v>206</v>
      </c>
      <c r="D324" t="s">
        <v>663</v>
      </c>
      <c r="E324">
        <v>0</v>
      </c>
      <c r="F324" s="3">
        <v>46247</v>
      </c>
      <c r="G324" s="3">
        <v>46275</v>
      </c>
      <c r="H324" t="s">
        <v>74</v>
      </c>
      <c r="I324" t="s">
        <v>224</v>
      </c>
      <c r="J324" t="s">
        <v>353</v>
      </c>
      <c r="K324" s="3">
        <v>46240</v>
      </c>
      <c r="L324" s="3">
        <v>46268</v>
      </c>
      <c r="M324" s="3">
        <v>46268</v>
      </c>
      <c r="O324" t="s">
        <v>130</v>
      </c>
      <c r="Q324" t="s">
        <v>209</v>
      </c>
      <c r="R324" t="s">
        <v>664</v>
      </c>
      <c r="S324">
        <v>3</v>
      </c>
      <c r="U324" t="s">
        <v>299</v>
      </c>
      <c r="V324" t="s">
        <v>134</v>
      </c>
      <c r="W324" t="s">
        <v>135</v>
      </c>
      <c r="X324" t="s">
        <v>213</v>
      </c>
      <c r="Y324">
        <v>1</v>
      </c>
      <c r="Z324" t="s">
        <v>49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hidden="1">
      <c r="A325">
        <v>324</v>
      </c>
      <c r="B325" t="s">
        <v>665</v>
      </c>
      <c r="C325" t="s">
        <v>666</v>
      </c>
      <c r="D325" t="s">
        <v>139</v>
      </c>
      <c r="E325">
        <v>0</v>
      </c>
      <c r="F325" s="3">
        <v>46247</v>
      </c>
      <c r="G325" s="3">
        <v>46261</v>
      </c>
      <c r="H325" t="s">
        <v>74</v>
      </c>
      <c r="I325" t="s">
        <v>216</v>
      </c>
      <c r="J325" t="s">
        <v>353</v>
      </c>
      <c r="L325" s="3">
        <v>46254</v>
      </c>
      <c r="M325" s="3">
        <v>46254</v>
      </c>
      <c r="N325">
        <v>314</v>
      </c>
      <c r="P325">
        <v>325</v>
      </c>
      <c r="Q325" t="s">
        <v>209</v>
      </c>
      <c r="Z325" t="s">
        <v>49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 hidden="1">
      <c r="A326">
        <v>325</v>
      </c>
      <c r="B326" t="s">
        <v>667</v>
      </c>
      <c r="C326" t="s">
        <v>666</v>
      </c>
      <c r="D326" t="s">
        <v>143</v>
      </c>
      <c r="E326">
        <v>0</v>
      </c>
      <c r="F326" s="3">
        <v>46261</v>
      </c>
      <c r="G326" s="3">
        <v>46268</v>
      </c>
      <c r="H326" t="s">
        <v>74</v>
      </c>
      <c r="I326" t="s">
        <v>140</v>
      </c>
      <c r="J326" t="s">
        <v>185</v>
      </c>
      <c r="L326" s="3">
        <v>46261</v>
      </c>
      <c r="M326" s="3">
        <v>46261</v>
      </c>
      <c r="N326">
        <v>324</v>
      </c>
      <c r="P326">
        <v>326</v>
      </c>
      <c r="Q326" t="s">
        <v>209</v>
      </c>
      <c r="Z326" t="s">
        <v>49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hidden="1">
      <c r="A327">
        <v>326</v>
      </c>
      <c r="B327" t="s">
        <v>668</v>
      </c>
      <c r="C327" t="s">
        <v>666</v>
      </c>
      <c r="D327" t="s">
        <v>146</v>
      </c>
      <c r="E327">
        <v>0</v>
      </c>
      <c r="F327" s="3">
        <v>46268</v>
      </c>
      <c r="G327" s="3">
        <v>46273</v>
      </c>
      <c r="H327" t="s">
        <v>74</v>
      </c>
      <c r="I327" t="s">
        <v>147</v>
      </c>
      <c r="J327" t="s">
        <v>398</v>
      </c>
      <c r="L327" s="3">
        <v>46266</v>
      </c>
      <c r="M327" s="3">
        <v>46266</v>
      </c>
      <c r="N327">
        <v>325</v>
      </c>
      <c r="P327">
        <v>327</v>
      </c>
      <c r="Q327" t="s">
        <v>209</v>
      </c>
      <c r="Z327" t="s">
        <v>49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hidden="1">
      <c r="A328">
        <v>327</v>
      </c>
      <c r="B328" t="s">
        <v>669</v>
      </c>
      <c r="C328" t="s">
        <v>666</v>
      </c>
      <c r="D328" t="s">
        <v>150</v>
      </c>
      <c r="E328">
        <v>0</v>
      </c>
      <c r="F328" s="3">
        <v>46273</v>
      </c>
      <c r="G328" s="3">
        <v>46275</v>
      </c>
      <c r="H328" t="s">
        <v>74</v>
      </c>
      <c r="I328" t="s">
        <v>151</v>
      </c>
      <c r="J328" t="s">
        <v>398</v>
      </c>
      <c r="L328" s="3">
        <v>46268</v>
      </c>
      <c r="M328" s="3">
        <v>46268</v>
      </c>
      <c r="N328">
        <v>326</v>
      </c>
      <c r="Q328" t="s">
        <v>209</v>
      </c>
      <c r="Z328" t="s">
        <v>49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hidden="1">
      <c r="A329">
        <v>328</v>
      </c>
      <c r="B329" t="s">
        <v>670</v>
      </c>
      <c r="C329" t="s">
        <v>206</v>
      </c>
      <c r="D329" t="s">
        <v>671</v>
      </c>
      <c r="E329">
        <v>0</v>
      </c>
      <c r="F329" s="3">
        <v>46247</v>
      </c>
      <c r="G329" s="3">
        <v>46275</v>
      </c>
      <c r="H329" t="s">
        <v>74</v>
      </c>
      <c r="I329" t="s">
        <v>224</v>
      </c>
      <c r="J329" t="s">
        <v>353</v>
      </c>
      <c r="K329" s="3">
        <v>46240</v>
      </c>
      <c r="L329" s="3">
        <v>46268</v>
      </c>
      <c r="M329" s="3">
        <v>46268</v>
      </c>
      <c r="O329" t="s">
        <v>130</v>
      </c>
      <c r="P329" t="s">
        <v>672</v>
      </c>
      <c r="Q329" t="s">
        <v>209</v>
      </c>
      <c r="R329" t="s">
        <v>673</v>
      </c>
      <c r="S329">
        <v>3</v>
      </c>
      <c r="U329" t="s">
        <v>299</v>
      </c>
      <c r="V329" t="s">
        <v>134</v>
      </c>
      <c r="W329" t="s">
        <v>135</v>
      </c>
      <c r="X329" t="s">
        <v>213</v>
      </c>
      <c r="Y329">
        <v>1</v>
      </c>
      <c r="Z329" t="s">
        <v>49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hidden="1">
      <c r="A330">
        <v>329</v>
      </c>
      <c r="B330" t="s">
        <v>674</v>
      </c>
      <c r="C330" t="s">
        <v>675</v>
      </c>
      <c r="D330" t="s">
        <v>139</v>
      </c>
      <c r="E330">
        <v>0</v>
      </c>
      <c r="F330" s="3">
        <v>46247</v>
      </c>
      <c r="G330" s="3">
        <v>46261</v>
      </c>
      <c r="H330" t="s">
        <v>74</v>
      </c>
      <c r="I330" t="s">
        <v>216</v>
      </c>
      <c r="J330" t="s">
        <v>353</v>
      </c>
      <c r="L330" s="3">
        <v>46254</v>
      </c>
      <c r="M330" s="3">
        <v>46254</v>
      </c>
      <c r="N330">
        <v>314</v>
      </c>
      <c r="P330">
        <v>330</v>
      </c>
      <c r="Q330" t="s">
        <v>209</v>
      </c>
      <c r="Z330" t="s">
        <v>49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hidden="1">
      <c r="A331">
        <v>330</v>
      </c>
      <c r="B331" t="s">
        <v>676</v>
      </c>
      <c r="C331" t="s">
        <v>675</v>
      </c>
      <c r="D331" t="s">
        <v>143</v>
      </c>
      <c r="E331">
        <v>0</v>
      </c>
      <c r="F331" s="3">
        <v>46261</v>
      </c>
      <c r="G331" s="3">
        <v>46268</v>
      </c>
      <c r="H331" t="s">
        <v>74</v>
      </c>
      <c r="I331" t="s">
        <v>140</v>
      </c>
      <c r="J331" t="s">
        <v>185</v>
      </c>
      <c r="L331" s="3">
        <v>46261</v>
      </c>
      <c r="M331" s="3">
        <v>46261</v>
      </c>
      <c r="N331">
        <v>329</v>
      </c>
      <c r="P331">
        <v>331</v>
      </c>
      <c r="Q331" t="s">
        <v>209</v>
      </c>
      <c r="Z331" t="s">
        <v>49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hidden="1">
      <c r="A332">
        <v>331</v>
      </c>
      <c r="B332" t="s">
        <v>677</v>
      </c>
      <c r="C332" t="s">
        <v>675</v>
      </c>
      <c r="D332" t="s">
        <v>146</v>
      </c>
      <c r="E332">
        <v>0</v>
      </c>
      <c r="F332" s="3">
        <v>46268</v>
      </c>
      <c r="G332" s="3">
        <v>46273</v>
      </c>
      <c r="H332" t="s">
        <v>74</v>
      </c>
      <c r="I332" t="s">
        <v>147</v>
      </c>
      <c r="J332" t="s">
        <v>398</v>
      </c>
      <c r="L332" s="3">
        <v>46266</v>
      </c>
      <c r="M332" s="3">
        <v>46266</v>
      </c>
      <c r="N332">
        <v>330</v>
      </c>
      <c r="P332">
        <v>332</v>
      </c>
      <c r="Q332" t="s">
        <v>209</v>
      </c>
      <c r="Z332" t="s">
        <v>49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hidden="1">
      <c r="A333">
        <v>332</v>
      </c>
      <c r="B333" t="s">
        <v>678</v>
      </c>
      <c r="C333" t="s">
        <v>675</v>
      </c>
      <c r="D333" t="s">
        <v>150</v>
      </c>
      <c r="E333">
        <v>0</v>
      </c>
      <c r="F333" s="3">
        <v>46273</v>
      </c>
      <c r="G333" s="3">
        <v>46275</v>
      </c>
      <c r="H333" t="s">
        <v>74</v>
      </c>
      <c r="I333" t="s">
        <v>151</v>
      </c>
      <c r="J333" t="s">
        <v>398</v>
      </c>
      <c r="L333" s="3">
        <v>46268</v>
      </c>
      <c r="M333" s="3">
        <v>46268</v>
      </c>
      <c r="N333">
        <v>331</v>
      </c>
      <c r="Q333" t="s">
        <v>209</v>
      </c>
      <c r="Z333" t="s">
        <v>49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hidden="1">
      <c r="A334">
        <v>333</v>
      </c>
      <c r="B334" t="s">
        <v>679</v>
      </c>
      <c r="C334" t="s">
        <v>206</v>
      </c>
      <c r="D334" t="s">
        <v>680</v>
      </c>
      <c r="E334">
        <v>0</v>
      </c>
      <c r="F334" s="3">
        <v>46247</v>
      </c>
      <c r="G334" s="3">
        <v>46275</v>
      </c>
      <c r="H334" t="s">
        <v>74</v>
      </c>
      <c r="I334" t="s">
        <v>224</v>
      </c>
      <c r="J334" t="s">
        <v>353</v>
      </c>
      <c r="K334" s="3">
        <v>46240</v>
      </c>
      <c r="L334" s="3">
        <v>46268</v>
      </c>
      <c r="M334" s="3">
        <v>46268</v>
      </c>
      <c r="O334" t="s">
        <v>130</v>
      </c>
      <c r="Q334" t="s">
        <v>209</v>
      </c>
      <c r="R334" t="s">
        <v>681</v>
      </c>
      <c r="S334">
        <v>3</v>
      </c>
      <c r="U334" t="s">
        <v>299</v>
      </c>
      <c r="V334" t="s">
        <v>134</v>
      </c>
      <c r="W334" t="s">
        <v>135</v>
      </c>
      <c r="X334" t="s">
        <v>213</v>
      </c>
      <c r="Y334">
        <v>1</v>
      </c>
      <c r="Z334" t="s">
        <v>49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 hidden="1">
      <c r="A335">
        <v>334</v>
      </c>
      <c r="B335" t="s">
        <v>682</v>
      </c>
      <c r="C335" t="s">
        <v>683</v>
      </c>
      <c r="D335" t="s">
        <v>139</v>
      </c>
      <c r="E335">
        <v>0</v>
      </c>
      <c r="F335" s="3">
        <v>46247</v>
      </c>
      <c r="G335" s="3">
        <v>46261</v>
      </c>
      <c r="H335" t="s">
        <v>74</v>
      </c>
      <c r="I335" t="s">
        <v>216</v>
      </c>
      <c r="J335" t="s">
        <v>353</v>
      </c>
      <c r="L335" s="3">
        <v>46254</v>
      </c>
      <c r="M335" s="3">
        <v>46254</v>
      </c>
      <c r="N335">
        <v>314</v>
      </c>
      <c r="P335">
        <v>335</v>
      </c>
      <c r="Q335" t="s">
        <v>209</v>
      </c>
      <c r="Z335" t="s">
        <v>49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hidden="1">
      <c r="A336">
        <v>335</v>
      </c>
      <c r="B336" t="s">
        <v>684</v>
      </c>
      <c r="C336" t="s">
        <v>683</v>
      </c>
      <c r="D336" t="s">
        <v>143</v>
      </c>
      <c r="E336">
        <v>0</v>
      </c>
      <c r="F336" s="3">
        <v>46261</v>
      </c>
      <c r="G336" s="3">
        <v>46268</v>
      </c>
      <c r="H336" t="s">
        <v>74</v>
      </c>
      <c r="I336" t="s">
        <v>140</v>
      </c>
      <c r="J336" t="s">
        <v>185</v>
      </c>
      <c r="L336" s="3">
        <v>46261</v>
      </c>
      <c r="M336" s="3">
        <v>46261</v>
      </c>
      <c r="N336">
        <v>334</v>
      </c>
      <c r="P336">
        <v>336</v>
      </c>
      <c r="Q336" t="s">
        <v>209</v>
      </c>
      <c r="Z336" t="s">
        <v>49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hidden="1">
      <c r="A337">
        <v>336</v>
      </c>
      <c r="B337" t="s">
        <v>685</v>
      </c>
      <c r="C337" t="s">
        <v>683</v>
      </c>
      <c r="D337" t="s">
        <v>146</v>
      </c>
      <c r="E337">
        <v>0</v>
      </c>
      <c r="F337" s="3">
        <v>46268</v>
      </c>
      <c r="G337" s="3">
        <v>46273</v>
      </c>
      <c r="H337" t="s">
        <v>74</v>
      </c>
      <c r="I337" t="s">
        <v>147</v>
      </c>
      <c r="J337" t="s">
        <v>398</v>
      </c>
      <c r="L337" s="3">
        <v>46266</v>
      </c>
      <c r="M337" s="3">
        <v>46266</v>
      </c>
      <c r="N337">
        <v>335</v>
      </c>
      <c r="P337">
        <v>337</v>
      </c>
      <c r="Q337" t="s">
        <v>209</v>
      </c>
      <c r="Z337" t="s">
        <v>49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hidden="1">
      <c r="A338">
        <v>337</v>
      </c>
      <c r="B338" t="s">
        <v>686</v>
      </c>
      <c r="C338" t="s">
        <v>683</v>
      </c>
      <c r="D338" t="s">
        <v>150</v>
      </c>
      <c r="E338">
        <v>0</v>
      </c>
      <c r="F338" s="3">
        <v>46273</v>
      </c>
      <c r="G338" s="3">
        <v>46275</v>
      </c>
      <c r="H338" t="s">
        <v>74</v>
      </c>
      <c r="I338" t="s">
        <v>151</v>
      </c>
      <c r="J338" t="s">
        <v>398</v>
      </c>
      <c r="L338" s="3">
        <v>46268</v>
      </c>
      <c r="M338" s="3">
        <v>46268</v>
      </c>
      <c r="N338">
        <v>336</v>
      </c>
      <c r="Q338" t="s">
        <v>209</v>
      </c>
      <c r="Z338" t="s">
        <v>49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hidden="1">
      <c r="A339">
        <v>338</v>
      </c>
      <c r="B339" t="s">
        <v>687</v>
      </c>
      <c r="C339" t="s">
        <v>206</v>
      </c>
      <c r="D339" t="s">
        <v>688</v>
      </c>
      <c r="E339">
        <v>0</v>
      </c>
      <c r="F339" s="3">
        <v>46247</v>
      </c>
      <c r="G339" s="3">
        <v>46275</v>
      </c>
      <c r="H339" t="s">
        <v>74</v>
      </c>
      <c r="I339" t="s">
        <v>224</v>
      </c>
      <c r="J339" t="s">
        <v>353</v>
      </c>
      <c r="K339" s="3">
        <v>46240</v>
      </c>
      <c r="L339" s="3">
        <v>46268</v>
      </c>
      <c r="M339" s="3">
        <v>46268</v>
      </c>
      <c r="O339" t="s">
        <v>130</v>
      </c>
      <c r="Q339" t="s">
        <v>209</v>
      </c>
      <c r="R339" t="s">
        <v>689</v>
      </c>
      <c r="S339">
        <v>3</v>
      </c>
      <c r="U339" t="s">
        <v>299</v>
      </c>
      <c r="V339" t="s">
        <v>134</v>
      </c>
      <c r="W339" t="s">
        <v>135</v>
      </c>
      <c r="X339" t="s">
        <v>213</v>
      </c>
      <c r="Y339">
        <v>1</v>
      </c>
      <c r="Z339" t="s">
        <v>49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 hidden="1">
      <c r="A340">
        <v>339</v>
      </c>
      <c r="B340" t="s">
        <v>690</v>
      </c>
      <c r="C340" t="s">
        <v>691</v>
      </c>
      <c r="D340" t="s">
        <v>139</v>
      </c>
      <c r="E340">
        <v>0</v>
      </c>
      <c r="F340" s="3">
        <v>46247</v>
      </c>
      <c r="G340" s="3">
        <v>46261</v>
      </c>
      <c r="H340" t="s">
        <v>74</v>
      </c>
      <c r="I340" t="s">
        <v>216</v>
      </c>
      <c r="J340" t="s">
        <v>353</v>
      </c>
      <c r="L340" s="3">
        <v>46254</v>
      </c>
      <c r="M340" s="3">
        <v>46254</v>
      </c>
      <c r="N340">
        <v>314</v>
      </c>
      <c r="P340">
        <v>340</v>
      </c>
      <c r="Q340" t="s">
        <v>209</v>
      </c>
      <c r="Z340" t="s">
        <v>49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hidden="1">
      <c r="A341">
        <v>340</v>
      </c>
      <c r="B341" t="s">
        <v>692</v>
      </c>
      <c r="C341" t="s">
        <v>691</v>
      </c>
      <c r="D341" t="s">
        <v>143</v>
      </c>
      <c r="E341">
        <v>0</v>
      </c>
      <c r="F341" s="3">
        <v>46261</v>
      </c>
      <c r="G341" s="3">
        <v>46268</v>
      </c>
      <c r="H341" t="s">
        <v>74</v>
      </c>
      <c r="I341" t="s">
        <v>140</v>
      </c>
      <c r="J341" t="s">
        <v>185</v>
      </c>
      <c r="L341" s="3">
        <v>46261</v>
      </c>
      <c r="M341" s="3">
        <v>46261</v>
      </c>
      <c r="N341">
        <v>339</v>
      </c>
      <c r="P341">
        <v>341</v>
      </c>
      <c r="Q341" t="s">
        <v>209</v>
      </c>
      <c r="Z341" t="s">
        <v>49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hidden="1">
      <c r="A342">
        <v>341</v>
      </c>
      <c r="B342" t="s">
        <v>693</v>
      </c>
      <c r="C342" t="s">
        <v>691</v>
      </c>
      <c r="D342" t="s">
        <v>146</v>
      </c>
      <c r="E342">
        <v>0</v>
      </c>
      <c r="F342" s="3">
        <v>46268</v>
      </c>
      <c r="G342" s="3">
        <v>46273</v>
      </c>
      <c r="H342" t="s">
        <v>74</v>
      </c>
      <c r="I342" t="s">
        <v>147</v>
      </c>
      <c r="J342" t="s">
        <v>398</v>
      </c>
      <c r="L342" s="3">
        <v>46266</v>
      </c>
      <c r="M342" s="3">
        <v>46266</v>
      </c>
      <c r="N342">
        <v>340</v>
      </c>
      <c r="P342">
        <v>342</v>
      </c>
      <c r="Q342" t="s">
        <v>209</v>
      </c>
      <c r="Z342" t="s">
        <v>49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hidden="1">
      <c r="A343">
        <v>342</v>
      </c>
      <c r="B343" t="s">
        <v>694</v>
      </c>
      <c r="C343" t="s">
        <v>691</v>
      </c>
      <c r="D343" t="s">
        <v>150</v>
      </c>
      <c r="E343">
        <v>0</v>
      </c>
      <c r="F343" s="3">
        <v>46273</v>
      </c>
      <c r="G343" s="3">
        <v>46275</v>
      </c>
      <c r="H343" t="s">
        <v>74</v>
      </c>
      <c r="I343" t="s">
        <v>151</v>
      </c>
      <c r="J343" t="s">
        <v>398</v>
      </c>
      <c r="L343" s="3">
        <v>46268</v>
      </c>
      <c r="M343" s="3">
        <v>46268</v>
      </c>
      <c r="N343">
        <v>341</v>
      </c>
      <c r="Q343" t="s">
        <v>209</v>
      </c>
      <c r="Z343" t="s">
        <v>49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hidden="1">
      <c r="A344">
        <v>343</v>
      </c>
      <c r="B344" t="s">
        <v>695</v>
      </c>
      <c r="C344" t="s">
        <v>206</v>
      </c>
      <c r="D344" t="s">
        <v>696</v>
      </c>
      <c r="E344">
        <v>0</v>
      </c>
      <c r="F344" s="3">
        <v>46247</v>
      </c>
      <c r="G344" s="3">
        <v>46275</v>
      </c>
      <c r="H344" t="s">
        <v>74</v>
      </c>
      <c r="I344" t="s">
        <v>224</v>
      </c>
      <c r="J344" t="s">
        <v>353</v>
      </c>
      <c r="K344" s="3">
        <v>46240</v>
      </c>
      <c r="L344" s="3">
        <v>46268</v>
      </c>
      <c r="M344" s="3">
        <v>46268</v>
      </c>
      <c r="O344" t="s">
        <v>130</v>
      </c>
      <c r="Q344" t="s">
        <v>209</v>
      </c>
      <c r="R344" t="s">
        <v>697</v>
      </c>
      <c r="S344">
        <v>3</v>
      </c>
      <c r="U344" t="s">
        <v>299</v>
      </c>
      <c r="V344" t="s">
        <v>134</v>
      </c>
      <c r="W344" t="s">
        <v>135</v>
      </c>
      <c r="X344" t="s">
        <v>213</v>
      </c>
      <c r="Y344">
        <v>1</v>
      </c>
      <c r="Z344" t="s">
        <v>49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hidden="1">
      <c r="A345">
        <v>344</v>
      </c>
      <c r="B345" t="s">
        <v>698</v>
      </c>
      <c r="C345" t="s">
        <v>699</v>
      </c>
      <c r="D345" t="s">
        <v>139</v>
      </c>
      <c r="E345">
        <v>0</v>
      </c>
      <c r="F345" s="3">
        <v>46247</v>
      </c>
      <c r="G345" s="3">
        <v>46261</v>
      </c>
      <c r="H345" t="s">
        <v>74</v>
      </c>
      <c r="I345" t="s">
        <v>216</v>
      </c>
      <c r="J345" t="s">
        <v>353</v>
      </c>
      <c r="L345" s="3">
        <v>46254</v>
      </c>
      <c r="M345" s="3">
        <v>46254</v>
      </c>
      <c r="N345">
        <v>314</v>
      </c>
      <c r="P345">
        <v>345</v>
      </c>
      <c r="Q345" t="s">
        <v>209</v>
      </c>
      <c r="Z345" t="s">
        <v>49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hidden="1">
      <c r="A346">
        <v>345</v>
      </c>
      <c r="B346" t="s">
        <v>700</v>
      </c>
      <c r="C346" t="s">
        <v>699</v>
      </c>
      <c r="D346" t="s">
        <v>143</v>
      </c>
      <c r="E346">
        <v>0</v>
      </c>
      <c r="F346" s="3">
        <v>46261</v>
      </c>
      <c r="G346" s="3">
        <v>46268</v>
      </c>
      <c r="H346" t="s">
        <v>74</v>
      </c>
      <c r="I346" t="s">
        <v>140</v>
      </c>
      <c r="J346" t="s">
        <v>185</v>
      </c>
      <c r="L346" s="3">
        <v>46261</v>
      </c>
      <c r="M346" s="3">
        <v>46261</v>
      </c>
      <c r="N346">
        <v>344</v>
      </c>
      <c r="P346">
        <v>346</v>
      </c>
      <c r="Q346" t="s">
        <v>209</v>
      </c>
      <c r="Z346" t="s">
        <v>49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hidden="1">
      <c r="A347">
        <v>346</v>
      </c>
      <c r="B347" t="s">
        <v>701</v>
      </c>
      <c r="C347" t="s">
        <v>699</v>
      </c>
      <c r="D347" t="s">
        <v>146</v>
      </c>
      <c r="E347">
        <v>0</v>
      </c>
      <c r="F347" s="3">
        <v>46268</v>
      </c>
      <c r="G347" s="3">
        <v>46273</v>
      </c>
      <c r="H347" t="s">
        <v>74</v>
      </c>
      <c r="I347" t="s">
        <v>147</v>
      </c>
      <c r="J347" t="s">
        <v>398</v>
      </c>
      <c r="L347" s="3">
        <v>46266</v>
      </c>
      <c r="M347" s="3">
        <v>46266</v>
      </c>
      <c r="N347">
        <v>345</v>
      </c>
      <c r="P347">
        <v>347</v>
      </c>
      <c r="Q347" t="s">
        <v>209</v>
      </c>
      <c r="Z347" t="s">
        <v>49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 hidden="1">
      <c r="A348">
        <v>347</v>
      </c>
      <c r="B348" t="s">
        <v>702</v>
      </c>
      <c r="C348" t="s">
        <v>699</v>
      </c>
      <c r="D348" t="s">
        <v>150</v>
      </c>
      <c r="E348">
        <v>0</v>
      </c>
      <c r="F348" s="3">
        <v>46273</v>
      </c>
      <c r="G348" s="3">
        <v>46275</v>
      </c>
      <c r="H348" t="s">
        <v>74</v>
      </c>
      <c r="I348" t="s">
        <v>151</v>
      </c>
      <c r="J348" t="s">
        <v>398</v>
      </c>
      <c r="L348" s="3">
        <v>46268</v>
      </c>
      <c r="M348" s="3">
        <v>46268</v>
      </c>
      <c r="N348">
        <v>346</v>
      </c>
      <c r="Q348" t="s">
        <v>209</v>
      </c>
      <c r="Z348" t="s">
        <v>49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hidden="1">
      <c r="A349">
        <v>348</v>
      </c>
      <c r="B349" t="s">
        <v>703</v>
      </c>
      <c r="C349" t="s">
        <v>206</v>
      </c>
      <c r="D349" t="s">
        <v>704</v>
      </c>
      <c r="E349">
        <v>0</v>
      </c>
      <c r="F349" s="3">
        <v>46247</v>
      </c>
      <c r="G349" s="3">
        <v>46275</v>
      </c>
      <c r="H349" t="s">
        <v>74</v>
      </c>
      <c r="I349" t="s">
        <v>224</v>
      </c>
      <c r="J349" t="s">
        <v>353</v>
      </c>
      <c r="K349" s="3">
        <v>46240</v>
      </c>
      <c r="L349" s="3">
        <v>46268</v>
      </c>
      <c r="M349" s="3">
        <v>46268</v>
      </c>
      <c r="O349" t="s">
        <v>130</v>
      </c>
      <c r="Q349" t="s">
        <v>209</v>
      </c>
      <c r="R349" t="s">
        <v>705</v>
      </c>
      <c r="S349">
        <v>4</v>
      </c>
      <c r="U349" t="s">
        <v>299</v>
      </c>
      <c r="V349" t="s">
        <v>134</v>
      </c>
      <c r="W349" t="s">
        <v>135</v>
      </c>
      <c r="X349" t="s">
        <v>213</v>
      </c>
      <c r="Y349">
        <v>1</v>
      </c>
      <c r="Z349" t="s">
        <v>49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hidden="1">
      <c r="A350">
        <v>349</v>
      </c>
      <c r="B350" t="s">
        <v>706</v>
      </c>
      <c r="C350" t="s">
        <v>707</v>
      </c>
      <c r="D350" t="s">
        <v>139</v>
      </c>
      <c r="E350">
        <v>0</v>
      </c>
      <c r="F350" s="3">
        <v>46247</v>
      </c>
      <c r="G350" s="3">
        <v>46261</v>
      </c>
      <c r="H350" t="s">
        <v>74</v>
      </c>
      <c r="I350" t="s">
        <v>216</v>
      </c>
      <c r="J350" t="s">
        <v>353</v>
      </c>
      <c r="L350" s="3">
        <v>46254</v>
      </c>
      <c r="M350" s="3">
        <v>46254</v>
      </c>
      <c r="N350">
        <v>314</v>
      </c>
      <c r="P350">
        <v>350</v>
      </c>
      <c r="Q350" t="s">
        <v>209</v>
      </c>
      <c r="Z350" t="s">
        <v>49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 hidden="1">
      <c r="A351">
        <v>350</v>
      </c>
      <c r="B351" t="s">
        <v>708</v>
      </c>
      <c r="C351" t="s">
        <v>707</v>
      </c>
      <c r="D351" t="s">
        <v>143</v>
      </c>
      <c r="E351">
        <v>0</v>
      </c>
      <c r="F351" s="3">
        <v>46261</v>
      </c>
      <c r="G351" s="3">
        <v>46268</v>
      </c>
      <c r="H351" t="s">
        <v>74</v>
      </c>
      <c r="I351" t="s">
        <v>140</v>
      </c>
      <c r="J351" t="s">
        <v>185</v>
      </c>
      <c r="L351" s="3">
        <v>46261</v>
      </c>
      <c r="M351" s="3">
        <v>46261</v>
      </c>
      <c r="N351">
        <v>349</v>
      </c>
      <c r="P351">
        <v>351</v>
      </c>
      <c r="Q351" t="s">
        <v>209</v>
      </c>
      <c r="Z351" t="s">
        <v>49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hidden="1">
      <c r="A352">
        <v>351</v>
      </c>
      <c r="B352" t="s">
        <v>709</v>
      </c>
      <c r="C352" t="s">
        <v>707</v>
      </c>
      <c r="D352" t="s">
        <v>146</v>
      </c>
      <c r="E352">
        <v>0</v>
      </c>
      <c r="F352" s="3">
        <v>46268</v>
      </c>
      <c r="G352" s="3">
        <v>46273</v>
      </c>
      <c r="H352" t="s">
        <v>74</v>
      </c>
      <c r="I352" t="s">
        <v>147</v>
      </c>
      <c r="J352" t="s">
        <v>398</v>
      </c>
      <c r="L352" s="3">
        <v>46266</v>
      </c>
      <c r="M352" s="3">
        <v>46266</v>
      </c>
      <c r="N352">
        <v>350</v>
      </c>
      <c r="P352">
        <v>352</v>
      </c>
      <c r="Q352" t="s">
        <v>209</v>
      </c>
      <c r="Z352" t="s">
        <v>49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 hidden="1">
      <c r="A353">
        <v>352</v>
      </c>
      <c r="B353" t="s">
        <v>710</v>
      </c>
      <c r="C353" t="s">
        <v>707</v>
      </c>
      <c r="D353" t="s">
        <v>150</v>
      </c>
      <c r="E353">
        <v>0</v>
      </c>
      <c r="F353" s="3">
        <v>46273</v>
      </c>
      <c r="G353" s="3">
        <v>46275</v>
      </c>
      <c r="H353" t="s">
        <v>74</v>
      </c>
      <c r="I353" t="s">
        <v>151</v>
      </c>
      <c r="J353" t="s">
        <v>398</v>
      </c>
      <c r="L353" s="3">
        <v>46268</v>
      </c>
      <c r="M353" s="3">
        <v>46268</v>
      </c>
      <c r="N353">
        <v>351</v>
      </c>
      <c r="Q353" t="s">
        <v>209</v>
      </c>
      <c r="Z353" t="s">
        <v>49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hidden="1">
      <c r="A354">
        <v>353</v>
      </c>
      <c r="B354" t="s">
        <v>711</v>
      </c>
      <c r="C354" t="s">
        <v>206</v>
      </c>
      <c r="D354" t="s">
        <v>712</v>
      </c>
      <c r="E354">
        <v>0</v>
      </c>
      <c r="F354" s="3">
        <v>46247</v>
      </c>
      <c r="G354" s="3">
        <v>46275</v>
      </c>
      <c r="H354" t="s">
        <v>74</v>
      </c>
      <c r="I354" t="s">
        <v>224</v>
      </c>
      <c r="J354" t="s">
        <v>353</v>
      </c>
      <c r="K354" s="3">
        <v>46240</v>
      </c>
      <c r="L354" s="3">
        <v>46268</v>
      </c>
      <c r="M354" s="3">
        <v>46268</v>
      </c>
      <c r="O354" t="s">
        <v>713</v>
      </c>
      <c r="Q354" t="s">
        <v>209</v>
      </c>
      <c r="R354" t="s">
        <v>714</v>
      </c>
      <c r="S354">
        <v>3</v>
      </c>
      <c r="U354" t="s">
        <v>299</v>
      </c>
      <c r="V354" t="s">
        <v>134</v>
      </c>
      <c r="W354" t="s">
        <v>135</v>
      </c>
      <c r="X354" t="s">
        <v>213</v>
      </c>
      <c r="Y354">
        <v>1</v>
      </c>
      <c r="Z354" t="s">
        <v>49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hidden="1">
      <c r="A355">
        <v>354</v>
      </c>
      <c r="B355" t="s">
        <v>715</v>
      </c>
      <c r="C355" t="s">
        <v>716</v>
      </c>
      <c r="D355" t="s">
        <v>139</v>
      </c>
      <c r="E355">
        <v>0</v>
      </c>
      <c r="F355" s="3">
        <v>46247</v>
      </c>
      <c r="G355" s="3">
        <v>46261</v>
      </c>
      <c r="H355" t="s">
        <v>74</v>
      </c>
      <c r="I355" t="s">
        <v>216</v>
      </c>
      <c r="J355" t="s">
        <v>353</v>
      </c>
      <c r="L355" s="3">
        <v>46254</v>
      </c>
      <c r="M355" s="3">
        <v>46254</v>
      </c>
      <c r="N355">
        <v>314</v>
      </c>
      <c r="P355">
        <v>355</v>
      </c>
      <c r="Q355" t="s">
        <v>209</v>
      </c>
      <c r="Z355" t="s">
        <v>49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 hidden="1">
      <c r="A356">
        <v>355</v>
      </c>
      <c r="B356" t="s">
        <v>717</v>
      </c>
      <c r="C356" t="s">
        <v>716</v>
      </c>
      <c r="D356" t="s">
        <v>143</v>
      </c>
      <c r="E356">
        <v>0</v>
      </c>
      <c r="F356" s="3">
        <v>46261</v>
      </c>
      <c r="G356" s="3">
        <v>46268</v>
      </c>
      <c r="H356" t="s">
        <v>74</v>
      </c>
      <c r="I356" t="s">
        <v>140</v>
      </c>
      <c r="J356" t="s">
        <v>185</v>
      </c>
      <c r="L356" s="3">
        <v>46261</v>
      </c>
      <c r="M356" s="3">
        <v>46261</v>
      </c>
      <c r="N356">
        <v>354</v>
      </c>
      <c r="P356">
        <v>356</v>
      </c>
      <c r="Q356" t="s">
        <v>209</v>
      </c>
      <c r="Z356" t="s">
        <v>49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hidden="1">
      <c r="A357">
        <v>356</v>
      </c>
      <c r="B357" t="s">
        <v>718</v>
      </c>
      <c r="C357" t="s">
        <v>716</v>
      </c>
      <c r="D357" t="s">
        <v>146</v>
      </c>
      <c r="E357">
        <v>0</v>
      </c>
      <c r="F357" s="3">
        <v>46268</v>
      </c>
      <c r="G357" s="3">
        <v>46273</v>
      </c>
      <c r="H357" t="s">
        <v>74</v>
      </c>
      <c r="I357" t="s">
        <v>147</v>
      </c>
      <c r="J357" t="s">
        <v>398</v>
      </c>
      <c r="L357" s="3">
        <v>46266</v>
      </c>
      <c r="M357" s="3">
        <v>46266</v>
      </c>
      <c r="N357">
        <v>355</v>
      </c>
      <c r="P357">
        <v>357</v>
      </c>
      <c r="Q357" t="s">
        <v>209</v>
      </c>
      <c r="Z357" t="s">
        <v>49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hidden="1">
      <c r="A358">
        <v>357</v>
      </c>
      <c r="B358" t="s">
        <v>719</v>
      </c>
      <c r="C358" t="s">
        <v>716</v>
      </c>
      <c r="D358" t="s">
        <v>150</v>
      </c>
      <c r="E358">
        <v>0</v>
      </c>
      <c r="F358" s="3">
        <v>46273</v>
      </c>
      <c r="G358" s="3">
        <v>46275</v>
      </c>
      <c r="H358" t="s">
        <v>74</v>
      </c>
      <c r="I358" t="s">
        <v>151</v>
      </c>
      <c r="J358" t="s">
        <v>398</v>
      </c>
      <c r="L358" s="3">
        <v>46268</v>
      </c>
      <c r="M358" s="3">
        <v>46268</v>
      </c>
      <c r="N358">
        <v>356</v>
      </c>
      <c r="Q358" t="s">
        <v>209</v>
      </c>
      <c r="Z358" t="s">
        <v>49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hidden="1">
      <c r="A359">
        <v>358</v>
      </c>
      <c r="B359" t="s">
        <v>720</v>
      </c>
      <c r="C359" t="s">
        <v>206</v>
      </c>
      <c r="D359" t="s">
        <v>721</v>
      </c>
      <c r="E359">
        <v>0</v>
      </c>
      <c r="F359" s="3">
        <v>46247</v>
      </c>
      <c r="G359" s="3">
        <v>46275</v>
      </c>
      <c r="H359" t="s">
        <v>74</v>
      </c>
      <c r="I359" t="s">
        <v>224</v>
      </c>
      <c r="J359" t="s">
        <v>353</v>
      </c>
      <c r="K359" s="3">
        <v>46240</v>
      </c>
      <c r="L359" s="3">
        <v>46268</v>
      </c>
      <c r="M359" s="3">
        <v>46268</v>
      </c>
      <c r="O359" t="s">
        <v>713</v>
      </c>
      <c r="Q359" t="s">
        <v>209</v>
      </c>
      <c r="R359" t="s">
        <v>722</v>
      </c>
      <c r="S359">
        <v>3</v>
      </c>
      <c r="U359" t="s">
        <v>299</v>
      </c>
      <c r="V359" t="s">
        <v>134</v>
      </c>
      <c r="W359" t="s">
        <v>135</v>
      </c>
      <c r="X359" t="s">
        <v>213</v>
      </c>
      <c r="Y359">
        <v>1</v>
      </c>
      <c r="Z359" t="s">
        <v>49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 hidden="1">
      <c r="A360">
        <v>359</v>
      </c>
      <c r="B360" t="s">
        <v>723</v>
      </c>
      <c r="C360" t="s">
        <v>724</v>
      </c>
      <c r="D360" t="s">
        <v>139</v>
      </c>
      <c r="E360">
        <v>0</v>
      </c>
      <c r="F360" s="3">
        <v>46247</v>
      </c>
      <c r="G360" s="3">
        <v>46261</v>
      </c>
      <c r="H360" t="s">
        <v>74</v>
      </c>
      <c r="I360" t="s">
        <v>216</v>
      </c>
      <c r="J360" t="s">
        <v>353</v>
      </c>
      <c r="L360" s="3">
        <v>46254</v>
      </c>
      <c r="M360" s="3">
        <v>46254</v>
      </c>
      <c r="N360">
        <v>314</v>
      </c>
      <c r="P360">
        <v>360</v>
      </c>
      <c r="Q360" t="s">
        <v>209</v>
      </c>
      <c r="Z360" t="s">
        <v>49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hidden="1">
      <c r="A361">
        <v>360</v>
      </c>
      <c r="B361" t="s">
        <v>725</v>
      </c>
      <c r="C361" t="s">
        <v>724</v>
      </c>
      <c r="D361" t="s">
        <v>143</v>
      </c>
      <c r="E361">
        <v>0</v>
      </c>
      <c r="F361" s="3">
        <v>46261</v>
      </c>
      <c r="G361" s="3">
        <v>46268</v>
      </c>
      <c r="H361" t="s">
        <v>74</v>
      </c>
      <c r="I361" t="s">
        <v>140</v>
      </c>
      <c r="J361" t="s">
        <v>185</v>
      </c>
      <c r="L361" s="3">
        <v>46261</v>
      </c>
      <c r="M361" s="3">
        <v>46261</v>
      </c>
      <c r="N361">
        <v>359</v>
      </c>
      <c r="P361">
        <v>361</v>
      </c>
      <c r="Q361" t="s">
        <v>209</v>
      </c>
      <c r="Z361" t="s">
        <v>49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hidden="1">
      <c r="A362">
        <v>361</v>
      </c>
      <c r="B362" t="s">
        <v>726</v>
      </c>
      <c r="C362" t="s">
        <v>724</v>
      </c>
      <c r="D362" t="s">
        <v>146</v>
      </c>
      <c r="E362">
        <v>0</v>
      </c>
      <c r="F362" s="3">
        <v>46268</v>
      </c>
      <c r="G362" s="3">
        <v>46273</v>
      </c>
      <c r="H362" t="s">
        <v>74</v>
      </c>
      <c r="I362" t="s">
        <v>147</v>
      </c>
      <c r="J362" t="s">
        <v>398</v>
      </c>
      <c r="L362" s="3">
        <v>46266</v>
      </c>
      <c r="M362" s="3">
        <v>46266</v>
      </c>
      <c r="N362">
        <v>360</v>
      </c>
      <c r="P362">
        <v>362</v>
      </c>
      <c r="Q362" t="s">
        <v>209</v>
      </c>
      <c r="Z362" t="s">
        <v>49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 hidden="1">
      <c r="A363">
        <v>362</v>
      </c>
      <c r="B363" t="s">
        <v>727</v>
      </c>
      <c r="C363" t="s">
        <v>724</v>
      </c>
      <c r="D363" t="s">
        <v>150</v>
      </c>
      <c r="E363">
        <v>0</v>
      </c>
      <c r="F363" s="3">
        <v>46273</v>
      </c>
      <c r="G363" s="3">
        <v>46275</v>
      </c>
      <c r="H363" t="s">
        <v>74</v>
      </c>
      <c r="I363" t="s">
        <v>151</v>
      </c>
      <c r="J363" t="s">
        <v>398</v>
      </c>
      <c r="L363" s="3">
        <v>46268</v>
      </c>
      <c r="M363" s="3">
        <v>46268</v>
      </c>
      <c r="N363">
        <v>361</v>
      </c>
      <c r="Q363" t="s">
        <v>209</v>
      </c>
      <c r="Z363" t="s">
        <v>49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 hidden="1">
      <c r="A364">
        <v>363</v>
      </c>
      <c r="B364" t="s">
        <v>728</v>
      </c>
      <c r="C364" t="s">
        <v>206</v>
      </c>
      <c r="D364" t="s">
        <v>729</v>
      </c>
      <c r="E364">
        <v>0</v>
      </c>
      <c r="F364" s="3">
        <v>46247</v>
      </c>
      <c r="G364" s="3">
        <v>46275</v>
      </c>
      <c r="H364" t="s">
        <v>74</v>
      </c>
      <c r="I364" t="s">
        <v>224</v>
      </c>
      <c r="J364" t="s">
        <v>353</v>
      </c>
      <c r="K364" s="3">
        <v>46240</v>
      </c>
      <c r="L364" s="3">
        <v>46268</v>
      </c>
      <c r="M364" s="3">
        <v>46268</v>
      </c>
      <c r="O364" t="s">
        <v>730</v>
      </c>
      <c r="Q364" t="s">
        <v>209</v>
      </c>
      <c r="R364" t="s">
        <v>731</v>
      </c>
      <c r="S364">
        <v>3</v>
      </c>
      <c r="U364" t="s">
        <v>299</v>
      </c>
      <c r="V364" t="s">
        <v>134</v>
      </c>
      <c r="W364" t="s">
        <v>135</v>
      </c>
      <c r="X364" t="s">
        <v>213</v>
      </c>
      <c r="Y364">
        <v>1</v>
      </c>
      <c r="Z364" t="s">
        <v>49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hidden="1">
      <c r="A365">
        <v>364</v>
      </c>
      <c r="B365" t="s">
        <v>732</v>
      </c>
      <c r="C365" t="s">
        <v>733</v>
      </c>
      <c r="D365" t="s">
        <v>139</v>
      </c>
      <c r="E365">
        <v>0</v>
      </c>
      <c r="F365" s="3">
        <v>46247</v>
      </c>
      <c r="G365" s="3">
        <v>46261</v>
      </c>
      <c r="H365" t="s">
        <v>74</v>
      </c>
      <c r="I365" t="s">
        <v>216</v>
      </c>
      <c r="J365" t="s">
        <v>353</v>
      </c>
      <c r="L365" s="3">
        <v>46254</v>
      </c>
      <c r="M365" s="3">
        <v>46254</v>
      </c>
      <c r="N365">
        <v>314</v>
      </c>
      <c r="P365">
        <v>365</v>
      </c>
      <c r="Q365" t="s">
        <v>209</v>
      </c>
      <c r="Z365" t="s">
        <v>49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hidden="1">
      <c r="A366">
        <v>365</v>
      </c>
      <c r="B366" t="s">
        <v>734</v>
      </c>
      <c r="C366" t="s">
        <v>733</v>
      </c>
      <c r="D366" t="s">
        <v>143</v>
      </c>
      <c r="E366">
        <v>0</v>
      </c>
      <c r="F366" s="3">
        <v>46261</v>
      </c>
      <c r="G366" s="3">
        <v>46268</v>
      </c>
      <c r="H366" t="s">
        <v>74</v>
      </c>
      <c r="I366" t="s">
        <v>140</v>
      </c>
      <c r="J366" t="s">
        <v>185</v>
      </c>
      <c r="L366" s="3">
        <v>46261</v>
      </c>
      <c r="M366" s="3">
        <v>46261</v>
      </c>
      <c r="N366">
        <v>364</v>
      </c>
      <c r="P366">
        <v>366</v>
      </c>
      <c r="Q366" t="s">
        <v>209</v>
      </c>
      <c r="Z366" t="s">
        <v>49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hidden="1">
      <c r="A367">
        <v>366</v>
      </c>
      <c r="B367" t="s">
        <v>735</v>
      </c>
      <c r="C367" t="s">
        <v>733</v>
      </c>
      <c r="D367" t="s">
        <v>146</v>
      </c>
      <c r="E367">
        <v>0</v>
      </c>
      <c r="F367" s="3">
        <v>46268</v>
      </c>
      <c r="G367" s="3">
        <v>46273</v>
      </c>
      <c r="H367" t="s">
        <v>74</v>
      </c>
      <c r="I367" t="s">
        <v>147</v>
      </c>
      <c r="J367" t="s">
        <v>398</v>
      </c>
      <c r="L367" s="3">
        <v>46266</v>
      </c>
      <c r="M367" s="3">
        <v>46266</v>
      </c>
      <c r="N367">
        <v>365</v>
      </c>
      <c r="P367">
        <v>367</v>
      </c>
      <c r="Q367" t="s">
        <v>209</v>
      </c>
      <c r="Z367" t="s">
        <v>49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hidden="1">
      <c r="A368">
        <v>367</v>
      </c>
      <c r="B368" t="s">
        <v>736</v>
      </c>
      <c r="C368" t="s">
        <v>733</v>
      </c>
      <c r="D368" t="s">
        <v>150</v>
      </c>
      <c r="E368">
        <v>0</v>
      </c>
      <c r="F368" s="3">
        <v>46273</v>
      </c>
      <c r="G368" s="3">
        <v>46275</v>
      </c>
      <c r="H368" t="s">
        <v>74</v>
      </c>
      <c r="I368" t="s">
        <v>151</v>
      </c>
      <c r="J368" t="s">
        <v>398</v>
      </c>
      <c r="L368" s="3">
        <v>46268</v>
      </c>
      <c r="M368" s="3">
        <v>46268</v>
      </c>
      <c r="N368">
        <v>366</v>
      </c>
      <c r="Q368" t="s">
        <v>209</v>
      </c>
      <c r="Z368" t="s">
        <v>49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hidden="1">
      <c r="A369">
        <v>368</v>
      </c>
      <c r="B369" t="s">
        <v>737</v>
      </c>
      <c r="C369" t="s">
        <v>206</v>
      </c>
      <c r="D369" t="s">
        <v>738</v>
      </c>
      <c r="E369">
        <v>0</v>
      </c>
      <c r="F369" s="3">
        <v>46247</v>
      </c>
      <c r="G369" s="3">
        <v>46275</v>
      </c>
      <c r="H369" t="s">
        <v>74</v>
      </c>
      <c r="I369" t="s">
        <v>224</v>
      </c>
      <c r="J369" t="s">
        <v>353</v>
      </c>
      <c r="K369" s="3">
        <v>46240</v>
      </c>
      <c r="L369" s="3">
        <v>46268</v>
      </c>
      <c r="M369" s="3">
        <v>46268</v>
      </c>
      <c r="O369" t="s">
        <v>730</v>
      </c>
      <c r="Q369" t="s">
        <v>209</v>
      </c>
      <c r="R369" t="s">
        <v>739</v>
      </c>
      <c r="S369">
        <v>4</v>
      </c>
      <c r="U369" t="s">
        <v>299</v>
      </c>
      <c r="V369" t="s">
        <v>134</v>
      </c>
      <c r="W369" t="s">
        <v>135</v>
      </c>
      <c r="X369" t="s">
        <v>213</v>
      </c>
      <c r="Y369">
        <v>1</v>
      </c>
      <c r="Z369" t="s">
        <v>43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 hidden="1">
      <c r="A370">
        <v>369</v>
      </c>
      <c r="B370" t="s">
        <v>740</v>
      </c>
      <c r="C370" t="s">
        <v>741</v>
      </c>
      <c r="D370" t="s">
        <v>139</v>
      </c>
      <c r="E370">
        <v>0</v>
      </c>
      <c r="F370" s="3">
        <v>46247</v>
      </c>
      <c r="G370" s="3">
        <v>46261</v>
      </c>
      <c r="H370" t="s">
        <v>74</v>
      </c>
      <c r="I370" t="s">
        <v>216</v>
      </c>
      <c r="J370" t="s">
        <v>353</v>
      </c>
      <c r="L370" s="3">
        <v>46254</v>
      </c>
      <c r="M370" s="3">
        <v>46254</v>
      </c>
      <c r="N370">
        <v>314</v>
      </c>
      <c r="P370" t="s">
        <v>742</v>
      </c>
      <c r="Q370" t="s">
        <v>209</v>
      </c>
      <c r="Z370" t="s">
        <v>43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 hidden="1">
      <c r="A371">
        <v>370</v>
      </c>
      <c r="B371" t="s">
        <v>743</v>
      </c>
      <c r="C371" t="s">
        <v>741</v>
      </c>
      <c r="D371" t="s">
        <v>143</v>
      </c>
      <c r="E371">
        <v>0</v>
      </c>
      <c r="F371" s="3">
        <v>46261</v>
      </c>
      <c r="G371" s="3">
        <v>46268</v>
      </c>
      <c r="H371" t="s">
        <v>74</v>
      </c>
      <c r="I371" t="s">
        <v>140</v>
      </c>
      <c r="J371" t="s">
        <v>185</v>
      </c>
      <c r="L371" s="3">
        <v>46261</v>
      </c>
      <c r="M371" s="3">
        <v>46261</v>
      </c>
      <c r="N371">
        <v>369</v>
      </c>
      <c r="P371">
        <v>371</v>
      </c>
      <c r="Q371" t="s">
        <v>209</v>
      </c>
      <c r="Z371" t="s">
        <v>49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hidden="1">
      <c r="A372">
        <v>371</v>
      </c>
      <c r="B372" t="s">
        <v>744</v>
      </c>
      <c r="C372" t="s">
        <v>741</v>
      </c>
      <c r="D372" t="s">
        <v>146</v>
      </c>
      <c r="E372">
        <v>0</v>
      </c>
      <c r="F372" s="3">
        <v>46268</v>
      </c>
      <c r="G372" s="3">
        <v>46273</v>
      </c>
      <c r="H372" t="s">
        <v>74</v>
      </c>
      <c r="I372" t="s">
        <v>147</v>
      </c>
      <c r="J372" t="s">
        <v>398</v>
      </c>
      <c r="L372" s="3">
        <v>46266</v>
      </c>
      <c r="M372" s="3">
        <v>46266</v>
      </c>
      <c r="N372">
        <v>370</v>
      </c>
      <c r="P372">
        <v>372</v>
      </c>
      <c r="Q372" t="s">
        <v>209</v>
      </c>
      <c r="Z372" t="s">
        <v>49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 hidden="1">
      <c r="A373">
        <v>372</v>
      </c>
      <c r="B373" t="s">
        <v>745</v>
      </c>
      <c r="C373" t="s">
        <v>741</v>
      </c>
      <c r="D373" t="s">
        <v>150</v>
      </c>
      <c r="E373">
        <v>0</v>
      </c>
      <c r="F373" s="3">
        <v>46273</v>
      </c>
      <c r="G373" s="3">
        <v>46275</v>
      </c>
      <c r="H373" t="s">
        <v>74</v>
      </c>
      <c r="I373" t="s">
        <v>151</v>
      </c>
      <c r="J373" t="s">
        <v>398</v>
      </c>
      <c r="L373" s="3">
        <v>46268</v>
      </c>
      <c r="M373" s="3">
        <v>46268</v>
      </c>
      <c r="N373">
        <v>371</v>
      </c>
      <c r="Q373" t="s">
        <v>209</v>
      </c>
      <c r="Z373" t="s">
        <v>49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hidden="1">
      <c r="A374">
        <v>373</v>
      </c>
      <c r="B374" t="s">
        <v>746</v>
      </c>
      <c r="C374" t="s">
        <v>206</v>
      </c>
      <c r="D374" t="s">
        <v>747</v>
      </c>
      <c r="E374">
        <v>0</v>
      </c>
      <c r="F374" s="3">
        <v>46261</v>
      </c>
      <c r="G374" s="3">
        <v>46289</v>
      </c>
      <c r="H374" t="s">
        <v>74</v>
      </c>
      <c r="I374" t="s">
        <v>224</v>
      </c>
      <c r="J374" t="s">
        <v>185</v>
      </c>
      <c r="K374" s="3">
        <v>46254</v>
      </c>
      <c r="L374" s="3">
        <v>46282</v>
      </c>
      <c r="M374" s="3">
        <v>46282</v>
      </c>
      <c r="O374" t="s">
        <v>730</v>
      </c>
      <c r="Q374" t="s">
        <v>209</v>
      </c>
      <c r="R374" t="s">
        <v>748</v>
      </c>
      <c r="S374">
        <v>4</v>
      </c>
      <c r="U374" t="s">
        <v>299</v>
      </c>
      <c r="V374" t="s">
        <v>134</v>
      </c>
      <c r="W374" t="s">
        <v>135</v>
      </c>
      <c r="X374" t="s">
        <v>213</v>
      </c>
      <c r="Y374">
        <v>1</v>
      </c>
      <c r="Z374" t="s">
        <v>49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hidden="1">
      <c r="A375">
        <v>374</v>
      </c>
      <c r="B375" t="s">
        <v>749</v>
      </c>
      <c r="C375" t="s">
        <v>750</v>
      </c>
      <c r="D375" t="s">
        <v>139</v>
      </c>
      <c r="E375">
        <v>0</v>
      </c>
      <c r="F375" s="3">
        <v>46261</v>
      </c>
      <c r="G375" s="3">
        <v>46275</v>
      </c>
      <c r="H375" t="s">
        <v>74</v>
      </c>
      <c r="I375" t="s">
        <v>216</v>
      </c>
      <c r="J375" t="s">
        <v>185</v>
      </c>
      <c r="L375" s="3">
        <v>46268</v>
      </c>
      <c r="M375" s="3">
        <v>46268</v>
      </c>
      <c r="N375">
        <v>369</v>
      </c>
      <c r="P375">
        <v>375</v>
      </c>
      <c r="Q375" t="s">
        <v>209</v>
      </c>
      <c r="Z375" t="s">
        <v>49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hidden="1">
      <c r="A376">
        <v>375</v>
      </c>
      <c r="B376" t="s">
        <v>751</v>
      </c>
      <c r="C376" t="s">
        <v>750</v>
      </c>
      <c r="D376" t="s">
        <v>143</v>
      </c>
      <c r="E376">
        <v>0</v>
      </c>
      <c r="F376" s="3">
        <v>46275</v>
      </c>
      <c r="G376" s="3">
        <v>46282</v>
      </c>
      <c r="H376" t="s">
        <v>74</v>
      </c>
      <c r="I376" t="s">
        <v>140</v>
      </c>
      <c r="J376" t="s">
        <v>83</v>
      </c>
      <c r="L376" s="3">
        <v>46275</v>
      </c>
      <c r="M376" s="3">
        <v>46275</v>
      </c>
      <c r="N376">
        <v>374</v>
      </c>
      <c r="P376">
        <v>376</v>
      </c>
      <c r="Q376" t="s">
        <v>209</v>
      </c>
      <c r="Z376" t="s">
        <v>49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hidden="1">
      <c r="A377">
        <v>376</v>
      </c>
      <c r="B377" t="s">
        <v>752</v>
      </c>
      <c r="C377" t="s">
        <v>750</v>
      </c>
      <c r="D377" t="s">
        <v>146</v>
      </c>
      <c r="E377">
        <v>0</v>
      </c>
      <c r="F377" s="3">
        <v>46282</v>
      </c>
      <c r="G377" s="3">
        <v>46287</v>
      </c>
      <c r="H377" t="s">
        <v>74</v>
      </c>
      <c r="I377" t="s">
        <v>147</v>
      </c>
      <c r="J377" t="s">
        <v>144</v>
      </c>
      <c r="L377" s="3">
        <v>46280</v>
      </c>
      <c r="M377" s="3">
        <v>46280</v>
      </c>
      <c r="N377">
        <v>375</v>
      </c>
      <c r="P377">
        <v>377</v>
      </c>
      <c r="Q377" t="s">
        <v>209</v>
      </c>
      <c r="Z377" t="s">
        <v>49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 hidden="1">
      <c r="A378">
        <v>377</v>
      </c>
      <c r="B378" t="s">
        <v>753</v>
      </c>
      <c r="C378" t="s">
        <v>750</v>
      </c>
      <c r="D378" t="s">
        <v>150</v>
      </c>
      <c r="E378">
        <v>0</v>
      </c>
      <c r="F378" s="3">
        <v>46287</v>
      </c>
      <c r="G378" s="3">
        <v>46289</v>
      </c>
      <c r="H378" t="s">
        <v>74</v>
      </c>
      <c r="I378" t="s">
        <v>151</v>
      </c>
      <c r="J378" t="s">
        <v>144</v>
      </c>
      <c r="L378" s="3">
        <v>46282</v>
      </c>
      <c r="M378" s="3">
        <v>46282</v>
      </c>
      <c r="N378">
        <v>376</v>
      </c>
      <c r="Q378" t="s">
        <v>209</v>
      </c>
      <c r="Z378" t="s">
        <v>49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hidden="1">
      <c r="A379">
        <v>378</v>
      </c>
      <c r="B379" t="s">
        <v>754</v>
      </c>
      <c r="C379" t="s">
        <v>206</v>
      </c>
      <c r="D379" t="s">
        <v>755</v>
      </c>
      <c r="E379">
        <v>0</v>
      </c>
      <c r="F379" s="3">
        <v>46261</v>
      </c>
      <c r="G379" s="3">
        <v>46289</v>
      </c>
      <c r="H379" t="s">
        <v>74</v>
      </c>
      <c r="I379" t="s">
        <v>224</v>
      </c>
      <c r="J379" t="s">
        <v>185</v>
      </c>
      <c r="K379" s="3">
        <v>46254</v>
      </c>
      <c r="L379" s="3">
        <v>46282</v>
      </c>
      <c r="M379" s="3">
        <v>46282</v>
      </c>
      <c r="O379" t="s">
        <v>730</v>
      </c>
      <c r="Q379" t="s">
        <v>209</v>
      </c>
      <c r="R379" t="s">
        <v>756</v>
      </c>
      <c r="S379">
        <v>3</v>
      </c>
      <c r="U379" t="s">
        <v>299</v>
      </c>
      <c r="V379" t="s">
        <v>134</v>
      </c>
      <c r="W379" t="s">
        <v>135</v>
      </c>
      <c r="X379" t="s">
        <v>213</v>
      </c>
      <c r="Y379">
        <v>1</v>
      </c>
      <c r="Z379" t="s">
        <v>49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hidden="1">
      <c r="A380">
        <v>379</v>
      </c>
      <c r="B380" t="s">
        <v>757</v>
      </c>
      <c r="C380" t="s">
        <v>758</v>
      </c>
      <c r="D380" t="s">
        <v>139</v>
      </c>
      <c r="E380">
        <v>0</v>
      </c>
      <c r="F380" s="3">
        <v>46261</v>
      </c>
      <c r="G380" s="3">
        <v>46275</v>
      </c>
      <c r="H380" t="s">
        <v>74</v>
      </c>
      <c r="I380" t="s">
        <v>216</v>
      </c>
      <c r="J380" t="s">
        <v>185</v>
      </c>
      <c r="L380" s="3">
        <v>46268</v>
      </c>
      <c r="M380" s="3">
        <v>46268</v>
      </c>
      <c r="N380">
        <v>369</v>
      </c>
      <c r="P380">
        <v>380</v>
      </c>
      <c r="Q380" t="s">
        <v>209</v>
      </c>
      <c r="Z380" t="s">
        <v>49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hidden="1">
      <c r="A381">
        <v>380</v>
      </c>
      <c r="B381" t="s">
        <v>759</v>
      </c>
      <c r="C381" t="s">
        <v>758</v>
      </c>
      <c r="D381" t="s">
        <v>143</v>
      </c>
      <c r="E381">
        <v>0</v>
      </c>
      <c r="F381" s="3">
        <v>46275</v>
      </c>
      <c r="G381" s="3">
        <v>46282</v>
      </c>
      <c r="H381" t="s">
        <v>74</v>
      </c>
      <c r="I381" t="s">
        <v>140</v>
      </c>
      <c r="J381" t="s">
        <v>83</v>
      </c>
      <c r="L381" s="3">
        <v>46275</v>
      </c>
      <c r="M381" s="3">
        <v>46275</v>
      </c>
      <c r="N381">
        <v>379</v>
      </c>
      <c r="P381">
        <v>381</v>
      </c>
      <c r="Q381" t="s">
        <v>209</v>
      </c>
      <c r="Z381" t="s">
        <v>49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hidden="1">
      <c r="A382">
        <v>381</v>
      </c>
      <c r="B382" t="s">
        <v>760</v>
      </c>
      <c r="C382" t="s">
        <v>758</v>
      </c>
      <c r="D382" t="s">
        <v>146</v>
      </c>
      <c r="E382">
        <v>0</v>
      </c>
      <c r="F382" s="3">
        <v>46282</v>
      </c>
      <c r="G382" s="3">
        <v>46287</v>
      </c>
      <c r="H382" t="s">
        <v>74</v>
      </c>
      <c r="I382" t="s">
        <v>147</v>
      </c>
      <c r="J382" t="s">
        <v>144</v>
      </c>
      <c r="L382" s="3">
        <v>46280</v>
      </c>
      <c r="M382" s="3">
        <v>46280</v>
      </c>
      <c r="N382">
        <v>380</v>
      </c>
      <c r="P382">
        <v>382</v>
      </c>
      <c r="Q382" t="s">
        <v>209</v>
      </c>
      <c r="Z382" t="s">
        <v>49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 hidden="1">
      <c r="A383">
        <v>382</v>
      </c>
      <c r="B383" t="s">
        <v>761</v>
      </c>
      <c r="C383" t="s">
        <v>758</v>
      </c>
      <c r="D383" t="s">
        <v>150</v>
      </c>
      <c r="E383">
        <v>0</v>
      </c>
      <c r="F383" s="3">
        <v>46287</v>
      </c>
      <c r="G383" s="3">
        <v>46289</v>
      </c>
      <c r="H383" t="s">
        <v>74</v>
      </c>
      <c r="I383" t="s">
        <v>151</v>
      </c>
      <c r="J383" t="s">
        <v>144</v>
      </c>
      <c r="L383" s="3">
        <v>46282</v>
      </c>
      <c r="M383" s="3">
        <v>46282</v>
      </c>
      <c r="N383">
        <v>381</v>
      </c>
      <c r="Q383" t="s">
        <v>209</v>
      </c>
      <c r="Z383" t="s">
        <v>49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hidden="1">
      <c r="A384">
        <v>383</v>
      </c>
      <c r="B384" t="s">
        <v>762</v>
      </c>
      <c r="C384" t="s">
        <v>206</v>
      </c>
      <c r="D384" t="s">
        <v>763</v>
      </c>
      <c r="E384">
        <v>0</v>
      </c>
      <c r="F384" s="3">
        <v>46261</v>
      </c>
      <c r="G384" s="3">
        <v>46289</v>
      </c>
      <c r="H384" t="s">
        <v>74</v>
      </c>
      <c r="I384" t="s">
        <v>224</v>
      </c>
      <c r="J384" t="s">
        <v>185</v>
      </c>
      <c r="K384" s="3">
        <v>46254</v>
      </c>
      <c r="L384" s="3">
        <v>46282</v>
      </c>
      <c r="M384" s="3">
        <v>46282</v>
      </c>
      <c r="O384" t="s">
        <v>713</v>
      </c>
      <c r="Q384" t="s">
        <v>209</v>
      </c>
      <c r="R384" t="s">
        <v>764</v>
      </c>
      <c r="S384">
        <v>3</v>
      </c>
      <c r="U384" t="s">
        <v>299</v>
      </c>
      <c r="V384" t="s">
        <v>134</v>
      </c>
      <c r="W384" t="s">
        <v>135</v>
      </c>
      <c r="X384" t="s">
        <v>213</v>
      </c>
      <c r="Y384">
        <v>1</v>
      </c>
      <c r="Z384" t="s">
        <v>49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 hidden="1">
      <c r="A385">
        <v>384</v>
      </c>
      <c r="B385" t="s">
        <v>765</v>
      </c>
      <c r="C385" t="s">
        <v>766</v>
      </c>
      <c r="D385" t="s">
        <v>139</v>
      </c>
      <c r="E385">
        <v>0</v>
      </c>
      <c r="F385" s="3">
        <v>46261</v>
      </c>
      <c r="G385" s="3">
        <v>46275</v>
      </c>
      <c r="H385" t="s">
        <v>74</v>
      </c>
      <c r="I385" t="s">
        <v>216</v>
      </c>
      <c r="J385" t="s">
        <v>185</v>
      </c>
      <c r="L385" s="3">
        <v>46268</v>
      </c>
      <c r="M385" s="3">
        <v>46268</v>
      </c>
      <c r="N385">
        <v>369</v>
      </c>
      <c r="P385">
        <v>385</v>
      </c>
      <c r="Q385" t="s">
        <v>209</v>
      </c>
      <c r="Z385" t="s">
        <v>49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hidden="1">
      <c r="A386">
        <v>385</v>
      </c>
      <c r="B386" t="s">
        <v>767</v>
      </c>
      <c r="C386" t="s">
        <v>766</v>
      </c>
      <c r="D386" t="s">
        <v>143</v>
      </c>
      <c r="E386">
        <v>0</v>
      </c>
      <c r="F386" s="3">
        <v>46275</v>
      </c>
      <c r="G386" s="3">
        <v>46282</v>
      </c>
      <c r="H386" t="s">
        <v>74</v>
      </c>
      <c r="I386" t="s">
        <v>140</v>
      </c>
      <c r="J386" t="s">
        <v>83</v>
      </c>
      <c r="L386" s="3">
        <v>46275</v>
      </c>
      <c r="M386" s="3">
        <v>46275</v>
      </c>
      <c r="N386">
        <v>384</v>
      </c>
      <c r="P386">
        <v>386</v>
      </c>
      <c r="Q386" t="s">
        <v>209</v>
      </c>
      <c r="Z386" t="s">
        <v>49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hidden="1">
      <c r="A387">
        <v>386</v>
      </c>
      <c r="B387" t="s">
        <v>768</v>
      </c>
      <c r="C387" t="s">
        <v>766</v>
      </c>
      <c r="D387" t="s">
        <v>146</v>
      </c>
      <c r="E387">
        <v>0</v>
      </c>
      <c r="F387" s="3">
        <v>46282</v>
      </c>
      <c r="G387" s="3">
        <v>46287</v>
      </c>
      <c r="H387" t="s">
        <v>74</v>
      </c>
      <c r="I387" t="s">
        <v>147</v>
      </c>
      <c r="J387" t="s">
        <v>144</v>
      </c>
      <c r="L387" s="3">
        <v>46280</v>
      </c>
      <c r="M387" s="3">
        <v>46280</v>
      </c>
      <c r="N387">
        <v>385</v>
      </c>
      <c r="P387">
        <v>387</v>
      </c>
      <c r="Q387" t="s">
        <v>209</v>
      </c>
      <c r="Z387" t="s">
        <v>49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 hidden="1">
      <c r="A388">
        <v>387</v>
      </c>
      <c r="B388" t="s">
        <v>769</v>
      </c>
      <c r="C388" t="s">
        <v>766</v>
      </c>
      <c r="D388" t="s">
        <v>150</v>
      </c>
      <c r="E388">
        <v>0</v>
      </c>
      <c r="F388" s="3">
        <v>46287</v>
      </c>
      <c r="G388" s="3">
        <v>46289</v>
      </c>
      <c r="H388" t="s">
        <v>74</v>
      </c>
      <c r="I388" t="s">
        <v>151</v>
      </c>
      <c r="J388" t="s">
        <v>144</v>
      </c>
      <c r="L388" s="3">
        <v>46282</v>
      </c>
      <c r="M388" s="3">
        <v>46282</v>
      </c>
      <c r="N388">
        <v>386</v>
      </c>
      <c r="Q388" t="s">
        <v>209</v>
      </c>
      <c r="Z388" t="s">
        <v>49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hidden="1">
      <c r="A389">
        <v>388</v>
      </c>
      <c r="B389" t="s">
        <v>770</v>
      </c>
      <c r="C389" t="s">
        <v>206</v>
      </c>
      <c r="D389" t="s">
        <v>771</v>
      </c>
      <c r="E389">
        <v>0</v>
      </c>
      <c r="F389" s="3">
        <v>46261</v>
      </c>
      <c r="G389" s="3">
        <v>46289</v>
      </c>
      <c r="H389" t="s">
        <v>74</v>
      </c>
      <c r="I389" t="s">
        <v>224</v>
      </c>
      <c r="J389" t="s">
        <v>185</v>
      </c>
      <c r="K389" s="3">
        <v>46254</v>
      </c>
      <c r="L389" s="3">
        <v>46282</v>
      </c>
      <c r="M389" s="3">
        <v>46282</v>
      </c>
      <c r="O389" t="s">
        <v>130</v>
      </c>
      <c r="Q389" t="s">
        <v>209</v>
      </c>
      <c r="R389" t="s">
        <v>772</v>
      </c>
      <c r="S389">
        <v>4</v>
      </c>
      <c r="U389" t="s">
        <v>299</v>
      </c>
      <c r="V389" t="s">
        <v>134</v>
      </c>
      <c r="W389" t="s">
        <v>135</v>
      </c>
      <c r="X389" t="s">
        <v>213</v>
      </c>
      <c r="Y389">
        <v>1</v>
      </c>
      <c r="Z389" t="s">
        <v>49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hidden="1">
      <c r="A390">
        <v>389</v>
      </c>
      <c r="B390" t="s">
        <v>773</v>
      </c>
      <c r="C390" t="s">
        <v>774</v>
      </c>
      <c r="D390" t="s">
        <v>139</v>
      </c>
      <c r="E390">
        <v>0</v>
      </c>
      <c r="F390" s="3">
        <v>46261</v>
      </c>
      <c r="G390" s="3">
        <v>46275</v>
      </c>
      <c r="H390" t="s">
        <v>74</v>
      </c>
      <c r="I390" t="s">
        <v>216</v>
      </c>
      <c r="J390" t="s">
        <v>185</v>
      </c>
      <c r="L390" s="3">
        <v>46268</v>
      </c>
      <c r="M390" s="3">
        <v>46268</v>
      </c>
      <c r="N390">
        <v>369</v>
      </c>
      <c r="P390">
        <v>390</v>
      </c>
      <c r="Q390" t="s">
        <v>209</v>
      </c>
      <c r="Z390" t="s">
        <v>49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hidden="1">
      <c r="A391">
        <v>390</v>
      </c>
      <c r="B391" t="s">
        <v>775</v>
      </c>
      <c r="C391" t="s">
        <v>774</v>
      </c>
      <c r="D391" t="s">
        <v>143</v>
      </c>
      <c r="E391">
        <v>0</v>
      </c>
      <c r="F391" s="3">
        <v>46275</v>
      </c>
      <c r="G391" s="3">
        <v>46282</v>
      </c>
      <c r="H391" t="s">
        <v>74</v>
      </c>
      <c r="I391" t="s">
        <v>140</v>
      </c>
      <c r="J391" t="s">
        <v>83</v>
      </c>
      <c r="L391" s="3">
        <v>46275</v>
      </c>
      <c r="M391" s="3">
        <v>46275</v>
      </c>
      <c r="N391">
        <v>389</v>
      </c>
      <c r="P391">
        <v>391</v>
      </c>
      <c r="Q391" t="s">
        <v>209</v>
      </c>
      <c r="Z391" t="s">
        <v>49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hidden="1">
      <c r="A392">
        <v>391</v>
      </c>
      <c r="B392" t="s">
        <v>776</v>
      </c>
      <c r="C392" t="s">
        <v>774</v>
      </c>
      <c r="D392" t="s">
        <v>146</v>
      </c>
      <c r="E392">
        <v>0</v>
      </c>
      <c r="F392" s="3">
        <v>46282</v>
      </c>
      <c r="G392" s="3">
        <v>46287</v>
      </c>
      <c r="H392" t="s">
        <v>74</v>
      </c>
      <c r="I392" t="s">
        <v>147</v>
      </c>
      <c r="J392" t="s">
        <v>144</v>
      </c>
      <c r="L392" s="3">
        <v>46280</v>
      </c>
      <c r="M392" s="3">
        <v>46280</v>
      </c>
      <c r="N392">
        <v>390</v>
      </c>
      <c r="P392">
        <v>392</v>
      </c>
      <c r="Q392" t="s">
        <v>209</v>
      </c>
      <c r="Z392" t="s">
        <v>49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 hidden="1">
      <c r="A393">
        <v>392</v>
      </c>
      <c r="B393" t="s">
        <v>777</v>
      </c>
      <c r="C393" t="s">
        <v>774</v>
      </c>
      <c r="D393" t="s">
        <v>150</v>
      </c>
      <c r="E393">
        <v>0</v>
      </c>
      <c r="F393" s="3">
        <v>46287</v>
      </c>
      <c r="G393" s="3">
        <v>46289</v>
      </c>
      <c r="H393" t="s">
        <v>74</v>
      </c>
      <c r="I393" t="s">
        <v>151</v>
      </c>
      <c r="J393" t="s">
        <v>144</v>
      </c>
      <c r="L393" s="3">
        <v>46282</v>
      </c>
      <c r="M393" s="3">
        <v>46282</v>
      </c>
      <c r="N393">
        <v>391</v>
      </c>
      <c r="Q393" t="s">
        <v>209</v>
      </c>
      <c r="Z393" t="s">
        <v>49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 hidden="1">
      <c r="A394">
        <v>393</v>
      </c>
      <c r="B394" t="s">
        <v>778</v>
      </c>
      <c r="C394" t="s">
        <v>206</v>
      </c>
      <c r="D394" t="s">
        <v>779</v>
      </c>
      <c r="E394">
        <v>0</v>
      </c>
      <c r="F394" s="3">
        <v>46261</v>
      </c>
      <c r="G394" s="3">
        <v>46289</v>
      </c>
      <c r="H394" t="s">
        <v>74</v>
      </c>
      <c r="I394" t="s">
        <v>224</v>
      </c>
      <c r="J394" t="s">
        <v>185</v>
      </c>
      <c r="K394" s="3">
        <v>46254</v>
      </c>
      <c r="L394" s="3">
        <v>46282</v>
      </c>
      <c r="M394" s="3">
        <v>46282</v>
      </c>
      <c r="O394" t="s">
        <v>713</v>
      </c>
      <c r="Q394" t="s">
        <v>209</v>
      </c>
      <c r="R394" t="s">
        <v>780</v>
      </c>
      <c r="S394">
        <v>4</v>
      </c>
      <c r="U394" t="s">
        <v>299</v>
      </c>
      <c r="V394" t="s">
        <v>134</v>
      </c>
      <c r="W394" t="s">
        <v>135</v>
      </c>
      <c r="X394" t="s">
        <v>213</v>
      </c>
      <c r="Y394">
        <v>1</v>
      </c>
      <c r="Z394" t="s">
        <v>49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hidden="1">
      <c r="A395">
        <v>394</v>
      </c>
      <c r="B395" t="s">
        <v>781</v>
      </c>
      <c r="C395" t="s">
        <v>782</v>
      </c>
      <c r="D395" t="s">
        <v>139</v>
      </c>
      <c r="E395">
        <v>0</v>
      </c>
      <c r="F395" s="3">
        <v>46261</v>
      </c>
      <c r="G395" s="3">
        <v>46275</v>
      </c>
      <c r="H395" t="s">
        <v>74</v>
      </c>
      <c r="I395" t="s">
        <v>216</v>
      </c>
      <c r="J395" t="s">
        <v>185</v>
      </c>
      <c r="L395" s="3">
        <v>46268</v>
      </c>
      <c r="M395" s="3">
        <v>46268</v>
      </c>
      <c r="N395">
        <v>369</v>
      </c>
      <c r="P395">
        <v>395</v>
      </c>
      <c r="Q395" t="s">
        <v>209</v>
      </c>
      <c r="Z395" t="s">
        <v>49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hidden="1">
      <c r="A396">
        <v>395</v>
      </c>
      <c r="B396" t="s">
        <v>783</v>
      </c>
      <c r="C396" t="s">
        <v>782</v>
      </c>
      <c r="D396" t="s">
        <v>143</v>
      </c>
      <c r="E396">
        <v>0</v>
      </c>
      <c r="F396" s="3">
        <v>46275</v>
      </c>
      <c r="G396" s="3">
        <v>46282</v>
      </c>
      <c r="H396" t="s">
        <v>74</v>
      </c>
      <c r="I396" t="s">
        <v>140</v>
      </c>
      <c r="J396" t="s">
        <v>83</v>
      </c>
      <c r="L396" s="3">
        <v>46275</v>
      </c>
      <c r="M396" s="3">
        <v>46275</v>
      </c>
      <c r="N396">
        <v>394</v>
      </c>
      <c r="P396">
        <v>396</v>
      </c>
      <c r="Q396" t="s">
        <v>209</v>
      </c>
      <c r="Z396" t="s">
        <v>49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hidden="1">
      <c r="A397">
        <v>396</v>
      </c>
      <c r="B397" t="s">
        <v>784</v>
      </c>
      <c r="C397" t="s">
        <v>782</v>
      </c>
      <c r="D397" t="s">
        <v>146</v>
      </c>
      <c r="E397">
        <v>0</v>
      </c>
      <c r="F397" s="3">
        <v>46282</v>
      </c>
      <c r="G397" s="3">
        <v>46287</v>
      </c>
      <c r="H397" t="s">
        <v>74</v>
      </c>
      <c r="I397" t="s">
        <v>147</v>
      </c>
      <c r="J397" t="s">
        <v>144</v>
      </c>
      <c r="L397" s="3">
        <v>46280</v>
      </c>
      <c r="M397" s="3">
        <v>46280</v>
      </c>
      <c r="N397">
        <v>395</v>
      </c>
      <c r="P397">
        <v>397</v>
      </c>
      <c r="Q397" t="s">
        <v>209</v>
      </c>
      <c r="Z397" t="s">
        <v>49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hidden="1">
      <c r="A398">
        <v>397</v>
      </c>
      <c r="B398" t="s">
        <v>785</v>
      </c>
      <c r="C398" t="s">
        <v>782</v>
      </c>
      <c r="D398" t="s">
        <v>150</v>
      </c>
      <c r="E398">
        <v>0</v>
      </c>
      <c r="F398" s="3">
        <v>46287</v>
      </c>
      <c r="G398" s="3">
        <v>46289</v>
      </c>
      <c r="H398" t="s">
        <v>74</v>
      </c>
      <c r="I398" t="s">
        <v>151</v>
      </c>
      <c r="J398" t="s">
        <v>144</v>
      </c>
      <c r="L398" s="3">
        <v>46282</v>
      </c>
      <c r="M398" s="3">
        <v>46282</v>
      </c>
      <c r="N398">
        <v>396</v>
      </c>
      <c r="Q398" t="s">
        <v>209</v>
      </c>
      <c r="Z398" t="s">
        <v>49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hidden="1">
      <c r="A399">
        <v>398</v>
      </c>
      <c r="B399" t="s">
        <v>786</v>
      </c>
      <c r="C399" t="s">
        <v>206</v>
      </c>
      <c r="D399" t="s">
        <v>787</v>
      </c>
      <c r="E399">
        <v>0</v>
      </c>
      <c r="F399" s="3">
        <v>46261</v>
      </c>
      <c r="G399" s="3">
        <v>46289</v>
      </c>
      <c r="H399" t="s">
        <v>74</v>
      </c>
      <c r="I399" t="s">
        <v>224</v>
      </c>
      <c r="J399" t="s">
        <v>185</v>
      </c>
      <c r="K399" s="3">
        <v>46254</v>
      </c>
      <c r="L399" s="3">
        <v>46282</v>
      </c>
      <c r="M399" s="3">
        <v>46282</v>
      </c>
      <c r="O399" t="s">
        <v>713</v>
      </c>
      <c r="Q399" t="s">
        <v>209</v>
      </c>
      <c r="R399" t="s">
        <v>788</v>
      </c>
      <c r="S399">
        <v>4</v>
      </c>
      <c r="U399" t="s">
        <v>299</v>
      </c>
      <c r="V399" t="s">
        <v>134</v>
      </c>
      <c r="W399" t="s">
        <v>135</v>
      </c>
      <c r="X399" t="s">
        <v>213</v>
      </c>
      <c r="Y399">
        <v>1</v>
      </c>
      <c r="Z399" t="s">
        <v>49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 hidden="1">
      <c r="A400">
        <v>399</v>
      </c>
      <c r="B400" t="s">
        <v>789</v>
      </c>
      <c r="C400" t="s">
        <v>790</v>
      </c>
      <c r="D400" t="s">
        <v>139</v>
      </c>
      <c r="E400">
        <v>0</v>
      </c>
      <c r="F400" s="3">
        <v>46261</v>
      </c>
      <c r="G400" s="3">
        <v>46275</v>
      </c>
      <c r="H400" t="s">
        <v>74</v>
      </c>
      <c r="I400" t="s">
        <v>216</v>
      </c>
      <c r="J400" t="s">
        <v>185</v>
      </c>
      <c r="L400" s="3">
        <v>46268</v>
      </c>
      <c r="M400" s="3">
        <v>46268</v>
      </c>
      <c r="N400">
        <v>369</v>
      </c>
      <c r="P400">
        <v>400</v>
      </c>
      <c r="Q400" t="s">
        <v>209</v>
      </c>
      <c r="Z400" t="s">
        <v>49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hidden="1">
      <c r="A401">
        <v>400</v>
      </c>
      <c r="B401" t="s">
        <v>791</v>
      </c>
      <c r="C401" t="s">
        <v>790</v>
      </c>
      <c r="D401" t="s">
        <v>143</v>
      </c>
      <c r="E401">
        <v>0</v>
      </c>
      <c r="F401" s="3">
        <v>46275</v>
      </c>
      <c r="G401" s="3">
        <v>46282</v>
      </c>
      <c r="H401" t="s">
        <v>74</v>
      </c>
      <c r="I401" t="s">
        <v>140</v>
      </c>
      <c r="J401" t="s">
        <v>83</v>
      </c>
      <c r="L401" s="3">
        <v>46275</v>
      </c>
      <c r="M401" s="3">
        <v>46275</v>
      </c>
      <c r="N401">
        <v>399</v>
      </c>
      <c r="P401">
        <v>401</v>
      </c>
      <c r="Q401" t="s">
        <v>209</v>
      </c>
      <c r="Z401" t="s">
        <v>49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hidden="1">
      <c r="A402">
        <v>401</v>
      </c>
      <c r="B402" t="s">
        <v>792</v>
      </c>
      <c r="C402" t="s">
        <v>790</v>
      </c>
      <c r="D402" t="s">
        <v>146</v>
      </c>
      <c r="E402">
        <v>0</v>
      </c>
      <c r="F402" s="3">
        <v>46282</v>
      </c>
      <c r="G402" s="3">
        <v>46287</v>
      </c>
      <c r="H402" t="s">
        <v>74</v>
      </c>
      <c r="I402" t="s">
        <v>147</v>
      </c>
      <c r="J402" t="s">
        <v>144</v>
      </c>
      <c r="L402" s="3">
        <v>46280</v>
      </c>
      <c r="M402" s="3">
        <v>46280</v>
      </c>
      <c r="N402">
        <v>400</v>
      </c>
      <c r="P402">
        <v>402</v>
      </c>
      <c r="Q402" t="s">
        <v>209</v>
      </c>
      <c r="Z402" t="s">
        <v>49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hidden="1">
      <c r="A403">
        <v>402</v>
      </c>
      <c r="B403" t="s">
        <v>793</v>
      </c>
      <c r="C403" t="s">
        <v>790</v>
      </c>
      <c r="D403" t="s">
        <v>150</v>
      </c>
      <c r="E403">
        <v>0</v>
      </c>
      <c r="F403" s="3">
        <v>46287</v>
      </c>
      <c r="G403" s="3">
        <v>46289</v>
      </c>
      <c r="H403" t="s">
        <v>74</v>
      </c>
      <c r="I403" t="s">
        <v>151</v>
      </c>
      <c r="J403" t="s">
        <v>144</v>
      </c>
      <c r="L403" s="3">
        <v>46282</v>
      </c>
      <c r="M403" s="3">
        <v>46282</v>
      </c>
      <c r="N403">
        <v>401</v>
      </c>
      <c r="Q403" t="s">
        <v>209</v>
      </c>
      <c r="Z403" t="s">
        <v>49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 hidden="1">
      <c r="A404">
        <v>403</v>
      </c>
      <c r="B404" t="s">
        <v>794</v>
      </c>
      <c r="C404" t="s">
        <v>206</v>
      </c>
      <c r="D404" t="s">
        <v>795</v>
      </c>
      <c r="E404">
        <v>0</v>
      </c>
      <c r="F404" s="3">
        <v>46261</v>
      </c>
      <c r="G404" s="3">
        <v>46289</v>
      </c>
      <c r="H404" t="s">
        <v>74</v>
      </c>
      <c r="I404" t="s">
        <v>224</v>
      </c>
      <c r="J404" t="s">
        <v>185</v>
      </c>
      <c r="K404" s="3">
        <v>46254</v>
      </c>
      <c r="L404" s="3">
        <v>46282</v>
      </c>
      <c r="M404" s="3">
        <v>46282</v>
      </c>
      <c r="O404" t="s">
        <v>713</v>
      </c>
      <c r="Q404" t="s">
        <v>209</v>
      </c>
      <c r="R404" t="s">
        <v>796</v>
      </c>
      <c r="S404">
        <v>4</v>
      </c>
      <c r="U404" t="s">
        <v>299</v>
      </c>
      <c r="V404" t="s">
        <v>134</v>
      </c>
      <c r="W404" t="s">
        <v>135</v>
      </c>
      <c r="X404" t="s">
        <v>213</v>
      </c>
      <c r="Y404">
        <v>1</v>
      </c>
      <c r="Z404" t="s">
        <v>49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hidden="1">
      <c r="A405">
        <v>404</v>
      </c>
      <c r="B405" t="s">
        <v>797</v>
      </c>
      <c r="C405" t="s">
        <v>798</v>
      </c>
      <c r="D405" t="s">
        <v>139</v>
      </c>
      <c r="E405">
        <v>0</v>
      </c>
      <c r="F405" s="3">
        <v>46261</v>
      </c>
      <c r="G405" s="3">
        <v>46275</v>
      </c>
      <c r="H405" t="s">
        <v>74</v>
      </c>
      <c r="I405" t="s">
        <v>216</v>
      </c>
      <c r="J405" t="s">
        <v>185</v>
      </c>
      <c r="L405" s="3">
        <v>46268</v>
      </c>
      <c r="M405" s="3">
        <v>46268</v>
      </c>
      <c r="N405">
        <v>369</v>
      </c>
      <c r="P405">
        <v>405</v>
      </c>
      <c r="Q405" t="s">
        <v>209</v>
      </c>
      <c r="Z405" t="s">
        <v>49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hidden="1">
      <c r="A406">
        <v>405</v>
      </c>
      <c r="B406" t="s">
        <v>799</v>
      </c>
      <c r="C406" t="s">
        <v>798</v>
      </c>
      <c r="D406" t="s">
        <v>143</v>
      </c>
      <c r="E406">
        <v>0</v>
      </c>
      <c r="F406" s="3">
        <v>46275</v>
      </c>
      <c r="G406" s="3">
        <v>46282</v>
      </c>
      <c r="H406" t="s">
        <v>74</v>
      </c>
      <c r="I406" t="s">
        <v>140</v>
      </c>
      <c r="J406" t="s">
        <v>83</v>
      </c>
      <c r="L406" s="3">
        <v>46275</v>
      </c>
      <c r="M406" s="3">
        <v>46275</v>
      </c>
      <c r="N406">
        <v>404</v>
      </c>
      <c r="P406">
        <v>406</v>
      </c>
      <c r="Q406" t="s">
        <v>209</v>
      </c>
      <c r="Z406" t="s">
        <v>49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hidden="1">
      <c r="A407">
        <v>406</v>
      </c>
      <c r="B407" t="s">
        <v>800</v>
      </c>
      <c r="C407" t="s">
        <v>798</v>
      </c>
      <c r="D407" t="s">
        <v>146</v>
      </c>
      <c r="E407">
        <v>0</v>
      </c>
      <c r="F407" s="3">
        <v>46282</v>
      </c>
      <c r="G407" s="3">
        <v>46287</v>
      </c>
      <c r="H407" t="s">
        <v>74</v>
      </c>
      <c r="I407" t="s">
        <v>147</v>
      </c>
      <c r="J407" t="s">
        <v>144</v>
      </c>
      <c r="L407" s="3">
        <v>46280</v>
      </c>
      <c r="M407" s="3">
        <v>46280</v>
      </c>
      <c r="N407">
        <v>405</v>
      </c>
      <c r="P407">
        <v>407</v>
      </c>
      <c r="Q407" t="s">
        <v>209</v>
      </c>
      <c r="Z407" t="s">
        <v>49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hidden="1">
      <c r="A408">
        <v>407</v>
      </c>
      <c r="B408" t="s">
        <v>801</v>
      </c>
      <c r="C408" t="s">
        <v>798</v>
      </c>
      <c r="D408" t="s">
        <v>150</v>
      </c>
      <c r="E408">
        <v>0</v>
      </c>
      <c r="F408" s="3">
        <v>46287</v>
      </c>
      <c r="G408" s="3">
        <v>46289</v>
      </c>
      <c r="H408" t="s">
        <v>74</v>
      </c>
      <c r="I408" t="s">
        <v>151</v>
      </c>
      <c r="J408" t="s">
        <v>144</v>
      </c>
      <c r="L408" s="3">
        <v>46282</v>
      </c>
      <c r="M408" s="3">
        <v>46282</v>
      </c>
      <c r="N408">
        <v>406</v>
      </c>
      <c r="Q408" t="s">
        <v>209</v>
      </c>
      <c r="Z408" t="s">
        <v>49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hidden="1">
      <c r="A409">
        <v>408</v>
      </c>
      <c r="B409" t="s">
        <v>802</v>
      </c>
      <c r="C409" t="s">
        <v>206</v>
      </c>
      <c r="D409" t="s">
        <v>803</v>
      </c>
      <c r="E409">
        <v>0</v>
      </c>
      <c r="F409" s="3">
        <v>46261</v>
      </c>
      <c r="G409" s="3">
        <v>46289</v>
      </c>
      <c r="H409" t="s">
        <v>74</v>
      </c>
      <c r="I409" t="s">
        <v>224</v>
      </c>
      <c r="J409" t="s">
        <v>185</v>
      </c>
      <c r="K409" s="3">
        <v>46254</v>
      </c>
      <c r="L409" s="3">
        <v>46282</v>
      </c>
      <c r="M409" s="3">
        <v>46282</v>
      </c>
      <c r="O409" t="s">
        <v>713</v>
      </c>
      <c r="Q409" t="s">
        <v>209</v>
      </c>
      <c r="R409" t="s">
        <v>804</v>
      </c>
      <c r="S409">
        <v>4</v>
      </c>
      <c r="U409" t="s">
        <v>299</v>
      </c>
      <c r="V409" t="s">
        <v>134</v>
      </c>
      <c r="W409" t="s">
        <v>135</v>
      </c>
      <c r="X409" t="s">
        <v>213</v>
      </c>
      <c r="Y409">
        <v>1</v>
      </c>
      <c r="Z409" t="s">
        <v>49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hidden="1">
      <c r="A410">
        <v>409</v>
      </c>
      <c r="B410" t="s">
        <v>805</v>
      </c>
      <c r="C410" t="s">
        <v>806</v>
      </c>
      <c r="D410" t="s">
        <v>139</v>
      </c>
      <c r="E410">
        <v>0</v>
      </c>
      <c r="F410" s="3">
        <v>46261</v>
      </c>
      <c r="G410" s="3">
        <v>46275</v>
      </c>
      <c r="H410" t="s">
        <v>74</v>
      </c>
      <c r="I410" t="s">
        <v>216</v>
      </c>
      <c r="J410" t="s">
        <v>185</v>
      </c>
      <c r="L410" s="3">
        <v>46268</v>
      </c>
      <c r="M410" s="3">
        <v>46268</v>
      </c>
      <c r="N410">
        <v>369</v>
      </c>
      <c r="P410">
        <v>410</v>
      </c>
      <c r="Q410" t="s">
        <v>209</v>
      </c>
      <c r="Z410" t="s">
        <v>49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hidden="1">
      <c r="A411">
        <v>410</v>
      </c>
      <c r="B411" t="s">
        <v>807</v>
      </c>
      <c r="C411" t="s">
        <v>806</v>
      </c>
      <c r="D411" t="s">
        <v>143</v>
      </c>
      <c r="E411">
        <v>0</v>
      </c>
      <c r="F411" s="3">
        <v>46275</v>
      </c>
      <c r="G411" s="3">
        <v>46282</v>
      </c>
      <c r="H411" t="s">
        <v>74</v>
      </c>
      <c r="I411" t="s">
        <v>140</v>
      </c>
      <c r="J411" t="s">
        <v>83</v>
      </c>
      <c r="L411" s="3">
        <v>46275</v>
      </c>
      <c r="M411" s="3">
        <v>46275</v>
      </c>
      <c r="N411">
        <v>409</v>
      </c>
      <c r="P411">
        <v>411</v>
      </c>
      <c r="Q411" t="s">
        <v>209</v>
      </c>
      <c r="Z411" t="s">
        <v>49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hidden="1">
      <c r="A412">
        <v>411</v>
      </c>
      <c r="B412" t="s">
        <v>808</v>
      </c>
      <c r="C412" t="s">
        <v>806</v>
      </c>
      <c r="D412" t="s">
        <v>146</v>
      </c>
      <c r="E412">
        <v>0</v>
      </c>
      <c r="F412" s="3">
        <v>46282</v>
      </c>
      <c r="G412" s="3">
        <v>46287</v>
      </c>
      <c r="H412" t="s">
        <v>74</v>
      </c>
      <c r="I412" t="s">
        <v>147</v>
      </c>
      <c r="J412" t="s">
        <v>144</v>
      </c>
      <c r="L412" s="3">
        <v>46280</v>
      </c>
      <c r="M412" s="3">
        <v>46280</v>
      </c>
      <c r="N412">
        <v>410</v>
      </c>
      <c r="P412">
        <v>412</v>
      </c>
      <c r="Q412" t="s">
        <v>209</v>
      </c>
      <c r="Z412" t="s">
        <v>49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hidden="1">
      <c r="A413">
        <v>412</v>
      </c>
      <c r="B413" t="s">
        <v>809</v>
      </c>
      <c r="C413" t="s">
        <v>806</v>
      </c>
      <c r="D413" t="s">
        <v>150</v>
      </c>
      <c r="E413">
        <v>0</v>
      </c>
      <c r="F413" s="3">
        <v>46287</v>
      </c>
      <c r="G413" s="3">
        <v>46289</v>
      </c>
      <c r="H413" t="s">
        <v>74</v>
      </c>
      <c r="I413" t="s">
        <v>151</v>
      </c>
      <c r="J413" t="s">
        <v>144</v>
      </c>
      <c r="L413" s="3">
        <v>46282</v>
      </c>
      <c r="M413" s="3">
        <v>46282</v>
      </c>
      <c r="N413">
        <v>411</v>
      </c>
      <c r="Q413" t="s">
        <v>209</v>
      </c>
      <c r="Z413" t="s">
        <v>49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hidden="1">
      <c r="A414">
        <v>413</v>
      </c>
      <c r="B414" t="s">
        <v>810</v>
      </c>
      <c r="C414" t="s">
        <v>206</v>
      </c>
      <c r="D414" t="s">
        <v>811</v>
      </c>
      <c r="E414">
        <v>0</v>
      </c>
      <c r="F414" s="3">
        <v>46261</v>
      </c>
      <c r="G414" s="3">
        <v>46289</v>
      </c>
      <c r="H414" t="s">
        <v>74</v>
      </c>
      <c r="I414" t="s">
        <v>224</v>
      </c>
      <c r="J414" t="s">
        <v>185</v>
      </c>
      <c r="K414" s="3">
        <v>46254</v>
      </c>
      <c r="L414" s="3">
        <v>46282</v>
      </c>
      <c r="M414" s="3">
        <v>46282</v>
      </c>
      <c r="O414" t="s">
        <v>713</v>
      </c>
      <c r="Q414" t="s">
        <v>209</v>
      </c>
      <c r="R414" t="s">
        <v>812</v>
      </c>
      <c r="S414">
        <v>4</v>
      </c>
      <c r="U414" t="s">
        <v>299</v>
      </c>
      <c r="V414" t="s">
        <v>134</v>
      </c>
      <c r="W414" t="s">
        <v>135</v>
      </c>
      <c r="X414" t="s">
        <v>213</v>
      </c>
      <c r="Y414">
        <v>1</v>
      </c>
      <c r="Z414" t="s">
        <v>43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hidden="1">
      <c r="A415">
        <v>414</v>
      </c>
      <c r="B415" t="s">
        <v>813</v>
      </c>
      <c r="C415" t="s">
        <v>814</v>
      </c>
      <c r="D415" t="s">
        <v>139</v>
      </c>
      <c r="E415">
        <v>0</v>
      </c>
      <c r="F415" s="3">
        <v>46261</v>
      </c>
      <c r="G415" s="3">
        <v>46275</v>
      </c>
      <c r="H415" t="s">
        <v>74</v>
      </c>
      <c r="I415" t="s">
        <v>216</v>
      </c>
      <c r="J415" t="s">
        <v>185</v>
      </c>
      <c r="L415" s="3">
        <v>46268</v>
      </c>
      <c r="M415" s="3">
        <v>46268</v>
      </c>
      <c r="N415">
        <v>369</v>
      </c>
      <c r="P415" t="s">
        <v>815</v>
      </c>
      <c r="Q415" t="s">
        <v>209</v>
      </c>
      <c r="Z415" t="s">
        <v>43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hidden="1">
      <c r="A416">
        <v>415</v>
      </c>
      <c r="B416" t="s">
        <v>816</v>
      </c>
      <c r="C416" t="s">
        <v>814</v>
      </c>
      <c r="D416" t="s">
        <v>143</v>
      </c>
      <c r="E416">
        <v>0</v>
      </c>
      <c r="F416" s="3">
        <v>46275</v>
      </c>
      <c r="G416" s="3">
        <v>46282</v>
      </c>
      <c r="H416" t="s">
        <v>74</v>
      </c>
      <c r="I416" t="s">
        <v>140</v>
      </c>
      <c r="J416" t="s">
        <v>83</v>
      </c>
      <c r="L416" s="3">
        <v>46275</v>
      </c>
      <c r="M416" s="3">
        <v>46275</v>
      </c>
      <c r="N416">
        <v>414</v>
      </c>
      <c r="P416">
        <v>416</v>
      </c>
      <c r="Q416" t="s">
        <v>209</v>
      </c>
      <c r="Z416" t="s">
        <v>49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hidden="1">
      <c r="A417">
        <v>416</v>
      </c>
      <c r="B417" t="s">
        <v>817</v>
      </c>
      <c r="C417" t="s">
        <v>814</v>
      </c>
      <c r="D417" t="s">
        <v>146</v>
      </c>
      <c r="E417">
        <v>0</v>
      </c>
      <c r="F417" s="3">
        <v>46282</v>
      </c>
      <c r="G417" s="3">
        <v>46287</v>
      </c>
      <c r="H417" t="s">
        <v>74</v>
      </c>
      <c r="I417" t="s">
        <v>147</v>
      </c>
      <c r="J417" t="s">
        <v>144</v>
      </c>
      <c r="L417" s="3">
        <v>46280</v>
      </c>
      <c r="M417" s="3">
        <v>46280</v>
      </c>
      <c r="N417">
        <v>415</v>
      </c>
      <c r="P417">
        <v>417</v>
      </c>
      <c r="Q417" t="s">
        <v>209</v>
      </c>
      <c r="Z417" t="s">
        <v>49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hidden="1">
      <c r="A418">
        <v>417</v>
      </c>
      <c r="B418" t="s">
        <v>818</v>
      </c>
      <c r="C418" t="s">
        <v>814</v>
      </c>
      <c r="D418" t="s">
        <v>150</v>
      </c>
      <c r="E418">
        <v>0</v>
      </c>
      <c r="F418" s="3">
        <v>46287</v>
      </c>
      <c r="G418" s="3">
        <v>46289</v>
      </c>
      <c r="H418" t="s">
        <v>74</v>
      </c>
      <c r="I418" t="s">
        <v>151</v>
      </c>
      <c r="J418" t="s">
        <v>144</v>
      </c>
      <c r="L418" s="3">
        <v>46282</v>
      </c>
      <c r="M418" s="3">
        <v>46282</v>
      </c>
      <c r="N418">
        <v>416</v>
      </c>
      <c r="Q418" t="s">
        <v>209</v>
      </c>
      <c r="Z418" t="s">
        <v>49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hidden="1">
      <c r="A419">
        <v>418</v>
      </c>
      <c r="B419" t="s">
        <v>819</v>
      </c>
      <c r="C419" t="s">
        <v>206</v>
      </c>
      <c r="D419" t="s">
        <v>820</v>
      </c>
      <c r="E419">
        <v>0</v>
      </c>
      <c r="F419" s="3">
        <v>46275</v>
      </c>
      <c r="G419" s="3">
        <v>46301</v>
      </c>
      <c r="H419" t="s">
        <v>74</v>
      </c>
      <c r="I419" t="s">
        <v>821</v>
      </c>
      <c r="J419" t="s">
        <v>822</v>
      </c>
      <c r="K419" s="3">
        <v>46268</v>
      </c>
      <c r="L419" s="3">
        <v>46294</v>
      </c>
      <c r="M419" s="3">
        <v>46294</v>
      </c>
      <c r="O419" t="s">
        <v>555</v>
      </c>
      <c r="Q419" t="s">
        <v>209</v>
      </c>
      <c r="R419" t="s">
        <v>823</v>
      </c>
      <c r="S419">
        <v>4</v>
      </c>
      <c r="U419" t="s">
        <v>824</v>
      </c>
      <c r="V419" t="s">
        <v>134</v>
      </c>
      <c r="W419" t="s">
        <v>135</v>
      </c>
      <c r="X419" t="s">
        <v>213</v>
      </c>
      <c r="Y419">
        <v>1</v>
      </c>
      <c r="Z419" t="s">
        <v>43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hidden="1">
      <c r="A420">
        <v>419</v>
      </c>
      <c r="B420" t="s">
        <v>825</v>
      </c>
      <c r="C420" t="s">
        <v>826</v>
      </c>
      <c r="D420" t="s">
        <v>139</v>
      </c>
      <c r="E420">
        <v>0</v>
      </c>
      <c r="F420" s="3">
        <v>46275</v>
      </c>
      <c r="G420" s="3">
        <v>46287</v>
      </c>
      <c r="H420" t="s">
        <v>74</v>
      </c>
      <c r="I420" t="s">
        <v>827</v>
      </c>
      <c r="J420" t="s">
        <v>83</v>
      </c>
      <c r="L420" s="3">
        <v>46280</v>
      </c>
      <c r="M420" s="3">
        <v>46280</v>
      </c>
      <c r="N420">
        <v>414</v>
      </c>
      <c r="P420">
        <v>420</v>
      </c>
      <c r="Q420" t="s">
        <v>209</v>
      </c>
      <c r="Z420" t="s">
        <v>43</v>
      </c>
      <c r="AB420">
        <v>0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 hidden="1">
      <c r="A421">
        <v>420</v>
      </c>
      <c r="B421" t="s">
        <v>828</v>
      </c>
      <c r="C421" t="s">
        <v>826</v>
      </c>
      <c r="D421" t="s">
        <v>143</v>
      </c>
      <c r="E421">
        <v>0</v>
      </c>
      <c r="F421" s="3">
        <v>46287</v>
      </c>
      <c r="G421" s="3">
        <v>46294</v>
      </c>
      <c r="H421" t="s">
        <v>74</v>
      </c>
      <c r="I421" t="s">
        <v>140</v>
      </c>
      <c r="J421" t="s">
        <v>144</v>
      </c>
      <c r="L421" s="3">
        <v>46287</v>
      </c>
      <c r="M421" s="3">
        <v>46287</v>
      </c>
      <c r="N421">
        <v>419</v>
      </c>
      <c r="P421">
        <v>421</v>
      </c>
      <c r="Q421" t="s">
        <v>209</v>
      </c>
      <c r="Z421" t="s">
        <v>43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hidden="1">
      <c r="A422">
        <v>421</v>
      </c>
      <c r="B422" t="s">
        <v>829</v>
      </c>
      <c r="C422" t="s">
        <v>826</v>
      </c>
      <c r="D422" t="s">
        <v>146</v>
      </c>
      <c r="E422">
        <v>0</v>
      </c>
      <c r="F422" s="3">
        <v>46294</v>
      </c>
      <c r="G422" s="3">
        <v>46297</v>
      </c>
      <c r="H422" t="s">
        <v>74</v>
      </c>
      <c r="I422" t="s">
        <v>147</v>
      </c>
      <c r="J422" t="s">
        <v>144</v>
      </c>
      <c r="L422" s="3">
        <v>46290</v>
      </c>
      <c r="M422" s="3">
        <v>46290</v>
      </c>
      <c r="N422">
        <v>420</v>
      </c>
      <c r="P422">
        <v>422</v>
      </c>
      <c r="Q422" t="s">
        <v>209</v>
      </c>
      <c r="Z422" t="s">
        <v>43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hidden="1">
      <c r="A423">
        <v>422</v>
      </c>
      <c r="B423" t="s">
        <v>830</v>
      </c>
      <c r="C423" t="s">
        <v>826</v>
      </c>
      <c r="D423" t="s">
        <v>150</v>
      </c>
      <c r="E423">
        <v>0</v>
      </c>
      <c r="F423" s="3">
        <v>46297</v>
      </c>
      <c r="G423" s="3">
        <v>46301</v>
      </c>
      <c r="H423" t="s">
        <v>74</v>
      </c>
      <c r="I423" t="s">
        <v>151</v>
      </c>
      <c r="J423" t="s">
        <v>822</v>
      </c>
      <c r="L423" s="3">
        <v>46294</v>
      </c>
      <c r="M423" s="3">
        <v>46294</v>
      </c>
      <c r="N423">
        <v>421</v>
      </c>
      <c r="Q423" t="s">
        <v>209</v>
      </c>
      <c r="Z423" t="s">
        <v>43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hidden="1">
      <c r="A424">
        <v>423</v>
      </c>
      <c r="B424" t="s">
        <v>831</v>
      </c>
      <c r="C424" t="s">
        <v>45</v>
      </c>
      <c r="D424" t="s">
        <v>832</v>
      </c>
      <c r="E424">
        <v>0</v>
      </c>
      <c r="F424" s="3">
        <v>46196</v>
      </c>
      <c r="G424" s="3">
        <v>46293</v>
      </c>
      <c r="I424" t="s">
        <v>203</v>
      </c>
      <c r="J424" t="s">
        <v>42</v>
      </c>
      <c r="N424" t="s">
        <v>833</v>
      </c>
      <c r="Z424" t="s">
        <v>49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hidden="1">
      <c r="A425">
        <v>424</v>
      </c>
      <c r="B425" t="s">
        <v>834</v>
      </c>
      <c r="C425" t="s">
        <v>45</v>
      </c>
      <c r="D425" t="s">
        <v>832</v>
      </c>
      <c r="E425">
        <v>0</v>
      </c>
      <c r="F425" s="3">
        <v>46203</v>
      </c>
      <c r="G425" s="3">
        <v>46301</v>
      </c>
      <c r="I425" t="s">
        <v>203</v>
      </c>
      <c r="J425" t="s">
        <v>42</v>
      </c>
      <c r="N425" t="s">
        <v>833</v>
      </c>
      <c r="Z425" t="s">
        <v>43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hidden="1">
      <c r="A426">
        <v>425</v>
      </c>
      <c r="B426" t="s">
        <v>835</v>
      </c>
      <c r="C426" t="s">
        <v>45</v>
      </c>
      <c r="D426" t="s">
        <v>832</v>
      </c>
      <c r="E426">
        <v>0</v>
      </c>
      <c r="F426" s="3">
        <v>46203</v>
      </c>
      <c r="G426" s="3">
        <v>46301</v>
      </c>
      <c r="H426" t="s">
        <v>74</v>
      </c>
      <c r="I426" t="s">
        <v>203</v>
      </c>
      <c r="J426" t="s">
        <v>42</v>
      </c>
      <c r="K426" s="3">
        <v>46196</v>
      </c>
      <c r="L426" s="3">
        <v>46294</v>
      </c>
      <c r="M426" s="3">
        <v>46294</v>
      </c>
      <c r="P426" t="s">
        <v>836</v>
      </c>
      <c r="Z426" t="s">
        <v>43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hidden="1">
      <c r="A427">
        <v>426</v>
      </c>
      <c r="B427" t="s">
        <v>837</v>
      </c>
      <c r="C427" t="s">
        <v>838</v>
      </c>
      <c r="D427" t="s">
        <v>839</v>
      </c>
      <c r="E427">
        <v>0</v>
      </c>
      <c r="F427" s="3">
        <v>46203</v>
      </c>
      <c r="G427" s="3">
        <v>46224</v>
      </c>
      <c r="H427" t="s">
        <v>74</v>
      </c>
      <c r="I427" t="s">
        <v>129</v>
      </c>
      <c r="J427" t="s">
        <v>117</v>
      </c>
      <c r="K427" s="3">
        <v>46196</v>
      </c>
      <c r="L427" s="3">
        <v>46217</v>
      </c>
      <c r="M427" s="3">
        <v>46217</v>
      </c>
      <c r="O427" t="s">
        <v>840</v>
      </c>
      <c r="P427" t="s">
        <v>841</v>
      </c>
      <c r="Q427" t="s">
        <v>209</v>
      </c>
      <c r="R427" t="s">
        <v>842</v>
      </c>
      <c r="U427" t="s">
        <v>843</v>
      </c>
      <c r="V427" t="s">
        <v>134</v>
      </c>
      <c r="W427" t="s">
        <v>135</v>
      </c>
      <c r="X427" t="s">
        <v>844</v>
      </c>
      <c r="Y427">
        <v>20</v>
      </c>
      <c r="Z427" t="s">
        <v>49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hidden="1">
      <c r="A428">
        <v>427</v>
      </c>
      <c r="B428" t="s">
        <v>845</v>
      </c>
      <c r="C428" t="s">
        <v>846</v>
      </c>
      <c r="D428" t="s">
        <v>139</v>
      </c>
      <c r="E428">
        <v>0</v>
      </c>
      <c r="F428" s="3">
        <v>46203</v>
      </c>
      <c r="G428" s="3">
        <v>46210</v>
      </c>
      <c r="H428" t="s">
        <v>74</v>
      </c>
      <c r="I428" t="s">
        <v>140</v>
      </c>
      <c r="J428" t="s">
        <v>117</v>
      </c>
      <c r="L428" s="3">
        <v>46203</v>
      </c>
      <c r="M428" s="3">
        <v>46203</v>
      </c>
      <c r="N428">
        <v>21</v>
      </c>
      <c r="P428">
        <v>428</v>
      </c>
      <c r="Q428" t="s">
        <v>209</v>
      </c>
      <c r="Z428" t="s">
        <v>49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hidden="1">
      <c r="A429">
        <v>428</v>
      </c>
      <c r="B429" t="s">
        <v>847</v>
      </c>
      <c r="C429" t="s">
        <v>846</v>
      </c>
      <c r="D429" t="s">
        <v>143</v>
      </c>
      <c r="E429">
        <v>0</v>
      </c>
      <c r="F429" s="3">
        <v>46210</v>
      </c>
      <c r="G429" s="3">
        <v>46217</v>
      </c>
      <c r="H429" t="s">
        <v>74</v>
      </c>
      <c r="I429" t="s">
        <v>140</v>
      </c>
      <c r="J429" t="s">
        <v>75</v>
      </c>
      <c r="L429" s="3">
        <v>46210</v>
      </c>
      <c r="M429" s="3">
        <v>46210</v>
      </c>
      <c r="N429">
        <v>427</v>
      </c>
      <c r="P429">
        <v>429</v>
      </c>
      <c r="Q429" t="s">
        <v>209</v>
      </c>
      <c r="Z429" t="s">
        <v>49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 hidden="1">
      <c r="A430">
        <v>429</v>
      </c>
      <c r="B430" t="s">
        <v>848</v>
      </c>
      <c r="C430" t="s">
        <v>846</v>
      </c>
      <c r="D430" t="s">
        <v>146</v>
      </c>
      <c r="E430">
        <v>0</v>
      </c>
      <c r="F430" s="3">
        <v>46217</v>
      </c>
      <c r="G430" s="3">
        <v>46220</v>
      </c>
      <c r="H430" t="s">
        <v>74</v>
      </c>
      <c r="I430" t="s">
        <v>147</v>
      </c>
      <c r="J430" t="s">
        <v>75</v>
      </c>
      <c r="L430" s="3">
        <v>46213</v>
      </c>
      <c r="M430" s="3">
        <v>46213</v>
      </c>
      <c r="N430">
        <v>428</v>
      </c>
      <c r="P430">
        <v>430</v>
      </c>
      <c r="Q430" t="s">
        <v>209</v>
      </c>
      <c r="Z430" t="s">
        <v>49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 hidden="1">
      <c r="A431">
        <v>430</v>
      </c>
      <c r="B431" t="s">
        <v>849</v>
      </c>
      <c r="C431" t="s">
        <v>846</v>
      </c>
      <c r="D431" t="s">
        <v>150</v>
      </c>
      <c r="E431">
        <v>0</v>
      </c>
      <c r="F431" s="3">
        <v>46220</v>
      </c>
      <c r="G431" s="3">
        <v>46224</v>
      </c>
      <c r="H431" t="s">
        <v>74</v>
      </c>
      <c r="I431" t="s">
        <v>151</v>
      </c>
      <c r="J431" t="s">
        <v>219</v>
      </c>
      <c r="L431" s="3">
        <v>46217</v>
      </c>
      <c r="M431" s="3">
        <v>46217</v>
      </c>
      <c r="N431">
        <v>429</v>
      </c>
      <c r="Q431" t="s">
        <v>209</v>
      </c>
      <c r="Z431" t="s">
        <v>49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hidden="1">
      <c r="A432">
        <v>431</v>
      </c>
      <c r="B432" t="s">
        <v>850</v>
      </c>
      <c r="C432" t="s">
        <v>838</v>
      </c>
      <c r="D432" t="s">
        <v>851</v>
      </c>
      <c r="E432">
        <v>0</v>
      </c>
      <c r="F432" s="3">
        <v>46275</v>
      </c>
      <c r="G432" s="3">
        <v>46300</v>
      </c>
      <c r="H432" t="s">
        <v>74</v>
      </c>
      <c r="I432" t="s">
        <v>852</v>
      </c>
      <c r="J432" t="s">
        <v>822</v>
      </c>
      <c r="K432" s="3">
        <v>46268</v>
      </c>
      <c r="L432" s="3">
        <v>46293</v>
      </c>
      <c r="M432" s="3">
        <v>46293</v>
      </c>
      <c r="N432">
        <v>426</v>
      </c>
      <c r="O432" t="s">
        <v>638</v>
      </c>
      <c r="Q432" t="s">
        <v>209</v>
      </c>
      <c r="R432" t="s">
        <v>853</v>
      </c>
      <c r="U432" t="s">
        <v>854</v>
      </c>
      <c r="V432" t="s">
        <v>134</v>
      </c>
      <c r="W432" t="s">
        <v>135</v>
      </c>
      <c r="X432" t="s">
        <v>844</v>
      </c>
      <c r="Y432">
        <v>2</v>
      </c>
      <c r="Z432" t="s">
        <v>49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 hidden="1">
      <c r="A433">
        <v>432</v>
      </c>
      <c r="B433" t="s">
        <v>855</v>
      </c>
      <c r="C433" t="s">
        <v>856</v>
      </c>
      <c r="D433" t="s">
        <v>139</v>
      </c>
      <c r="E433">
        <v>0</v>
      </c>
      <c r="F433" s="3">
        <v>46275</v>
      </c>
      <c r="G433" s="3">
        <v>46286</v>
      </c>
      <c r="H433" t="s">
        <v>74</v>
      </c>
      <c r="I433" t="s">
        <v>857</v>
      </c>
      <c r="J433" t="s">
        <v>83</v>
      </c>
      <c r="L433" s="3">
        <v>46279</v>
      </c>
      <c r="M433" s="3">
        <v>46279</v>
      </c>
      <c r="N433">
        <v>328</v>
      </c>
      <c r="P433">
        <v>433</v>
      </c>
      <c r="Q433" t="s">
        <v>209</v>
      </c>
      <c r="Z433" t="s">
        <v>49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hidden="1">
      <c r="A434">
        <v>433</v>
      </c>
      <c r="B434" t="s">
        <v>858</v>
      </c>
      <c r="C434" t="s">
        <v>856</v>
      </c>
      <c r="D434" t="s">
        <v>143</v>
      </c>
      <c r="E434">
        <v>0</v>
      </c>
      <c r="F434" s="3">
        <v>46286</v>
      </c>
      <c r="G434" s="3">
        <v>46293</v>
      </c>
      <c r="H434" t="s">
        <v>74</v>
      </c>
      <c r="I434" t="s">
        <v>140</v>
      </c>
      <c r="J434" t="s">
        <v>144</v>
      </c>
      <c r="L434" s="3">
        <v>46286</v>
      </c>
      <c r="M434" s="3">
        <v>46286</v>
      </c>
      <c r="N434">
        <v>432</v>
      </c>
      <c r="P434">
        <v>434</v>
      </c>
      <c r="Q434" t="s">
        <v>209</v>
      </c>
      <c r="Z434" t="s">
        <v>49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hidden="1">
      <c r="A435">
        <v>434</v>
      </c>
      <c r="B435" t="s">
        <v>859</v>
      </c>
      <c r="C435" t="s">
        <v>856</v>
      </c>
      <c r="D435" t="s">
        <v>146</v>
      </c>
      <c r="E435">
        <v>0</v>
      </c>
      <c r="F435" s="3">
        <v>46293</v>
      </c>
      <c r="G435" s="3">
        <v>46296</v>
      </c>
      <c r="H435" t="s">
        <v>74</v>
      </c>
      <c r="I435" t="s">
        <v>147</v>
      </c>
      <c r="J435" t="s">
        <v>148</v>
      </c>
      <c r="L435" s="3">
        <v>46289</v>
      </c>
      <c r="M435" s="3">
        <v>46289</v>
      </c>
      <c r="N435">
        <v>433</v>
      </c>
      <c r="P435">
        <v>435</v>
      </c>
      <c r="Q435" t="s">
        <v>209</v>
      </c>
      <c r="Z435" t="s">
        <v>49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 hidden="1">
      <c r="A436">
        <v>435</v>
      </c>
      <c r="B436" t="s">
        <v>860</v>
      </c>
      <c r="C436" t="s">
        <v>856</v>
      </c>
      <c r="D436" t="s">
        <v>150</v>
      </c>
      <c r="E436">
        <v>0</v>
      </c>
      <c r="F436" s="3">
        <v>46296</v>
      </c>
      <c r="G436" s="3">
        <v>46300</v>
      </c>
      <c r="H436" t="s">
        <v>74</v>
      </c>
      <c r="I436" t="s">
        <v>151</v>
      </c>
      <c r="J436" t="s">
        <v>822</v>
      </c>
      <c r="L436" s="3">
        <v>46293</v>
      </c>
      <c r="M436" s="3">
        <v>46293</v>
      </c>
      <c r="N436">
        <v>434</v>
      </c>
      <c r="Q436" t="s">
        <v>209</v>
      </c>
      <c r="Z436" t="s">
        <v>49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hidden="1">
      <c r="A437">
        <v>436</v>
      </c>
      <c r="B437" t="s">
        <v>861</v>
      </c>
      <c r="C437" t="s">
        <v>838</v>
      </c>
      <c r="D437" t="s">
        <v>862</v>
      </c>
      <c r="E437">
        <v>0</v>
      </c>
      <c r="F437" s="3">
        <v>46275</v>
      </c>
      <c r="G437" s="3">
        <v>46300</v>
      </c>
      <c r="H437" t="s">
        <v>74</v>
      </c>
      <c r="I437" t="s">
        <v>852</v>
      </c>
      <c r="J437" t="s">
        <v>822</v>
      </c>
      <c r="K437" s="3">
        <v>46268</v>
      </c>
      <c r="L437" s="3">
        <v>46293</v>
      </c>
      <c r="M437" s="3">
        <v>46293</v>
      </c>
      <c r="N437">
        <v>426</v>
      </c>
      <c r="O437" t="s">
        <v>638</v>
      </c>
      <c r="Q437" t="s">
        <v>209</v>
      </c>
      <c r="R437" t="s">
        <v>863</v>
      </c>
      <c r="U437" t="s">
        <v>854</v>
      </c>
      <c r="V437" t="s">
        <v>134</v>
      </c>
      <c r="W437" t="s">
        <v>135</v>
      </c>
      <c r="X437" t="s">
        <v>844</v>
      </c>
      <c r="Y437">
        <v>2</v>
      </c>
      <c r="Z437" t="s">
        <v>49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hidden="1">
      <c r="A438">
        <v>437</v>
      </c>
      <c r="B438" t="s">
        <v>864</v>
      </c>
      <c r="C438" t="s">
        <v>865</v>
      </c>
      <c r="D438" t="s">
        <v>139</v>
      </c>
      <c r="E438">
        <v>0</v>
      </c>
      <c r="F438" s="3">
        <v>46275</v>
      </c>
      <c r="G438" s="3">
        <v>46286</v>
      </c>
      <c r="H438" t="s">
        <v>74</v>
      </c>
      <c r="I438" t="s">
        <v>857</v>
      </c>
      <c r="J438" t="s">
        <v>83</v>
      </c>
      <c r="L438" s="3">
        <v>46279</v>
      </c>
      <c r="M438" s="3">
        <v>46279</v>
      </c>
      <c r="N438">
        <v>328</v>
      </c>
      <c r="P438">
        <v>438</v>
      </c>
      <c r="Q438" t="s">
        <v>209</v>
      </c>
      <c r="Z438" t="s">
        <v>49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hidden="1">
      <c r="A439">
        <v>438</v>
      </c>
      <c r="B439" t="s">
        <v>866</v>
      </c>
      <c r="C439" t="s">
        <v>865</v>
      </c>
      <c r="D439" t="s">
        <v>143</v>
      </c>
      <c r="E439">
        <v>0</v>
      </c>
      <c r="F439" s="3">
        <v>46286</v>
      </c>
      <c r="G439" s="3">
        <v>46293</v>
      </c>
      <c r="H439" t="s">
        <v>74</v>
      </c>
      <c r="I439" t="s">
        <v>140</v>
      </c>
      <c r="J439" t="s">
        <v>144</v>
      </c>
      <c r="L439" s="3">
        <v>46286</v>
      </c>
      <c r="M439" s="3">
        <v>46286</v>
      </c>
      <c r="N439">
        <v>437</v>
      </c>
      <c r="P439">
        <v>439</v>
      </c>
      <c r="Q439" t="s">
        <v>209</v>
      </c>
      <c r="Z439" t="s">
        <v>49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 hidden="1">
      <c r="A440">
        <v>439</v>
      </c>
      <c r="B440" t="s">
        <v>867</v>
      </c>
      <c r="C440" t="s">
        <v>865</v>
      </c>
      <c r="D440" t="s">
        <v>146</v>
      </c>
      <c r="E440">
        <v>0</v>
      </c>
      <c r="F440" s="3">
        <v>46293</v>
      </c>
      <c r="G440" s="3">
        <v>46296</v>
      </c>
      <c r="H440" t="s">
        <v>74</v>
      </c>
      <c r="I440" t="s">
        <v>147</v>
      </c>
      <c r="J440" t="s">
        <v>148</v>
      </c>
      <c r="L440" s="3">
        <v>46289</v>
      </c>
      <c r="M440" s="3">
        <v>46289</v>
      </c>
      <c r="N440">
        <v>438</v>
      </c>
      <c r="P440">
        <v>440</v>
      </c>
      <c r="Q440" t="s">
        <v>209</v>
      </c>
      <c r="Z440" t="s">
        <v>49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hidden="1">
      <c r="A441">
        <v>440</v>
      </c>
      <c r="B441" t="s">
        <v>868</v>
      </c>
      <c r="C441" t="s">
        <v>865</v>
      </c>
      <c r="D441" t="s">
        <v>150</v>
      </c>
      <c r="E441">
        <v>0</v>
      </c>
      <c r="F441" s="3">
        <v>46296</v>
      </c>
      <c r="G441" s="3">
        <v>46300</v>
      </c>
      <c r="H441" t="s">
        <v>74</v>
      </c>
      <c r="I441" t="s">
        <v>151</v>
      </c>
      <c r="J441" t="s">
        <v>822</v>
      </c>
      <c r="L441" s="3">
        <v>46293</v>
      </c>
      <c r="M441" s="3">
        <v>46293</v>
      </c>
      <c r="N441">
        <v>439</v>
      </c>
      <c r="Q441" t="s">
        <v>209</v>
      </c>
      <c r="Z441" t="s">
        <v>49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hidden="1">
      <c r="A442">
        <v>441</v>
      </c>
      <c r="B442" t="s">
        <v>869</v>
      </c>
      <c r="C442" t="s">
        <v>838</v>
      </c>
      <c r="D442" t="s">
        <v>870</v>
      </c>
      <c r="E442">
        <v>0</v>
      </c>
      <c r="F442" s="3">
        <v>46275</v>
      </c>
      <c r="G442" s="3">
        <v>46300</v>
      </c>
      <c r="H442" t="s">
        <v>74</v>
      </c>
      <c r="I442" t="s">
        <v>852</v>
      </c>
      <c r="J442" t="s">
        <v>822</v>
      </c>
      <c r="K442" s="3">
        <v>46268</v>
      </c>
      <c r="L442" s="3">
        <v>46293</v>
      </c>
      <c r="M442" s="3">
        <v>46293</v>
      </c>
      <c r="N442">
        <v>426</v>
      </c>
      <c r="O442" t="s">
        <v>638</v>
      </c>
      <c r="Q442" t="s">
        <v>209</v>
      </c>
      <c r="R442" t="s">
        <v>871</v>
      </c>
      <c r="U442" t="s">
        <v>854</v>
      </c>
      <c r="V442" t="s">
        <v>134</v>
      </c>
      <c r="W442" t="s">
        <v>135</v>
      </c>
      <c r="X442" t="s">
        <v>844</v>
      </c>
      <c r="Y442">
        <v>2</v>
      </c>
      <c r="Z442" t="s">
        <v>49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hidden="1">
      <c r="A443">
        <v>442</v>
      </c>
      <c r="B443" t="s">
        <v>872</v>
      </c>
      <c r="C443" t="s">
        <v>873</v>
      </c>
      <c r="D443" t="s">
        <v>139</v>
      </c>
      <c r="E443">
        <v>0</v>
      </c>
      <c r="F443" s="3">
        <v>46275</v>
      </c>
      <c r="G443" s="3">
        <v>46286</v>
      </c>
      <c r="H443" t="s">
        <v>74</v>
      </c>
      <c r="I443" t="s">
        <v>857</v>
      </c>
      <c r="J443" t="s">
        <v>83</v>
      </c>
      <c r="L443" s="3">
        <v>46279</v>
      </c>
      <c r="M443" s="3">
        <v>46279</v>
      </c>
      <c r="N443">
        <v>328</v>
      </c>
      <c r="P443">
        <v>443</v>
      </c>
      <c r="Q443" t="s">
        <v>209</v>
      </c>
      <c r="Z443" t="s">
        <v>49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hidden="1">
      <c r="A444">
        <v>443</v>
      </c>
      <c r="B444" t="s">
        <v>874</v>
      </c>
      <c r="C444" t="s">
        <v>873</v>
      </c>
      <c r="D444" t="s">
        <v>143</v>
      </c>
      <c r="E444">
        <v>0</v>
      </c>
      <c r="F444" s="3">
        <v>46286</v>
      </c>
      <c r="G444" s="3">
        <v>46293</v>
      </c>
      <c r="H444" t="s">
        <v>74</v>
      </c>
      <c r="I444" t="s">
        <v>140</v>
      </c>
      <c r="J444" t="s">
        <v>144</v>
      </c>
      <c r="L444" s="3">
        <v>46286</v>
      </c>
      <c r="M444" s="3">
        <v>46286</v>
      </c>
      <c r="N444">
        <v>442</v>
      </c>
      <c r="P444">
        <v>444</v>
      </c>
      <c r="Q444" t="s">
        <v>209</v>
      </c>
      <c r="Z444" t="s">
        <v>49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 hidden="1">
      <c r="A445">
        <v>444</v>
      </c>
      <c r="B445" t="s">
        <v>875</v>
      </c>
      <c r="C445" t="s">
        <v>873</v>
      </c>
      <c r="D445" t="s">
        <v>146</v>
      </c>
      <c r="E445">
        <v>0</v>
      </c>
      <c r="F445" s="3">
        <v>46293</v>
      </c>
      <c r="G445" s="3">
        <v>46296</v>
      </c>
      <c r="H445" t="s">
        <v>74</v>
      </c>
      <c r="I445" t="s">
        <v>147</v>
      </c>
      <c r="J445" t="s">
        <v>148</v>
      </c>
      <c r="L445" s="3">
        <v>46289</v>
      </c>
      <c r="M445" s="3">
        <v>46289</v>
      </c>
      <c r="N445">
        <v>443</v>
      </c>
      <c r="P445">
        <v>445</v>
      </c>
      <c r="Q445" t="s">
        <v>209</v>
      </c>
      <c r="Z445" t="s">
        <v>49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hidden="1">
      <c r="A446">
        <v>445</v>
      </c>
      <c r="B446" t="s">
        <v>876</v>
      </c>
      <c r="C446" t="s">
        <v>873</v>
      </c>
      <c r="D446" t="s">
        <v>150</v>
      </c>
      <c r="E446">
        <v>0</v>
      </c>
      <c r="F446" s="3">
        <v>46296</v>
      </c>
      <c r="G446" s="3">
        <v>46300</v>
      </c>
      <c r="H446" t="s">
        <v>74</v>
      </c>
      <c r="I446" t="s">
        <v>151</v>
      </c>
      <c r="J446" t="s">
        <v>822</v>
      </c>
      <c r="L446" s="3">
        <v>46293</v>
      </c>
      <c r="M446" s="3">
        <v>46293</v>
      </c>
      <c r="N446">
        <v>444</v>
      </c>
      <c r="Q446" t="s">
        <v>209</v>
      </c>
      <c r="Z446" t="s">
        <v>49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hidden="1">
      <c r="A447">
        <v>446</v>
      </c>
      <c r="B447" t="s">
        <v>877</v>
      </c>
      <c r="C447" t="s">
        <v>838</v>
      </c>
      <c r="D447" t="s">
        <v>878</v>
      </c>
      <c r="E447">
        <v>0</v>
      </c>
      <c r="F447" s="3">
        <v>46275</v>
      </c>
      <c r="G447" s="3">
        <v>46300</v>
      </c>
      <c r="H447" t="s">
        <v>74</v>
      </c>
      <c r="I447" t="s">
        <v>852</v>
      </c>
      <c r="J447" t="s">
        <v>822</v>
      </c>
      <c r="K447" s="3">
        <v>46268</v>
      </c>
      <c r="L447" s="3">
        <v>46293</v>
      </c>
      <c r="M447" s="3">
        <v>46293</v>
      </c>
      <c r="N447">
        <v>426</v>
      </c>
      <c r="O447" t="s">
        <v>638</v>
      </c>
      <c r="Q447" t="s">
        <v>209</v>
      </c>
      <c r="R447" t="s">
        <v>879</v>
      </c>
      <c r="U447" t="s">
        <v>854</v>
      </c>
      <c r="V447" t="s">
        <v>134</v>
      </c>
      <c r="W447" t="s">
        <v>135</v>
      </c>
      <c r="X447" t="s">
        <v>844</v>
      </c>
      <c r="Y447">
        <v>2</v>
      </c>
      <c r="Z447" t="s">
        <v>49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hidden="1">
      <c r="A448">
        <v>447</v>
      </c>
      <c r="B448" t="s">
        <v>880</v>
      </c>
      <c r="C448" t="s">
        <v>881</v>
      </c>
      <c r="D448" t="s">
        <v>139</v>
      </c>
      <c r="E448">
        <v>0</v>
      </c>
      <c r="F448" s="3">
        <v>46275</v>
      </c>
      <c r="G448" s="3">
        <v>46286</v>
      </c>
      <c r="H448" t="s">
        <v>74</v>
      </c>
      <c r="I448" t="s">
        <v>857</v>
      </c>
      <c r="J448" t="s">
        <v>83</v>
      </c>
      <c r="L448" s="3">
        <v>46279</v>
      </c>
      <c r="M448" s="3">
        <v>46279</v>
      </c>
      <c r="N448">
        <v>328</v>
      </c>
      <c r="P448">
        <v>448</v>
      </c>
      <c r="Q448" t="s">
        <v>209</v>
      </c>
      <c r="Z448" t="s">
        <v>49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hidden="1">
      <c r="A449">
        <v>448</v>
      </c>
      <c r="B449" t="s">
        <v>882</v>
      </c>
      <c r="C449" t="s">
        <v>881</v>
      </c>
      <c r="D449" t="s">
        <v>143</v>
      </c>
      <c r="E449">
        <v>0</v>
      </c>
      <c r="F449" s="3">
        <v>46286</v>
      </c>
      <c r="G449" s="3">
        <v>46293</v>
      </c>
      <c r="H449" t="s">
        <v>74</v>
      </c>
      <c r="I449" t="s">
        <v>140</v>
      </c>
      <c r="J449" t="s">
        <v>144</v>
      </c>
      <c r="L449" s="3">
        <v>46286</v>
      </c>
      <c r="M449" s="3">
        <v>46286</v>
      </c>
      <c r="N449">
        <v>447</v>
      </c>
      <c r="P449">
        <v>449</v>
      </c>
      <c r="Q449" t="s">
        <v>209</v>
      </c>
      <c r="Z449" t="s">
        <v>49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hidden="1">
      <c r="A450">
        <v>449</v>
      </c>
      <c r="B450" t="s">
        <v>883</v>
      </c>
      <c r="C450" t="s">
        <v>881</v>
      </c>
      <c r="D450" t="s">
        <v>146</v>
      </c>
      <c r="E450">
        <v>0</v>
      </c>
      <c r="F450" s="3">
        <v>46293</v>
      </c>
      <c r="G450" s="3">
        <v>46296</v>
      </c>
      <c r="H450" t="s">
        <v>74</v>
      </c>
      <c r="I450" t="s">
        <v>147</v>
      </c>
      <c r="J450" t="s">
        <v>148</v>
      </c>
      <c r="L450" s="3">
        <v>46289</v>
      </c>
      <c r="M450" s="3">
        <v>46289</v>
      </c>
      <c r="N450">
        <v>448</v>
      </c>
      <c r="P450">
        <v>450</v>
      </c>
      <c r="Q450" t="s">
        <v>209</v>
      </c>
      <c r="Z450" t="s">
        <v>49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hidden="1">
      <c r="A451">
        <v>450</v>
      </c>
      <c r="B451" t="s">
        <v>884</v>
      </c>
      <c r="C451" t="s">
        <v>881</v>
      </c>
      <c r="D451" t="s">
        <v>150</v>
      </c>
      <c r="E451">
        <v>0</v>
      </c>
      <c r="F451" s="3">
        <v>46296</v>
      </c>
      <c r="G451" s="3">
        <v>46300</v>
      </c>
      <c r="H451" t="s">
        <v>74</v>
      </c>
      <c r="I451" t="s">
        <v>151</v>
      </c>
      <c r="J451" t="s">
        <v>822</v>
      </c>
      <c r="L451" s="3">
        <v>46293</v>
      </c>
      <c r="M451" s="3">
        <v>46293</v>
      </c>
      <c r="N451">
        <v>449</v>
      </c>
      <c r="Q451" t="s">
        <v>209</v>
      </c>
      <c r="Z451" t="s">
        <v>49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hidden="1">
      <c r="A452">
        <v>451</v>
      </c>
      <c r="B452" t="s">
        <v>885</v>
      </c>
      <c r="C452" t="s">
        <v>838</v>
      </c>
      <c r="D452" t="s">
        <v>886</v>
      </c>
      <c r="E452">
        <v>0</v>
      </c>
      <c r="F452" s="3">
        <v>46245</v>
      </c>
      <c r="G452" s="3">
        <v>46282</v>
      </c>
      <c r="H452" t="s">
        <v>74</v>
      </c>
      <c r="I452" t="s">
        <v>887</v>
      </c>
      <c r="J452" t="s">
        <v>79</v>
      </c>
      <c r="K452" s="3">
        <v>46238</v>
      </c>
      <c r="L452" s="3">
        <v>46275</v>
      </c>
      <c r="M452" s="3">
        <v>46275</v>
      </c>
      <c r="O452" t="s">
        <v>638</v>
      </c>
      <c r="Q452" t="s">
        <v>209</v>
      </c>
      <c r="R452" t="s">
        <v>888</v>
      </c>
      <c r="U452" t="s">
        <v>889</v>
      </c>
      <c r="V452" t="s">
        <v>134</v>
      </c>
      <c r="W452" t="s">
        <v>135</v>
      </c>
      <c r="X452" t="s">
        <v>844</v>
      </c>
      <c r="Y452">
        <v>10</v>
      </c>
      <c r="Z452" t="s">
        <v>49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hidden="1">
      <c r="A453">
        <v>452</v>
      </c>
      <c r="B453" t="s">
        <v>890</v>
      </c>
      <c r="C453" t="s">
        <v>891</v>
      </c>
      <c r="D453" t="s">
        <v>139</v>
      </c>
      <c r="E453">
        <v>0</v>
      </c>
      <c r="F453" s="3">
        <v>46245</v>
      </c>
      <c r="G453" s="3">
        <v>46266</v>
      </c>
      <c r="H453" t="s">
        <v>74</v>
      </c>
      <c r="I453" t="s">
        <v>129</v>
      </c>
      <c r="J453" t="s">
        <v>79</v>
      </c>
      <c r="L453" s="3">
        <v>46259</v>
      </c>
      <c r="M453" s="3">
        <v>46259</v>
      </c>
      <c r="N453" t="s">
        <v>892</v>
      </c>
      <c r="P453">
        <v>453</v>
      </c>
      <c r="Q453" t="s">
        <v>209</v>
      </c>
      <c r="Z453" t="s">
        <v>49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hidden="1">
      <c r="A454">
        <v>453</v>
      </c>
      <c r="B454" t="s">
        <v>893</v>
      </c>
      <c r="C454" t="s">
        <v>891</v>
      </c>
      <c r="D454" t="s">
        <v>143</v>
      </c>
      <c r="E454">
        <v>0</v>
      </c>
      <c r="F454" s="3">
        <v>46266</v>
      </c>
      <c r="G454" s="3">
        <v>46273</v>
      </c>
      <c r="H454" t="s">
        <v>74</v>
      </c>
      <c r="I454" t="s">
        <v>140</v>
      </c>
      <c r="J454" t="s">
        <v>185</v>
      </c>
      <c r="L454" s="3">
        <v>46266</v>
      </c>
      <c r="M454" s="3">
        <v>46266</v>
      </c>
      <c r="N454">
        <v>452</v>
      </c>
      <c r="P454">
        <v>454</v>
      </c>
      <c r="Q454" t="s">
        <v>209</v>
      </c>
      <c r="Z454" t="s">
        <v>49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hidden="1">
      <c r="A455">
        <v>454</v>
      </c>
      <c r="B455" t="s">
        <v>894</v>
      </c>
      <c r="C455" t="s">
        <v>891</v>
      </c>
      <c r="D455" t="s">
        <v>146</v>
      </c>
      <c r="E455">
        <v>0</v>
      </c>
      <c r="F455" s="3">
        <v>46273</v>
      </c>
      <c r="G455" s="3">
        <v>46280</v>
      </c>
      <c r="H455" t="s">
        <v>74</v>
      </c>
      <c r="I455" t="s">
        <v>140</v>
      </c>
      <c r="J455" t="s">
        <v>398</v>
      </c>
      <c r="L455" s="3">
        <v>46273</v>
      </c>
      <c r="M455" s="3">
        <v>46273</v>
      </c>
      <c r="N455">
        <v>453</v>
      </c>
      <c r="P455">
        <v>455</v>
      </c>
      <c r="Q455" t="s">
        <v>209</v>
      </c>
      <c r="Z455" t="s">
        <v>49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hidden="1">
      <c r="A456">
        <v>455</v>
      </c>
      <c r="B456" t="s">
        <v>895</v>
      </c>
      <c r="C456" t="s">
        <v>891</v>
      </c>
      <c r="D456" t="s">
        <v>150</v>
      </c>
      <c r="E456">
        <v>0</v>
      </c>
      <c r="F456" s="3">
        <v>46280</v>
      </c>
      <c r="G456" s="3">
        <v>46282</v>
      </c>
      <c r="H456" t="s">
        <v>74</v>
      </c>
      <c r="I456" t="s">
        <v>151</v>
      </c>
      <c r="J456" t="s">
        <v>83</v>
      </c>
      <c r="L456" s="3">
        <v>46275</v>
      </c>
      <c r="M456" s="3">
        <v>46275</v>
      </c>
      <c r="N456">
        <v>454</v>
      </c>
      <c r="Q456" t="s">
        <v>209</v>
      </c>
      <c r="Z456" t="s">
        <v>49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hidden="1">
      <c r="A457">
        <v>456</v>
      </c>
      <c r="B457" t="s">
        <v>896</v>
      </c>
      <c r="C457" t="s">
        <v>838</v>
      </c>
      <c r="D457" t="s">
        <v>897</v>
      </c>
      <c r="E457">
        <v>0</v>
      </c>
      <c r="F457" s="3">
        <v>46273</v>
      </c>
      <c r="G457" s="3">
        <v>46301</v>
      </c>
      <c r="H457" t="s">
        <v>74</v>
      </c>
      <c r="I457" t="s">
        <v>224</v>
      </c>
      <c r="J457" t="s">
        <v>398</v>
      </c>
      <c r="K457" s="3">
        <v>46266</v>
      </c>
      <c r="L457" s="3">
        <v>46294</v>
      </c>
      <c r="M457" s="3">
        <v>46294</v>
      </c>
      <c r="O457" t="s">
        <v>638</v>
      </c>
      <c r="Q457" t="s">
        <v>209</v>
      </c>
      <c r="R457" t="s">
        <v>898</v>
      </c>
      <c r="U457" t="s">
        <v>889</v>
      </c>
      <c r="V457" t="s">
        <v>134</v>
      </c>
      <c r="W457" t="s">
        <v>135</v>
      </c>
      <c r="X457" t="s">
        <v>844</v>
      </c>
      <c r="Y457">
        <v>10</v>
      </c>
      <c r="Z457" t="s">
        <v>43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hidden="1">
      <c r="A458">
        <v>457</v>
      </c>
      <c r="B458" t="s">
        <v>899</v>
      </c>
      <c r="C458" t="s">
        <v>900</v>
      </c>
      <c r="D458" t="s">
        <v>139</v>
      </c>
      <c r="E458">
        <v>0</v>
      </c>
      <c r="F458" s="3">
        <v>46273</v>
      </c>
      <c r="G458" s="3">
        <v>46287</v>
      </c>
      <c r="H458" t="s">
        <v>74</v>
      </c>
      <c r="I458" t="s">
        <v>216</v>
      </c>
      <c r="J458" t="s">
        <v>398</v>
      </c>
      <c r="L458" s="3">
        <v>46280</v>
      </c>
      <c r="M458" s="3">
        <v>46280</v>
      </c>
      <c r="N458">
        <v>1075</v>
      </c>
      <c r="P458" t="s">
        <v>901</v>
      </c>
      <c r="Q458" t="s">
        <v>209</v>
      </c>
      <c r="Z458" t="s">
        <v>43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hidden="1">
      <c r="A459">
        <v>458</v>
      </c>
      <c r="B459" t="s">
        <v>902</v>
      </c>
      <c r="C459" t="s">
        <v>900</v>
      </c>
      <c r="D459" t="s">
        <v>143</v>
      </c>
      <c r="E459">
        <v>0</v>
      </c>
      <c r="F459" s="3">
        <v>46287</v>
      </c>
      <c r="G459" s="3">
        <v>46294</v>
      </c>
      <c r="H459" t="s">
        <v>74</v>
      </c>
      <c r="I459" t="s">
        <v>140</v>
      </c>
      <c r="J459" t="s">
        <v>144</v>
      </c>
      <c r="L459" s="3">
        <v>46287</v>
      </c>
      <c r="M459" s="3">
        <v>46287</v>
      </c>
      <c r="N459">
        <v>457</v>
      </c>
      <c r="P459">
        <v>459</v>
      </c>
      <c r="Q459" t="s">
        <v>209</v>
      </c>
      <c r="Z459" t="s">
        <v>43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hidden="1">
      <c r="A460">
        <v>459</v>
      </c>
      <c r="B460" t="s">
        <v>903</v>
      </c>
      <c r="C460" t="s">
        <v>900</v>
      </c>
      <c r="D460" t="s">
        <v>146</v>
      </c>
      <c r="E460">
        <v>0</v>
      </c>
      <c r="F460" s="3">
        <v>46294</v>
      </c>
      <c r="G460" s="3">
        <v>46297</v>
      </c>
      <c r="H460" t="s">
        <v>74</v>
      </c>
      <c r="I460" t="s">
        <v>147</v>
      </c>
      <c r="J460" t="s">
        <v>148</v>
      </c>
      <c r="L460" s="3">
        <v>46290</v>
      </c>
      <c r="M460" s="3">
        <v>46290</v>
      </c>
      <c r="N460">
        <v>458</v>
      </c>
      <c r="P460">
        <v>460</v>
      </c>
      <c r="Q460" t="s">
        <v>209</v>
      </c>
      <c r="Z460" t="s">
        <v>43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hidden="1">
      <c r="A461">
        <v>460</v>
      </c>
      <c r="B461" t="s">
        <v>904</v>
      </c>
      <c r="C461" t="s">
        <v>900</v>
      </c>
      <c r="D461" t="s">
        <v>150</v>
      </c>
      <c r="E461">
        <v>0</v>
      </c>
      <c r="F461" s="3">
        <v>46297</v>
      </c>
      <c r="G461" s="3">
        <v>46301</v>
      </c>
      <c r="H461" t="s">
        <v>74</v>
      </c>
      <c r="I461" t="s">
        <v>151</v>
      </c>
      <c r="J461" t="s">
        <v>822</v>
      </c>
      <c r="L461" s="3">
        <v>46294</v>
      </c>
      <c r="M461" s="3">
        <v>46294</v>
      </c>
      <c r="N461">
        <v>459</v>
      </c>
      <c r="Q461" t="s">
        <v>209</v>
      </c>
      <c r="Z461" t="s">
        <v>43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hidden="1">
      <c r="A462">
        <v>461</v>
      </c>
      <c r="B462" t="s">
        <v>905</v>
      </c>
      <c r="C462" t="s">
        <v>838</v>
      </c>
      <c r="D462" t="s">
        <v>906</v>
      </c>
      <c r="E462">
        <v>0</v>
      </c>
      <c r="F462" s="3">
        <v>46252</v>
      </c>
      <c r="G462" s="3">
        <v>46287</v>
      </c>
      <c r="H462" t="s">
        <v>74</v>
      </c>
      <c r="I462" t="s">
        <v>382</v>
      </c>
      <c r="J462" t="s">
        <v>353</v>
      </c>
      <c r="K462" s="3">
        <v>46245</v>
      </c>
      <c r="L462" s="3">
        <v>46280</v>
      </c>
      <c r="M462" s="3">
        <v>46280</v>
      </c>
      <c r="O462" t="s">
        <v>638</v>
      </c>
      <c r="Q462" t="s">
        <v>209</v>
      </c>
      <c r="R462" t="s">
        <v>907</v>
      </c>
      <c r="U462" t="s">
        <v>889</v>
      </c>
      <c r="V462" t="s">
        <v>134</v>
      </c>
      <c r="W462" t="s">
        <v>135</v>
      </c>
      <c r="X462" t="s">
        <v>844</v>
      </c>
      <c r="Y462">
        <v>10</v>
      </c>
      <c r="Z462" t="s">
        <v>49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hidden="1">
      <c r="A463">
        <v>462</v>
      </c>
      <c r="B463" t="s">
        <v>908</v>
      </c>
      <c r="C463" t="s">
        <v>909</v>
      </c>
      <c r="D463" t="s">
        <v>139</v>
      </c>
      <c r="E463">
        <v>0</v>
      </c>
      <c r="F463" s="3">
        <v>46252</v>
      </c>
      <c r="G463" s="3">
        <v>46273</v>
      </c>
      <c r="H463" t="s">
        <v>74</v>
      </c>
      <c r="I463" t="s">
        <v>129</v>
      </c>
      <c r="J463" t="s">
        <v>353</v>
      </c>
      <c r="L463" s="3">
        <v>46266</v>
      </c>
      <c r="M463" s="3">
        <v>46266</v>
      </c>
      <c r="N463" t="s">
        <v>910</v>
      </c>
      <c r="P463">
        <v>463</v>
      </c>
      <c r="Q463" t="s">
        <v>209</v>
      </c>
      <c r="Z463" t="s">
        <v>49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hidden="1">
      <c r="A464">
        <v>463</v>
      </c>
      <c r="B464" t="s">
        <v>911</v>
      </c>
      <c r="C464" t="s">
        <v>909</v>
      </c>
      <c r="D464" t="s">
        <v>143</v>
      </c>
      <c r="E464">
        <v>0</v>
      </c>
      <c r="F464" s="3">
        <v>46273</v>
      </c>
      <c r="G464" s="3">
        <v>46280</v>
      </c>
      <c r="H464" t="s">
        <v>74</v>
      </c>
      <c r="I464" t="s">
        <v>140</v>
      </c>
      <c r="J464" t="s">
        <v>398</v>
      </c>
      <c r="L464" s="3">
        <v>46273</v>
      </c>
      <c r="M464" s="3">
        <v>46273</v>
      </c>
      <c r="N464">
        <v>462</v>
      </c>
      <c r="P464">
        <v>464</v>
      </c>
      <c r="Q464" t="s">
        <v>209</v>
      </c>
      <c r="Z464" t="s">
        <v>49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hidden="1">
      <c r="A465">
        <v>464</v>
      </c>
      <c r="B465" t="s">
        <v>912</v>
      </c>
      <c r="C465" t="s">
        <v>909</v>
      </c>
      <c r="D465" t="s">
        <v>146</v>
      </c>
      <c r="E465">
        <v>0</v>
      </c>
      <c r="F465" s="3">
        <v>46280</v>
      </c>
      <c r="G465" s="3">
        <v>46283</v>
      </c>
      <c r="H465" t="s">
        <v>74</v>
      </c>
      <c r="I465" t="s">
        <v>147</v>
      </c>
      <c r="J465" t="s">
        <v>83</v>
      </c>
      <c r="L465" s="3">
        <v>46276</v>
      </c>
      <c r="M465" s="3">
        <v>46276</v>
      </c>
      <c r="N465">
        <v>463</v>
      </c>
      <c r="P465">
        <v>465</v>
      </c>
      <c r="Q465" t="s">
        <v>209</v>
      </c>
      <c r="Z465" t="s">
        <v>49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 hidden="1">
      <c r="A466">
        <v>465</v>
      </c>
      <c r="B466" t="s">
        <v>913</v>
      </c>
      <c r="C466" t="s">
        <v>909</v>
      </c>
      <c r="D466" t="s">
        <v>150</v>
      </c>
      <c r="E466">
        <v>0</v>
      </c>
      <c r="F466" s="3">
        <v>46283</v>
      </c>
      <c r="G466" s="3">
        <v>46287</v>
      </c>
      <c r="H466" t="s">
        <v>74</v>
      </c>
      <c r="I466" t="s">
        <v>151</v>
      </c>
      <c r="J466" t="s">
        <v>144</v>
      </c>
      <c r="L466" s="3">
        <v>46280</v>
      </c>
      <c r="M466" s="3">
        <v>46280</v>
      </c>
      <c r="N466">
        <v>464</v>
      </c>
      <c r="Q466" t="s">
        <v>209</v>
      </c>
      <c r="Z466" t="s">
        <v>49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hidden="1">
      <c r="A467">
        <v>466</v>
      </c>
      <c r="B467" t="s">
        <v>914</v>
      </c>
      <c r="C467" t="s">
        <v>838</v>
      </c>
      <c r="D467" t="s">
        <v>915</v>
      </c>
      <c r="E467">
        <v>0</v>
      </c>
      <c r="F467" s="3">
        <v>46252</v>
      </c>
      <c r="G467" s="3">
        <v>46289</v>
      </c>
      <c r="H467" t="s">
        <v>74</v>
      </c>
      <c r="I467" t="s">
        <v>887</v>
      </c>
      <c r="J467" t="s">
        <v>144</v>
      </c>
      <c r="K467" s="3">
        <v>46245</v>
      </c>
      <c r="L467" s="3">
        <v>46282</v>
      </c>
      <c r="M467" s="3">
        <v>46282</v>
      </c>
      <c r="O467" t="s">
        <v>638</v>
      </c>
      <c r="Q467" t="s">
        <v>209</v>
      </c>
      <c r="R467" t="s">
        <v>916</v>
      </c>
      <c r="U467" t="s">
        <v>889</v>
      </c>
      <c r="V467" t="s">
        <v>134</v>
      </c>
      <c r="W467" t="s">
        <v>135</v>
      </c>
      <c r="X467" t="s">
        <v>844</v>
      </c>
      <c r="Y467">
        <v>5</v>
      </c>
      <c r="Z467" t="s">
        <v>49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hidden="1">
      <c r="A468">
        <v>467</v>
      </c>
      <c r="B468" t="s">
        <v>917</v>
      </c>
      <c r="C468" t="s">
        <v>918</v>
      </c>
      <c r="D468" t="s">
        <v>139</v>
      </c>
      <c r="E468">
        <v>0</v>
      </c>
      <c r="F468" s="3">
        <v>46252</v>
      </c>
      <c r="G468" s="3">
        <v>46273</v>
      </c>
      <c r="H468" t="s">
        <v>74</v>
      </c>
      <c r="I468" t="s">
        <v>129</v>
      </c>
      <c r="J468" t="s">
        <v>353</v>
      </c>
      <c r="L468" s="3">
        <v>46266</v>
      </c>
      <c r="M468" s="3">
        <v>46266</v>
      </c>
      <c r="N468" t="s">
        <v>910</v>
      </c>
      <c r="P468">
        <v>468</v>
      </c>
      <c r="Q468" t="s">
        <v>209</v>
      </c>
      <c r="Z468" t="s">
        <v>49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hidden="1">
      <c r="A469">
        <v>468</v>
      </c>
      <c r="B469" t="s">
        <v>919</v>
      </c>
      <c r="C469" t="s">
        <v>918</v>
      </c>
      <c r="D469" t="s">
        <v>143</v>
      </c>
      <c r="E469">
        <v>0</v>
      </c>
      <c r="F469" s="3">
        <v>46273</v>
      </c>
      <c r="G469" s="3">
        <v>46280</v>
      </c>
      <c r="H469" t="s">
        <v>74</v>
      </c>
      <c r="I469" t="s">
        <v>140</v>
      </c>
      <c r="J469" t="s">
        <v>398</v>
      </c>
      <c r="L469" s="3">
        <v>46273</v>
      </c>
      <c r="M469" s="3">
        <v>46273</v>
      </c>
      <c r="N469">
        <v>467</v>
      </c>
      <c r="P469">
        <v>469</v>
      </c>
      <c r="Q469" t="s">
        <v>209</v>
      </c>
      <c r="Z469" t="s">
        <v>49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hidden="1">
      <c r="A470">
        <v>469</v>
      </c>
      <c r="B470" t="s">
        <v>920</v>
      </c>
      <c r="C470" t="s">
        <v>918</v>
      </c>
      <c r="D470" t="s">
        <v>146</v>
      </c>
      <c r="E470">
        <v>0</v>
      </c>
      <c r="F470" s="3">
        <v>46280</v>
      </c>
      <c r="G470" s="3">
        <v>46287</v>
      </c>
      <c r="H470" t="s">
        <v>74</v>
      </c>
      <c r="I470" t="s">
        <v>140</v>
      </c>
      <c r="J470" t="s">
        <v>83</v>
      </c>
      <c r="L470" s="3">
        <v>46280</v>
      </c>
      <c r="M470" s="3">
        <v>46280</v>
      </c>
      <c r="N470">
        <v>468</v>
      </c>
      <c r="P470">
        <v>470</v>
      </c>
      <c r="Q470" t="s">
        <v>209</v>
      </c>
      <c r="Z470" t="s">
        <v>49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hidden="1">
      <c r="A471">
        <v>470</v>
      </c>
      <c r="B471" t="s">
        <v>921</v>
      </c>
      <c r="C471" t="s">
        <v>918</v>
      </c>
      <c r="D471" t="s">
        <v>150</v>
      </c>
      <c r="E471">
        <v>0</v>
      </c>
      <c r="F471" s="3">
        <v>46287</v>
      </c>
      <c r="G471" s="3">
        <v>46289</v>
      </c>
      <c r="H471" t="s">
        <v>74</v>
      </c>
      <c r="I471" t="s">
        <v>151</v>
      </c>
      <c r="J471" t="s">
        <v>144</v>
      </c>
      <c r="L471" s="3">
        <v>46282</v>
      </c>
      <c r="M471" s="3">
        <v>46282</v>
      </c>
      <c r="N471">
        <v>469</v>
      </c>
      <c r="Q471" t="s">
        <v>209</v>
      </c>
      <c r="Z471" t="s">
        <v>49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hidden="1">
      <c r="A472">
        <v>471</v>
      </c>
      <c r="B472" t="s">
        <v>922</v>
      </c>
      <c r="C472" t="s">
        <v>838</v>
      </c>
      <c r="D472" t="s">
        <v>923</v>
      </c>
      <c r="E472">
        <v>0</v>
      </c>
      <c r="F472" s="3">
        <v>46252</v>
      </c>
      <c r="G472" s="3">
        <v>46287</v>
      </c>
      <c r="H472" t="s">
        <v>74</v>
      </c>
      <c r="I472" t="s">
        <v>382</v>
      </c>
      <c r="J472" t="s">
        <v>353</v>
      </c>
      <c r="K472" s="3">
        <v>46245</v>
      </c>
      <c r="L472" s="3">
        <v>46280</v>
      </c>
      <c r="M472" s="3">
        <v>46280</v>
      </c>
      <c r="O472" t="s">
        <v>638</v>
      </c>
      <c r="Q472" t="s">
        <v>209</v>
      </c>
      <c r="R472" t="s">
        <v>924</v>
      </c>
      <c r="U472" t="s">
        <v>889</v>
      </c>
      <c r="V472" t="s">
        <v>134</v>
      </c>
      <c r="W472" t="s">
        <v>135</v>
      </c>
      <c r="X472" t="s">
        <v>844</v>
      </c>
      <c r="Y472">
        <v>5</v>
      </c>
      <c r="Z472" t="s">
        <v>49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hidden="1">
      <c r="A473">
        <v>472</v>
      </c>
      <c r="B473" t="s">
        <v>925</v>
      </c>
      <c r="C473" t="s">
        <v>926</v>
      </c>
      <c r="D473" t="s">
        <v>139</v>
      </c>
      <c r="E473">
        <v>0</v>
      </c>
      <c r="F473" s="3">
        <v>46252</v>
      </c>
      <c r="G473" s="3">
        <v>46273</v>
      </c>
      <c r="H473" t="s">
        <v>74</v>
      </c>
      <c r="I473" t="s">
        <v>129</v>
      </c>
      <c r="J473" t="s">
        <v>353</v>
      </c>
      <c r="L473" s="3">
        <v>46266</v>
      </c>
      <c r="M473" s="3">
        <v>46266</v>
      </c>
      <c r="N473" t="s">
        <v>910</v>
      </c>
      <c r="P473">
        <v>473</v>
      </c>
      <c r="Q473" t="s">
        <v>209</v>
      </c>
      <c r="Z473" t="s">
        <v>49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hidden="1">
      <c r="A474">
        <v>473</v>
      </c>
      <c r="B474" t="s">
        <v>927</v>
      </c>
      <c r="C474" t="s">
        <v>926</v>
      </c>
      <c r="D474" t="s">
        <v>143</v>
      </c>
      <c r="E474">
        <v>0</v>
      </c>
      <c r="F474" s="3">
        <v>46273</v>
      </c>
      <c r="G474" s="3">
        <v>46280</v>
      </c>
      <c r="H474" t="s">
        <v>74</v>
      </c>
      <c r="I474" t="s">
        <v>140</v>
      </c>
      <c r="J474" t="s">
        <v>398</v>
      </c>
      <c r="L474" s="3">
        <v>46273</v>
      </c>
      <c r="M474" s="3">
        <v>46273</v>
      </c>
      <c r="N474">
        <v>472</v>
      </c>
      <c r="P474">
        <v>474</v>
      </c>
      <c r="Q474" t="s">
        <v>209</v>
      </c>
      <c r="Z474" t="s">
        <v>49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hidden="1">
      <c r="A475">
        <v>474</v>
      </c>
      <c r="B475" t="s">
        <v>928</v>
      </c>
      <c r="C475" t="s">
        <v>926</v>
      </c>
      <c r="D475" t="s">
        <v>146</v>
      </c>
      <c r="E475">
        <v>0</v>
      </c>
      <c r="F475" s="3">
        <v>46280</v>
      </c>
      <c r="G475" s="3">
        <v>46283</v>
      </c>
      <c r="H475" t="s">
        <v>74</v>
      </c>
      <c r="I475" t="s">
        <v>147</v>
      </c>
      <c r="J475" t="s">
        <v>83</v>
      </c>
      <c r="L475" s="3">
        <v>46276</v>
      </c>
      <c r="M475" s="3">
        <v>46276</v>
      </c>
      <c r="N475">
        <v>473</v>
      </c>
      <c r="P475">
        <v>475</v>
      </c>
      <c r="Q475" t="s">
        <v>209</v>
      </c>
      <c r="Z475" t="s">
        <v>49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hidden="1">
      <c r="A476">
        <v>475</v>
      </c>
      <c r="B476" t="s">
        <v>929</v>
      </c>
      <c r="C476" t="s">
        <v>926</v>
      </c>
      <c r="D476" t="s">
        <v>150</v>
      </c>
      <c r="E476">
        <v>0</v>
      </c>
      <c r="F476" s="3">
        <v>46283</v>
      </c>
      <c r="G476" s="3">
        <v>46287</v>
      </c>
      <c r="H476" t="s">
        <v>74</v>
      </c>
      <c r="I476" t="s">
        <v>151</v>
      </c>
      <c r="J476" t="s">
        <v>144</v>
      </c>
      <c r="L476" s="3">
        <v>46280</v>
      </c>
      <c r="M476" s="3">
        <v>46280</v>
      </c>
      <c r="N476">
        <v>474</v>
      </c>
      <c r="Q476" t="s">
        <v>209</v>
      </c>
      <c r="Z476" t="s">
        <v>49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hidden="1">
      <c r="A477">
        <v>476</v>
      </c>
      <c r="B477" t="s">
        <v>930</v>
      </c>
      <c r="C477" t="s">
        <v>838</v>
      </c>
      <c r="D477" t="s">
        <v>931</v>
      </c>
      <c r="E477">
        <v>0</v>
      </c>
      <c r="F477" s="3">
        <v>46252</v>
      </c>
      <c r="G477" s="3">
        <v>46287</v>
      </c>
      <c r="H477" t="s">
        <v>74</v>
      </c>
      <c r="I477" t="s">
        <v>382</v>
      </c>
      <c r="J477" t="s">
        <v>353</v>
      </c>
      <c r="K477" s="3">
        <v>46245</v>
      </c>
      <c r="L477" s="3">
        <v>46280</v>
      </c>
      <c r="M477" s="3">
        <v>46280</v>
      </c>
      <c r="O477" t="s">
        <v>638</v>
      </c>
      <c r="Q477" t="s">
        <v>209</v>
      </c>
      <c r="R477" t="s">
        <v>932</v>
      </c>
      <c r="U477" t="s">
        <v>889</v>
      </c>
      <c r="V477" t="s">
        <v>134</v>
      </c>
      <c r="W477" t="s">
        <v>135</v>
      </c>
      <c r="X477" t="s">
        <v>844</v>
      </c>
      <c r="Y477">
        <v>2</v>
      </c>
      <c r="Z477" t="s">
        <v>49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 hidden="1">
      <c r="A478">
        <v>477</v>
      </c>
      <c r="B478" t="s">
        <v>933</v>
      </c>
      <c r="C478" t="s">
        <v>934</v>
      </c>
      <c r="D478" t="s">
        <v>139</v>
      </c>
      <c r="E478">
        <v>0</v>
      </c>
      <c r="F478" s="3">
        <v>46252</v>
      </c>
      <c r="G478" s="3">
        <v>46273</v>
      </c>
      <c r="H478" t="s">
        <v>74</v>
      </c>
      <c r="I478" t="s">
        <v>129</v>
      </c>
      <c r="J478" t="s">
        <v>353</v>
      </c>
      <c r="L478" s="3">
        <v>46266</v>
      </c>
      <c r="M478" s="3">
        <v>46266</v>
      </c>
      <c r="N478" t="s">
        <v>910</v>
      </c>
      <c r="P478">
        <v>478</v>
      </c>
      <c r="Q478" t="s">
        <v>209</v>
      </c>
      <c r="Z478" t="s">
        <v>49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hidden="1">
      <c r="A479">
        <v>478</v>
      </c>
      <c r="B479" t="s">
        <v>935</v>
      </c>
      <c r="C479" t="s">
        <v>934</v>
      </c>
      <c r="D479" t="s">
        <v>143</v>
      </c>
      <c r="E479">
        <v>0</v>
      </c>
      <c r="F479" s="3">
        <v>46273</v>
      </c>
      <c r="G479" s="3">
        <v>46280</v>
      </c>
      <c r="H479" t="s">
        <v>74</v>
      </c>
      <c r="I479" t="s">
        <v>140</v>
      </c>
      <c r="J479" t="s">
        <v>398</v>
      </c>
      <c r="L479" s="3">
        <v>46273</v>
      </c>
      <c r="M479" s="3">
        <v>46273</v>
      </c>
      <c r="N479">
        <v>477</v>
      </c>
      <c r="P479">
        <v>479</v>
      </c>
      <c r="Q479" t="s">
        <v>209</v>
      </c>
      <c r="Z479" t="s">
        <v>49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hidden="1">
      <c r="A480">
        <v>479</v>
      </c>
      <c r="B480" t="s">
        <v>936</v>
      </c>
      <c r="C480" t="s">
        <v>934</v>
      </c>
      <c r="D480" t="s">
        <v>146</v>
      </c>
      <c r="E480">
        <v>0</v>
      </c>
      <c r="F480" s="3">
        <v>46280</v>
      </c>
      <c r="G480" s="3">
        <v>46283</v>
      </c>
      <c r="H480" t="s">
        <v>74</v>
      </c>
      <c r="I480" t="s">
        <v>147</v>
      </c>
      <c r="J480" t="s">
        <v>83</v>
      </c>
      <c r="L480" s="3">
        <v>46276</v>
      </c>
      <c r="M480" s="3">
        <v>46276</v>
      </c>
      <c r="N480">
        <v>478</v>
      </c>
      <c r="P480">
        <v>480</v>
      </c>
      <c r="Q480" t="s">
        <v>209</v>
      </c>
      <c r="Z480" t="s">
        <v>49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hidden="1">
      <c r="A481">
        <v>480</v>
      </c>
      <c r="B481" t="s">
        <v>937</v>
      </c>
      <c r="C481" t="s">
        <v>934</v>
      </c>
      <c r="D481" t="s">
        <v>150</v>
      </c>
      <c r="E481">
        <v>0</v>
      </c>
      <c r="F481" s="3">
        <v>46283</v>
      </c>
      <c r="G481" s="3">
        <v>46287</v>
      </c>
      <c r="H481" t="s">
        <v>74</v>
      </c>
      <c r="I481" t="s">
        <v>151</v>
      </c>
      <c r="J481" t="s">
        <v>144</v>
      </c>
      <c r="L481" s="3">
        <v>46280</v>
      </c>
      <c r="M481" s="3">
        <v>46280</v>
      </c>
      <c r="N481">
        <v>479</v>
      </c>
      <c r="Q481" t="s">
        <v>209</v>
      </c>
      <c r="Z481" t="s">
        <v>49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hidden="1">
      <c r="A482">
        <v>481</v>
      </c>
      <c r="B482" t="s">
        <v>938</v>
      </c>
      <c r="C482" t="s">
        <v>838</v>
      </c>
      <c r="D482" t="s">
        <v>939</v>
      </c>
      <c r="E482">
        <v>0</v>
      </c>
      <c r="F482" s="3">
        <v>46252</v>
      </c>
      <c r="G482" s="3">
        <v>46287</v>
      </c>
      <c r="H482" t="s">
        <v>74</v>
      </c>
      <c r="I482" t="s">
        <v>382</v>
      </c>
      <c r="J482" t="s">
        <v>353</v>
      </c>
      <c r="K482" s="3">
        <v>46245</v>
      </c>
      <c r="L482" s="3">
        <v>46280</v>
      </c>
      <c r="M482" s="3">
        <v>46280</v>
      </c>
      <c r="O482" t="s">
        <v>940</v>
      </c>
      <c r="Q482" t="s">
        <v>209</v>
      </c>
      <c r="R482" t="s">
        <v>941</v>
      </c>
      <c r="U482" t="s">
        <v>889</v>
      </c>
      <c r="V482" t="s">
        <v>134</v>
      </c>
      <c r="W482" t="s">
        <v>135</v>
      </c>
      <c r="X482" t="s">
        <v>844</v>
      </c>
      <c r="Y482">
        <v>2</v>
      </c>
      <c r="Z482" t="s">
        <v>49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hidden="1">
      <c r="A483">
        <v>482</v>
      </c>
      <c r="B483" t="s">
        <v>942</v>
      </c>
      <c r="C483" t="s">
        <v>943</v>
      </c>
      <c r="D483" t="s">
        <v>139</v>
      </c>
      <c r="E483">
        <v>0</v>
      </c>
      <c r="F483" s="3">
        <v>46252</v>
      </c>
      <c r="G483" s="3">
        <v>46273</v>
      </c>
      <c r="H483" t="s">
        <v>74</v>
      </c>
      <c r="I483" t="s">
        <v>129</v>
      </c>
      <c r="J483" t="s">
        <v>353</v>
      </c>
      <c r="L483" s="3">
        <v>46266</v>
      </c>
      <c r="M483" s="3">
        <v>46266</v>
      </c>
      <c r="N483" t="s">
        <v>910</v>
      </c>
      <c r="P483">
        <v>483</v>
      </c>
      <c r="Q483" t="s">
        <v>209</v>
      </c>
      <c r="Z483" t="s">
        <v>49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hidden="1">
      <c r="A484">
        <v>483</v>
      </c>
      <c r="B484" t="s">
        <v>944</v>
      </c>
      <c r="C484" t="s">
        <v>943</v>
      </c>
      <c r="D484" t="s">
        <v>143</v>
      </c>
      <c r="E484">
        <v>0</v>
      </c>
      <c r="F484" s="3">
        <v>46273</v>
      </c>
      <c r="G484" s="3">
        <v>46280</v>
      </c>
      <c r="H484" t="s">
        <v>74</v>
      </c>
      <c r="I484" t="s">
        <v>140</v>
      </c>
      <c r="J484" t="s">
        <v>398</v>
      </c>
      <c r="L484" s="3">
        <v>46273</v>
      </c>
      <c r="M484" s="3">
        <v>46273</v>
      </c>
      <c r="N484">
        <v>482</v>
      </c>
      <c r="P484">
        <v>484</v>
      </c>
      <c r="Q484" t="s">
        <v>209</v>
      </c>
      <c r="Z484" t="s">
        <v>49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hidden="1">
      <c r="A485">
        <v>484</v>
      </c>
      <c r="B485" t="s">
        <v>945</v>
      </c>
      <c r="C485" t="s">
        <v>943</v>
      </c>
      <c r="D485" t="s">
        <v>146</v>
      </c>
      <c r="E485">
        <v>0</v>
      </c>
      <c r="F485" s="3">
        <v>46280</v>
      </c>
      <c r="G485" s="3">
        <v>46283</v>
      </c>
      <c r="H485" t="s">
        <v>74</v>
      </c>
      <c r="I485" t="s">
        <v>147</v>
      </c>
      <c r="J485" t="s">
        <v>83</v>
      </c>
      <c r="L485" s="3">
        <v>46276</v>
      </c>
      <c r="M485" s="3">
        <v>46276</v>
      </c>
      <c r="N485">
        <v>483</v>
      </c>
      <c r="P485">
        <v>485</v>
      </c>
      <c r="Q485" t="s">
        <v>209</v>
      </c>
      <c r="Z485" t="s">
        <v>49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hidden="1">
      <c r="A486">
        <v>485</v>
      </c>
      <c r="B486" t="s">
        <v>946</v>
      </c>
      <c r="C486" t="s">
        <v>943</v>
      </c>
      <c r="D486" t="s">
        <v>150</v>
      </c>
      <c r="E486">
        <v>0</v>
      </c>
      <c r="F486" s="3">
        <v>46283</v>
      </c>
      <c r="G486" s="3">
        <v>46287</v>
      </c>
      <c r="H486" t="s">
        <v>74</v>
      </c>
      <c r="I486" t="s">
        <v>151</v>
      </c>
      <c r="J486" t="s">
        <v>144</v>
      </c>
      <c r="L486" s="3">
        <v>46280</v>
      </c>
      <c r="M486" s="3">
        <v>46280</v>
      </c>
      <c r="N486">
        <v>484</v>
      </c>
      <c r="Q486" t="s">
        <v>209</v>
      </c>
      <c r="Z486" t="s">
        <v>49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hidden="1">
      <c r="A487">
        <v>486</v>
      </c>
      <c r="B487" t="s">
        <v>947</v>
      </c>
      <c r="C487" t="s">
        <v>838</v>
      </c>
      <c r="D487" t="s">
        <v>948</v>
      </c>
      <c r="E487">
        <v>0</v>
      </c>
      <c r="F487" s="3">
        <v>46252</v>
      </c>
      <c r="G487" s="3">
        <v>46287</v>
      </c>
      <c r="H487" t="s">
        <v>74</v>
      </c>
      <c r="I487" t="s">
        <v>382</v>
      </c>
      <c r="J487" t="s">
        <v>353</v>
      </c>
      <c r="K487" s="3">
        <v>46245</v>
      </c>
      <c r="L487" s="3">
        <v>46280</v>
      </c>
      <c r="M487" s="3">
        <v>46280</v>
      </c>
      <c r="O487" t="s">
        <v>949</v>
      </c>
      <c r="Q487" t="s">
        <v>209</v>
      </c>
      <c r="R487" t="s">
        <v>950</v>
      </c>
      <c r="U487" t="s">
        <v>889</v>
      </c>
      <c r="V487" t="s">
        <v>134</v>
      </c>
      <c r="W487" t="s">
        <v>135</v>
      </c>
      <c r="X487" t="s">
        <v>844</v>
      </c>
      <c r="Y487">
        <v>2</v>
      </c>
      <c r="Z487" t="s">
        <v>49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hidden="1">
      <c r="A488">
        <v>487</v>
      </c>
      <c r="B488" t="s">
        <v>951</v>
      </c>
      <c r="C488" t="s">
        <v>952</v>
      </c>
      <c r="D488" t="s">
        <v>139</v>
      </c>
      <c r="E488">
        <v>0</v>
      </c>
      <c r="F488" s="3">
        <v>46252</v>
      </c>
      <c r="G488" s="3">
        <v>46273</v>
      </c>
      <c r="H488" t="s">
        <v>74</v>
      </c>
      <c r="I488" t="s">
        <v>129</v>
      </c>
      <c r="J488" t="s">
        <v>353</v>
      </c>
      <c r="L488" s="3">
        <v>46266</v>
      </c>
      <c r="M488" s="3">
        <v>46266</v>
      </c>
      <c r="N488" t="s">
        <v>910</v>
      </c>
      <c r="P488">
        <v>488</v>
      </c>
      <c r="Q488" t="s">
        <v>209</v>
      </c>
      <c r="Z488" t="s">
        <v>49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hidden="1">
      <c r="A489">
        <v>488</v>
      </c>
      <c r="B489" t="s">
        <v>953</v>
      </c>
      <c r="C489" t="s">
        <v>952</v>
      </c>
      <c r="D489" t="s">
        <v>143</v>
      </c>
      <c r="E489">
        <v>0</v>
      </c>
      <c r="F489" s="3">
        <v>46273</v>
      </c>
      <c r="G489" s="3">
        <v>46280</v>
      </c>
      <c r="H489" t="s">
        <v>74</v>
      </c>
      <c r="I489" t="s">
        <v>140</v>
      </c>
      <c r="J489" t="s">
        <v>398</v>
      </c>
      <c r="L489" s="3">
        <v>46273</v>
      </c>
      <c r="M489" s="3">
        <v>46273</v>
      </c>
      <c r="N489">
        <v>487</v>
      </c>
      <c r="P489">
        <v>489</v>
      </c>
      <c r="Q489" t="s">
        <v>209</v>
      </c>
      <c r="Z489" t="s">
        <v>49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hidden="1">
      <c r="A490">
        <v>489</v>
      </c>
      <c r="B490" t="s">
        <v>954</v>
      </c>
      <c r="C490" t="s">
        <v>952</v>
      </c>
      <c r="D490" t="s">
        <v>146</v>
      </c>
      <c r="E490">
        <v>0</v>
      </c>
      <c r="F490" s="3">
        <v>46280</v>
      </c>
      <c r="G490" s="3">
        <v>46283</v>
      </c>
      <c r="H490" t="s">
        <v>74</v>
      </c>
      <c r="I490" t="s">
        <v>147</v>
      </c>
      <c r="J490" t="s">
        <v>83</v>
      </c>
      <c r="L490" s="3">
        <v>46276</v>
      </c>
      <c r="M490" s="3">
        <v>46276</v>
      </c>
      <c r="N490">
        <v>488</v>
      </c>
      <c r="P490">
        <v>490</v>
      </c>
      <c r="Q490" t="s">
        <v>209</v>
      </c>
      <c r="Z490" t="s">
        <v>49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hidden="1">
      <c r="A491">
        <v>490</v>
      </c>
      <c r="B491" t="s">
        <v>955</v>
      </c>
      <c r="C491" t="s">
        <v>952</v>
      </c>
      <c r="D491" t="s">
        <v>150</v>
      </c>
      <c r="E491">
        <v>0</v>
      </c>
      <c r="F491" s="3">
        <v>46283</v>
      </c>
      <c r="G491" s="3">
        <v>46287</v>
      </c>
      <c r="H491" t="s">
        <v>74</v>
      </c>
      <c r="I491" t="s">
        <v>151</v>
      </c>
      <c r="J491" t="s">
        <v>144</v>
      </c>
      <c r="L491" s="3">
        <v>46280</v>
      </c>
      <c r="M491" s="3">
        <v>46280</v>
      </c>
      <c r="N491">
        <v>489</v>
      </c>
      <c r="Q491" t="s">
        <v>209</v>
      </c>
      <c r="Z491" t="s">
        <v>49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hidden="1">
      <c r="A492">
        <v>491</v>
      </c>
      <c r="B492" t="s">
        <v>956</v>
      </c>
      <c r="C492" t="s">
        <v>838</v>
      </c>
      <c r="D492" t="s">
        <v>957</v>
      </c>
      <c r="E492">
        <v>0</v>
      </c>
      <c r="F492" s="3">
        <v>46252</v>
      </c>
      <c r="G492" s="3">
        <v>46287</v>
      </c>
      <c r="H492" t="s">
        <v>74</v>
      </c>
      <c r="I492" t="s">
        <v>382</v>
      </c>
      <c r="J492" t="s">
        <v>353</v>
      </c>
      <c r="K492" s="3">
        <v>46245</v>
      </c>
      <c r="L492" s="3">
        <v>46280</v>
      </c>
      <c r="M492" s="3">
        <v>46280</v>
      </c>
      <c r="O492" t="s">
        <v>949</v>
      </c>
      <c r="Q492" t="s">
        <v>209</v>
      </c>
      <c r="R492" t="s">
        <v>958</v>
      </c>
      <c r="U492" t="s">
        <v>889</v>
      </c>
      <c r="V492" t="s">
        <v>134</v>
      </c>
      <c r="W492" t="s">
        <v>135</v>
      </c>
      <c r="X492" t="s">
        <v>844</v>
      </c>
      <c r="Y492">
        <v>2</v>
      </c>
      <c r="Z492" t="s">
        <v>49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hidden="1">
      <c r="A493">
        <v>492</v>
      </c>
      <c r="B493" t="s">
        <v>959</v>
      </c>
      <c r="C493" t="s">
        <v>960</v>
      </c>
      <c r="D493" t="s">
        <v>139</v>
      </c>
      <c r="E493">
        <v>0</v>
      </c>
      <c r="F493" s="3">
        <v>46252</v>
      </c>
      <c r="G493" s="3">
        <v>46273</v>
      </c>
      <c r="H493" t="s">
        <v>74</v>
      </c>
      <c r="I493" t="s">
        <v>129</v>
      </c>
      <c r="J493" t="s">
        <v>353</v>
      </c>
      <c r="L493" s="3">
        <v>46266</v>
      </c>
      <c r="M493" s="3">
        <v>46266</v>
      </c>
      <c r="N493" t="s">
        <v>910</v>
      </c>
      <c r="P493">
        <v>493</v>
      </c>
      <c r="Q493" t="s">
        <v>209</v>
      </c>
      <c r="Z493" t="s">
        <v>49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 hidden="1">
      <c r="A494">
        <v>493</v>
      </c>
      <c r="B494" t="s">
        <v>961</v>
      </c>
      <c r="C494" t="s">
        <v>960</v>
      </c>
      <c r="D494" t="s">
        <v>143</v>
      </c>
      <c r="E494">
        <v>0</v>
      </c>
      <c r="F494" s="3">
        <v>46273</v>
      </c>
      <c r="G494" s="3">
        <v>46280</v>
      </c>
      <c r="H494" t="s">
        <v>74</v>
      </c>
      <c r="I494" t="s">
        <v>140</v>
      </c>
      <c r="J494" t="s">
        <v>398</v>
      </c>
      <c r="L494" s="3">
        <v>46273</v>
      </c>
      <c r="M494" s="3">
        <v>46273</v>
      </c>
      <c r="N494">
        <v>492</v>
      </c>
      <c r="P494">
        <v>494</v>
      </c>
      <c r="Q494" t="s">
        <v>209</v>
      </c>
      <c r="Z494" t="s">
        <v>49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hidden="1">
      <c r="A495">
        <v>494</v>
      </c>
      <c r="B495" t="s">
        <v>962</v>
      </c>
      <c r="C495" t="s">
        <v>960</v>
      </c>
      <c r="D495" t="s">
        <v>146</v>
      </c>
      <c r="E495">
        <v>0</v>
      </c>
      <c r="F495" s="3">
        <v>46280</v>
      </c>
      <c r="G495" s="3">
        <v>46283</v>
      </c>
      <c r="H495" t="s">
        <v>74</v>
      </c>
      <c r="I495" t="s">
        <v>147</v>
      </c>
      <c r="J495" t="s">
        <v>83</v>
      </c>
      <c r="L495" s="3">
        <v>46276</v>
      </c>
      <c r="M495" s="3">
        <v>46276</v>
      </c>
      <c r="N495">
        <v>493</v>
      </c>
      <c r="P495">
        <v>495</v>
      </c>
      <c r="Q495" t="s">
        <v>209</v>
      </c>
      <c r="Z495" t="s">
        <v>49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hidden="1">
      <c r="A496">
        <v>495</v>
      </c>
      <c r="B496" t="s">
        <v>963</v>
      </c>
      <c r="C496" t="s">
        <v>960</v>
      </c>
      <c r="D496" t="s">
        <v>150</v>
      </c>
      <c r="E496">
        <v>0</v>
      </c>
      <c r="F496" s="3">
        <v>46283</v>
      </c>
      <c r="G496" s="3">
        <v>46287</v>
      </c>
      <c r="H496" t="s">
        <v>74</v>
      </c>
      <c r="I496" t="s">
        <v>151</v>
      </c>
      <c r="J496" t="s">
        <v>144</v>
      </c>
      <c r="L496" s="3">
        <v>46280</v>
      </c>
      <c r="M496" s="3">
        <v>46280</v>
      </c>
      <c r="N496">
        <v>494</v>
      </c>
      <c r="Q496" t="s">
        <v>209</v>
      </c>
      <c r="Z496" t="s">
        <v>49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 hidden="1">
      <c r="A497">
        <v>496</v>
      </c>
      <c r="B497" t="s">
        <v>964</v>
      </c>
      <c r="C497" t="s">
        <v>838</v>
      </c>
      <c r="D497" t="s">
        <v>965</v>
      </c>
      <c r="E497">
        <v>0</v>
      </c>
      <c r="F497" s="3">
        <v>46252</v>
      </c>
      <c r="G497" s="3">
        <v>46287</v>
      </c>
      <c r="H497" t="s">
        <v>74</v>
      </c>
      <c r="I497" t="s">
        <v>382</v>
      </c>
      <c r="J497" t="s">
        <v>353</v>
      </c>
      <c r="K497" s="3">
        <v>46245</v>
      </c>
      <c r="L497" s="3">
        <v>46280</v>
      </c>
      <c r="M497" s="3">
        <v>46280</v>
      </c>
      <c r="O497" t="s">
        <v>949</v>
      </c>
      <c r="Q497" t="s">
        <v>209</v>
      </c>
      <c r="R497" t="s">
        <v>966</v>
      </c>
      <c r="U497" t="s">
        <v>889</v>
      </c>
      <c r="V497" t="s">
        <v>134</v>
      </c>
      <c r="W497" t="s">
        <v>135</v>
      </c>
      <c r="X497" t="s">
        <v>844</v>
      </c>
      <c r="Y497">
        <v>2</v>
      </c>
      <c r="Z497" t="s">
        <v>49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hidden="1">
      <c r="A498">
        <v>497</v>
      </c>
      <c r="B498" t="s">
        <v>967</v>
      </c>
      <c r="C498" t="s">
        <v>968</v>
      </c>
      <c r="D498" t="s">
        <v>139</v>
      </c>
      <c r="E498">
        <v>0</v>
      </c>
      <c r="F498" s="3">
        <v>46252</v>
      </c>
      <c r="G498" s="3">
        <v>46273</v>
      </c>
      <c r="H498" t="s">
        <v>74</v>
      </c>
      <c r="I498" t="s">
        <v>129</v>
      </c>
      <c r="J498" t="s">
        <v>353</v>
      </c>
      <c r="L498" s="3">
        <v>46266</v>
      </c>
      <c r="M498" s="3">
        <v>46266</v>
      </c>
      <c r="N498" t="s">
        <v>910</v>
      </c>
      <c r="P498">
        <v>498</v>
      </c>
      <c r="Q498" t="s">
        <v>209</v>
      </c>
      <c r="Z498" t="s">
        <v>49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hidden="1">
      <c r="A499">
        <v>498</v>
      </c>
      <c r="B499" t="s">
        <v>969</v>
      </c>
      <c r="C499" t="s">
        <v>968</v>
      </c>
      <c r="D499" t="s">
        <v>143</v>
      </c>
      <c r="E499">
        <v>0</v>
      </c>
      <c r="F499" s="3">
        <v>46273</v>
      </c>
      <c r="G499" s="3">
        <v>46280</v>
      </c>
      <c r="H499" t="s">
        <v>74</v>
      </c>
      <c r="I499" t="s">
        <v>140</v>
      </c>
      <c r="J499" t="s">
        <v>398</v>
      </c>
      <c r="L499" s="3">
        <v>46273</v>
      </c>
      <c r="M499" s="3">
        <v>46273</v>
      </c>
      <c r="N499">
        <v>497</v>
      </c>
      <c r="P499">
        <v>499</v>
      </c>
      <c r="Q499" t="s">
        <v>209</v>
      </c>
      <c r="Z499" t="s">
        <v>49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hidden="1">
      <c r="A500">
        <v>499</v>
      </c>
      <c r="B500" t="s">
        <v>970</v>
      </c>
      <c r="C500" t="s">
        <v>968</v>
      </c>
      <c r="D500" t="s">
        <v>146</v>
      </c>
      <c r="E500">
        <v>0</v>
      </c>
      <c r="F500" s="3">
        <v>46280</v>
      </c>
      <c r="G500" s="3">
        <v>46283</v>
      </c>
      <c r="H500" t="s">
        <v>74</v>
      </c>
      <c r="I500" t="s">
        <v>147</v>
      </c>
      <c r="J500" t="s">
        <v>83</v>
      </c>
      <c r="L500" s="3">
        <v>46276</v>
      </c>
      <c r="M500" s="3">
        <v>46276</v>
      </c>
      <c r="N500">
        <v>498</v>
      </c>
      <c r="P500">
        <v>500</v>
      </c>
      <c r="Q500" t="s">
        <v>209</v>
      </c>
      <c r="Z500" t="s">
        <v>49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hidden="1">
      <c r="A501">
        <v>500</v>
      </c>
      <c r="B501" t="s">
        <v>971</v>
      </c>
      <c r="C501" t="s">
        <v>968</v>
      </c>
      <c r="D501" t="s">
        <v>150</v>
      </c>
      <c r="E501">
        <v>0</v>
      </c>
      <c r="F501" s="3">
        <v>46283</v>
      </c>
      <c r="G501" s="3">
        <v>46287</v>
      </c>
      <c r="H501" t="s">
        <v>74</v>
      </c>
      <c r="I501" t="s">
        <v>151</v>
      </c>
      <c r="J501" t="s">
        <v>144</v>
      </c>
      <c r="L501" s="3">
        <v>46280</v>
      </c>
      <c r="M501" s="3">
        <v>46280</v>
      </c>
      <c r="N501">
        <v>499</v>
      </c>
      <c r="Q501" t="s">
        <v>209</v>
      </c>
      <c r="Z501" t="s">
        <v>49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hidden="1">
      <c r="A502">
        <v>501</v>
      </c>
      <c r="B502" t="s">
        <v>972</v>
      </c>
      <c r="C502" t="s">
        <v>838</v>
      </c>
      <c r="D502" t="s">
        <v>973</v>
      </c>
      <c r="E502">
        <v>0</v>
      </c>
      <c r="F502" s="3">
        <v>46252</v>
      </c>
      <c r="G502" s="3">
        <v>46287</v>
      </c>
      <c r="H502" t="s">
        <v>74</v>
      </c>
      <c r="I502" t="s">
        <v>382</v>
      </c>
      <c r="J502" t="s">
        <v>353</v>
      </c>
      <c r="K502" s="3">
        <v>46245</v>
      </c>
      <c r="L502" s="3">
        <v>46280</v>
      </c>
      <c r="M502" s="3">
        <v>46280</v>
      </c>
      <c r="O502" t="s">
        <v>949</v>
      </c>
      <c r="Q502" t="s">
        <v>209</v>
      </c>
      <c r="R502" t="s">
        <v>974</v>
      </c>
      <c r="U502" t="s">
        <v>889</v>
      </c>
      <c r="V502" t="s">
        <v>134</v>
      </c>
      <c r="W502" t="s">
        <v>135</v>
      </c>
      <c r="X502" t="s">
        <v>844</v>
      </c>
      <c r="Y502">
        <v>2</v>
      </c>
      <c r="Z502" t="s">
        <v>49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 hidden="1">
      <c r="A503">
        <v>502</v>
      </c>
      <c r="B503" t="s">
        <v>975</v>
      </c>
      <c r="C503" t="s">
        <v>976</v>
      </c>
      <c r="D503" t="s">
        <v>139</v>
      </c>
      <c r="E503">
        <v>0</v>
      </c>
      <c r="F503" s="3">
        <v>46252</v>
      </c>
      <c r="G503" s="3">
        <v>46273</v>
      </c>
      <c r="H503" t="s">
        <v>74</v>
      </c>
      <c r="I503" t="s">
        <v>129</v>
      </c>
      <c r="J503" t="s">
        <v>353</v>
      </c>
      <c r="L503" s="3">
        <v>46266</v>
      </c>
      <c r="M503" s="3">
        <v>46266</v>
      </c>
      <c r="N503" t="s">
        <v>910</v>
      </c>
      <c r="P503">
        <v>503</v>
      </c>
      <c r="Q503" t="s">
        <v>209</v>
      </c>
      <c r="Z503" t="s">
        <v>49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hidden="1">
      <c r="A504">
        <v>503</v>
      </c>
      <c r="B504" t="s">
        <v>977</v>
      </c>
      <c r="C504" t="s">
        <v>976</v>
      </c>
      <c r="D504" t="s">
        <v>143</v>
      </c>
      <c r="E504">
        <v>0</v>
      </c>
      <c r="F504" s="3">
        <v>46273</v>
      </c>
      <c r="G504" s="3">
        <v>46280</v>
      </c>
      <c r="H504" t="s">
        <v>74</v>
      </c>
      <c r="I504" t="s">
        <v>140</v>
      </c>
      <c r="J504" t="s">
        <v>398</v>
      </c>
      <c r="L504" s="3">
        <v>46273</v>
      </c>
      <c r="M504" s="3">
        <v>46273</v>
      </c>
      <c r="N504">
        <v>502</v>
      </c>
      <c r="P504">
        <v>504</v>
      </c>
      <c r="Q504" t="s">
        <v>209</v>
      </c>
      <c r="Z504" t="s">
        <v>49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 hidden="1">
      <c r="A505">
        <v>504</v>
      </c>
      <c r="B505" t="s">
        <v>978</v>
      </c>
      <c r="C505" t="s">
        <v>976</v>
      </c>
      <c r="D505" t="s">
        <v>146</v>
      </c>
      <c r="E505">
        <v>0</v>
      </c>
      <c r="F505" s="3">
        <v>46280</v>
      </c>
      <c r="G505" s="3">
        <v>46283</v>
      </c>
      <c r="H505" t="s">
        <v>74</v>
      </c>
      <c r="I505" t="s">
        <v>147</v>
      </c>
      <c r="J505" t="s">
        <v>83</v>
      </c>
      <c r="L505" s="3">
        <v>46276</v>
      </c>
      <c r="M505" s="3">
        <v>46276</v>
      </c>
      <c r="N505">
        <v>503</v>
      </c>
      <c r="P505">
        <v>505</v>
      </c>
      <c r="Q505" t="s">
        <v>209</v>
      </c>
      <c r="Z505" t="s">
        <v>49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hidden="1">
      <c r="A506">
        <v>505</v>
      </c>
      <c r="B506" t="s">
        <v>979</v>
      </c>
      <c r="C506" t="s">
        <v>976</v>
      </c>
      <c r="D506" t="s">
        <v>150</v>
      </c>
      <c r="E506">
        <v>0</v>
      </c>
      <c r="F506" s="3">
        <v>46283</v>
      </c>
      <c r="G506" s="3">
        <v>46287</v>
      </c>
      <c r="H506" t="s">
        <v>74</v>
      </c>
      <c r="I506" t="s">
        <v>151</v>
      </c>
      <c r="J506" t="s">
        <v>144</v>
      </c>
      <c r="L506" s="3">
        <v>46280</v>
      </c>
      <c r="M506" s="3">
        <v>46280</v>
      </c>
      <c r="N506">
        <v>504</v>
      </c>
      <c r="Q506" t="s">
        <v>209</v>
      </c>
      <c r="Z506" t="s">
        <v>49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hidden="1">
      <c r="A507">
        <v>506</v>
      </c>
      <c r="B507" t="s">
        <v>980</v>
      </c>
      <c r="C507" t="s">
        <v>838</v>
      </c>
      <c r="D507" t="s">
        <v>981</v>
      </c>
      <c r="E507">
        <v>0</v>
      </c>
      <c r="F507" s="3">
        <v>46252</v>
      </c>
      <c r="G507" s="3">
        <v>46287</v>
      </c>
      <c r="H507" t="s">
        <v>74</v>
      </c>
      <c r="I507" t="s">
        <v>382</v>
      </c>
      <c r="J507" t="s">
        <v>353</v>
      </c>
      <c r="K507" s="3">
        <v>46245</v>
      </c>
      <c r="L507" s="3">
        <v>46280</v>
      </c>
      <c r="M507" s="3">
        <v>46280</v>
      </c>
      <c r="O507" t="s">
        <v>949</v>
      </c>
      <c r="Q507" t="s">
        <v>209</v>
      </c>
      <c r="R507" t="s">
        <v>982</v>
      </c>
      <c r="U507" t="s">
        <v>983</v>
      </c>
      <c r="V507" t="s">
        <v>134</v>
      </c>
      <c r="W507" t="s">
        <v>135</v>
      </c>
      <c r="X507" t="s">
        <v>844</v>
      </c>
      <c r="Y507">
        <v>5</v>
      </c>
      <c r="Z507" t="s">
        <v>49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 hidden="1">
      <c r="A508">
        <v>507</v>
      </c>
      <c r="B508" t="s">
        <v>984</v>
      </c>
      <c r="C508" t="s">
        <v>985</v>
      </c>
      <c r="D508" t="s">
        <v>139</v>
      </c>
      <c r="E508">
        <v>0</v>
      </c>
      <c r="F508" s="3">
        <v>46252</v>
      </c>
      <c r="G508" s="3">
        <v>46273</v>
      </c>
      <c r="H508" t="s">
        <v>74</v>
      </c>
      <c r="I508" t="s">
        <v>129</v>
      </c>
      <c r="J508" t="s">
        <v>353</v>
      </c>
      <c r="L508" s="3">
        <v>46266</v>
      </c>
      <c r="M508" s="3">
        <v>46266</v>
      </c>
      <c r="N508" t="s">
        <v>910</v>
      </c>
      <c r="P508">
        <v>508</v>
      </c>
      <c r="Q508" t="s">
        <v>209</v>
      </c>
      <c r="Z508" t="s">
        <v>49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 hidden="1">
      <c r="A509">
        <v>508</v>
      </c>
      <c r="B509" t="s">
        <v>986</v>
      </c>
      <c r="C509" t="s">
        <v>985</v>
      </c>
      <c r="D509" t="s">
        <v>143</v>
      </c>
      <c r="E509">
        <v>0</v>
      </c>
      <c r="F509" s="3">
        <v>46273</v>
      </c>
      <c r="G509" s="3">
        <v>46280</v>
      </c>
      <c r="H509" t="s">
        <v>74</v>
      </c>
      <c r="I509" t="s">
        <v>140</v>
      </c>
      <c r="J509" t="s">
        <v>398</v>
      </c>
      <c r="L509" s="3">
        <v>46273</v>
      </c>
      <c r="M509" s="3">
        <v>46273</v>
      </c>
      <c r="N509">
        <v>507</v>
      </c>
      <c r="P509">
        <v>509</v>
      </c>
      <c r="Q509" t="s">
        <v>209</v>
      </c>
      <c r="Z509" t="s">
        <v>49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hidden="1">
      <c r="A510">
        <v>509</v>
      </c>
      <c r="B510" t="s">
        <v>987</v>
      </c>
      <c r="C510" t="s">
        <v>985</v>
      </c>
      <c r="D510" t="s">
        <v>146</v>
      </c>
      <c r="E510">
        <v>0</v>
      </c>
      <c r="F510" s="3">
        <v>46280</v>
      </c>
      <c r="G510" s="3">
        <v>46283</v>
      </c>
      <c r="H510" t="s">
        <v>74</v>
      </c>
      <c r="I510" t="s">
        <v>147</v>
      </c>
      <c r="J510" t="s">
        <v>83</v>
      </c>
      <c r="L510" s="3">
        <v>46276</v>
      </c>
      <c r="M510" s="3">
        <v>46276</v>
      </c>
      <c r="N510">
        <v>508</v>
      </c>
      <c r="P510">
        <v>510</v>
      </c>
      <c r="Q510" t="s">
        <v>209</v>
      </c>
      <c r="Z510" t="s">
        <v>49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hidden="1">
      <c r="A511">
        <v>510</v>
      </c>
      <c r="B511" t="s">
        <v>988</v>
      </c>
      <c r="C511" t="s">
        <v>985</v>
      </c>
      <c r="D511" t="s">
        <v>150</v>
      </c>
      <c r="E511">
        <v>0</v>
      </c>
      <c r="F511" s="3">
        <v>46283</v>
      </c>
      <c r="G511" s="3">
        <v>46287</v>
      </c>
      <c r="H511" t="s">
        <v>74</v>
      </c>
      <c r="I511" t="s">
        <v>151</v>
      </c>
      <c r="J511" t="s">
        <v>144</v>
      </c>
      <c r="L511" s="3">
        <v>46280</v>
      </c>
      <c r="M511" s="3">
        <v>46280</v>
      </c>
      <c r="N511">
        <v>509</v>
      </c>
      <c r="Q511" t="s">
        <v>209</v>
      </c>
      <c r="Z511" t="s">
        <v>49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hidden="1">
      <c r="A512">
        <v>511</v>
      </c>
      <c r="B512" t="s">
        <v>989</v>
      </c>
      <c r="C512" t="s">
        <v>838</v>
      </c>
      <c r="D512" t="s">
        <v>990</v>
      </c>
      <c r="E512">
        <v>0</v>
      </c>
      <c r="F512" s="3">
        <v>46252</v>
      </c>
      <c r="G512" s="3">
        <v>46287</v>
      </c>
      <c r="H512" t="s">
        <v>74</v>
      </c>
      <c r="I512" t="s">
        <v>382</v>
      </c>
      <c r="J512" t="s">
        <v>353</v>
      </c>
      <c r="K512" s="3">
        <v>46245</v>
      </c>
      <c r="L512" s="3">
        <v>46280</v>
      </c>
      <c r="M512" s="3">
        <v>46280</v>
      </c>
      <c r="O512" t="s">
        <v>991</v>
      </c>
      <c r="Q512" t="s">
        <v>209</v>
      </c>
      <c r="R512" t="s">
        <v>992</v>
      </c>
      <c r="U512" t="s">
        <v>993</v>
      </c>
      <c r="V512" t="s">
        <v>134</v>
      </c>
      <c r="W512" t="s">
        <v>135</v>
      </c>
      <c r="X512" t="s">
        <v>844</v>
      </c>
      <c r="Y512">
        <v>5</v>
      </c>
      <c r="Z512" t="s">
        <v>49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hidden="1">
      <c r="A513">
        <v>512</v>
      </c>
      <c r="B513" t="s">
        <v>994</v>
      </c>
      <c r="C513" t="s">
        <v>995</v>
      </c>
      <c r="D513" t="s">
        <v>139</v>
      </c>
      <c r="E513">
        <v>0</v>
      </c>
      <c r="F513" s="3">
        <v>46252</v>
      </c>
      <c r="G513" s="3">
        <v>46273</v>
      </c>
      <c r="H513" t="s">
        <v>74</v>
      </c>
      <c r="I513" t="s">
        <v>129</v>
      </c>
      <c r="J513" t="s">
        <v>353</v>
      </c>
      <c r="L513" s="3">
        <v>46266</v>
      </c>
      <c r="M513" s="3">
        <v>46266</v>
      </c>
      <c r="N513" t="s">
        <v>910</v>
      </c>
      <c r="P513">
        <v>513</v>
      </c>
      <c r="Q513" t="s">
        <v>209</v>
      </c>
      <c r="Z513" t="s">
        <v>49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hidden="1">
      <c r="A514">
        <v>513</v>
      </c>
      <c r="B514" t="s">
        <v>996</v>
      </c>
      <c r="C514" t="s">
        <v>995</v>
      </c>
      <c r="D514" t="s">
        <v>143</v>
      </c>
      <c r="E514">
        <v>0</v>
      </c>
      <c r="F514" s="3">
        <v>46273</v>
      </c>
      <c r="G514" s="3">
        <v>46280</v>
      </c>
      <c r="H514" t="s">
        <v>74</v>
      </c>
      <c r="I514" t="s">
        <v>140</v>
      </c>
      <c r="J514" t="s">
        <v>398</v>
      </c>
      <c r="L514" s="3">
        <v>46273</v>
      </c>
      <c r="M514" s="3">
        <v>46273</v>
      </c>
      <c r="N514">
        <v>512</v>
      </c>
      <c r="P514">
        <v>514</v>
      </c>
      <c r="Q514" t="s">
        <v>209</v>
      </c>
      <c r="Z514" t="s">
        <v>49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 hidden="1">
      <c r="A515">
        <v>514</v>
      </c>
      <c r="B515" t="s">
        <v>997</v>
      </c>
      <c r="C515" t="s">
        <v>995</v>
      </c>
      <c r="D515" t="s">
        <v>146</v>
      </c>
      <c r="E515">
        <v>0</v>
      </c>
      <c r="F515" s="3">
        <v>46280</v>
      </c>
      <c r="G515" s="3">
        <v>46283</v>
      </c>
      <c r="H515" t="s">
        <v>74</v>
      </c>
      <c r="I515" t="s">
        <v>147</v>
      </c>
      <c r="J515" t="s">
        <v>83</v>
      </c>
      <c r="L515" s="3">
        <v>46276</v>
      </c>
      <c r="M515" s="3">
        <v>46276</v>
      </c>
      <c r="N515">
        <v>513</v>
      </c>
      <c r="P515">
        <v>515</v>
      </c>
      <c r="Q515" t="s">
        <v>209</v>
      </c>
      <c r="Z515" t="s">
        <v>49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hidden="1">
      <c r="A516">
        <v>515</v>
      </c>
      <c r="B516" t="s">
        <v>998</v>
      </c>
      <c r="C516" t="s">
        <v>995</v>
      </c>
      <c r="D516" t="s">
        <v>150</v>
      </c>
      <c r="E516">
        <v>0</v>
      </c>
      <c r="F516" s="3">
        <v>46283</v>
      </c>
      <c r="G516" s="3">
        <v>46287</v>
      </c>
      <c r="H516" t="s">
        <v>74</v>
      </c>
      <c r="I516" t="s">
        <v>151</v>
      </c>
      <c r="J516" t="s">
        <v>144</v>
      </c>
      <c r="L516" s="3">
        <v>46280</v>
      </c>
      <c r="M516" s="3">
        <v>46280</v>
      </c>
      <c r="N516">
        <v>514</v>
      </c>
      <c r="Q516" t="s">
        <v>209</v>
      </c>
      <c r="Z516" t="s">
        <v>49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hidden="1">
      <c r="A517">
        <v>516</v>
      </c>
      <c r="B517" t="s">
        <v>999</v>
      </c>
      <c r="C517" t="s">
        <v>838</v>
      </c>
      <c r="D517" t="s">
        <v>1000</v>
      </c>
      <c r="E517">
        <v>0</v>
      </c>
      <c r="F517" s="3">
        <v>46252</v>
      </c>
      <c r="G517" s="3">
        <v>46287</v>
      </c>
      <c r="H517" t="s">
        <v>74</v>
      </c>
      <c r="I517" t="s">
        <v>382</v>
      </c>
      <c r="J517" t="s">
        <v>353</v>
      </c>
      <c r="K517" s="3">
        <v>46245</v>
      </c>
      <c r="L517" s="3">
        <v>46280</v>
      </c>
      <c r="M517" s="3">
        <v>46280</v>
      </c>
      <c r="O517" t="s">
        <v>991</v>
      </c>
      <c r="Q517" t="s">
        <v>209</v>
      </c>
      <c r="R517" t="s">
        <v>1001</v>
      </c>
      <c r="U517" t="s">
        <v>1002</v>
      </c>
      <c r="V517" t="s">
        <v>134</v>
      </c>
      <c r="W517" t="s">
        <v>135</v>
      </c>
      <c r="X517" t="s">
        <v>844</v>
      </c>
      <c r="Y517">
        <v>10</v>
      </c>
      <c r="Z517" t="s">
        <v>49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 hidden="1">
      <c r="A518">
        <v>517</v>
      </c>
      <c r="B518" t="s">
        <v>1003</v>
      </c>
      <c r="C518" t="s">
        <v>1004</v>
      </c>
      <c r="D518" t="s">
        <v>139</v>
      </c>
      <c r="E518">
        <v>0</v>
      </c>
      <c r="F518" s="3">
        <v>46252</v>
      </c>
      <c r="G518" s="3">
        <v>46273</v>
      </c>
      <c r="H518" t="s">
        <v>74</v>
      </c>
      <c r="I518" t="s">
        <v>129</v>
      </c>
      <c r="J518" t="s">
        <v>353</v>
      </c>
      <c r="L518" s="3">
        <v>46266</v>
      </c>
      <c r="M518" s="3">
        <v>46266</v>
      </c>
      <c r="N518" t="s">
        <v>910</v>
      </c>
      <c r="P518">
        <v>518</v>
      </c>
      <c r="Q518" t="s">
        <v>209</v>
      </c>
      <c r="Z518" t="s">
        <v>49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hidden="1">
      <c r="A519">
        <v>518</v>
      </c>
      <c r="B519" t="s">
        <v>1005</v>
      </c>
      <c r="C519" t="s">
        <v>1004</v>
      </c>
      <c r="D519" t="s">
        <v>143</v>
      </c>
      <c r="E519">
        <v>0</v>
      </c>
      <c r="F519" s="3">
        <v>46273</v>
      </c>
      <c r="G519" s="3">
        <v>46280</v>
      </c>
      <c r="H519" t="s">
        <v>74</v>
      </c>
      <c r="I519" t="s">
        <v>140</v>
      </c>
      <c r="J519" t="s">
        <v>398</v>
      </c>
      <c r="L519" s="3">
        <v>46273</v>
      </c>
      <c r="M519" s="3">
        <v>46273</v>
      </c>
      <c r="N519">
        <v>517</v>
      </c>
      <c r="P519" t="s">
        <v>1006</v>
      </c>
      <c r="Q519" t="s">
        <v>209</v>
      </c>
      <c r="Z519" t="s">
        <v>49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 hidden="1">
      <c r="A520">
        <v>519</v>
      </c>
      <c r="B520" t="s">
        <v>1007</v>
      </c>
      <c r="C520" t="s">
        <v>1004</v>
      </c>
      <c r="D520" t="s">
        <v>146</v>
      </c>
      <c r="E520">
        <v>0</v>
      </c>
      <c r="F520" s="3">
        <v>46280</v>
      </c>
      <c r="G520" s="3">
        <v>46283</v>
      </c>
      <c r="H520" t="s">
        <v>74</v>
      </c>
      <c r="I520" t="s">
        <v>147</v>
      </c>
      <c r="J520" t="s">
        <v>83</v>
      </c>
      <c r="L520" s="3">
        <v>46276</v>
      </c>
      <c r="M520" s="3">
        <v>46276</v>
      </c>
      <c r="N520">
        <v>518</v>
      </c>
      <c r="P520">
        <v>520</v>
      </c>
      <c r="Q520" t="s">
        <v>209</v>
      </c>
      <c r="Z520" t="s">
        <v>49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 hidden="1">
      <c r="A521">
        <v>520</v>
      </c>
      <c r="B521" t="s">
        <v>1008</v>
      </c>
      <c r="C521" t="s">
        <v>1004</v>
      </c>
      <c r="D521" t="s">
        <v>150</v>
      </c>
      <c r="E521">
        <v>0</v>
      </c>
      <c r="F521" s="3">
        <v>46283</v>
      </c>
      <c r="G521" s="3">
        <v>46287</v>
      </c>
      <c r="H521" t="s">
        <v>74</v>
      </c>
      <c r="I521" t="s">
        <v>151</v>
      </c>
      <c r="J521" t="s">
        <v>144</v>
      </c>
      <c r="L521" s="3">
        <v>46280</v>
      </c>
      <c r="M521" s="3">
        <v>46280</v>
      </c>
      <c r="N521">
        <v>519</v>
      </c>
      <c r="Q521" t="s">
        <v>209</v>
      </c>
      <c r="Z521" t="s">
        <v>49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hidden="1">
      <c r="A522">
        <v>521</v>
      </c>
      <c r="B522" t="s">
        <v>1009</v>
      </c>
      <c r="C522" t="s">
        <v>838</v>
      </c>
      <c r="D522" t="s">
        <v>1010</v>
      </c>
      <c r="E522">
        <v>0</v>
      </c>
      <c r="F522" s="3">
        <v>46252</v>
      </c>
      <c r="G522" s="3">
        <v>46287</v>
      </c>
      <c r="H522" t="s">
        <v>74</v>
      </c>
      <c r="I522" t="s">
        <v>382</v>
      </c>
      <c r="J522" t="s">
        <v>353</v>
      </c>
      <c r="K522" s="3">
        <v>46245</v>
      </c>
      <c r="L522" s="3">
        <v>46280</v>
      </c>
      <c r="M522" s="3">
        <v>46280</v>
      </c>
      <c r="N522">
        <v>426</v>
      </c>
      <c r="O522" t="s">
        <v>991</v>
      </c>
      <c r="Q522" t="s">
        <v>209</v>
      </c>
      <c r="R522" t="s">
        <v>1011</v>
      </c>
      <c r="U522" t="s">
        <v>1002</v>
      </c>
      <c r="V522" t="s">
        <v>134</v>
      </c>
      <c r="W522" t="s">
        <v>135</v>
      </c>
      <c r="X522" t="s">
        <v>213</v>
      </c>
      <c r="Y522">
        <v>10</v>
      </c>
      <c r="Z522" t="s">
        <v>49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 hidden="1">
      <c r="A523">
        <v>522</v>
      </c>
      <c r="B523" t="s">
        <v>1012</v>
      </c>
      <c r="C523" t="s">
        <v>1013</v>
      </c>
      <c r="D523" t="s">
        <v>139</v>
      </c>
      <c r="E523">
        <v>0</v>
      </c>
      <c r="F523" s="3">
        <v>46252</v>
      </c>
      <c r="G523" s="3">
        <v>46273</v>
      </c>
      <c r="H523" t="s">
        <v>74</v>
      </c>
      <c r="I523" t="s">
        <v>129</v>
      </c>
      <c r="J523" t="s">
        <v>353</v>
      </c>
      <c r="L523" s="3">
        <v>46266</v>
      </c>
      <c r="M523" s="3">
        <v>46266</v>
      </c>
      <c r="N523" t="s">
        <v>1014</v>
      </c>
      <c r="P523">
        <v>523</v>
      </c>
      <c r="Q523" t="s">
        <v>209</v>
      </c>
      <c r="Z523" t="s">
        <v>49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 hidden="1">
      <c r="A524">
        <v>523</v>
      </c>
      <c r="B524" t="s">
        <v>1015</v>
      </c>
      <c r="C524" t="s">
        <v>1013</v>
      </c>
      <c r="D524" t="s">
        <v>143</v>
      </c>
      <c r="E524">
        <v>0</v>
      </c>
      <c r="F524" s="3">
        <v>46273</v>
      </c>
      <c r="G524" s="3">
        <v>46280</v>
      </c>
      <c r="H524" t="s">
        <v>74</v>
      </c>
      <c r="I524" t="s">
        <v>140</v>
      </c>
      <c r="J524" t="s">
        <v>398</v>
      </c>
      <c r="L524" s="3">
        <v>46273</v>
      </c>
      <c r="M524" s="3">
        <v>46273</v>
      </c>
      <c r="N524">
        <v>522</v>
      </c>
      <c r="P524">
        <v>524</v>
      </c>
      <c r="Q524" t="s">
        <v>209</v>
      </c>
      <c r="Z524" t="s">
        <v>49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hidden="1">
      <c r="A525">
        <v>524</v>
      </c>
      <c r="B525" t="s">
        <v>1016</v>
      </c>
      <c r="C525" t="s">
        <v>1013</v>
      </c>
      <c r="D525" t="s">
        <v>146</v>
      </c>
      <c r="E525">
        <v>0</v>
      </c>
      <c r="F525" s="3">
        <v>46280</v>
      </c>
      <c r="G525" s="3">
        <v>46283</v>
      </c>
      <c r="H525" t="s">
        <v>74</v>
      </c>
      <c r="I525" t="s">
        <v>147</v>
      </c>
      <c r="J525" t="s">
        <v>83</v>
      </c>
      <c r="L525" s="3">
        <v>46276</v>
      </c>
      <c r="M525" s="3">
        <v>46276</v>
      </c>
      <c r="N525">
        <v>523</v>
      </c>
      <c r="P525">
        <v>525</v>
      </c>
      <c r="Q525" t="s">
        <v>209</v>
      </c>
      <c r="Z525" t="s">
        <v>49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 hidden="1">
      <c r="A526">
        <v>525</v>
      </c>
      <c r="B526" t="s">
        <v>1017</v>
      </c>
      <c r="C526" t="s">
        <v>1013</v>
      </c>
      <c r="D526" t="s">
        <v>150</v>
      </c>
      <c r="E526">
        <v>0</v>
      </c>
      <c r="F526" s="3">
        <v>46283</v>
      </c>
      <c r="G526" s="3">
        <v>46287</v>
      </c>
      <c r="H526" t="s">
        <v>74</v>
      </c>
      <c r="I526" t="s">
        <v>151</v>
      </c>
      <c r="J526" t="s">
        <v>144</v>
      </c>
      <c r="L526" s="3">
        <v>46280</v>
      </c>
      <c r="M526" s="3">
        <v>46280</v>
      </c>
      <c r="N526">
        <v>524</v>
      </c>
      <c r="Q526" t="s">
        <v>209</v>
      </c>
      <c r="Z526" t="s">
        <v>49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1:39" hidden="1">
      <c r="A527">
        <v>526</v>
      </c>
      <c r="B527" t="s">
        <v>1018</v>
      </c>
      <c r="C527" t="s">
        <v>838</v>
      </c>
      <c r="D527" t="s">
        <v>1019</v>
      </c>
      <c r="E527">
        <v>0</v>
      </c>
      <c r="F527" s="3">
        <v>46252</v>
      </c>
      <c r="G527" s="3">
        <v>46287</v>
      </c>
      <c r="H527" t="s">
        <v>74</v>
      </c>
      <c r="I527" t="s">
        <v>382</v>
      </c>
      <c r="J527" t="s">
        <v>353</v>
      </c>
      <c r="K527" s="3">
        <v>46245</v>
      </c>
      <c r="L527" s="3">
        <v>46280</v>
      </c>
      <c r="M527" s="3">
        <v>46280</v>
      </c>
      <c r="N527">
        <v>426</v>
      </c>
      <c r="O527" t="s">
        <v>991</v>
      </c>
      <c r="Q527" t="s">
        <v>209</v>
      </c>
      <c r="R527" t="s">
        <v>1020</v>
      </c>
      <c r="U527" t="s">
        <v>1002</v>
      </c>
      <c r="V527" t="s">
        <v>134</v>
      </c>
      <c r="W527" t="s">
        <v>135</v>
      </c>
      <c r="X527" t="s">
        <v>844</v>
      </c>
      <c r="Y527">
        <v>10</v>
      </c>
      <c r="Z527" t="s">
        <v>49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hidden="1">
      <c r="A528">
        <v>527</v>
      </c>
      <c r="B528" t="s">
        <v>1021</v>
      </c>
      <c r="C528" t="s">
        <v>1022</v>
      </c>
      <c r="D528" t="s">
        <v>139</v>
      </c>
      <c r="E528">
        <v>0</v>
      </c>
      <c r="F528" s="3">
        <v>46252</v>
      </c>
      <c r="G528" s="3">
        <v>46273</v>
      </c>
      <c r="H528" t="s">
        <v>74</v>
      </c>
      <c r="I528" t="s">
        <v>129</v>
      </c>
      <c r="J528" t="s">
        <v>353</v>
      </c>
      <c r="L528" s="3">
        <v>46266</v>
      </c>
      <c r="M528" s="3">
        <v>46266</v>
      </c>
      <c r="N528" t="s">
        <v>1014</v>
      </c>
      <c r="P528">
        <v>528</v>
      </c>
      <c r="Q528" t="s">
        <v>209</v>
      </c>
      <c r="Z528" t="s">
        <v>49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 hidden="1">
      <c r="A529">
        <v>528</v>
      </c>
      <c r="B529" t="s">
        <v>1023</v>
      </c>
      <c r="C529" t="s">
        <v>1022</v>
      </c>
      <c r="D529" t="s">
        <v>143</v>
      </c>
      <c r="E529">
        <v>0</v>
      </c>
      <c r="F529" s="3">
        <v>46273</v>
      </c>
      <c r="G529" s="3">
        <v>46280</v>
      </c>
      <c r="H529" t="s">
        <v>74</v>
      </c>
      <c r="I529" t="s">
        <v>140</v>
      </c>
      <c r="J529" t="s">
        <v>398</v>
      </c>
      <c r="L529" s="3">
        <v>46273</v>
      </c>
      <c r="M529" s="3">
        <v>46273</v>
      </c>
      <c r="N529">
        <v>527</v>
      </c>
      <c r="P529">
        <v>529</v>
      </c>
      <c r="Q529" t="s">
        <v>209</v>
      </c>
      <c r="Z529" t="s">
        <v>49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 hidden="1">
      <c r="A530">
        <v>529</v>
      </c>
      <c r="B530" t="s">
        <v>1024</v>
      </c>
      <c r="C530" t="s">
        <v>1022</v>
      </c>
      <c r="D530" t="s">
        <v>146</v>
      </c>
      <c r="E530">
        <v>0</v>
      </c>
      <c r="F530" s="3">
        <v>46280</v>
      </c>
      <c r="G530" s="3">
        <v>46283</v>
      </c>
      <c r="H530" t="s">
        <v>74</v>
      </c>
      <c r="I530" t="s">
        <v>147</v>
      </c>
      <c r="J530" t="s">
        <v>83</v>
      </c>
      <c r="L530" s="3">
        <v>46276</v>
      </c>
      <c r="M530" s="3">
        <v>46276</v>
      </c>
      <c r="N530">
        <v>528</v>
      </c>
      <c r="P530">
        <v>530</v>
      </c>
      <c r="Q530" t="s">
        <v>209</v>
      </c>
      <c r="Z530" t="s">
        <v>49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hidden="1">
      <c r="A531">
        <v>530</v>
      </c>
      <c r="B531" t="s">
        <v>1025</v>
      </c>
      <c r="C531" t="s">
        <v>1022</v>
      </c>
      <c r="D531" t="s">
        <v>150</v>
      </c>
      <c r="E531">
        <v>0</v>
      </c>
      <c r="F531" s="3">
        <v>46283</v>
      </c>
      <c r="G531" s="3">
        <v>46287</v>
      </c>
      <c r="H531" t="s">
        <v>74</v>
      </c>
      <c r="I531" t="s">
        <v>151</v>
      </c>
      <c r="J531" t="s">
        <v>144</v>
      </c>
      <c r="L531" s="3">
        <v>46280</v>
      </c>
      <c r="M531" s="3">
        <v>46280</v>
      </c>
      <c r="N531">
        <v>529</v>
      </c>
      <c r="Q531" t="s">
        <v>209</v>
      </c>
      <c r="Z531" t="s">
        <v>49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 hidden="1">
      <c r="A532">
        <v>531</v>
      </c>
      <c r="B532" t="s">
        <v>1026</v>
      </c>
      <c r="C532" t="s">
        <v>838</v>
      </c>
      <c r="D532" t="s">
        <v>1027</v>
      </c>
      <c r="E532">
        <v>0</v>
      </c>
      <c r="F532" s="3">
        <v>46252</v>
      </c>
      <c r="G532" s="3">
        <v>46287</v>
      </c>
      <c r="H532" t="s">
        <v>74</v>
      </c>
      <c r="I532" t="s">
        <v>382</v>
      </c>
      <c r="J532" t="s">
        <v>353</v>
      </c>
      <c r="K532" s="3">
        <v>46245</v>
      </c>
      <c r="L532" s="3">
        <v>46280</v>
      </c>
      <c r="M532" s="3">
        <v>46280</v>
      </c>
      <c r="N532">
        <v>426</v>
      </c>
      <c r="O532" t="s">
        <v>991</v>
      </c>
      <c r="Q532" t="s">
        <v>209</v>
      </c>
      <c r="R532" t="s">
        <v>1028</v>
      </c>
      <c r="U532" t="s">
        <v>1002</v>
      </c>
      <c r="V532" t="s">
        <v>134</v>
      </c>
      <c r="W532" t="s">
        <v>135</v>
      </c>
      <c r="X532" t="s">
        <v>844</v>
      </c>
      <c r="Y532">
        <v>18</v>
      </c>
      <c r="Z532" t="s">
        <v>49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 hidden="1">
      <c r="A533">
        <v>532</v>
      </c>
      <c r="B533" t="s">
        <v>1029</v>
      </c>
      <c r="C533" t="s">
        <v>1030</v>
      </c>
      <c r="D533" t="s">
        <v>139</v>
      </c>
      <c r="E533">
        <v>0</v>
      </c>
      <c r="F533" s="3">
        <v>46252</v>
      </c>
      <c r="G533" s="3">
        <v>46273</v>
      </c>
      <c r="H533" t="s">
        <v>74</v>
      </c>
      <c r="I533" t="s">
        <v>129</v>
      </c>
      <c r="J533" t="s">
        <v>353</v>
      </c>
      <c r="L533" s="3">
        <v>46266</v>
      </c>
      <c r="M533" s="3">
        <v>46266</v>
      </c>
      <c r="N533" t="s">
        <v>1014</v>
      </c>
      <c r="P533">
        <v>533</v>
      </c>
      <c r="Q533" t="s">
        <v>209</v>
      </c>
      <c r="Z533" t="s">
        <v>49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hidden="1">
      <c r="A534">
        <v>533</v>
      </c>
      <c r="B534" t="s">
        <v>1031</v>
      </c>
      <c r="C534" t="s">
        <v>1030</v>
      </c>
      <c r="D534" t="s">
        <v>143</v>
      </c>
      <c r="E534">
        <v>0</v>
      </c>
      <c r="F534" s="3">
        <v>46273</v>
      </c>
      <c r="G534" s="3">
        <v>46280</v>
      </c>
      <c r="H534" t="s">
        <v>74</v>
      </c>
      <c r="I534" t="s">
        <v>140</v>
      </c>
      <c r="J534" t="s">
        <v>398</v>
      </c>
      <c r="L534" s="3">
        <v>46273</v>
      </c>
      <c r="M534" s="3">
        <v>46273</v>
      </c>
      <c r="N534">
        <v>532</v>
      </c>
      <c r="P534">
        <v>534</v>
      </c>
      <c r="Q534" t="s">
        <v>209</v>
      </c>
      <c r="Z534" t="s">
        <v>49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1:39" hidden="1">
      <c r="A535">
        <v>534</v>
      </c>
      <c r="B535" t="s">
        <v>1032</v>
      </c>
      <c r="C535" t="s">
        <v>1030</v>
      </c>
      <c r="D535" t="s">
        <v>146</v>
      </c>
      <c r="E535">
        <v>0</v>
      </c>
      <c r="F535" s="3">
        <v>46280</v>
      </c>
      <c r="G535" s="3">
        <v>46283</v>
      </c>
      <c r="H535" t="s">
        <v>74</v>
      </c>
      <c r="I535" t="s">
        <v>147</v>
      </c>
      <c r="J535" t="s">
        <v>83</v>
      </c>
      <c r="L535" s="3">
        <v>46276</v>
      </c>
      <c r="M535" s="3">
        <v>46276</v>
      </c>
      <c r="N535">
        <v>533</v>
      </c>
      <c r="P535">
        <v>535</v>
      </c>
      <c r="Q535" t="s">
        <v>209</v>
      </c>
      <c r="Z535" t="s">
        <v>49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 hidden="1">
      <c r="A536">
        <v>535</v>
      </c>
      <c r="B536" t="s">
        <v>1033</v>
      </c>
      <c r="C536" t="s">
        <v>1030</v>
      </c>
      <c r="D536" t="s">
        <v>150</v>
      </c>
      <c r="E536">
        <v>0</v>
      </c>
      <c r="F536" s="3">
        <v>46283</v>
      </c>
      <c r="G536" s="3">
        <v>46287</v>
      </c>
      <c r="H536" t="s">
        <v>74</v>
      </c>
      <c r="I536" t="s">
        <v>151</v>
      </c>
      <c r="J536" t="s">
        <v>144</v>
      </c>
      <c r="L536" s="3">
        <v>46280</v>
      </c>
      <c r="M536" s="3">
        <v>46280</v>
      </c>
      <c r="N536">
        <v>534</v>
      </c>
      <c r="Q536" t="s">
        <v>209</v>
      </c>
      <c r="Z536" t="s">
        <v>49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hidden="1">
      <c r="A537">
        <v>536</v>
      </c>
      <c r="B537" t="s">
        <v>1034</v>
      </c>
      <c r="C537" t="s">
        <v>838</v>
      </c>
      <c r="D537" t="s">
        <v>1035</v>
      </c>
      <c r="E537">
        <v>0</v>
      </c>
      <c r="F537" s="3">
        <v>46275</v>
      </c>
      <c r="G537" s="3">
        <v>46301</v>
      </c>
      <c r="H537" t="s">
        <v>74</v>
      </c>
      <c r="I537" t="s">
        <v>821</v>
      </c>
      <c r="J537" t="s">
        <v>83</v>
      </c>
      <c r="K537" s="3">
        <v>46268</v>
      </c>
      <c r="L537" s="3">
        <v>46294</v>
      </c>
      <c r="M537" s="3">
        <v>46294</v>
      </c>
      <c r="O537" t="s">
        <v>130</v>
      </c>
      <c r="Q537" t="s">
        <v>209</v>
      </c>
      <c r="R537" t="s">
        <v>1036</v>
      </c>
      <c r="U537" t="s">
        <v>824</v>
      </c>
      <c r="V537" t="s">
        <v>134</v>
      </c>
      <c r="W537" t="s">
        <v>135</v>
      </c>
      <c r="X537" t="s">
        <v>844</v>
      </c>
      <c r="Y537">
        <v>10</v>
      </c>
      <c r="Z537" t="s">
        <v>43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 hidden="1">
      <c r="A538">
        <v>537</v>
      </c>
      <c r="B538" t="s">
        <v>1037</v>
      </c>
      <c r="C538" t="s">
        <v>1038</v>
      </c>
      <c r="D538" t="s">
        <v>139</v>
      </c>
      <c r="E538">
        <v>0</v>
      </c>
      <c r="F538" s="3">
        <v>46275</v>
      </c>
      <c r="G538" s="3">
        <v>46287</v>
      </c>
      <c r="H538" t="s">
        <v>74</v>
      </c>
      <c r="I538" t="s">
        <v>827</v>
      </c>
      <c r="J538" t="s">
        <v>83</v>
      </c>
      <c r="L538" s="3">
        <v>46280</v>
      </c>
      <c r="M538" s="3">
        <v>46280</v>
      </c>
      <c r="N538">
        <v>414</v>
      </c>
      <c r="P538">
        <v>538</v>
      </c>
      <c r="Q538" t="s">
        <v>209</v>
      </c>
      <c r="Z538" t="s">
        <v>43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 hidden="1">
      <c r="A539">
        <v>538</v>
      </c>
      <c r="B539" t="s">
        <v>1039</v>
      </c>
      <c r="C539" t="s">
        <v>1038</v>
      </c>
      <c r="D539" t="s">
        <v>143</v>
      </c>
      <c r="E539">
        <v>0</v>
      </c>
      <c r="F539" s="3">
        <v>46287</v>
      </c>
      <c r="G539" s="3">
        <v>46294</v>
      </c>
      <c r="H539" t="s">
        <v>74</v>
      </c>
      <c r="I539" t="s">
        <v>140</v>
      </c>
      <c r="J539" t="s">
        <v>144</v>
      </c>
      <c r="L539" s="3">
        <v>46287</v>
      </c>
      <c r="M539" s="3">
        <v>46287</v>
      </c>
      <c r="N539">
        <v>537</v>
      </c>
      <c r="P539">
        <v>539</v>
      </c>
      <c r="Q539" t="s">
        <v>209</v>
      </c>
      <c r="Z539" t="s">
        <v>43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hidden="1">
      <c r="A540">
        <v>539</v>
      </c>
      <c r="B540" t="s">
        <v>1040</v>
      </c>
      <c r="C540" t="s">
        <v>1038</v>
      </c>
      <c r="D540" t="s">
        <v>146</v>
      </c>
      <c r="E540">
        <v>0</v>
      </c>
      <c r="F540" s="3">
        <v>46294</v>
      </c>
      <c r="G540" s="3">
        <v>46297</v>
      </c>
      <c r="H540" t="s">
        <v>74</v>
      </c>
      <c r="I540" t="s">
        <v>147</v>
      </c>
      <c r="J540" t="s">
        <v>148</v>
      </c>
      <c r="L540" s="3">
        <v>46290</v>
      </c>
      <c r="M540" s="3">
        <v>46290</v>
      </c>
      <c r="N540">
        <v>538</v>
      </c>
      <c r="P540">
        <v>540</v>
      </c>
      <c r="Q540" t="s">
        <v>209</v>
      </c>
      <c r="Z540" t="s">
        <v>43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 hidden="1">
      <c r="A541">
        <v>540</v>
      </c>
      <c r="B541" t="s">
        <v>1041</v>
      </c>
      <c r="C541" t="s">
        <v>1038</v>
      </c>
      <c r="D541" t="s">
        <v>150</v>
      </c>
      <c r="E541">
        <v>0</v>
      </c>
      <c r="F541" s="3">
        <v>46297</v>
      </c>
      <c r="G541" s="3">
        <v>46301</v>
      </c>
      <c r="H541" t="s">
        <v>74</v>
      </c>
      <c r="I541" t="s">
        <v>151</v>
      </c>
      <c r="J541" t="s">
        <v>822</v>
      </c>
      <c r="L541" s="3">
        <v>46294</v>
      </c>
      <c r="M541" s="3">
        <v>46294</v>
      </c>
      <c r="N541">
        <v>539</v>
      </c>
      <c r="Q541" t="s">
        <v>209</v>
      </c>
      <c r="Z541" t="s">
        <v>43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 hidden="1">
      <c r="A542">
        <v>541</v>
      </c>
      <c r="B542" t="s">
        <v>1042</v>
      </c>
      <c r="C542" t="s">
        <v>45</v>
      </c>
      <c r="D542" t="s">
        <v>1043</v>
      </c>
      <c r="E542">
        <v>0</v>
      </c>
      <c r="F542" s="3">
        <v>46238</v>
      </c>
      <c r="G542" s="3">
        <v>46279</v>
      </c>
      <c r="I542" t="s">
        <v>172</v>
      </c>
      <c r="J542" t="s">
        <v>42</v>
      </c>
      <c r="N542" t="s">
        <v>1044</v>
      </c>
      <c r="Z542" t="s">
        <v>49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hidden="1">
      <c r="A543">
        <v>542</v>
      </c>
      <c r="B543" t="s">
        <v>1045</v>
      </c>
      <c r="C543" t="s">
        <v>45</v>
      </c>
      <c r="D543" t="s">
        <v>1043</v>
      </c>
      <c r="E543">
        <v>0</v>
      </c>
      <c r="F543" s="3">
        <v>46245</v>
      </c>
      <c r="G543" s="3">
        <v>46287</v>
      </c>
      <c r="I543" t="s">
        <v>172</v>
      </c>
      <c r="J543" t="s">
        <v>42</v>
      </c>
      <c r="N543" t="s">
        <v>1044</v>
      </c>
      <c r="Z543" t="s">
        <v>49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 hidden="1">
      <c r="A544">
        <v>543</v>
      </c>
      <c r="B544" t="s">
        <v>1046</v>
      </c>
      <c r="C544" t="s">
        <v>45</v>
      </c>
      <c r="D544" t="s">
        <v>1043</v>
      </c>
      <c r="E544">
        <v>0</v>
      </c>
      <c r="F544" s="3">
        <v>46245</v>
      </c>
      <c r="G544" s="3">
        <v>46287</v>
      </c>
      <c r="H544" t="s">
        <v>74</v>
      </c>
      <c r="I544" t="s">
        <v>172</v>
      </c>
      <c r="J544" t="s">
        <v>42</v>
      </c>
      <c r="K544" s="3">
        <v>46238</v>
      </c>
      <c r="L544" s="3">
        <v>46280</v>
      </c>
      <c r="M544" s="3">
        <v>46280</v>
      </c>
      <c r="P544" t="s">
        <v>1047</v>
      </c>
      <c r="Z544" t="s">
        <v>49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 spans="1:39" hidden="1">
      <c r="A545">
        <v>544</v>
      </c>
      <c r="B545" t="s">
        <v>1048</v>
      </c>
      <c r="C545" t="s">
        <v>1049</v>
      </c>
      <c r="D545" t="s">
        <v>1050</v>
      </c>
      <c r="E545">
        <v>0</v>
      </c>
      <c r="F545" s="3">
        <v>46252</v>
      </c>
      <c r="G545" s="3">
        <v>46287</v>
      </c>
      <c r="H545" t="s">
        <v>74</v>
      </c>
      <c r="I545" t="s">
        <v>382</v>
      </c>
      <c r="J545" t="s">
        <v>353</v>
      </c>
      <c r="K545" s="3">
        <v>46245</v>
      </c>
      <c r="L545" s="3">
        <v>46280</v>
      </c>
      <c r="M545" s="3">
        <v>46280</v>
      </c>
      <c r="O545" t="s">
        <v>940</v>
      </c>
      <c r="Q545" t="s">
        <v>1051</v>
      </c>
      <c r="R545" t="s">
        <v>1052</v>
      </c>
      <c r="U545" t="s">
        <v>211</v>
      </c>
      <c r="V545" t="s">
        <v>134</v>
      </c>
      <c r="W545" t="s">
        <v>135</v>
      </c>
      <c r="X545" t="s">
        <v>1053</v>
      </c>
      <c r="Y545">
        <v>1</v>
      </c>
      <c r="Z545" t="s">
        <v>49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hidden="1">
      <c r="A546">
        <v>545</v>
      </c>
      <c r="B546" t="s">
        <v>1054</v>
      </c>
      <c r="C546" t="s">
        <v>1055</v>
      </c>
      <c r="D546" t="s">
        <v>139</v>
      </c>
      <c r="E546">
        <v>0</v>
      </c>
      <c r="F546" s="3">
        <v>46252</v>
      </c>
      <c r="G546" s="3">
        <v>46266</v>
      </c>
      <c r="H546" t="s">
        <v>74</v>
      </c>
      <c r="I546" t="s">
        <v>216</v>
      </c>
      <c r="J546" t="s">
        <v>353</v>
      </c>
      <c r="L546" s="3">
        <v>46259</v>
      </c>
      <c r="M546" s="3">
        <v>46259</v>
      </c>
      <c r="N546">
        <v>1035</v>
      </c>
      <c r="P546">
        <v>546</v>
      </c>
      <c r="Q546" t="s">
        <v>1051</v>
      </c>
      <c r="Z546" t="s">
        <v>49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hidden="1">
      <c r="A547">
        <v>546</v>
      </c>
      <c r="B547" t="s">
        <v>1056</v>
      </c>
      <c r="C547" t="s">
        <v>1055</v>
      </c>
      <c r="D547" t="s">
        <v>143</v>
      </c>
      <c r="E547">
        <v>0</v>
      </c>
      <c r="F547" s="3">
        <v>46266</v>
      </c>
      <c r="G547" s="3">
        <v>46273</v>
      </c>
      <c r="H547" t="s">
        <v>74</v>
      </c>
      <c r="I547" t="s">
        <v>140</v>
      </c>
      <c r="J547" t="s">
        <v>185</v>
      </c>
      <c r="L547" s="3">
        <v>46266</v>
      </c>
      <c r="M547" s="3">
        <v>46266</v>
      </c>
      <c r="N547">
        <v>545</v>
      </c>
      <c r="P547" t="s">
        <v>1057</v>
      </c>
      <c r="Q547" t="s">
        <v>1051</v>
      </c>
      <c r="Z547" t="s">
        <v>49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 hidden="1">
      <c r="A548">
        <v>547</v>
      </c>
      <c r="B548" t="s">
        <v>1058</v>
      </c>
      <c r="C548" t="s">
        <v>1055</v>
      </c>
      <c r="D548" t="s">
        <v>146</v>
      </c>
      <c r="E548">
        <v>0</v>
      </c>
      <c r="F548" s="3">
        <v>46273</v>
      </c>
      <c r="G548" s="3">
        <v>46280</v>
      </c>
      <c r="H548" t="s">
        <v>74</v>
      </c>
      <c r="I548" t="s">
        <v>140</v>
      </c>
      <c r="J548" t="s">
        <v>398</v>
      </c>
      <c r="L548" s="3">
        <v>46273</v>
      </c>
      <c r="M548" s="3">
        <v>46273</v>
      </c>
      <c r="N548">
        <v>546</v>
      </c>
      <c r="P548">
        <v>548</v>
      </c>
      <c r="Q548" t="s">
        <v>1051</v>
      </c>
      <c r="Z548" t="s">
        <v>49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hidden="1">
      <c r="A549">
        <v>548</v>
      </c>
      <c r="B549" t="s">
        <v>1059</v>
      </c>
      <c r="C549" t="s">
        <v>1055</v>
      </c>
      <c r="D549" t="s">
        <v>150</v>
      </c>
      <c r="E549">
        <v>0</v>
      </c>
      <c r="F549" s="3">
        <v>46280</v>
      </c>
      <c r="G549" s="3">
        <v>46287</v>
      </c>
      <c r="H549" t="s">
        <v>74</v>
      </c>
      <c r="I549" t="s">
        <v>140</v>
      </c>
      <c r="J549" t="s">
        <v>83</v>
      </c>
      <c r="L549" s="3">
        <v>46280</v>
      </c>
      <c r="M549" s="3">
        <v>46280</v>
      </c>
      <c r="N549">
        <v>547</v>
      </c>
      <c r="Q549" t="s">
        <v>1051</v>
      </c>
      <c r="Z549" t="s">
        <v>49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 hidden="1">
      <c r="A550">
        <v>549</v>
      </c>
      <c r="B550" t="s">
        <v>1060</v>
      </c>
      <c r="C550" t="s">
        <v>1049</v>
      </c>
      <c r="D550" t="s">
        <v>1061</v>
      </c>
      <c r="E550">
        <v>0</v>
      </c>
      <c r="F550" s="3">
        <v>46252</v>
      </c>
      <c r="G550" s="3">
        <v>46287</v>
      </c>
      <c r="H550" t="s">
        <v>74</v>
      </c>
      <c r="I550" t="s">
        <v>382</v>
      </c>
      <c r="J550" t="s">
        <v>353</v>
      </c>
      <c r="K550" s="3">
        <v>46245</v>
      </c>
      <c r="L550" s="3">
        <v>46280</v>
      </c>
      <c r="M550" s="3">
        <v>46280</v>
      </c>
      <c r="O550" t="s">
        <v>940</v>
      </c>
      <c r="Q550" t="s">
        <v>1051</v>
      </c>
      <c r="R550" t="s">
        <v>1062</v>
      </c>
      <c r="U550" t="s">
        <v>211</v>
      </c>
      <c r="V550" t="s">
        <v>134</v>
      </c>
      <c r="W550" t="s">
        <v>135</v>
      </c>
      <c r="X550" t="s">
        <v>213</v>
      </c>
      <c r="Y550">
        <v>1</v>
      </c>
      <c r="Z550" t="s">
        <v>49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 hidden="1">
      <c r="A551">
        <v>550</v>
      </c>
      <c r="B551" t="s">
        <v>1063</v>
      </c>
      <c r="C551" t="s">
        <v>1064</v>
      </c>
      <c r="D551" t="s">
        <v>139</v>
      </c>
      <c r="E551">
        <v>0</v>
      </c>
      <c r="F551" s="3">
        <v>46252</v>
      </c>
      <c r="G551" s="3">
        <v>46266</v>
      </c>
      <c r="H551" t="s">
        <v>74</v>
      </c>
      <c r="I551" t="s">
        <v>216</v>
      </c>
      <c r="J551" t="s">
        <v>353</v>
      </c>
      <c r="L551" s="3">
        <v>46259</v>
      </c>
      <c r="M551" s="3">
        <v>46259</v>
      </c>
      <c r="N551" t="s">
        <v>1065</v>
      </c>
      <c r="P551">
        <v>551</v>
      </c>
      <c r="Q551" t="s">
        <v>1051</v>
      </c>
      <c r="Z551" t="s">
        <v>49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hidden="1">
      <c r="A552">
        <v>551</v>
      </c>
      <c r="B552" t="s">
        <v>1066</v>
      </c>
      <c r="C552" t="s">
        <v>1064</v>
      </c>
      <c r="D552" t="s">
        <v>143</v>
      </c>
      <c r="E552">
        <v>0</v>
      </c>
      <c r="F552" s="3">
        <v>46266</v>
      </c>
      <c r="G552" s="3">
        <v>46273</v>
      </c>
      <c r="H552" t="s">
        <v>74</v>
      </c>
      <c r="I552" t="s">
        <v>140</v>
      </c>
      <c r="J552" t="s">
        <v>185</v>
      </c>
      <c r="L552" s="3">
        <v>46266</v>
      </c>
      <c r="M552" s="3">
        <v>46266</v>
      </c>
      <c r="N552">
        <v>550</v>
      </c>
      <c r="P552">
        <v>552</v>
      </c>
      <c r="Q552" t="s">
        <v>1051</v>
      </c>
      <c r="Z552" t="s">
        <v>49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 hidden="1">
      <c r="A553">
        <v>552</v>
      </c>
      <c r="B553" t="s">
        <v>1067</v>
      </c>
      <c r="C553" t="s">
        <v>1064</v>
      </c>
      <c r="D553" t="s">
        <v>146</v>
      </c>
      <c r="E553">
        <v>0</v>
      </c>
      <c r="F553" s="3">
        <v>46273</v>
      </c>
      <c r="G553" s="3">
        <v>46280</v>
      </c>
      <c r="H553" t="s">
        <v>74</v>
      </c>
      <c r="I553" t="s">
        <v>140</v>
      </c>
      <c r="J553" t="s">
        <v>398</v>
      </c>
      <c r="L553" s="3">
        <v>46273</v>
      </c>
      <c r="M553" s="3">
        <v>46273</v>
      </c>
      <c r="N553">
        <v>551</v>
      </c>
      <c r="P553">
        <v>553</v>
      </c>
      <c r="Q553" t="s">
        <v>1051</v>
      </c>
      <c r="Z553" t="s">
        <v>49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 hidden="1">
      <c r="A554">
        <v>553</v>
      </c>
      <c r="B554" t="s">
        <v>1068</v>
      </c>
      <c r="C554" t="s">
        <v>1064</v>
      </c>
      <c r="D554" t="s">
        <v>150</v>
      </c>
      <c r="E554">
        <v>0</v>
      </c>
      <c r="F554" s="3">
        <v>46280</v>
      </c>
      <c r="G554" s="3">
        <v>46287</v>
      </c>
      <c r="H554" t="s">
        <v>74</v>
      </c>
      <c r="I554" t="s">
        <v>140</v>
      </c>
      <c r="J554" t="s">
        <v>83</v>
      </c>
      <c r="L554" s="3">
        <v>46280</v>
      </c>
      <c r="M554" s="3">
        <v>46280</v>
      </c>
      <c r="N554">
        <v>552</v>
      </c>
      <c r="Q554" t="s">
        <v>1051</v>
      </c>
      <c r="Z554" t="s">
        <v>49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hidden="1">
      <c r="A555">
        <v>554</v>
      </c>
      <c r="B555" t="s">
        <v>1069</v>
      </c>
      <c r="C555" t="s">
        <v>1049</v>
      </c>
      <c r="D555" t="s">
        <v>1070</v>
      </c>
      <c r="E555">
        <v>0</v>
      </c>
      <c r="F555" s="3">
        <v>46252</v>
      </c>
      <c r="G555" s="3">
        <v>46287</v>
      </c>
      <c r="H555" t="s">
        <v>74</v>
      </c>
      <c r="I555" t="s">
        <v>382</v>
      </c>
      <c r="J555" t="s">
        <v>353</v>
      </c>
      <c r="K555" s="3">
        <v>46245</v>
      </c>
      <c r="L555" s="3">
        <v>46280</v>
      </c>
      <c r="M555" s="3">
        <v>46280</v>
      </c>
      <c r="O555" t="s">
        <v>940</v>
      </c>
      <c r="Q555" t="s">
        <v>1051</v>
      </c>
      <c r="R555" t="s">
        <v>1071</v>
      </c>
      <c r="U555" t="s">
        <v>211</v>
      </c>
      <c r="V555" t="s">
        <v>134</v>
      </c>
      <c r="W555" t="s">
        <v>135</v>
      </c>
      <c r="X555" t="s">
        <v>213</v>
      </c>
      <c r="Y555">
        <v>1</v>
      </c>
      <c r="Z555" t="s">
        <v>49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 hidden="1">
      <c r="A556">
        <v>555</v>
      </c>
      <c r="B556" t="s">
        <v>1072</v>
      </c>
      <c r="C556" t="s">
        <v>1073</v>
      </c>
      <c r="D556" t="s">
        <v>139</v>
      </c>
      <c r="E556">
        <v>0</v>
      </c>
      <c r="F556" s="3">
        <v>46252</v>
      </c>
      <c r="G556" s="3">
        <v>46266</v>
      </c>
      <c r="H556" t="s">
        <v>74</v>
      </c>
      <c r="I556" t="s">
        <v>216</v>
      </c>
      <c r="J556" t="s">
        <v>353</v>
      </c>
      <c r="L556" s="3">
        <v>46259</v>
      </c>
      <c r="M556" s="3">
        <v>46259</v>
      </c>
      <c r="N556" t="s">
        <v>1065</v>
      </c>
      <c r="P556">
        <v>556</v>
      </c>
      <c r="Q556" t="s">
        <v>1051</v>
      </c>
      <c r="Z556" t="s">
        <v>49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 hidden="1">
      <c r="A557">
        <v>556</v>
      </c>
      <c r="B557" t="s">
        <v>1074</v>
      </c>
      <c r="C557" t="s">
        <v>1073</v>
      </c>
      <c r="D557" t="s">
        <v>143</v>
      </c>
      <c r="E557">
        <v>0</v>
      </c>
      <c r="F557" s="3">
        <v>46266</v>
      </c>
      <c r="G557" s="3">
        <v>46273</v>
      </c>
      <c r="H557" t="s">
        <v>74</v>
      </c>
      <c r="I557" t="s">
        <v>140</v>
      </c>
      <c r="J557" t="s">
        <v>185</v>
      </c>
      <c r="L557" s="3">
        <v>46266</v>
      </c>
      <c r="M557" s="3">
        <v>46266</v>
      </c>
      <c r="N557">
        <v>555</v>
      </c>
      <c r="P557">
        <v>557</v>
      </c>
      <c r="Q557" t="s">
        <v>1051</v>
      </c>
      <c r="Z557" t="s">
        <v>49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hidden="1">
      <c r="A558">
        <v>557</v>
      </c>
      <c r="B558" t="s">
        <v>1075</v>
      </c>
      <c r="C558" t="s">
        <v>1073</v>
      </c>
      <c r="D558" t="s">
        <v>146</v>
      </c>
      <c r="E558">
        <v>0</v>
      </c>
      <c r="F558" s="3">
        <v>46273</v>
      </c>
      <c r="G558" s="3">
        <v>46280</v>
      </c>
      <c r="H558" t="s">
        <v>74</v>
      </c>
      <c r="I558" t="s">
        <v>140</v>
      </c>
      <c r="J558" t="s">
        <v>398</v>
      </c>
      <c r="L558" s="3">
        <v>46273</v>
      </c>
      <c r="M558" s="3">
        <v>46273</v>
      </c>
      <c r="N558">
        <v>556</v>
      </c>
      <c r="P558">
        <v>558</v>
      </c>
      <c r="Q558" t="s">
        <v>1051</v>
      </c>
      <c r="Z558" t="s">
        <v>49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 hidden="1">
      <c r="A559">
        <v>558</v>
      </c>
      <c r="B559" t="s">
        <v>1076</v>
      </c>
      <c r="C559" t="s">
        <v>1073</v>
      </c>
      <c r="D559" t="s">
        <v>150</v>
      </c>
      <c r="E559">
        <v>0</v>
      </c>
      <c r="F559" s="3">
        <v>46280</v>
      </c>
      <c r="G559" s="3">
        <v>46287</v>
      </c>
      <c r="H559" t="s">
        <v>74</v>
      </c>
      <c r="I559" t="s">
        <v>140</v>
      </c>
      <c r="J559" t="s">
        <v>83</v>
      </c>
      <c r="L559" s="3">
        <v>46280</v>
      </c>
      <c r="M559" s="3">
        <v>46280</v>
      </c>
      <c r="N559">
        <v>557</v>
      </c>
      <c r="Q559" t="s">
        <v>1051</v>
      </c>
      <c r="Z559" t="s">
        <v>49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 hidden="1">
      <c r="A560">
        <v>559</v>
      </c>
      <c r="B560" t="s">
        <v>1077</v>
      </c>
      <c r="C560" t="s">
        <v>1049</v>
      </c>
      <c r="D560" t="s">
        <v>1078</v>
      </c>
      <c r="E560">
        <v>0</v>
      </c>
      <c r="F560" s="3">
        <v>46252</v>
      </c>
      <c r="G560" s="3">
        <v>46287</v>
      </c>
      <c r="H560" t="s">
        <v>74</v>
      </c>
      <c r="I560" t="s">
        <v>382</v>
      </c>
      <c r="J560" t="s">
        <v>353</v>
      </c>
      <c r="K560" s="3">
        <v>46245</v>
      </c>
      <c r="L560" s="3">
        <v>46280</v>
      </c>
      <c r="M560" s="3">
        <v>46280</v>
      </c>
      <c r="O560" t="s">
        <v>940</v>
      </c>
      <c r="Q560" t="s">
        <v>1051</v>
      </c>
      <c r="R560" t="s">
        <v>1079</v>
      </c>
      <c r="U560" t="s">
        <v>211</v>
      </c>
      <c r="V560" t="s">
        <v>134</v>
      </c>
      <c r="W560" t="s">
        <v>135</v>
      </c>
      <c r="X560" t="s">
        <v>213</v>
      </c>
      <c r="Y560">
        <v>1</v>
      </c>
      <c r="Z560" t="s">
        <v>49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 hidden="1">
      <c r="A561">
        <v>560</v>
      </c>
      <c r="B561" t="s">
        <v>1080</v>
      </c>
      <c r="C561" t="s">
        <v>1081</v>
      </c>
      <c r="D561" t="s">
        <v>139</v>
      </c>
      <c r="E561">
        <v>0</v>
      </c>
      <c r="F561" s="3">
        <v>46252</v>
      </c>
      <c r="G561" s="3">
        <v>46266</v>
      </c>
      <c r="H561" t="s">
        <v>74</v>
      </c>
      <c r="I561" t="s">
        <v>216</v>
      </c>
      <c r="J561" t="s">
        <v>353</v>
      </c>
      <c r="L561" s="3">
        <v>46259</v>
      </c>
      <c r="M561" s="3">
        <v>46259</v>
      </c>
      <c r="N561" t="s">
        <v>1065</v>
      </c>
      <c r="P561">
        <v>561</v>
      </c>
      <c r="Q561" t="s">
        <v>1051</v>
      </c>
      <c r="Z561" t="s">
        <v>49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 hidden="1">
      <c r="A562">
        <v>561</v>
      </c>
      <c r="B562" t="s">
        <v>1082</v>
      </c>
      <c r="C562" t="s">
        <v>1081</v>
      </c>
      <c r="D562" t="s">
        <v>143</v>
      </c>
      <c r="E562">
        <v>0</v>
      </c>
      <c r="F562" s="3">
        <v>46266</v>
      </c>
      <c r="G562" s="3">
        <v>46273</v>
      </c>
      <c r="H562" t="s">
        <v>74</v>
      </c>
      <c r="I562" t="s">
        <v>140</v>
      </c>
      <c r="J562" t="s">
        <v>185</v>
      </c>
      <c r="L562" s="3">
        <v>46266</v>
      </c>
      <c r="M562" s="3">
        <v>46266</v>
      </c>
      <c r="N562">
        <v>560</v>
      </c>
      <c r="P562">
        <v>562</v>
      </c>
      <c r="Q562" t="s">
        <v>1051</v>
      </c>
      <c r="Z562" t="s">
        <v>49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 hidden="1">
      <c r="A563">
        <v>562</v>
      </c>
      <c r="B563" t="s">
        <v>1083</v>
      </c>
      <c r="C563" t="s">
        <v>1081</v>
      </c>
      <c r="D563" t="s">
        <v>146</v>
      </c>
      <c r="E563">
        <v>0</v>
      </c>
      <c r="F563" s="3">
        <v>46273</v>
      </c>
      <c r="G563" s="3">
        <v>46280</v>
      </c>
      <c r="H563" t="s">
        <v>74</v>
      </c>
      <c r="I563" t="s">
        <v>140</v>
      </c>
      <c r="J563" t="s">
        <v>398</v>
      </c>
      <c r="L563" s="3">
        <v>46273</v>
      </c>
      <c r="M563" s="3">
        <v>46273</v>
      </c>
      <c r="N563">
        <v>561</v>
      </c>
      <c r="P563">
        <v>563</v>
      </c>
      <c r="Q563" t="s">
        <v>1051</v>
      </c>
      <c r="Z563" t="s">
        <v>49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hidden="1">
      <c r="A564">
        <v>563</v>
      </c>
      <c r="B564" t="s">
        <v>1084</v>
      </c>
      <c r="C564" t="s">
        <v>1081</v>
      </c>
      <c r="D564" t="s">
        <v>150</v>
      </c>
      <c r="E564">
        <v>0</v>
      </c>
      <c r="F564" s="3">
        <v>46280</v>
      </c>
      <c r="G564" s="3">
        <v>46287</v>
      </c>
      <c r="H564" t="s">
        <v>74</v>
      </c>
      <c r="I564" t="s">
        <v>140</v>
      </c>
      <c r="J564" t="s">
        <v>83</v>
      </c>
      <c r="L564" s="3">
        <v>46280</v>
      </c>
      <c r="M564" s="3">
        <v>46280</v>
      </c>
      <c r="N564">
        <v>562</v>
      </c>
      <c r="Q564" t="s">
        <v>1051</v>
      </c>
      <c r="Z564" t="s">
        <v>49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 hidden="1">
      <c r="A565">
        <v>564</v>
      </c>
      <c r="B565" t="s">
        <v>1085</v>
      </c>
      <c r="C565" t="s">
        <v>1049</v>
      </c>
      <c r="D565" t="s">
        <v>1086</v>
      </c>
      <c r="E565">
        <v>0</v>
      </c>
      <c r="F565" s="3">
        <v>46252</v>
      </c>
      <c r="G565" s="3">
        <v>46287</v>
      </c>
      <c r="H565" t="s">
        <v>74</v>
      </c>
      <c r="I565" t="s">
        <v>382</v>
      </c>
      <c r="J565" t="s">
        <v>353</v>
      </c>
      <c r="K565" s="3">
        <v>46245</v>
      </c>
      <c r="L565" s="3">
        <v>46280</v>
      </c>
      <c r="M565" s="3">
        <v>46280</v>
      </c>
      <c r="O565" t="s">
        <v>940</v>
      </c>
      <c r="Q565" t="s">
        <v>1051</v>
      </c>
      <c r="R565" t="s">
        <v>1087</v>
      </c>
      <c r="U565" t="s">
        <v>211</v>
      </c>
      <c r="V565" t="s">
        <v>134</v>
      </c>
      <c r="W565" t="s">
        <v>135</v>
      </c>
      <c r="X565" t="s">
        <v>213</v>
      </c>
      <c r="Y565">
        <v>1</v>
      </c>
      <c r="Z565" t="s">
        <v>49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 hidden="1">
      <c r="A566">
        <v>565</v>
      </c>
      <c r="B566" t="s">
        <v>1088</v>
      </c>
      <c r="C566" t="s">
        <v>1089</v>
      </c>
      <c r="D566" t="s">
        <v>139</v>
      </c>
      <c r="E566">
        <v>0</v>
      </c>
      <c r="F566" s="3">
        <v>46252</v>
      </c>
      <c r="G566" s="3">
        <v>46266</v>
      </c>
      <c r="H566" t="s">
        <v>74</v>
      </c>
      <c r="I566" t="s">
        <v>216</v>
      </c>
      <c r="J566" t="s">
        <v>353</v>
      </c>
      <c r="L566" s="3">
        <v>46259</v>
      </c>
      <c r="M566" s="3">
        <v>46259</v>
      </c>
      <c r="N566" t="s">
        <v>1065</v>
      </c>
      <c r="P566">
        <v>566</v>
      </c>
      <c r="Q566" t="s">
        <v>1051</v>
      </c>
      <c r="Z566" t="s">
        <v>49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 hidden="1">
      <c r="A567">
        <v>566</v>
      </c>
      <c r="B567" t="s">
        <v>1090</v>
      </c>
      <c r="C567" t="s">
        <v>1089</v>
      </c>
      <c r="D567" t="s">
        <v>143</v>
      </c>
      <c r="E567">
        <v>0</v>
      </c>
      <c r="F567" s="3">
        <v>46266</v>
      </c>
      <c r="G567" s="3">
        <v>46273</v>
      </c>
      <c r="H567" t="s">
        <v>74</v>
      </c>
      <c r="I567" t="s">
        <v>140</v>
      </c>
      <c r="J567" t="s">
        <v>185</v>
      </c>
      <c r="L567" s="3">
        <v>46266</v>
      </c>
      <c r="M567" s="3">
        <v>46266</v>
      </c>
      <c r="N567">
        <v>565</v>
      </c>
      <c r="P567">
        <v>567</v>
      </c>
      <c r="Q567" t="s">
        <v>1051</v>
      </c>
      <c r="Z567" t="s">
        <v>49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 hidden="1">
      <c r="A568">
        <v>567</v>
      </c>
      <c r="B568" t="s">
        <v>1091</v>
      </c>
      <c r="C568" t="s">
        <v>1089</v>
      </c>
      <c r="D568" t="s">
        <v>146</v>
      </c>
      <c r="E568">
        <v>0</v>
      </c>
      <c r="F568" s="3">
        <v>46273</v>
      </c>
      <c r="G568" s="3">
        <v>46280</v>
      </c>
      <c r="H568" t="s">
        <v>74</v>
      </c>
      <c r="I568" t="s">
        <v>140</v>
      </c>
      <c r="J568" t="s">
        <v>398</v>
      </c>
      <c r="L568" s="3">
        <v>46273</v>
      </c>
      <c r="M568" s="3">
        <v>46273</v>
      </c>
      <c r="N568">
        <v>566</v>
      </c>
      <c r="P568">
        <v>568</v>
      </c>
      <c r="Q568" t="s">
        <v>1051</v>
      </c>
      <c r="Z568" t="s">
        <v>49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 hidden="1">
      <c r="A569">
        <v>568</v>
      </c>
      <c r="B569" t="s">
        <v>1092</v>
      </c>
      <c r="C569" t="s">
        <v>1089</v>
      </c>
      <c r="D569" t="s">
        <v>150</v>
      </c>
      <c r="E569">
        <v>0</v>
      </c>
      <c r="F569" s="3">
        <v>46280</v>
      </c>
      <c r="G569" s="3">
        <v>46287</v>
      </c>
      <c r="H569" t="s">
        <v>74</v>
      </c>
      <c r="I569" t="s">
        <v>140</v>
      </c>
      <c r="J569" t="s">
        <v>83</v>
      </c>
      <c r="L569" s="3">
        <v>46280</v>
      </c>
      <c r="M569" s="3">
        <v>46280</v>
      </c>
      <c r="N569">
        <v>567</v>
      </c>
      <c r="Q569" t="s">
        <v>1051</v>
      </c>
      <c r="Z569" t="s">
        <v>49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 hidden="1">
      <c r="A570">
        <v>569</v>
      </c>
      <c r="B570" t="s">
        <v>1093</v>
      </c>
      <c r="C570" t="s">
        <v>1049</v>
      </c>
      <c r="D570" t="s">
        <v>1094</v>
      </c>
      <c r="E570">
        <v>0</v>
      </c>
      <c r="F570" s="3">
        <v>46259</v>
      </c>
      <c r="G570" s="3">
        <v>46287</v>
      </c>
      <c r="H570" t="s">
        <v>74</v>
      </c>
      <c r="I570" t="s">
        <v>224</v>
      </c>
      <c r="J570" t="s">
        <v>185</v>
      </c>
      <c r="K570" s="3">
        <v>46252</v>
      </c>
      <c r="L570" s="3">
        <v>46280</v>
      </c>
      <c r="M570" s="3">
        <v>46280</v>
      </c>
      <c r="O570" t="s">
        <v>940</v>
      </c>
      <c r="Q570" t="s">
        <v>1051</v>
      </c>
      <c r="R570" t="s">
        <v>1095</v>
      </c>
      <c r="U570" t="s">
        <v>1096</v>
      </c>
      <c r="V570" t="s">
        <v>134</v>
      </c>
      <c r="W570" t="s">
        <v>135</v>
      </c>
      <c r="X570" t="s">
        <v>844</v>
      </c>
      <c r="Y570">
        <v>10</v>
      </c>
      <c r="Z570" t="s">
        <v>49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 hidden="1">
      <c r="A571">
        <v>570</v>
      </c>
      <c r="B571" t="s">
        <v>1097</v>
      </c>
      <c r="C571" t="s">
        <v>1098</v>
      </c>
      <c r="D571" t="s">
        <v>139</v>
      </c>
      <c r="E571">
        <v>0</v>
      </c>
      <c r="F571" s="3">
        <v>46259</v>
      </c>
      <c r="G571" s="3">
        <v>46266</v>
      </c>
      <c r="H571" t="s">
        <v>74</v>
      </c>
      <c r="I571" t="s">
        <v>140</v>
      </c>
      <c r="J571" t="s">
        <v>185</v>
      </c>
      <c r="L571" s="3">
        <v>46259</v>
      </c>
      <c r="M571" s="3">
        <v>46259</v>
      </c>
      <c r="N571" t="s">
        <v>1065</v>
      </c>
      <c r="P571">
        <v>571</v>
      </c>
      <c r="Q571" t="s">
        <v>1051</v>
      </c>
      <c r="Z571" t="s">
        <v>49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 spans="1:39" hidden="1">
      <c r="A572">
        <v>571</v>
      </c>
      <c r="B572" t="s">
        <v>1099</v>
      </c>
      <c r="C572" t="s">
        <v>1098</v>
      </c>
      <c r="D572" t="s">
        <v>143</v>
      </c>
      <c r="E572">
        <v>0</v>
      </c>
      <c r="F572" s="3">
        <v>46266</v>
      </c>
      <c r="G572" s="3">
        <v>46273</v>
      </c>
      <c r="H572" t="s">
        <v>74</v>
      </c>
      <c r="I572" t="s">
        <v>140</v>
      </c>
      <c r="J572" t="s">
        <v>185</v>
      </c>
      <c r="L572" s="3">
        <v>46266</v>
      </c>
      <c r="M572" s="3">
        <v>46266</v>
      </c>
      <c r="N572">
        <v>570</v>
      </c>
      <c r="P572">
        <v>572</v>
      </c>
      <c r="Q572" t="s">
        <v>1051</v>
      </c>
      <c r="Z572" t="s">
        <v>49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hidden="1">
      <c r="A573">
        <v>572</v>
      </c>
      <c r="B573" t="s">
        <v>1100</v>
      </c>
      <c r="C573" t="s">
        <v>1098</v>
      </c>
      <c r="D573" t="s">
        <v>146</v>
      </c>
      <c r="E573">
        <v>0</v>
      </c>
      <c r="F573" s="3">
        <v>46273</v>
      </c>
      <c r="G573" s="3">
        <v>46280</v>
      </c>
      <c r="H573" t="s">
        <v>74</v>
      </c>
      <c r="I573" t="s">
        <v>140</v>
      </c>
      <c r="J573" t="s">
        <v>398</v>
      </c>
      <c r="L573" s="3">
        <v>46273</v>
      </c>
      <c r="M573" s="3">
        <v>46273</v>
      </c>
      <c r="N573">
        <v>571</v>
      </c>
      <c r="P573">
        <v>573</v>
      </c>
      <c r="Q573" t="s">
        <v>1051</v>
      </c>
      <c r="Z573" t="s">
        <v>49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 hidden="1">
      <c r="A574">
        <v>573</v>
      </c>
      <c r="B574" t="s">
        <v>1101</v>
      </c>
      <c r="C574" t="s">
        <v>1098</v>
      </c>
      <c r="D574" t="s">
        <v>150</v>
      </c>
      <c r="E574">
        <v>0</v>
      </c>
      <c r="F574" s="3">
        <v>46280</v>
      </c>
      <c r="G574" s="3">
        <v>46287</v>
      </c>
      <c r="H574" t="s">
        <v>74</v>
      </c>
      <c r="I574" t="s">
        <v>140</v>
      </c>
      <c r="J574" t="s">
        <v>83</v>
      </c>
      <c r="L574" s="3">
        <v>46280</v>
      </c>
      <c r="M574" s="3">
        <v>46280</v>
      </c>
      <c r="N574">
        <v>572</v>
      </c>
      <c r="Q574" t="s">
        <v>1051</v>
      </c>
      <c r="Z574" t="s">
        <v>49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 spans="1:39" hidden="1">
      <c r="A575">
        <v>574</v>
      </c>
      <c r="B575" t="s">
        <v>1102</v>
      </c>
      <c r="C575" t="s">
        <v>1049</v>
      </c>
      <c r="D575" t="s">
        <v>1103</v>
      </c>
      <c r="E575">
        <v>0</v>
      </c>
      <c r="F575" s="3">
        <v>46245</v>
      </c>
      <c r="G575" s="3">
        <v>46287</v>
      </c>
      <c r="H575" t="s">
        <v>74</v>
      </c>
      <c r="I575" t="s">
        <v>172</v>
      </c>
      <c r="J575" t="s">
        <v>79</v>
      </c>
      <c r="K575" s="3">
        <v>46238</v>
      </c>
      <c r="L575" s="3">
        <v>46280</v>
      </c>
      <c r="M575" s="3">
        <v>46280</v>
      </c>
      <c r="O575" t="s">
        <v>940</v>
      </c>
      <c r="Q575" t="s">
        <v>1051</v>
      </c>
      <c r="R575" t="s">
        <v>1104</v>
      </c>
      <c r="U575" t="s">
        <v>993</v>
      </c>
      <c r="V575" t="s">
        <v>134</v>
      </c>
      <c r="W575" t="s">
        <v>135</v>
      </c>
      <c r="X575" t="s">
        <v>844</v>
      </c>
      <c r="Y575">
        <v>10</v>
      </c>
      <c r="Z575" t="s">
        <v>49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hidden="1">
      <c r="A576">
        <v>575</v>
      </c>
      <c r="B576" t="s">
        <v>1105</v>
      </c>
      <c r="C576" t="s">
        <v>1106</v>
      </c>
      <c r="D576" t="s">
        <v>139</v>
      </c>
      <c r="E576">
        <v>0</v>
      </c>
      <c r="F576" s="3">
        <v>46245</v>
      </c>
      <c r="G576" s="3">
        <v>46266</v>
      </c>
      <c r="H576" t="s">
        <v>74</v>
      </c>
      <c r="I576" t="s">
        <v>129</v>
      </c>
      <c r="J576" t="s">
        <v>79</v>
      </c>
      <c r="L576" s="3">
        <v>46259</v>
      </c>
      <c r="M576" s="3">
        <v>46259</v>
      </c>
      <c r="N576" t="s">
        <v>1065</v>
      </c>
      <c r="P576">
        <v>576</v>
      </c>
      <c r="Q576" t="s">
        <v>1051</v>
      </c>
      <c r="Z576" t="s">
        <v>49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 hidden="1">
      <c r="A577">
        <v>576</v>
      </c>
      <c r="B577" t="s">
        <v>1107</v>
      </c>
      <c r="C577" t="s">
        <v>1106</v>
      </c>
      <c r="D577" t="s">
        <v>143</v>
      </c>
      <c r="E577">
        <v>0</v>
      </c>
      <c r="F577" s="3">
        <v>46266</v>
      </c>
      <c r="G577" s="3">
        <v>46273</v>
      </c>
      <c r="H577" t="s">
        <v>74</v>
      </c>
      <c r="I577" t="s">
        <v>140</v>
      </c>
      <c r="J577" t="s">
        <v>185</v>
      </c>
      <c r="L577" s="3">
        <v>46266</v>
      </c>
      <c r="M577" s="3">
        <v>46266</v>
      </c>
      <c r="N577">
        <v>575</v>
      </c>
      <c r="P577">
        <v>577</v>
      </c>
      <c r="Q577" t="s">
        <v>1051</v>
      </c>
      <c r="Z577" t="s">
        <v>49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 spans="1:39" hidden="1">
      <c r="A578">
        <v>577</v>
      </c>
      <c r="B578" t="s">
        <v>1108</v>
      </c>
      <c r="C578" t="s">
        <v>1106</v>
      </c>
      <c r="D578" t="s">
        <v>146</v>
      </c>
      <c r="E578">
        <v>0</v>
      </c>
      <c r="F578" s="3">
        <v>46273</v>
      </c>
      <c r="G578" s="3">
        <v>46280</v>
      </c>
      <c r="H578" t="s">
        <v>74</v>
      </c>
      <c r="I578" t="s">
        <v>140</v>
      </c>
      <c r="J578" t="s">
        <v>398</v>
      </c>
      <c r="L578" s="3">
        <v>46273</v>
      </c>
      <c r="M578" s="3">
        <v>46273</v>
      </c>
      <c r="N578">
        <v>576</v>
      </c>
      <c r="P578">
        <v>578</v>
      </c>
      <c r="Q578" t="s">
        <v>1051</v>
      </c>
      <c r="Z578" t="s">
        <v>49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hidden="1">
      <c r="A579">
        <v>578</v>
      </c>
      <c r="B579" t="s">
        <v>1109</v>
      </c>
      <c r="C579" t="s">
        <v>1106</v>
      </c>
      <c r="D579" t="s">
        <v>150</v>
      </c>
      <c r="E579">
        <v>0</v>
      </c>
      <c r="F579" s="3">
        <v>46280</v>
      </c>
      <c r="G579" s="3">
        <v>46287</v>
      </c>
      <c r="H579" t="s">
        <v>74</v>
      </c>
      <c r="I579" t="s">
        <v>140</v>
      </c>
      <c r="J579" t="s">
        <v>83</v>
      </c>
      <c r="L579" s="3">
        <v>46280</v>
      </c>
      <c r="M579" s="3">
        <v>46280</v>
      </c>
      <c r="N579">
        <v>577</v>
      </c>
      <c r="Q579" t="s">
        <v>1051</v>
      </c>
      <c r="Z579" t="s">
        <v>49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 hidden="1">
      <c r="A580">
        <v>579</v>
      </c>
      <c r="B580" t="s">
        <v>1110</v>
      </c>
      <c r="C580" t="s">
        <v>1049</v>
      </c>
      <c r="D580" t="s">
        <v>1111</v>
      </c>
      <c r="E580">
        <v>0</v>
      </c>
      <c r="F580" s="3">
        <v>46252</v>
      </c>
      <c r="G580" s="3">
        <v>46287</v>
      </c>
      <c r="H580" t="s">
        <v>74</v>
      </c>
      <c r="I580" t="s">
        <v>382</v>
      </c>
      <c r="J580" t="s">
        <v>353</v>
      </c>
      <c r="K580" s="3">
        <v>46245</v>
      </c>
      <c r="L580" s="3">
        <v>46280</v>
      </c>
      <c r="M580" s="3">
        <v>46280</v>
      </c>
      <c r="O580" t="s">
        <v>940</v>
      </c>
      <c r="Q580" t="s">
        <v>1051</v>
      </c>
      <c r="R580" t="s">
        <v>1112</v>
      </c>
      <c r="U580" t="s">
        <v>1113</v>
      </c>
      <c r="V580" t="s">
        <v>134</v>
      </c>
      <c r="W580" t="s">
        <v>135</v>
      </c>
      <c r="X580" t="s">
        <v>844</v>
      </c>
      <c r="Y580">
        <v>10</v>
      </c>
      <c r="Z580" t="s">
        <v>49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 hidden="1">
      <c r="A581">
        <v>580</v>
      </c>
      <c r="B581" t="s">
        <v>1114</v>
      </c>
      <c r="C581" t="s">
        <v>1115</v>
      </c>
      <c r="D581" t="s">
        <v>139</v>
      </c>
      <c r="E581">
        <v>0</v>
      </c>
      <c r="F581" s="3">
        <v>46252</v>
      </c>
      <c r="G581" s="3">
        <v>46266</v>
      </c>
      <c r="H581" t="s">
        <v>74</v>
      </c>
      <c r="I581" t="s">
        <v>216</v>
      </c>
      <c r="J581" t="s">
        <v>353</v>
      </c>
      <c r="L581" s="3">
        <v>46259</v>
      </c>
      <c r="M581" s="3">
        <v>46259</v>
      </c>
      <c r="N581" t="s">
        <v>1065</v>
      </c>
      <c r="P581">
        <v>581</v>
      </c>
      <c r="Q581" t="s">
        <v>1051</v>
      </c>
      <c r="Z581" t="s">
        <v>49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hidden="1">
      <c r="A582">
        <v>581</v>
      </c>
      <c r="B582" t="s">
        <v>1116</v>
      </c>
      <c r="C582" t="s">
        <v>1115</v>
      </c>
      <c r="D582" t="s">
        <v>143</v>
      </c>
      <c r="E582">
        <v>0</v>
      </c>
      <c r="F582" s="3">
        <v>46266</v>
      </c>
      <c r="G582" s="3">
        <v>46273</v>
      </c>
      <c r="H582" t="s">
        <v>74</v>
      </c>
      <c r="I582" t="s">
        <v>140</v>
      </c>
      <c r="J582" t="s">
        <v>185</v>
      </c>
      <c r="L582" s="3">
        <v>46266</v>
      </c>
      <c r="M582" s="3">
        <v>46266</v>
      </c>
      <c r="N582">
        <v>580</v>
      </c>
      <c r="P582">
        <v>582</v>
      </c>
      <c r="Q582" t="s">
        <v>1051</v>
      </c>
      <c r="Z582" t="s">
        <v>49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 hidden="1">
      <c r="A583">
        <v>582</v>
      </c>
      <c r="B583" t="s">
        <v>1117</v>
      </c>
      <c r="C583" t="s">
        <v>1115</v>
      </c>
      <c r="D583" t="s">
        <v>146</v>
      </c>
      <c r="E583">
        <v>0</v>
      </c>
      <c r="F583" s="3">
        <v>46273</v>
      </c>
      <c r="G583" s="3">
        <v>46280</v>
      </c>
      <c r="H583" t="s">
        <v>74</v>
      </c>
      <c r="I583" t="s">
        <v>140</v>
      </c>
      <c r="J583" t="s">
        <v>398</v>
      </c>
      <c r="L583" s="3">
        <v>46273</v>
      </c>
      <c r="M583" s="3">
        <v>46273</v>
      </c>
      <c r="N583">
        <v>581</v>
      </c>
      <c r="P583">
        <v>583</v>
      </c>
      <c r="Q583" t="s">
        <v>1051</v>
      </c>
      <c r="Z583" t="s">
        <v>49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 hidden="1">
      <c r="A584">
        <v>583</v>
      </c>
      <c r="B584" t="s">
        <v>1118</v>
      </c>
      <c r="C584" t="s">
        <v>1115</v>
      </c>
      <c r="D584" t="s">
        <v>150</v>
      </c>
      <c r="E584">
        <v>0</v>
      </c>
      <c r="F584" s="3">
        <v>46280</v>
      </c>
      <c r="G584" s="3">
        <v>46287</v>
      </c>
      <c r="H584" t="s">
        <v>74</v>
      </c>
      <c r="I584" t="s">
        <v>140</v>
      </c>
      <c r="J584" t="s">
        <v>83</v>
      </c>
      <c r="L584" s="3">
        <v>46280</v>
      </c>
      <c r="M584" s="3">
        <v>46280</v>
      </c>
      <c r="N584">
        <v>582</v>
      </c>
      <c r="Q584" t="s">
        <v>1051</v>
      </c>
      <c r="Z584" t="s">
        <v>49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hidden="1">
      <c r="A585">
        <v>584</v>
      </c>
      <c r="B585" t="s">
        <v>1119</v>
      </c>
      <c r="C585" t="s">
        <v>1049</v>
      </c>
      <c r="D585" t="s">
        <v>1120</v>
      </c>
      <c r="E585">
        <v>0</v>
      </c>
      <c r="F585" s="3">
        <v>46245</v>
      </c>
      <c r="G585" s="3">
        <v>46287</v>
      </c>
      <c r="H585" t="s">
        <v>74</v>
      </c>
      <c r="I585" t="s">
        <v>172</v>
      </c>
      <c r="J585" t="s">
        <v>79</v>
      </c>
      <c r="K585" s="3">
        <v>46238</v>
      </c>
      <c r="L585" s="3">
        <v>46280</v>
      </c>
      <c r="M585" s="3">
        <v>46280</v>
      </c>
      <c r="O585" t="s">
        <v>940</v>
      </c>
      <c r="Q585" t="s">
        <v>1051</v>
      </c>
      <c r="R585" t="s">
        <v>1121</v>
      </c>
      <c r="U585" t="s">
        <v>1122</v>
      </c>
      <c r="V585" t="s">
        <v>134</v>
      </c>
      <c r="W585" t="s">
        <v>135</v>
      </c>
      <c r="X585" t="s">
        <v>844</v>
      </c>
      <c r="Y585">
        <v>10</v>
      </c>
      <c r="Z585" t="s">
        <v>49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 spans="1:39" hidden="1">
      <c r="A586">
        <v>585</v>
      </c>
      <c r="B586" t="s">
        <v>1123</v>
      </c>
      <c r="C586" t="s">
        <v>1124</v>
      </c>
      <c r="D586" t="s">
        <v>139</v>
      </c>
      <c r="E586">
        <v>0</v>
      </c>
      <c r="F586" s="3">
        <v>46245</v>
      </c>
      <c r="G586" s="3">
        <v>46266</v>
      </c>
      <c r="H586" t="s">
        <v>74</v>
      </c>
      <c r="I586" t="s">
        <v>129</v>
      </c>
      <c r="J586" t="s">
        <v>79</v>
      </c>
      <c r="L586" s="3">
        <v>46259</v>
      </c>
      <c r="M586" s="3">
        <v>46259</v>
      </c>
      <c r="N586" t="s">
        <v>1065</v>
      </c>
      <c r="P586">
        <v>586</v>
      </c>
      <c r="Q586" t="s">
        <v>1051</v>
      </c>
      <c r="Z586" t="s">
        <v>49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 hidden="1">
      <c r="A587">
        <v>586</v>
      </c>
      <c r="B587" t="s">
        <v>1125</v>
      </c>
      <c r="C587" t="s">
        <v>1124</v>
      </c>
      <c r="D587" t="s">
        <v>143</v>
      </c>
      <c r="E587">
        <v>0</v>
      </c>
      <c r="F587" s="3">
        <v>46266</v>
      </c>
      <c r="G587" s="3">
        <v>46273</v>
      </c>
      <c r="H587" t="s">
        <v>74</v>
      </c>
      <c r="I587" t="s">
        <v>140</v>
      </c>
      <c r="J587" t="s">
        <v>185</v>
      </c>
      <c r="L587" s="3">
        <v>46266</v>
      </c>
      <c r="M587" s="3">
        <v>46266</v>
      </c>
      <c r="N587">
        <v>585</v>
      </c>
      <c r="P587">
        <v>587</v>
      </c>
      <c r="Q587" t="s">
        <v>1051</v>
      </c>
      <c r="Z587" t="s">
        <v>49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hidden="1">
      <c r="A588">
        <v>587</v>
      </c>
      <c r="B588" t="s">
        <v>1126</v>
      </c>
      <c r="C588" t="s">
        <v>1124</v>
      </c>
      <c r="D588" t="s">
        <v>146</v>
      </c>
      <c r="E588">
        <v>0</v>
      </c>
      <c r="F588" s="3">
        <v>46273</v>
      </c>
      <c r="G588" s="3">
        <v>46280</v>
      </c>
      <c r="H588" t="s">
        <v>74</v>
      </c>
      <c r="I588" t="s">
        <v>140</v>
      </c>
      <c r="J588" t="s">
        <v>398</v>
      </c>
      <c r="L588" s="3">
        <v>46273</v>
      </c>
      <c r="M588" s="3">
        <v>46273</v>
      </c>
      <c r="N588">
        <v>586</v>
      </c>
      <c r="P588">
        <v>588</v>
      </c>
      <c r="Q588" t="s">
        <v>1051</v>
      </c>
      <c r="Z588" t="s">
        <v>49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 hidden="1">
      <c r="A589">
        <v>588</v>
      </c>
      <c r="B589" t="s">
        <v>1127</v>
      </c>
      <c r="C589" t="s">
        <v>1124</v>
      </c>
      <c r="D589" t="s">
        <v>150</v>
      </c>
      <c r="E589">
        <v>0</v>
      </c>
      <c r="F589" s="3">
        <v>46280</v>
      </c>
      <c r="G589" s="3">
        <v>46287</v>
      </c>
      <c r="H589" t="s">
        <v>74</v>
      </c>
      <c r="I589" t="s">
        <v>140</v>
      </c>
      <c r="J589" t="s">
        <v>83</v>
      </c>
      <c r="L589" s="3">
        <v>46280</v>
      </c>
      <c r="M589" s="3">
        <v>46280</v>
      </c>
      <c r="N589">
        <v>587</v>
      </c>
      <c r="Q589" t="s">
        <v>1051</v>
      </c>
      <c r="Z589" t="s">
        <v>49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 hidden="1">
      <c r="A590">
        <v>589</v>
      </c>
      <c r="B590" t="s">
        <v>1128</v>
      </c>
      <c r="C590" t="s">
        <v>1049</v>
      </c>
      <c r="D590" t="s">
        <v>1129</v>
      </c>
      <c r="E590">
        <v>0</v>
      </c>
      <c r="F590" s="3">
        <v>46245</v>
      </c>
      <c r="G590" s="3">
        <v>46287</v>
      </c>
      <c r="H590" t="s">
        <v>74</v>
      </c>
      <c r="I590" t="s">
        <v>172</v>
      </c>
      <c r="J590" t="s">
        <v>79</v>
      </c>
      <c r="K590" s="3">
        <v>46238</v>
      </c>
      <c r="L590" s="3">
        <v>46280</v>
      </c>
      <c r="M590" s="3">
        <v>46280</v>
      </c>
      <c r="O590" t="s">
        <v>940</v>
      </c>
      <c r="Q590" t="s">
        <v>1051</v>
      </c>
      <c r="R590" t="s">
        <v>1130</v>
      </c>
      <c r="U590" t="s">
        <v>1122</v>
      </c>
      <c r="V590" t="s">
        <v>134</v>
      </c>
      <c r="W590" t="s">
        <v>135</v>
      </c>
      <c r="X590" t="s">
        <v>844</v>
      </c>
      <c r="Y590">
        <v>10</v>
      </c>
      <c r="Z590" t="s">
        <v>49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hidden="1">
      <c r="A591">
        <v>590</v>
      </c>
      <c r="B591" t="s">
        <v>1131</v>
      </c>
      <c r="C591" t="s">
        <v>1132</v>
      </c>
      <c r="D591" t="s">
        <v>139</v>
      </c>
      <c r="E591">
        <v>0</v>
      </c>
      <c r="F591" s="3">
        <v>46245</v>
      </c>
      <c r="G591" s="3">
        <v>46266</v>
      </c>
      <c r="H591" t="s">
        <v>74</v>
      </c>
      <c r="I591" t="s">
        <v>129</v>
      </c>
      <c r="J591" t="s">
        <v>79</v>
      </c>
      <c r="L591" s="3">
        <v>46259</v>
      </c>
      <c r="M591" s="3">
        <v>46259</v>
      </c>
      <c r="N591" t="s">
        <v>1065</v>
      </c>
      <c r="P591">
        <v>591</v>
      </c>
      <c r="Q591" t="s">
        <v>1051</v>
      </c>
      <c r="Z591" t="s">
        <v>49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 hidden="1">
      <c r="A592">
        <v>591</v>
      </c>
      <c r="B592" t="s">
        <v>1133</v>
      </c>
      <c r="C592" t="s">
        <v>1132</v>
      </c>
      <c r="D592" t="s">
        <v>143</v>
      </c>
      <c r="E592">
        <v>0</v>
      </c>
      <c r="F592" s="3">
        <v>46266</v>
      </c>
      <c r="G592" s="3">
        <v>46273</v>
      </c>
      <c r="H592" t="s">
        <v>74</v>
      </c>
      <c r="I592" t="s">
        <v>140</v>
      </c>
      <c r="J592" t="s">
        <v>185</v>
      </c>
      <c r="L592" s="3">
        <v>46266</v>
      </c>
      <c r="M592" s="3">
        <v>46266</v>
      </c>
      <c r="N592">
        <v>590</v>
      </c>
      <c r="P592">
        <v>592</v>
      </c>
      <c r="Q592" t="s">
        <v>1051</v>
      </c>
      <c r="Z592" t="s">
        <v>49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 hidden="1">
      <c r="A593">
        <v>592</v>
      </c>
      <c r="B593" t="s">
        <v>1134</v>
      </c>
      <c r="C593" t="s">
        <v>1132</v>
      </c>
      <c r="D593" t="s">
        <v>146</v>
      </c>
      <c r="E593">
        <v>0</v>
      </c>
      <c r="F593" s="3">
        <v>46273</v>
      </c>
      <c r="G593" s="3">
        <v>46280</v>
      </c>
      <c r="H593" t="s">
        <v>74</v>
      </c>
      <c r="I593" t="s">
        <v>140</v>
      </c>
      <c r="J593" t="s">
        <v>398</v>
      </c>
      <c r="L593" s="3">
        <v>46273</v>
      </c>
      <c r="M593" s="3">
        <v>46273</v>
      </c>
      <c r="N593">
        <v>591</v>
      </c>
      <c r="P593">
        <v>593</v>
      </c>
      <c r="Q593" t="s">
        <v>1051</v>
      </c>
      <c r="Z593" t="s">
        <v>49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hidden="1">
      <c r="A594">
        <v>593</v>
      </c>
      <c r="B594" t="s">
        <v>1135</v>
      </c>
      <c r="C594" t="s">
        <v>1132</v>
      </c>
      <c r="D594" t="s">
        <v>150</v>
      </c>
      <c r="E594">
        <v>0</v>
      </c>
      <c r="F594" s="3">
        <v>46280</v>
      </c>
      <c r="G594" s="3">
        <v>46287</v>
      </c>
      <c r="H594" t="s">
        <v>74</v>
      </c>
      <c r="I594" t="s">
        <v>140</v>
      </c>
      <c r="J594" t="s">
        <v>83</v>
      </c>
      <c r="L594" s="3">
        <v>46280</v>
      </c>
      <c r="M594" s="3">
        <v>46280</v>
      </c>
      <c r="N594">
        <v>592</v>
      </c>
      <c r="Q594" t="s">
        <v>1051</v>
      </c>
      <c r="Z594" t="s">
        <v>49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</row>
    <row r="595" spans="1:39" hidden="1">
      <c r="A595">
        <v>594</v>
      </c>
      <c r="B595" t="s">
        <v>1136</v>
      </c>
      <c r="C595" t="s">
        <v>45</v>
      </c>
      <c r="D595" t="s">
        <v>1137</v>
      </c>
      <c r="E595">
        <v>0</v>
      </c>
      <c r="F595" s="3">
        <v>46232</v>
      </c>
      <c r="G595" s="3">
        <v>46280</v>
      </c>
      <c r="I595" t="s">
        <v>1138</v>
      </c>
      <c r="J595" t="s">
        <v>42</v>
      </c>
      <c r="N595" t="s">
        <v>1139</v>
      </c>
      <c r="Z595" t="s">
        <v>49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 spans="1:39" hidden="1">
      <c r="A596">
        <v>595</v>
      </c>
      <c r="B596" t="s">
        <v>1140</v>
      </c>
      <c r="C596" t="s">
        <v>45</v>
      </c>
      <c r="D596" t="s">
        <v>1137</v>
      </c>
      <c r="E596">
        <v>0</v>
      </c>
      <c r="F596" s="3">
        <v>46238</v>
      </c>
      <c r="G596" s="3">
        <v>46287</v>
      </c>
      <c r="I596" t="s">
        <v>1138</v>
      </c>
      <c r="J596" t="s">
        <v>42</v>
      </c>
      <c r="N596" t="s">
        <v>1139</v>
      </c>
      <c r="Z596" t="s">
        <v>49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hidden="1">
      <c r="A597">
        <v>596</v>
      </c>
      <c r="B597" t="s">
        <v>1141</v>
      </c>
      <c r="C597" t="s">
        <v>45</v>
      </c>
      <c r="D597" t="s">
        <v>1137</v>
      </c>
      <c r="E597">
        <v>0</v>
      </c>
      <c r="F597" s="3">
        <v>46238</v>
      </c>
      <c r="G597" s="3">
        <v>46287</v>
      </c>
      <c r="H597" t="s">
        <v>74</v>
      </c>
      <c r="I597" t="s">
        <v>1138</v>
      </c>
      <c r="J597" t="s">
        <v>42</v>
      </c>
      <c r="K597" s="3">
        <v>46232</v>
      </c>
      <c r="L597" s="3">
        <v>46280</v>
      </c>
      <c r="M597" s="3">
        <v>46280</v>
      </c>
      <c r="P597" t="s">
        <v>1142</v>
      </c>
      <c r="Z597" t="s">
        <v>49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 spans="1:39" hidden="1">
      <c r="A598">
        <v>597</v>
      </c>
      <c r="B598" t="s">
        <v>1143</v>
      </c>
      <c r="C598" t="s">
        <v>1144</v>
      </c>
      <c r="D598" t="s">
        <v>1145</v>
      </c>
      <c r="E598">
        <v>0</v>
      </c>
      <c r="F598" s="3">
        <v>46238</v>
      </c>
      <c r="G598" s="3">
        <v>46273</v>
      </c>
      <c r="H598" t="s">
        <v>74</v>
      </c>
      <c r="I598" t="s">
        <v>382</v>
      </c>
      <c r="J598" t="s">
        <v>79</v>
      </c>
      <c r="K598" s="3">
        <v>46232</v>
      </c>
      <c r="L598" s="3">
        <v>46266</v>
      </c>
      <c r="M598" s="3">
        <v>46266</v>
      </c>
      <c r="O598" t="s">
        <v>555</v>
      </c>
      <c r="Q598" t="s">
        <v>1146</v>
      </c>
      <c r="R598" t="s">
        <v>1147</v>
      </c>
      <c r="U598" t="s">
        <v>211</v>
      </c>
      <c r="V598" t="s">
        <v>134</v>
      </c>
      <c r="W598" t="s">
        <v>135</v>
      </c>
      <c r="X598" t="s">
        <v>213</v>
      </c>
      <c r="Y598">
        <v>1</v>
      </c>
      <c r="Z598" t="s">
        <v>49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 hidden="1">
      <c r="A599">
        <v>598</v>
      </c>
      <c r="B599" t="s">
        <v>1148</v>
      </c>
      <c r="C599" t="s">
        <v>1149</v>
      </c>
      <c r="D599" t="s">
        <v>139</v>
      </c>
      <c r="E599">
        <v>0</v>
      </c>
      <c r="F599" s="3">
        <v>46238</v>
      </c>
      <c r="G599" s="3">
        <v>46252</v>
      </c>
      <c r="H599" t="s">
        <v>74</v>
      </c>
      <c r="I599" t="s">
        <v>216</v>
      </c>
      <c r="J599" t="s">
        <v>79</v>
      </c>
      <c r="L599" s="3">
        <v>46245</v>
      </c>
      <c r="M599" s="3">
        <v>46245</v>
      </c>
      <c r="N599" t="s">
        <v>1150</v>
      </c>
      <c r="P599" t="s">
        <v>1151</v>
      </c>
      <c r="Q599" t="s">
        <v>1146</v>
      </c>
      <c r="Z599" t="s">
        <v>49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hidden="1">
      <c r="A600">
        <v>599</v>
      </c>
      <c r="B600" t="s">
        <v>1152</v>
      </c>
      <c r="C600" t="s">
        <v>1149</v>
      </c>
      <c r="D600" t="s">
        <v>143</v>
      </c>
      <c r="E600">
        <v>0</v>
      </c>
      <c r="F600" s="3">
        <v>46252</v>
      </c>
      <c r="G600" s="3">
        <v>46259</v>
      </c>
      <c r="H600" t="s">
        <v>74</v>
      </c>
      <c r="I600" t="s">
        <v>140</v>
      </c>
      <c r="J600" t="s">
        <v>185</v>
      </c>
      <c r="L600" s="3">
        <v>46252</v>
      </c>
      <c r="M600" s="3">
        <v>46252</v>
      </c>
      <c r="N600">
        <v>598</v>
      </c>
      <c r="P600">
        <v>600</v>
      </c>
      <c r="Q600" t="s">
        <v>1146</v>
      </c>
      <c r="Z600" t="s">
        <v>49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39" hidden="1">
      <c r="A601">
        <v>600</v>
      </c>
      <c r="B601" t="s">
        <v>1153</v>
      </c>
      <c r="C601" t="s">
        <v>1149</v>
      </c>
      <c r="D601" t="s">
        <v>146</v>
      </c>
      <c r="E601">
        <v>0</v>
      </c>
      <c r="F601" s="3">
        <v>46259</v>
      </c>
      <c r="G601" s="3">
        <v>46266</v>
      </c>
      <c r="H601" t="s">
        <v>74</v>
      </c>
      <c r="I601" t="s">
        <v>140</v>
      </c>
      <c r="J601" t="s">
        <v>185</v>
      </c>
      <c r="L601" s="3">
        <v>46259</v>
      </c>
      <c r="M601" s="3">
        <v>46259</v>
      </c>
      <c r="N601">
        <v>599</v>
      </c>
      <c r="P601">
        <v>601</v>
      </c>
      <c r="Q601" t="s">
        <v>1146</v>
      </c>
      <c r="Z601" t="s">
        <v>49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 hidden="1">
      <c r="A602">
        <v>601</v>
      </c>
      <c r="B602" t="s">
        <v>1154</v>
      </c>
      <c r="C602" t="s">
        <v>1149</v>
      </c>
      <c r="D602" t="s">
        <v>150</v>
      </c>
      <c r="E602">
        <v>0</v>
      </c>
      <c r="F602" s="3">
        <v>46266</v>
      </c>
      <c r="G602" s="3">
        <v>46273</v>
      </c>
      <c r="H602" t="s">
        <v>74</v>
      </c>
      <c r="I602" t="s">
        <v>140</v>
      </c>
      <c r="J602" t="s">
        <v>398</v>
      </c>
      <c r="L602" s="3">
        <v>46266</v>
      </c>
      <c r="M602" s="3">
        <v>46266</v>
      </c>
      <c r="N602">
        <v>600</v>
      </c>
      <c r="Q602" t="s">
        <v>1146</v>
      </c>
      <c r="Z602" t="s">
        <v>49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hidden="1">
      <c r="A603">
        <v>602</v>
      </c>
      <c r="B603" t="s">
        <v>1155</v>
      </c>
      <c r="C603" t="s">
        <v>1144</v>
      </c>
      <c r="D603" t="s">
        <v>1156</v>
      </c>
      <c r="E603">
        <v>0</v>
      </c>
      <c r="F603" s="3">
        <v>46252</v>
      </c>
      <c r="G603" s="3">
        <v>46287</v>
      </c>
      <c r="H603" t="s">
        <v>74</v>
      </c>
      <c r="I603" t="s">
        <v>382</v>
      </c>
      <c r="J603" t="s">
        <v>185</v>
      </c>
      <c r="K603" s="3">
        <v>46246</v>
      </c>
      <c r="L603" s="3">
        <v>46280</v>
      </c>
      <c r="M603" s="3">
        <v>46280</v>
      </c>
      <c r="O603" t="s">
        <v>555</v>
      </c>
      <c r="Q603" t="s">
        <v>1146</v>
      </c>
      <c r="R603" t="s">
        <v>1147</v>
      </c>
      <c r="U603" t="s">
        <v>211</v>
      </c>
      <c r="V603" t="s">
        <v>134</v>
      </c>
      <c r="W603" t="s">
        <v>135</v>
      </c>
      <c r="X603" t="s">
        <v>213</v>
      </c>
      <c r="Y603">
        <v>1</v>
      </c>
      <c r="Z603" t="s">
        <v>49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 hidden="1">
      <c r="A604">
        <v>603</v>
      </c>
      <c r="B604" t="s">
        <v>1157</v>
      </c>
      <c r="C604" t="s">
        <v>1158</v>
      </c>
      <c r="D604" t="s">
        <v>139</v>
      </c>
      <c r="E604">
        <v>0</v>
      </c>
      <c r="F604" s="3">
        <v>46252</v>
      </c>
      <c r="G604" s="3">
        <v>46266</v>
      </c>
      <c r="H604" t="s">
        <v>74</v>
      </c>
      <c r="I604" t="s">
        <v>216</v>
      </c>
      <c r="J604" t="s">
        <v>185</v>
      </c>
      <c r="L604" s="3">
        <v>46259</v>
      </c>
      <c r="M604" s="3">
        <v>46259</v>
      </c>
      <c r="N604">
        <v>598</v>
      </c>
      <c r="P604">
        <v>604</v>
      </c>
      <c r="Q604" t="s">
        <v>1146</v>
      </c>
      <c r="Z604" t="s">
        <v>49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 hidden="1">
      <c r="A605">
        <v>604</v>
      </c>
      <c r="B605" t="s">
        <v>1159</v>
      </c>
      <c r="C605" t="s">
        <v>1158</v>
      </c>
      <c r="D605" t="s">
        <v>143</v>
      </c>
      <c r="E605">
        <v>0</v>
      </c>
      <c r="F605" s="3">
        <v>46266</v>
      </c>
      <c r="G605" s="3">
        <v>46273</v>
      </c>
      <c r="H605" t="s">
        <v>74</v>
      </c>
      <c r="I605" t="s">
        <v>140</v>
      </c>
      <c r="J605" t="s">
        <v>398</v>
      </c>
      <c r="L605" s="3">
        <v>46266</v>
      </c>
      <c r="M605" s="3">
        <v>46266</v>
      </c>
      <c r="N605">
        <v>603</v>
      </c>
      <c r="P605" t="s">
        <v>1160</v>
      </c>
      <c r="Q605" t="s">
        <v>1146</v>
      </c>
      <c r="Z605" t="s">
        <v>49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hidden="1">
      <c r="A606">
        <v>605</v>
      </c>
      <c r="B606" t="s">
        <v>1161</v>
      </c>
      <c r="C606" t="s">
        <v>1158</v>
      </c>
      <c r="D606" t="s">
        <v>146</v>
      </c>
      <c r="E606">
        <v>0</v>
      </c>
      <c r="F606" s="3">
        <v>46273</v>
      </c>
      <c r="G606" s="3">
        <v>46280</v>
      </c>
      <c r="H606" t="s">
        <v>74</v>
      </c>
      <c r="I606" t="s">
        <v>140</v>
      </c>
      <c r="J606" t="s">
        <v>83</v>
      </c>
      <c r="L606" s="3">
        <v>46273</v>
      </c>
      <c r="M606" s="3">
        <v>46273</v>
      </c>
      <c r="N606">
        <v>604</v>
      </c>
      <c r="P606">
        <v>606</v>
      </c>
      <c r="Q606" t="s">
        <v>1146</v>
      </c>
      <c r="Z606" t="s">
        <v>49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 hidden="1">
      <c r="A607">
        <v>606</v>
      </c>
      <c r="B607" t="s">
        <v>1162</v>
      </c>
      <c r="C607" t="s">
        <v>1158</v>
      </c>
      <c r="D607" t="s">
        <v>150</v>
      </c>
      <c r="E607">
        <v>0</v>
      </c>
      <c r="F607" s="3">
        <v>46280</v>
      </c>
      <c r="G607" s="3">
        <v>46287</v>
      </c>
      <c r="H607" t="s">
        <v>74</v>
      </c>
      <c r="I607" t="s">
        <v>140</v>
      </c>
      <c r="J607" t="s">
        <v>83</v>
      </c>
      <c r="L607" s="3">
        <v>46280</v>
      </c>
      <c r="M607" s="3">
        <v>46280</v>
      </c>
      <c r="N607">
        <v>605</v>
      </c>
      <c r="Q607" t="s">
        <v>1146</v>
      </c>
      <c r="Z607" t="s">
        <v>49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 hidden="1">
      <c r="A608">
        <v>607</v>
      </c>
      <c r="B608" t="s">
        <v>1163</v>
      </c>
      <c r="C608" t="s">
        <v>1144</v>
      </c>
      <c r="D608" t="s">
        <v>1164</v>
      </c>
      <c r="E608">
        <v>0</v>
      </c>
      <c r="F608" s="3">
        <v>46252</v>
      </c>
      <c r="G608" s="3">
        <v>46287</v>
      </c>
      <c r="H608" t="s">
        <v>74</v>
      </c>
      <c r="I608" t="s">
        <v>382</v>
      </c>
      <c r="J608" t="s">
        <v>185</v>
      </c>
      <c r="K608" s="3">
        <v>46246</v>
      </c>
      <c r="L608" s="3">
        <v>46280</v>
      </c>
      <c r="M608" s="3">
        <v>46280</v>
      </c>
      <c r="O608" t="s">
        <v>638</v>
      </c>
      <c r="Q608" t="s">
        <v>1146</v>
      </c>
      <c r="R608" t="s">
        <v>1165</v>
      </c>
      <c r="U608" t="s">
        <v>211</v>
      </c>
      <c r="V608" t="s">
        <v>134</v>
      </c>
      <c r="W608" t="s">
        <v>135</v>
      </c>
      <c r="X608" t="s">
        <v>213</v>
      </c>
      <c r="Y608">
        <v>1</v>
      </c>
      <c r="Z608" t="s">
        <v>49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hidden="1">
      <c r="A609">
        <v>608</v>
      </c>
      <c r="B609" t="s">
        <v>1166</v>
      </c>
      <c r="C609" t="s">
        <v>1167</v>
      </c>
      <c r="D609" t="s">
        <v>139</v>
      </c>
      <c r="E609">
        <v>0</v>
      </c>
      <c r="F609" s="3">
        <v>46252</v>
      </c>
      <c r="G609" s="3">
        <v>46266</v>
      </c>
      <c r="H609" t="s">
        <v>74</v>
      </c>
      <c r="I609" t="s">
        <v>216</v>
      </c>
      <c r="J609" t="s">
        <v>185</v>
      </c>
      <c r="L609" s="3">
        <v>46260</v>
      </c>
      <c r="M609" s="3">
        <v>46260</v>
      </c>
      <c r="N609" t="s">
        <v>1168</v>
      </c>
      <c r="P609">
        <v>609</v>
      </c>
      <c r="Q609" t="s">
        <v>1146</v>
      </c>
      <c r="Z609" t="s">
        <v>49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 hidden="1">
      <c r="A610">
        <v>609</v>
      </c>
      <c r="B610" t="s">
        <v>1169</v>
      </c>
      <c r="C610" t="s">
        <v>1167</v>
      </c>
      <c r="D610" t="s">
        <v>143</v>
      </c>
      <c r="E610">
        <v>0</v>
      </c>
      <c r="F610" s="3">
        <v>46266</v>
      </c>
      <c r="G610" s="3">
        <v>46273</v>
      </c>
      <c r="H610" t="s">
        <v>74</v>
      </c>
      <c r="I610" t="s">
        <v>140</v>
      </c>
      <c r="J610" t="s">
        <v>398</v>
      </c>
      <c r="L610" s="3">
        <v>46266</v>
      </c>
      <c r="M610" s="3">
        <v>46266</v>
      </c>
      <c r="N610">
        <v>608</v>
      </c>
      <c r="P610">
        <v>610</v>
      </c>
      <c r="Q610" t="s">
        <v>1146</v>
      </c>
      <c r="Z610" t="s">
        <v>49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 hidden="1">
      <c r="A611">
        <v>610</v>
      </c>
      <c r="B611" t="s">
        <v>1170</v>
      </c>
      <c r="C611" t="s">
        <v>1167</v>
      </c>
      <c r="D611" t="s">
        <v>146</v>
      </c>
      <c r="E611">
        <v>0</v>
      </c>
      <c r="F611" s="3">
        <v>46273</v>
      </c>
      <c r="G611" s="3">
        <v>46280</v>
      </c>
      <c r="H611" t="s">
        <v>74</v>
      </c>
      <c r="I611" t="s">
        <v>140</v>
      </c>
      <c r="J611" t="s">
        <v>83</v>
      </c>
      <c r="L611" s="3">
        <v>46273</v>
      </c>
      <c r="M611" s="3">
        <v>46273</v>
      </c>
      <c r="N611">
        <v>609</v>
      </c>
      <c r="P611">
        <v>611</v>
      </c>
      <c r="Q611" t="s">
        <v>1146</v>
      </c>
      <c r="Z611" t="s">
        <v>49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hidden="1">
      <c r="A612">
        <v>611</v>
      </c>
      <c r="B612" t="s">
        <v>1171</v>
      </c>
      <c r="C612" t="s">
        <v>1167</v>
      </c>
      <c r="D612" t="s">
        <v>150</v>
      </c>
      <c r="E612">
        <v>0</v>
      </c>
      <c r="F612" s="3">
        <v>46280</v>
      </c>
      <c r="G612" s="3">
        <v>46287</v>
      </c>
      <c r="H612" t="s">
        <v>74</v>
      </c>
      <c r="I612" t="s">
        <v>140</v>
      </c>
      <c r="J612" t="s">
        <v>83</v>
      </c>
      <c r="L612" s="3">
        <v>46280</v>
      </c>
      <c r="M612" s="3">
        <v>46280</v>
      </c>
      <c r="N612">
        <v>610</v>
      </c>
      <c r="Q612" t="s">
        <v>1146</v>
      </c>
      <c r="Z612" t="s">
        <v>49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 hidden="1">
      <c r="A613">
        <v>612</v>
      </c>
      <c r="B613" t="s">
        <v>1172</v>
      </c>
      <c r="C613" t="s">
        <v>1144</v>
      </c>
      <c r="D613" t="s">
        <v>1173</v>
      </c>
      <c r="E613">
        <v>0</v>
      </c>
      <c r="F613" s="3">
        <v>46252</v>
      </c>
      <c r="G613" s="3">
        <v>46287</v>
      </c>
      <c r="H613" t="s">
        <v>74</v>
      </c>
      <c r="I613" t="s">
        <v>382</v>
      </c>
      <c r="J613" t="s">
        <v>185</v>
      </c>
      <c r="K613" s="3">
        <v>46246</v>
      </c>
      <c r="L613" s="3">
        <v>46280</v>
      </c>
      <c r="M613" s="3">
        <v>46280</v>
      </c>
      <c r="O613" t="s">
        <v>949</v>
      </c>
      <c r="Q613" t="s">
        <v>1146</v>
      </c>
      <c r="R613" t="s">
        <v>1174</v>
      </c>
      <c r="U613" t="s">
        <v>211</v>
      </c>
      <c r="V613" t="s">
        <v>134</v>
      </c>
      <c r="W613" t="s">
        <v>135</v>
      </c>
      <c r="X613" t="s">
        <v>213</v>
      </c>
      <c r="Y613">
        <v>1</v>
      </c>
      <c r="Z613" t="s">
        <v>49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 hidden="1">
      <c r="A614">
        <v>613</v>
      </c>
      <c r="B614" t="s">
        <v>1175</v>
      </c>
      <c r="C614" t="s">
        <v>1176</v>
      </c>
      <c r="D614" t="s">
        <v>139</v>
      </c>
      <c r="E614">
        <v>0</v>
      </c>
      <c r="F614" s="3">
        <v>46252</v>
      </c>
      <c r="G614" s="3">
        <v>46266</v>
      </c>
      <c r="H614" t="s">
        <v>74</v>
      </c>
      <c r="I614" t="s">
        <v>216</v>
      </c>
      <c r="J614" t="s">
        <v>185</v>
      </c>
      <c r="L614" s="3">
        <v>46260</v>
      </c>
      <c r="M614" s="3">
        <v>46260</v>
      </c>
      <c r="N614" t="s">
        <v>1168</v>
      </c>
      <c r="P614">
        <v>614</v>
      </c>
      <c r="Q614" t="s">
        <v>1146</v>
      </c>
      <c r="Z614" t="s">
        <v>49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hidden="1">
      <c r="A615">
        <v>614</v>
      </c>
      <c r="B615" t="s">
        <v>1177</v>
      </c>
      <c r="C615" t="s">
        <v>1176</v>
      </c>
      <c r="D615" t="s">
        <v>143</v>
      </c>
      <c r="E615">
        <v>0</v>
      </c>
      <c r="F615" s="3">
        <v>46266</v>
      </c>
      <c r="G615" s="3">
        <v>46273</v>
      </c>
      <c r="H615" t="s">
        <v>74</v>
      </c>
      <c r="I615" t="s">
        <v>140</v>
      </c>
      <c r="J615" t="s">
        <v>398</v>
      </c>
      <c r="L615" s="3">
        <v>46266</v>
      </c>
      <c r="M615" s="3">
        <v>46266</v>
      </c>
      <c r="N615">
        <v>613</v>
      </c>
      <c r="P615">
        <v>615</v>
      </c>
      <c r="Q615" t="s">
        <v>1146</v>
      </c>
      <c r="Z615" t="s">
        <v>49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 hidden="1">
      <c r="A616">
        <v>615</v>
      </c>
      <c r="B616" t="s">
        <v>1178</v>
      </c>
      <c r="C616" t="s">
        <v>1176</v>
      </c>
      <c r="D616" t="s">
        <v>146</v>
      </c>
      <c r="E616">
        <v>0</v>
      </c>
      <c r="F616" s="3">
        <v>46273</v>
      </c>
      <c r="G616" s="3">
        <v>46280</v>
      </c>
      <c r="H616" t="s">
        <v>74</v>
      </c>
      <c r="I616" t="s">
        <v>140</v>
      </c>
      <c r="J616" t="s">
        <v>83</v>
      </c>
      <c r="L616" s="3">
        <v>46273</v>
      </c>
      <c r="M616" s="3">
        <v>46273</v>
      </c>
      <c r="N616">
        <v>614</v>
      </c>
      <c r="P616">
        <v>616</v>
      </c>
      <c r="Q616" t="s">
        <v>1146</v>
      </c>
      <c r="Z616" t="s">
        <v>49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 hidden="1">
      <c r="A617">
        <v>616</v>
      </c>
      <c r="B617" t="s">
        <v>1179</v>
      </c>
      <c r="C617" t="s">
        <v>1176</v>
      </c>
      <c r="D617" t="s">
        <v>150</v>
      </c>
      <c r="E617">
        <v>0</v>
      </c>
      <c r="F617" s="3">
        <v>46280</v>
      </c>
      <c r="G617" s="3">
        <v>46287</v>
      </c>
      <c r="H617" t="s">
        <v>74</v>
      </c>
      <c r="I617" t="s">
        <v>140</v>
      </c>
      <c r="J617" t="s">
        <v>83</v>
      </c>
      <c r="L617" s="3">
        <v>46280</v>
      </c>
      <c r="M617" s="3">
        <v>46280</v>
      </c>
      <c r="N617">
        <v>615</v>
      </c>
      <c r="Q617" t="s">
        <v>1146</v>
      </c>
      <c r="Z617" t="s">
        <v>49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hidden="1">
      <c r="A618">
        <v>617</v>
      </c>
      <c r="B618" t="s">
        <v>1180</v>
      </c>
      <c r="C618" t="s">
        <v>1144</v>
      </c>
      <c r="D618" t="s">
        <v>1181</v>
      </c>
      <c r="E618">
        <v>0</v>
      </c>
      <c r="F618" s="3">
        <v>46245</v>
      </c>
      <c r="G618" s="3">
        <v>46287</v>
      </c>
      <c r="H618" t="s">
        <v>74</v>
      </c>
      <c r="I618" t="s">
        <v>172</v>
      </c>
      <c r="J618" t="s">
        <v>353</v>
      </c>
      <c r="K618" s="3">
        <v>46239</v>
      </c>
      <c r="L618" s="3">
        <v>46280</v>
      </c>
      <c r="M618" s="3">
        <v>46280</v>
      </c>
      <c r="O618" t="s">
        <v>555</v>
      </c>
      <c r="Q618" t="s">
        <v>1146</v>
      </c>
      <c r="R618" t="s">
        <v>1182</v>
      </c>
      <c r="U618" t="s">
        <v>1122</v>
      </c>
      <c r="V618" t="s">
        <v>134</v>
      </c>
      <c r="W618" t="s">
        <v>135</v>
      </c>
      <c r="X618" t="s">
        <v>844</v>
      </c>
      <c r="Y618">
        <v>10</v>
      </c>
      <c r="Z618" t="s">
        <v>49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 spans="1:39" hidden="1">
      <c r="A619">
        <v>618</v>
      </c>
      <c r="B619" t="s">
        <v>1183</v>
      </c>
      <c r="C619" t="s">
        <v>1184</v>
      </c>
      <c r="D619" t="s">
        <v>139</v>
      </c>
      <c r="E619">
        <v>0</v>
      </c>
      <c r="F619" s="3">
        <v>46245</v>
      </c>
      <c r="G619" s="3">
        <v>46266</v>
      </c>
      <c r="H619" t="s">
        <v>74</v>
      </c>
      <c r="I619" t="s">
        <v>129</v>
      </c>
      <c r="J619" t="s">
        <v>353</v>
      </c>
      <c r="L619" s="3">
        <v>46260</v>
      </c>
      <c r="M619" s="3">
        <v>46260</v>
      </c>
      <c r="N619" t="s">
        <v>1168</v>
      </c>
      <c r="P619">
        <v>619</v>
      </c>
      <c r="Q619" t="s">
        <v>1146</v>
      </c>
      <c r="Z619" t="s">
        <v>49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 hidden="1">
      <c r="A620">
        <v>619</v>
      </c>
      <c r="B620" t="s">
        <v>1185</v>
      </c>
      <c r="C620" t="s">
        <v>1184</v>
      </c>
      <c r="D620" t="s">
        <v>143</v>
      </c>
      <c r="E620">
        <v>0</v>
      </c>
      <c r="F620" s="3">
        <v>46266</v>
      </c>
      <c r="G620" s="3">
        <v>46273</v>
      </c>
      <c r="H620" t="s">
        <v>74</v>
      </c>
      <c r="I620" t="s">
        <v>140</v>
      </c>
      <c r="J620" t="s">
        <v>398</v>
      </c>
      <c r="L620" s="3">
        <v>46266</v>
      </c>
      <c r="M620" s="3">
        <v>46266</v>
      </c>
      <c r="N620">
        <v>618</v>
      </c>
      <c r="P620">
        <v>620</v>
      </c>
      <c r="Q620" t="s">
        <v>1146</v>
      </c>
      <c r="Z620" t="s">
        <v>49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hidden="1">
      <c r="A621">
        <v>620</v>
      </c>
      <c r="B621" t="s">
        <v>1186</v>
      </c>
      <c r="C621" t="s">
        <v>1184</v>
      </c>
      <c r="D621" t="s">
        <v>146</v>
      </c>
      <c r="E621">
        <v>0</v>
      </c>
      <c r="F621" s="3">
        <v>46273</v>
      </c>
      <c r="G621" s="3">
        <v>46280</v>
      </c>
      <c r="H621" t="s">
        <v>74</v>
      </c>
      <c r="I621" t="s">
        <v>140</v>
      </c>
      <c r="J621" t="s">
        <v>83</v>
      </c>
      <c r="L621" s="3">
        <v>46273</v>
      </c>
      <c r="M621" s="3">
        <v>46273</v>
      </c>
      <c r="N621">
        <v>619</v>
      </c>
      <c r="P621">
        <v>621</v>
      </c>
      <c r="Q621" t="s">
        <v>1146</v>
      </c>
      <c r="Z621" t="s">
        <v>49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 hidden="1">
      <c r="A622">
        <v>621</v>
      </c>
      <c r="B622" t="s">
        <v>1187</v>
      </c>
      <c r="C622" t="s">
        <v>1184</v>
      </c>
      <c r="D622" t="s">
        <v>150</v>
      </c>
      <c r="E622">
        <v>0</v>
      </c>
      <c r="F622" s="3">
        <v>46280</v>
      </c>
      <c r="G622" s="3">
        <v>46287</v>
      </c>
      <c r="H622" t="s">
        <v>74</v>
      </c>
      <c r="I622" t="s">
        <v>140</v>
      </c>
      <c r="J622" t="s">
        <v>83</v>
      </c>
      <c r="L622" s="3">
        <v>46280</v>
      </c>
      <c r="M622" s="3">
        <v>46280</v>
      </c>
      <c r="N622">
        <v>620</v>
      </c>
      <c r="Q622" t="s">
        <v>1146</v>
      </c>
      <c r="Z622" t="s">
        <v>49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 hidden="1">
      <c r="A623">
        <v>622</v>
      </c>
      <c r="B623" t="s">
        <v>1188</v>
      </c>
      <c r="C623" t="s">
        <v>1144</v>
      </c>
      <c r="D623" t="s">
        <v>1189</v>
      </c>
      <c r="E623">
        <v>0</v>
      </c>
      <c r="F623" s="3">
        <v>46246</v>
      </c>
      <c r="G623" s="3">
        <v>46287</v>
      </c>
      <c r="H623" t="s">
        <v>74</v>
      </c>
      <c r="I623" t="s">
        <v>1190</v>
      </c>
      <c r="J623" t="s">
        <v>353</v>
      </c>
      <c r="K623" s="3">
        <v>46240</v>
      </c>
      <c r="L623" s="3">
        <v>46280</v>
      </c>
      <c r="M623" s="3">
        <v>46280</v>
      </c>
      <c r="O623" t="s">
        <v>991</v>
      </c>
      <c r="Q623" t="s">
        <v>1146</v>
      </c>
      <c r="R623" t="s">
        <v>1191</v>
      </c>
      <c r="U623" t="s">
        <v>1002</v>
      </c>
      <c r="V623" t="s">
        <v>134</v>
      </c>
      <c r="W623" t="s">
        <v>135</v>
      </c>
      <c r="X623" t="s">
        <v>844</v>
      </c>
      <c r="Y623">
        <v>10</v>
      </c>
      <c r="Z623" t="s">
        <v>49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hidden="1">
      <c r="A624">
        <v>623</v>
      </c>
      <c r="B624" t="s">
        <v>1192</v>
      </c>
      <c r="C624" t="s">
        <v>1193</v>
      </c>
      <c r="D624" t="s">
        <v>139</v>
      </c>
      <c r="E624">
        <v>0</v>
      </c>
      <c r="F624" s="3">
        <v>46246</v>
      </c>
      <c r="G624" s="3">
        <v>46266</v>
      </c>
      <c r="H624" t="s">
        <v>74</v>
      </c>
      <c r="I624" t="s">
        <v>1194</v>
      </c>
      <c r="J624" t="s">
        <v>353</v>
      </c>
      <c r="L624" s="3">
        <v>46260</v>
      </c>
      <c r="M624" s="3">
        <v>46260</v>
      </c>
      <c r="N624" t="s">
        <v>1168</v>
      </c>
      <c r="P624">
        <v>624</v>
      </c>
      <c r="Q624" t="s">
        <v>1146</v>
      </c>
      <c r="Z624" t="s">
        <v>49</v>
      </c>
      <c r="AB624">
        <v>0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 hidden="1">
      <c r="A625">
        <v>624</v>
      </c>
      <c r="B625" t="s">
        <v>1195</v>
      </c>
      <c r="C625" t="s">
        <v>1193</v>
      </c>
      <c r="D625" t="s">
        <v>143</v>
      </c>
      <c r="E625">
        <v>0</v>
      </c>
      <c r="F625" s="3">
        <v>46266</v>
      </c>
      <c r="G625" s="3">
        <v>46273</v>
      </c>
      <c r="H625" t="s">
        <v>74</v>
      </c>
      <c r="I625" t="s">
        <v>140</v>
      </c>
      <c r="J625" t="s">
        <v>398</v>
      </c>
      <c r="L625" s="3">
        <v>46266</v>
      </c>
      <c r="M625" s="3">
        <v>46266</v>
      </c>
      <c r="N625">
        <v>623</v>
      </c>
      <c r="P625">
        <v>625</v>
      </c>
      <c r="Q625" t="s">
        <v>1146</v>
      </c>
      <c r="Z625" t="s">
        <v>49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 hidden="1">
      <c r="A626">
        <v>625</v>
      </c>
      <c r="B626" t="s">
        <v>1196</v>
      </c>
      <c r="C626" t="s">
        <v>1193</v>
      </c>
      <c r="D626" t="s">
        <v>146</v>
      </c>
      <c r="E626">
        <v>0</v>
      </c>
      <c r="F626" s="3">
        <v>46273</v>
      </c>
      <c r="G626" s="3">
        <v>46280</v>
      </c>
      <c r="H626" t="s">
        <v>74</v>
      </c>
      <c r="I626" t="s">
        <v>140</v>
      </c>
      <c r="J626" t="s">
        <v>83</v>
      </c>
      <c r="L626" s="3">
        <v>46273</v>
      </c>
      <c r="M626" s="3">
        <v>46273</v>
      </c>
      <c r="N626">
        <v>624</v>
      </c>
      <c r="P626">
        <v>626</v>
      </c>
      <c r="Q626" t="s">
        <v>1146</v>
      </c>
      <c r="Z626" t="s">
        <v>49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hidden="1">
      <c r="A627">
        <v>626</v>
      </c>
      <c r="B627" t="s">
        <v>1197</v>
      </c>
      <c r="C627" t="s">
        <v>1193</v>
      </c>
      <c r="D627" t="s">
        <v>150</v>
      </c>
      <c r="E627">
        <v>0</v>
      </c>
      <c r="F627" s="3">
        <v>46280</v>
      </c>
      <c r="G627" s="3">
        <v>46287</v>
      </c>
      <c r="H627" t="s">
        <v>74</v>
      </c>
      <c r="I627" t="s">
        <v>140</v>
      </c>
      <c r="J627" t="s">
        <v>83</v>
      </c>
      <c r="L627" s="3">
        <v>46280</v>
      </c>
      <c r="M627" s="3">
        <v>46280</v>
      </c>
      <c r="N627">
        <v>625</v>
      </c>
      <c r="Q627" t="s">
        <v>1146</v>
      </c>
      <c r="Z627" t="s">
        <v>49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 hidden="1">
      <c r="A628">
        <v>627</v>
      </c>
      <c r="B628" t="s">
        <v>1198</v>
      </c>
      <c r="C628" t="s">
        <v>45</v>
      </c>
      <c r="D628" t="s">
        <v>1199</v>
      </c>
      <c r="E628">
        <v>0</v>
      </c>
      <c r="F628" s="3">
        <v>46232</v>
      </c>
      <c r="G628" s="3">
        <v>46266</v>
      </c>
      <c r="I628" t="s">
        <v>382</v>
      </c>
      <c r="J628" t="s">
        <v>42</v>
      </c>
      <c r="N628" t="s">
        <v>1200</v>
      </c>
      <c r="Z628" t="s">
        <v>49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</row>
    <row r="629" spans="1:39" hidden="1">
      <c r="A629">
        <v>628</v>
      </c>
      <c r="B629" t="s">
        <v>1201</v>
      </c>
      <c r="C629" t="s">
        <v>45</v>
      </c>
      <c r="D629" t="s">
        <v>1199</v>
      </c>
      <c r="E629">
        <v>0</v>
      </c>
      <c r="F629" s="3">
        <v>46238</v>
      </c>
      <c r="G629" s="3">
        <v>46273</v>
      </c>
      <c r="I629" t="s">
        <v>382</v>
      </c>
      <c r="J629" t="s">
        <v>42</v>
      </c>
      <c r="N629" t="s">
        <v>1200</v>
      </c>
      <c r="Z629" t="s">
        <v>49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hidden="1">
      <c r="A630">
        <v>629</v>
      </c>
      <c r="B630" t="s">
        <v>1202</v>
      </c>
      <c r="C630" t="s">
        <v>45</v>
      </c>
      <c r="D630" t="s">
        <v>1199</v>
      </c>
      <c r="E630">
        <v>0</v>
      </c>
      <c r="F630" s="3">
        <v>46238</v>
      </c>
      <c r="G630" s="3">
        <v>46273</v>
      </c>
      <c r="H630" t="s">
        <v>74</v>
      </c>
      <c r="I630" t="s">
        <v>382</v>
      </c>
      <c r="J630" t="s">
        <v>42</v>
      </c>
      <c r="K630" s="3">
        <v>46232</v>
      </c>
      <c r="L630" s="3">
        <v>46266</v>
      </c>
      <c r="M630" s="3">
        <v>46266</v>
      </c>
      <c r="P630" t="s">
        <v>1203</v>
      </c>
      <c r="Z630" t="s">
        <v>49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 hidden="1">
      <c r="A631">
        <v>630</v>
      </c>
      <c r="B631" t="s">
        <v>1204</v>
      </c>
      <c r="C631" t="s">
        <v>1205</v>
      </c>
      <c r="D631" t="s">
        <v>1206</v>
      </c>
      <c r="E631">
        <v>0</v>
      </c>
      <c r="F631" s="3">
        <v>46238</v>
      </c>
      <c r="G631" s="3">
        <v>46273</v>
      </c>
      <c r="H631" t="s">
        <v>74</v>
      </c>
      <c r="I631" t="s">
        <v>382</v>
      </c>
      <c r="J631" t="s">
        <v>79</v>
      </c>
      <c r="K631" s="3">
        <v>46232</v>
      </c>
      <c r="L631" s="3">
        <v>46266</v>
      </c>
      <c r="M631" s="3">
        <v>46266</v>
      </c>
      <c r="O631" t="s">
        <v>555</v>
      </c>
      <c r="Q631" t="s">
        <v>1207</v>
      </c>
      <c r="R631" t="s">
        <v>1208</v>
      </c>
      <c r="U631" t="s">
        <v>211</v>
      </c>
      <c r="V631" t="s">
        <v>134</v>
      </c>
      <c r="W631" t="s">
        <v>135</v>
      </c>
      <c r="X631" t="s">
        <v>1053</v>
      </c>
      <c r="Y631">
        <v>1</v>
      </c>
      <c r="Z631" t="s">
        <v>49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 hidden="1">
      <c r="A632">
        <v>631</v>
      </c>
      <c r="B632" t="s">
        <v>1209</v>
      </c>
      <c r="C632" t="s">
        <v>1210</v>
      </c>
      <c r="D632" t="s">
        <v>139</v>
      </c>
      <c r="E632">
        <v>0</v>
      </c>
      <c r="F632" s="3">
        <v>46238</v>
      </c>
      <c r="G632" s="3">
        <v>46252</v>
      </c>
      <c r="H632" t="s">
        <v>74</v>
      </c>
      <c r="I632" t="s">
        <v>216</v>
      </c>
      <c r="J632" t="s">
        <v>79</v>
      </c>
      <c r="L632" s="3">
        <v>46245</v>
      </c>
      <c r="M632" s="3">
        <v>46245</v>
      </c>
      <c r="N632" t="s">
        <v>1150</v>
      </c>
      <c r="P632">
        <v>632</v>
      </c>
      <c r="Q632" t="s">
        <v>1207</v>
      </c>
      <c r="Z632" t="s">
        <v>49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hidden="1">
      <c r="A633">
        <v>632</v>
      </c>
      <c r="B633" t="s">
        <v>1211</v>
      </c>
      <c r="C633" t="s">
        <v>1210</v>
      </c>
      <c r="D633" t="s">
        <v>143</v>
      </c>
      <c r="E633">
        <v>0</v>
      </c>
      <c r="F633" s="3">
        <v>46252</v>
      </c>
      <c r="G633" s="3">
        <v>46259</v>
      </c>
      <c r="H633" t="s">
        <v>74</v>
      </c>
      <c r="I633" t="s">
        <v>140</v>
      </c>
      <c r="J633" t="s">
        <v>185</v>
      </c>
      <c r="L633" s="3">
        <v>46252</v>
      </c>
      <c r="M633" s="3">
        <v>46252</v>
      </c>
      <c r="N633">
        <v>631</v>
      </c>
      <c r="P633">
        <v>633</v>
      </c>
      <c r="Q633" t="s">
        <v>1207</v>
      </c>
      <c r="Z633" t="s">
        <v>49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 spans="1:39" hidden="1">
      <c r="A634">
        <v>633</v>
      </c>
      <c r="B634" t="s">
        <v>1212</v>
      </c>
      <c r="C634" t="s">
        <v>1210</v>
      </c>
      <c r="D634" t="s">
        <v>146</v>
      </c>
      <c r="E634">
        <v>0</v>
      </c>
      <c r="F634" s="3">
        <v>46259</v>
      </c>
      <c r="G634" s="3">
        <v>46266</v>
      </c>
      <c r="H634" t="s">
        <v>74</v>
      </c>
      <c r="I634" t="s">
        <v>140</v>
      </c>
      <c r="J634" t="s">
        <v>185</v>
      </c>
      <c r="L634" s="3">
        <v>46259</v>
      </c>
      <c r="M634" s="3">
        <v>46259</v>
      </c>
      <c r="N634">
        <v>632</v>
      </c>
      <c r="P634">
        <v>634</v>
      </c>
      <c r="Q634" t="s">
        <v>1207</v>
      </c>
      <c r="Z634" t="s">
        <v>49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 spans="1:39" hidden="1">
      <c r="A635">
        <v>634</v>
      </c>
      <c r="B635" t="s">
        <v>1213</v>
      </c>
      <c r="C635" t="s">
        <v>1210</v>
      </c>
      <c r="D635" t="s">
        <v>150</v>
      </c>
      <c r="E635">
        <v>0</v>
      </c>
      <c r="F635" s="3">
        <v>46266</v>
      </c>
      <c r="G635" s="3">
        <v>46273</v>
      </c>
      <c r="H635" t="s">
        <v>74</v>
      </c>
      <c r="I635" t="s">
        <v>140</v>
      </c>
      <c r="J635" t="s">
        <v>398</v>
      </c>
      <c r="L635" s="3">
        <v>46266</v>
      </c>
      <c r="M635" s="3">
        <v>46266</v>
      </c>
      <c r="N635">
        <v>633</v>
      </c>
      <c r="Q635" t="s">
        <v>1207</v>
      </c>
      <c r="Z635" t="s">
        <v>49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hidden="1">
      <c r="A636">
        <v>635</v>
      </c>
      <c r="B636" t="s">
        <v>1214</v>
      </c>
      <c r="C636" t="s">
        <v>45</v>
      </c>
      <c r="D636" t="s">
        <v>1215</v>
      </c>
      <c r="E636">
        <v>0</v>
      </c>
      <c r="F636" s="3">
        <v>46196</v>
      </c>
      <c r="G636" s="3">
        <v>46282</v>
      </c>
      <c r="I636" t="s">
        <v>1216</v>
      </c>
      <c r="J636" t="s">
        <v>42</v>
      </c>
      <c r="N636" t="s">
        <v>1217</v>
      </c>
      <c r="Z636" t="s">
        <v>49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 hidden="1">
      <c r="A637">
        <v>636</v>
      </c>
      <c r="B637" t="s">
        <v>1218</v>
      </c>
      <c r="C637" t="s">
        <v>45</v>
      </c>
      <c r="D637" t="s">
        <v>1215</v>
      </c>
      <c r="E637">
        <v>0</v>
      </c>
      <c r="F637" s="3">
        <v>46203</v>
      </c>
      <c r="G637" s="3">
        <v>46288</v>
      </c>
      <c r="I637" t="s">
        <v>1219</v>
      </c>
      <c r="J637" t="s">
        <v>42</v>
      </c>
      <c r="N637" t="s">
        <v>1217</v>
      </c>
      <c r="Z637" t="s">
        <v>49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</row>
    <row r="638" spans="1:39" hidden="1">
      <c r="A638">
        <v>637</v>
      </c>
      <c r="B638" t="s">
        <v>1220</v>
      </c>
      <c r="C638" t="s">
        <v>45</v>
      </c>
      <c r="D638" t="s">
        <v>1215</v>
      </c>
      <c r="E638">
        <v>0</v>
      </c>
      <c r="F638" s="3">
        <v>46203</v>
      </c>
      <c r="G638" s="3">
        <v>46288</v>
      </c>
      <c r="H638" t="s">
        <v>74</v>
      </c>
      <c r="I638" t="s">
        <v>1219</v>
      </c>
      <c r="J638" t="s">
        <v>42</v>
      </c>
      <c r="K638" s="3">
        <v>46196</v>
      </c>
      <c r="L638" s="3">
        <v>46282</v>
      </c>
      <c r="M638" s="3">
        <v>46282</v>
      </c>
      <c r="P638" t="s">
        <v>1221</v>
      </c>
      <c r="Z638" t="s">
        <v>49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hidden="1">
      <c r="A639">
        <v>638</v>
      </c>
      <c r="B639" t="s">
        <v>1222</v>
      </c>
      <c r="C639" t="s">
        <v>1223</v>
      </c>
      <c r="D639" t="s">
        <v>1224</v>
      </c>
      <c r="E639">
        <v>0</v>
      </c>
      <c r="F639" s="3">
        <v>46203</v>
      </c>
      <c r="G639" s="3">
        <v>46231</v>
      </c>
      <c r="H639" t="s">
        <v>74</v>
      </c>
      <c r="I639" t="s">
        <v>224</v>
      </c>
      <c r="J639" t="s">
        <v>117</v>
      </c>
      <c r="K639" s="3">
        <v>46196</v>
      </c>
      <c r="L639" s="3">
        <v>46224</v>
      </c>
      <c r="M639" s="3">
        <v>46224</v>
      </c>
      <c r="O639" t="s">
        <v>1225</v>
      </c>
      <c r="Q639" t="s">
        <v>1226</v>
      </c>
      <c r="R639" t="s">
        <v>1227</v>
      </c>
      <c r="U639" t="s">
        <v>843</v>
      </c>
      <c r="V639" t="s">
        <v>134</v>
      </c>
      <c r="W639" t="s">
        <v>135</v>
      </c>
      <c r="X639" t="s">
        <v>844</v>
      </c>
      <c r="Y639">
        <v>10</v>
      </c>
      <c r="Z639" t="s">
        <v>49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 hidden="1">
      <c r="A640">
        <v>639</v>
      </c>
      <c r="B640" t="s">
        <v>1228</v>
      </c>
      <c r="C640" t="s">
        <v>1229</v>
      </c>
      <c r="D640" t="s">
        <v>139</v>
      </c>
      <c r="E640">
        <v>0</v>
      </c>
      <c r="F640" s="3">
        <v>46203</v>
      </c>
      <c r="G640" s="3">
        <v>46217</v>
      </c>
      <c r="H640" t="s">
        <v>74</v>
      </c>
      <c r="I640" t="s">
        <v>216</v>
      </c>
      <c r="J640" t="s">
        <v>117</v>
      </c>
      <c r="L640" s="3">
        <v>46210</v>
      </c>
      <c r="M640" s="3">
        <v>46210</v>
      </c>
      <c r="N640">
        <v>21</v>
      </c>
      <c r="P640">
        <v>640</v>
      </c>
      <c r="Q640" t="s">
        <v>1226</v>
      </c>
      <c r="Z640" t="s">
        <v>49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 hidden="1">
      <c r="A641">
        <v>640</v>
      </c>
      <c r="B641" t="s">
        <v>1230</v>
      </c>
      <c r="C641" t="s">
        <v>1229</v>
      </c>
      <c r="D641" t="s">
        <v>143</v>
      </c>
      <c r="E641">
        <v>0</v>
      </c>
      <c r="F641" s="3">
        <v>46217</v>
      </c>
      <c r="G641" s="3">
        <v>46224</v>
      </c>
      <c r="H641" t="s">
        <v>74</v>
      </c>
      <c r="I641" t="s">
        <v>140</v>
      </c>
      <c r="J641" t="s">
        <v>75</v>
      </c>
      <c r="L641" s="3">
        <v>46217</v>
      </c>
      <c r="M641" s="3">
        <v>46217</v>
      </c>
      <c r="N641">
        <v>639</v>
      </c>
      <c r="P641">
        <v>641</v>
      </c>
      <c r="Q641" t="s">
        <v>1226</v>
      </c>
      <c r="Z641" t="s">
        <v>49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hidden="1">
      <c r="A642">
        <v>641</v>
      </c>
      <c r="B642" t="s">
        <v>1231</v>
      </c>
      <c r="C642" t="s">
        <v>1229</v>
      </c>
      <c r="D642" t="s">
        <v>146</v>
      </c>
      <c r="E642">
        <v>0</v>
      </c>
      <c r="F642" s="3">
        <v>46224</v>
      </c>
      <c r="G642" s="3">
        <v>46227</v>
      </c>
      <c r="H642" t="s">
        <v>74</v>
      </c>
      <c r="I642" t="s">
        <v>147</v>
      </c>
      <c r="J642" t="s">
        <v>219</v>
      </c>
      <c r="L642" s="3">
        <v>46220</v>
      </c>
      <c r="M642" s="3">
        <v>46220</v>
      </c>
      <c r="N642">
        <v>640</v>
      </c>
      <c r="P642">
        <v>642</v>
      </c>
      <c r="Q642" t="s">
        <v>1226</v>
      </c>
      <c r="Z642" t="s">
        <v>49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 hidden="1">
      <c r="A643">
        <v>642</v>
      </c>
      <c r="B643" t="s">
        <v>1232</v>
      </c>
      <c r="C643" t="s">
        <v>1229</v>
      </c>
      <c r="D643" t="s">
        <v>150</v>
      </c>
      <c r="E643">
        <v>0</v>
      </c>
      <c r="F643" s="3">
        <v>46227</v>
      </c>
      <c r="G643" s="3">
        <v>46231</v>
      </c>
      <c r="H643" t="s">
        <v>74</v>
      </c>
      <c r="I643" t="s">
        <v>151</v>
      </c>
      <c r="J643" t="s">
        <v>179</v>
      </c>
      <c r="L643" s="3">
        <v>46224</v>
      </c>
      <c r="M643" s="3">
        <v>46224</v>
      </c>
      <c r="N643">
        <v>641</v>
      </c>
      <c r="Q643" t="s">
        <v>1226</v>
      </c>
      <c r="Z643" t="s">
        <v>49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 hidden="1">
      <c r="A644">
        <v>643</v>
      </c>
      <c r="B644" t="s">
        <v>1233</v>
      </c>
      <c r="C644" t="s">
        <v>1223</v>
      </c>
      <c r="D644" t="s">
        <v>1234</v>
      </c>
      <c r="E644">
        <v>0</v>
      </c>
      <c r="F644" s="3">
        <v>46233</v>
      </c>
      <c r="G644" s="3">
        <v>46261</v>
      </c>
      <c r="H644" t="s">
        <v>74</v>
      </c>
      <c r="I644" t="s">
        <v>224</v>
      </c>
      <c r="J644" t="s">
        <v>181</v>
      </c>
      <c r="K644" s="3">
        <v>46226</v>
      </c>
      <c r="L644" s="3">
        <v>46254</v>
      </c>
      <c r="M644" s="3">
        <v>46254</v>
      </c>
      <c r="O644" t="s">
        <v>1225</v>
      </c>
      <c r="Q644" t="s">
        <v>1226</v>
      </c>
      <c r="R644" t="s">
        <v>1235</v>
      </c>
      <c r="U644" t="s">
        <v>211</v>
      </c>
      <c r="V644" t="s">
        <v>134</v>
      </c>
      <c r="W644" t="s">
        <v>135</v>
      </c>
      <c r="X644" t="s">
        <v>213</v>
      </c>
      <c r="Y644">
        <v>1</v>
      </c>
      <c r="Z644" t="s">
        <v>49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hidden="1">
      <c r="A645">
        <v>644</v>
      </c>
      <c r="B645" t="s">
        <v>1236</v>
      </c>
      <c r="C645" t="s">
        <v>1237</v>
      </c>
      <c r="D645" t="s">
        <v>139</v>
      </c>
      <c r="E645">
        <v>0</v>
      </c>
      <c r="F645" s="3">
        <v>46233</v>
      </c>
      <c r="G645" s="3">
        <v>46247</v>
      </c>
      <c r="H645" t="s">
        <v>74</v>
      </c>
      <c r="I645" t="s">
        <v>216</v>
      </c>
      <c r="J645" t="s">
        <v>181</v>
      </c>
      <c r="L645" s="3">
        <v>46240</v>
      </c>
      <c r="M645" s="3">
        <v>46240</v>
      </c>
      <c r="N645" t="s">
        <v>1238</v>
      </c>
      <c r="P645">
        <v>645</v>
      </c>
      <c r="Q645" t="s">
        <v>1226</v>
      </c>
      <c r="Z645" t="s">
        <v>49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 hidden="1">
      <c r="A646">
        <v>645</v>
      </c>
      <c r="B646" t="s">
        <v>1239</v>
      </c>
      <c r="C646" t="s">
        <v>1237</v>
      </c>
      <c r="D646" t="s">
        <v>143</v>
      </c>
      <c r="E646">
        <v>0</v>
      </c>
      <c r="F646" s="3">
        <v>46247</v>
      </c>
      <c r="G646" s="3">
        <v>46254</v>
      </c>
      <c r="H646" t="s">
        <v>74</v>
      </c>
      <c r="I646" t="s">
        <v>140</v>
      </c>
      <c r="J646" t="s">
        <v>353</v>
      </c>
      <c r="L646" s="3">
        <v>46247</v>
      </c>
      <c r="M646" s="3">
        <v>46247</v>
      </c>
      <c r="N646">
        <v>644</v>
      </c>
      <c r="P646" t="s">
        <v>1240</v>
      </c>
      <c r="Q646" t="s">
        <v>1226</v>
      </c>
      <c r="Z646" t="s">
        <v>49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 hidden="1">
      <c r="A647">
        <v>646</v>
      </c>
      <c r="B647" t="s">
        <v>1241</v>
      </c>
      <c r="C647" t="s">
        <v>1237</v>
      </c>
      <c r="D647" t="s">
        <v>146</v>
      </c>
      <c r="E647">
        <v>0</v>
      </c>
      <c r="F647" s="3">
        <v>46254</v>
      </c>
      <c r="G647" s="3">
        <v>46259</v>
      </c>
      <c r="H647" t="s">
        <v>74</v>
      </c>
      <c r="I647" t="s">
        <v>147</v>
      </c>
      <c r="J647" t="s">
        <v>185</v>
      </c>
      <c r="L647" s="3">
        <v>46252</v>
      </c>
      <c r="M647" s="3">
        <v>46252</v>
      </c>
      <c r="N647">
        <v>645</v>
      </c>
      <c r="P647">
        <v>647</v>
      </c>
      <c r="Q647" t="s">
        <v>1226</v>
      </c>
      <c r="Z647" t="s">
        <v>49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hidden="1">
      <c r="A648">
        <v>647</v>
      </c>
      <c r="B648" t="s">
        <v>1242</v>
      </c>
      <c r="C648" t="s">
        <v>1237</v>
      </c>
      <c r="D648" t="s">
        <v>150</v>
      </c>
      <c r="E648">
        <v>0</v>
      </c>
      <c r="F648" s="3">
        <v>46259</v>
      </c>
      <c r="G648" s="3">
        <v>46261</v>
      </c>
      <c r="H648" t="s">
        <v>74</v>
      </c>
      <c r="I648" t="s">
        <v>151</v>
      </c>
      <c r="J648" t="s">
        <v>185</v>
      </c>
      <c r="L648" s="3">
        <v>46254</v>
      </c>
      <c r="M648" s="3">
        <v>46254</v>
      </c>
      <c r="N648">
        <v>646</v>
      </c>
      <c r="Q648" t="s">
        <v>1226</v>
      </c>
      <c r="Z648" t="s">
        <v>49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 hidden="1">
      <c r="A649">
        <v>648</v>
      </c>
      <c r="B649" t="s">
        <v>1243</v>
      </c>
      <c r="C649" t="s">
        <v>1223</v>
      </c>
      <c r="D649" t="s">
        <v>1244</v>
      </c>
      <c r="E649">
        <v>0</v>
      </c>
      <c r="F649" s="3">
        <v>46233</v>
      </c>
      <c r="G649" s="3">
        <v>46261</v>
      </c>
      <c r="H649" t="s">
        <v>74</v>
      </c>
      <c r="I649" t="s">
        <v>224</v>
      </c>
      <c r="J649" t="s">
        <v>181</v>
      </c>
      <c r="K649" s="3">
        <v>46226</v>
      </c>
      <c r="L649" s="3">
        <v>46254</v>
      </c>
      <c r="M649" s="3">
        <v>46254</v>
      </c>
      <c r="O649" t="s">
        <v>1225</v>
      </c>
      <c r="Q649" t="s">
        <v>1226</v>
      </c>
      <c r="R649" t="s">
        <v>1245</v>
      </c>
      <c r="U649" t="s">
        <v>211</v>
      </c>
      <c r="V649" t="s">
        <v>134</v>
      </c>
      <c r="W649" t="s">
        <v>135</v>
      </c>
      <c r="X649" t="s">
        <v>1246</v>
      </c>
      <c r="Y649">
        <v>1</v>
      </c>
      <c r="Z649" t="s">
        <v>49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 spans="1:39" hidden="1">
      <c r="A650">
        <v>649</v>
      </c>
      <c r="B650" t="s">
        <v>1247</v>
      </c>
      <c r="C650" t="s">
        <v>1248</v>
      </c>
      <c r="D650" t="s">
        <v>139</v>
      </c>
      <c r="E650">
        <v>0</v>
      </c>
      <c r="F650" s="3">
        <v>46233</v>
      </c>
      <c r="G650" s="3">
        <v>46247</v>
      </c>
      <c r="H650" t="s">
        <v>74</v>
      </c>
      <c r="I650" t="s">
        <v>216</v>
      </c>
      <c r="J650" t="s">
        <v>181</v>
      </c>
      <c r="L650" s="3">
        <v>46240</v>
      </c>
      <c r="M650" s="3">
        <v>46240</v>
      </c>
      <c r="N650" t="s">
        <v>1249</v>
      </c>
      <c r="P650">
        <v>650</v>
      </c>
      <c r="Q650" t="s">
        <v>1226</v>
      </c>
      <c r="Z650" t="s">
        <v>49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 hidden="1">
      <c r="A651">
        <v>650</v>
      </c>
      <c r="B651" t="s">
        <v>1250</v>
      </c>
      <c r="C651" t="s">
        <v>1248</v>
      </c>
      <c r="D651" t="s">
        <v>143</v>
      </c>
      <c r="E651">
        <v>0</v>
      </c>
      <c r="F651" s="3">
        <v>46247</v>
      </c>
      <c r="G651" s="3">
        <v>46254</v>
      </c>
      <c r="H651" t="s">
        <v>74</v>
      </c>
      <c r="I651" t="s">
        <v>140</v>
      </c>
      <c r="J651" t="s">
        <v>353</v>
      </c>
      <c r="L651" s="3">
        <v>46247</v>
      </c>
      <c r="M651" s="3">
        <v>46247</v>
      </c>
      <c r="N651">
        <v>649</v>
      </c>
      <c r="P651">
        <v>651</v>
      </c>
      <c r="Q651" t="s">
        <v>1226</v>
      </c>
      <c r="Z651" t="s">
        <v>49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 hidden="1">
      <c r="A652">
        <v>651</v>
      </c>
      <c r="B652" t="s">
        <v>1251</v>
      </c>
      <c r="C652" t="s">
        <v>1248</v>
      </c>
      <c r="D652" t="s">
        <v>146</v>
      </c>
      <c r="E652">
        <v>0</v>
      </c>
      <c r="F652" s="3">
        <v>46254</v>
      </c>
      <c r="G652" s="3">
        <v>46259</v>
      </c>
      <c r="H652" t="s">
        <v>74</v>
      </c>
      <c r="I652" t="s">
        <v>147</v>
      </c>
      <c r="J652" t="s">
        <v>185</v>
      </c>
      <c r="L652" s="3">
        <v>46252</v>
      </c>
      <c r="M652" s="3">
        <v>46252</v>
      </c>
      <c r="N652">
        <v>650</v>
      </c>
      <c r="P652">
        <v>652</v>
      </c>
      <c r="Q652" t="s">
        <v>1226</v>
      </c>
      <c r="Z652" t="s">
        <v>49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 hidden="1">
      <c r="A653">
        <v>652</v>
      </c>
      <c r="B653" t="s">
        <v>1252</v>
      </c>
      <c r="C653" t="s">
        <v>1248</v>
      </c>
      <c r="D653" t="s">
        <v>150</v>
      </c>
      <c r="E653">
        <v>0</v>
      </c>
      <c r="F653" s="3">
        <v>46259</v>
      </c>
      <c r="G653" s="3">
        <v>46261</v>
      </c>
      <c r="H653" t="s">
        <v>74</v>
      </c>
      <c r="I653" t="s">
        <v>151</v>
      </c>
      <c r="J653" t="s">
        <v>185</v>
      </c>
      <c r="L653" s="3">
        <v>46254</v>
      </c>
      <c r="M653" s="3">
        <v>46254</v>
      </c>
      <c r="N653">
        <v>651</v>
      </c>
      <c r="Q653" t="s">
        <v>1226</v>
      </c>
      <c r="Z653" t="s">
        <v>49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 hidden="1">
      <c r="A654">
        <v>653</v>
      </c>
      <c r="B654" t="s">
        <v>1253</v>
      </c>
      <c r="C654" t="s">
        <v>1223</v>
      </c>
      <c r="D654" t="s">
        <v>1254</v>
      </c>
      <c r="E654">
        <v>0</v>
      </c>
      <c r="F654" s="3">
        <v>46233</v>
      </c>
      <c r="G654" s="3">
        <v>46265</v>
      </c>
      <c r="H654" t="s">
        <v>74</v>
      </c>
      <c r="I654" t="s">
        <v>1255</v>
      </c>
      <c r="J654" t="s">
        <v>181</v>
      </c>
      <c r="K654" s="3">
        <v>46226</v>
      </c>
      <c r="L654" s="3">
        <v>46258</v>
      </c>
      <c r="M654" s="3">
        <v>46258</v>
      </c>
      <c r="O654" t="s">
        <v>1225</v>
      </c>
      <c r="Q654" t="s">
        <v>1226</v>
      </c>
      <c r="R654" t="s">
        <v>1256</v>
      </c>
      <c r="U654" t="s">
        <v>211</v>
      </c>
      <c r="V654" t="s">
        <v>134</v>
      </c>
      <c r="W654" t="s">
        <v>135</v>
      </c>
      <c r="X654" t="s">
        <v>213</v>
      </c>
      <c r="Y654">
        <v>1</v>
      </c>
      <c r="Z654" t="s">
        <v>49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 hidden="1">
      <c r="A655">
        <v>654</v>
      </c>
      <c r="B655" t="s">
        <v>1257</v>
      </c>
      <c r="C655" t="s">
        <v>1258</v>
      </c>
      <c r="D655" t="s">
        <v>139</v>
      </c>
      <c r="E655">
        <v>0</v>
      </c>
      <c r="F655" s="3">
        <v>46233</v>
      </c>
      <c r="G655" s="3">
        <v>46247</v>
      </c>
      <c r="H655" t="s">
        <v>74</v>
      </c>
      <c r="I655" t="s">
        <v>216</v>
      </c>
      <c r="J655" t="s">
        <v>181</v>
      </c>
      <c r="L655" s="3">
        <v>46240</v>
      </c>
      <c r="M655" s="3">
        <v>46240</v>
      </c>
      <c r="N655" t="s">
        <v>1249</v>
      </c>
      <c r="P655">
        <v>655</v>
      </c>
      <c r="Q655" t="s">
        <v>1226</v>
      </c>
      <c r="Z655" t="s">
        <v>49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 hidden="1">
      <c r="A656">
        <v>655</v>
      </c>
      <c r="B656" t="s">
        <v>1259</v>
      </c>
      <c r="C656" t="s">
        <v>1258</v>
      </c>
      <c r="D656" t="s">
        <v>143</v>
      </c>
      <c r="E656">
        <v>0</v>
      </c>
      <c r="F656" s="3">
        <v>46247</v>
      </c>
      <c r="G656" s="3">
        <v>46254</v>
      </c>
      <c r="H656" t="s">
        <v>74</v>
      </c>
      <c r="I656" t="s">
        <v>140</v>
      </c>
      <c r="J656" t="s">
        <v>353</v>
      </c>
      <c r="L656" s="3">
        <v>46247</v>
      </c>
      <c r="M656" s="3">
        <v>46247</v>
      </c>
      <c r="N656">
        <v>654</v>
      </c>
      <c r="P656">
        <v>656</v>
      </c>
      <c r="Q656" t="s">
        <v>1226</v>
      </c>
      <c r="Z656" t="s">
        <v>49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hidden="1">
      <c r="A657">
        <v>656</v>
      </c>
      <c r="B657" t="s">
        <v>1260</v>
      </c>
      <c r="C657" t="s">
        <v>1258</v>
      </c>
      <c r="D657" t="s">
        <v>146</v>
      </c>
      <c r="E657">
        <v>0</v>
      </c>
      <c r="F657" s="3">
        <v>46254</v>
      </c>
      <c r="G657" s="3">
        <v>46261</v>
      </c>
      <c r="H657" t="s">
        <v>74</v>
      </c>
      <c r="I657" t="s">
        <v>140</v>
      </c>
      <c r="J657" t="s">
        <v>185</v>
      </c>
      <c r="L657" s="3">
        <v>46254</v>
      </c>
      <c r="M657" s="3">
        <v>46254</v>
      </c>
      <c r="N657">
        <v>655</v>
      </c>
      <c r="P657">
        <v>657</v>
      </c>
      <c r="Q657" t="s">
        <v>1226</v>
      </c>
      <c r="Z657" t="s">
        <v>49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 hidden="1">
      <c r="A658">
        <v>657</v>
      </c>
      <c r="B658" t="s">
        <v>1261</v>
      </c>
      <c r="C658" t="s">
        <v>1258</v>
      </c>
      <c r="D658" t="s">
        <v>150</v>
      </c>
      <c r="E658">
        <v>0</v>
      </c>
      <c r="F658" s="3">
        <v>46261</v>
      </c>
      <c r="G658" s="3">
        <v>46265</v>
      </c>
      <c r="H658" t="s">
        <v>74</v>
      </c>
      <c r="I658" t="s">
        <v>151</v>
      </c>
      <c r="J658" t="s">
        <v>185</v>
      </c>
      <c r="L658" s="3">
        <v>46258</v>
      </c>
      <c r="M658" s="3">
        <v>46258</v>
      </c>
      <c r="N658">
        <v>656</v>
      </c>
      <c r="Q658" t="s">
        <v>1226</v>
      </c>
      <c r="Z658" t="s">
        <v>49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 hidden="1">
      <c r="A659">
        <v>658</v>
      </c>
      <c r="B659" t="s">
        <v>1262</v>
      </c>
      <c r="C659" t="s">
        <v>1223</v>
      </c>
      <c r="D659" t="s">
        <v>1263</v>
      </c>
      <c r="E659">
        <v>0</v>
      </c>
      <c r="F659" s="3">
        <v>46233</v>
      </c>
      <c r="G659" s="3">
        <v>46261</v>
      </c>
      <c r="H659" t="s">
        <v>74</v>
      </c>
      <c r="I659" t="s">
        <v>224</v>
      </c>
      <c r="J659" t="s">
        <v>181</v>
      </c>
      <c r="K659" s="3">
        <v>46226</v>
      </c>
      <c r="L659" s="3">
        <v>46254</v>
      </c>
      <c r="M659" s="3">
        <v>46254</v>
      </c>
      <c r="O659" t="s">
        <v>1264</v>
      </c>
      <c r="Q659" t="s">
        <v>1226</v>
      </c>
      <c r="R659" t="s">
        <v>1265</v>
      </c>
      <c r="U659" t="s">
        <v>211</v>
      </c>
      <c r="V659" t="s">
        <v>134</v>
      </c>
      <c r="W659" t="s">
        <v>135</v>
      </c>
      <c r="X659" t="s">
        <v>213</v>
      </c>
      <c r="Y659">
        <v>1</v>
      </c>
      <c r="Z659" t="s">
        <v>49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 spans="1:39" hidden="1">
      <c r="A660">
        <v>659</v>
      </c>
      <c r="B660" t="s">
        <v>1266</v>
      </c>
      <c r="C660" t="s">
        <v>1267</v>
      </c>
      <c r="D660" t="s">
        <v>139</v>
      </c>
      <c r="E660">
        <v>0</v>
      </c>
      <c r="F660" s="3">
        <v>46233</v>
      </c>
      <c r="G660" s="3">
        <v>46247</v>
      </c>
      <c r="H660" t="s">
        <v>74</v>
      </c>
      <c r="I660" t="s">
        <v>216</v>
      </c>
      <c r="J660" t="s">
        <v>181</v>
      </c>
      <c r="L660" s="3">
        <v>46240</v>
      </c>
      <c r="M660" s="3">
        <v>46240</v>
      </c>
      <c r="N660" t="s">
        <v>1249</v>
      </c>
      <c r="P660">
        <v>660</v>
      </c>
      <c r="Q660" t="s">
        <v>1226</v>
      </c>
      <c r="Z660" t="s">
        <v>49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 hidden="1">
      <c r="A661">
        <v>660</v>
      </c>
      <c r="B661" t="s">
        <v>1268</v>
      </c>
      <c r="C661" t="s">
        <v>1267</v>
      </c>
      <c r="D661" t="s">
        <v>143</v>
      </c>
      <c r="E661">
        <v>0</v>
      </c>
      <c r="F661" s="3">
        <v>46247</v>
      </c>
      <c r="G661" s="3">
        <v>46254</v>
      </c>
      <c r="H661" t="s">
        <v>74</v>
      </c>
      <c r="I661" t="s">
        <v>140</v>
      </c>
      <c r="J661" t="s">
        <v>353</v>
      </c>
      <c r="L661" s="3">
        <v>46247</v>
      </c>
      <c r="M661" s="3">
        <v>46247</v>
      </c>
      <c r="N661">
        <v>659</v>
      </c>
      <c r="P661">
        <v>661</v>
      </c>
      <c r="Q661" t="s">
        <v>1226</v>
      </c>
      <c r="Z661" t="s">
        <v>49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 hidden="1">
      <c r="A662">
        <v>661</v>
      </c>
      <c r="B662" t="s">
        <v>1269</v>
      </c>
      <c r="C662" t="s">
        <v>1267</v>
      </c>
      <c r="D662" t="s">
        <v>146</v>
      </c>
      <c r="E662">
        <v>0</v>
      </c>
      <c r="F662" s="3">
        <v>46254</v>
      </c>
      <c r="G662" s="3">
        <v>46259</v>
      </c>
      <c r="H662" t="s">
        <v>74</v>
      </c>
      <c r="I662" t="s">
        <v>147</v>
      </c>
      <c r="J662" t="s">
        <v>185</v>
      </c>
      <c r="L662" s="3">
        <v>46252</v>
      </c>
      <c r="M662" s="3">
        <v>46252</v>
      </c>
      <c r="N662">
        <v>660</v>
      </c>
      <c r="P662">
        <v>662</v>
      </c>
      <c r="Q662" t="s">
        <v>1226</v>
      </c>
      <c r="Z662" t="s">
        <v>49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hidden="1">
      <c r="A663">
        <v>662</v>
      </c>
      <c r="B663" t="s">
        <v>1270</v>
      </c>
      <c r="C663" t="s">
        <v>1267</v>
      </c>
      <c r="D663" t="s">
        <v>150</v>
      </c>
      <c r="E663">
        <v>0</v>
      </c>
      <c r="F663" s="3">
        <v>46259</v>
      </c>
      <c r="G663" s="3">
        <v>46261</v>
      </c>
      <c r="H663" t="s">
        <v>74</v>
      </c>
      <c r="I663" t="s">
        <v>151</v>
      </c>
      <c r="J663" t="s">
        <v>185</v>
      </c>
      <c r="L663" s="3">
        <v>46254</v>
      </c>
      <c r="M663" s="3">
        <v>46254</v>
      </c>
      <c r="N663">
        <v>661</v>
      </c>
      <c r="Q663" t="s">
        <v>1226</v>
      </c>
      <c r="Z663" t="s">
        <v>49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 hidden="1">
      <c r="A664">
        <v>663</v>
      </c>
      <c r="B664" t="s">
        <v>1271</v>
      </c>
      <c r="C664" t="s">
        <v>1223</v>
      </c>
      <c r="D664" t="s">
        <v>1272</v>
      </c>
      <c r="E664">
        <v>0</v>
      </c>
      <c r="F664" s="3">
        <v>46233</v>
      </c>
      <c r="G664" s="3">
        <v>46261</v>
      </c>
      <c r="H664" t="s">
        <v>74</v>
      </c>
      <c r="I664" t="s">
        <v>224</v>
      </c>
      <c r="J664" t="s">
        <v>181</v>
      </c>
      <c r="K664" s="3">
        <v>46226</v>
      </c>
      <c r="L664" s="3">
        <v>46254</v>
      </c>
      <c r="M664" s="3">
        <v>46254</v>
      </c>
      <c r="O664" t="s">
        <v>1264</v>
      </c>
      <c r="Q664" t="s">
        <v>1226</v>
      </c>
      <c r="R664" t="s">
        <v>1273</v>
      </c>
      <c r="U664" t="s">
        <v>211</v>
      </c>
      <c r="V664" t="s">
        <v>134</v>
      </c>
      <c r="W664" t="s">
        <v>135</v>
      </c>
      <c r="X664" t="s">
        <v>213</v>
      </c>
      <c r="Y664">
        <v>1</v>
      </c>
      <c r="Z664" t="s">
        <v>49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 hidden="1">
      <c r="A665">
        <v>664</v>
      </c>
      <c r="B665" t="s">
        <v>1274</v>
      </c>
      <c r="C665" t="s">
        <v>1275</v>
      </c>
      <c r="D665" t="s">
        <v>139</v>
      </c>
      <c r="E665">
        <v>0</v>
      </c>
      <c r="F665" s="3">
        <v>46233</v>
      </c>
      <c r="G665" s="3">
        <v>46247</v>
      </c>
      <c r="H665" t="s">
        <v>74</v>
      </c>
      <c r="I665" t="s">
        <v>216</v>
      </c>
      <c r="J665" t="s">
        <v>181</v>
      </c>
      <c r="L665" s="3">
        <v>46240</v>
      </c>
      <c r="M665" s="3">
        <v>46240</v>
      </c>
      <c r="N665" t="s">
        <v>1249</v>
      </c>
      <c r="P665" t="s">
        <v>1276</v>
      </c>
      <c r="Q665" t="s">
        <v>1226</v>
      </c>
      <c r="Z665" t="s">
        <v>49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 hidden="1">
      <c r="A666">
        <v>665</v>
      </c>
      <c r="B666" t="s">
        <v>1277</v>
      </c>
      <c r="C666" t="s">
        <v>1275</v>
      </c>
      <c r="D666" t="s">
        <v>143</v>
      </c>
      <c r="E666">
        <v>0</v>
      </c>
      <c r="F666" s="3">
        <v>46247</v>
      </c>
      <c r="G666" s="3">
        <v>46254</v>
      </c>
      <c r="H666" t="s">
        <v>74</v>
      </c>
      <c r="I666" t="s">
        <v>140</v>
      </c>
      <c r="J666" t="s">
        <v>353</v>
      </c>
      <c r="L666" s="3">
        <v>46247</v>
      </c>
      <c r="M666" s="3">
        <v>46247</v>
      </c>
      <c r="N666">
        <v>664</v>
      </c>
      <c r="P666">
        <v>666</v>
      </c>
      <c r="Q666" t="s">
        <v>1226</v>
      </c>
      <c r="Z666" t="s">
        <v>49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 hidden="1">
      <c r="A667">
        <v>666</v>
      </c>
      <c r="B667" t="s">
        <v>1278</v>
      </c>
      <c r="C667" t="s">
        <v>1275</v>
      </c>
      <c r="D667" t="s">
        <v>146</v>
      </c>
      <c r="E667">
        <v>0</v>
      </c>
      <c r="F667" s="3">
        <v>46254</v>
      </c>
      <c r="G667" s="3">
        <v>46259</v>
      </c>
      <c r="H667" t="s">
        <v>74</v>
      </c>
      <c r="I667" t="s">
        <v>147</v>
      </c>
      <c r="J667" t="s">
        <v>185</v>
      </c>
      <c r="L667" s="3">
        <v>46252</v>
      </c>
      <c r="M667" s="3">
        <v>46252</v>
      </c>
      <c r="N667">
        <v>665</v>
      </c>
      <c r="P667">
        <v>667</v>
      </c>
      <c r="Q667" t="s">
        <v>1226</v>
      </c>
      <c r="Z667" t="s">
        <v>49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 hidden="1">
      <c r="A668">
        <v>667</v>
      </c>
      <c r="B668" t="s">
        <v>1279</v>
      </c>
      <c r="C668" t="s">
        <v>1275</v>
      </c>
      <c r="D668" t="s">
        <v>150</v>
      </c>
      <c r="E668">
        <v>0</v>
      </c>
      <c r="F668" s="3">
        <v>46259</v>
      </c>
      <c r="G668" s="3">
        <v>46261</v>
      </c>
      <c r="H668" t="s">
        <v>74</v>
      </c>
      <c r="I668" t="s">
        <v>151</v>
      </c>
      <c r="J668" t="s">
        <v>185</v>
      </c>
      <c r="L668" s="3">
        <v>46254</v>
      </c>
      <c r="M668" s="3">
        <v>46254</v>
      </c>
      <c r="N668">
        <v>666</v>
      </c>
      <c r="Q668" t="s">
        <v>1226</v>
      </c>
      <c r="Z668" t="s">
        <v>49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 hidden="1">
      <c r="A669">
        <v>668</v>
      </c>
      <c r="B669" t="s">
        <v>1280</v>
      </c>
      <c r="C669" t="s">
        <v>1223</v>
      </c>
      <c r="D669" t="s">
        <v>1281</v>
      </c>
      <c r="E669">
        <v>0</v>
      </c>
      <c r="F669" s="3">
        <v>46233</v>
      </c>
      <c r="G669" s="3">
        <v>46255</v>
      </c>
      <c r="H669" t="s">
        <v>74</v>
      </c>
      <c r="I669" t="s">
        <v>233</v>
      </c>
      <c r="J669" t="s">
        <v>181</v>
      </c>
      <c r="K669" s="3">
        <v>46226</v>
      </c>
      <c r="L669" s="3">
        <v>46248</v>
      </c>
      <c r="M669" s="3">
        <v>46248</v>
      </c>
      <c r="O669" t="s">
        <v>1225</v>
      </c>
      <c r="Q669" t="s">
        <v>1226</v>
      </c>
      <c r="R669" t="s">
        <v>1282</v>
      </c>
      <c r="U669" t="s">
        <v>211</v>
      </c>
      <c r="V669" t="s">
        <v>134</v>
      </c>
      <c r="W669" t="s">
        <v>135</v>
      </c>
      <c r="X669" t="s">
        <v>213</v>
      </c>
      <c r="Y669">
        <v>1</v>
      </c>
      <c r="Z669" t="s">
        <v>49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39" hidden="1">
      <c r="A670">
        <v>669</v>
      </c>
      <c r="B670" t="s">
        <v>1283</v>
      </c>
      <c r="C670" t="s">
        <v>1284</v>
      </c>
      <c r="D670" t="s">
        <v>139</v>
      </c>
      <c r="E670">
        <v>0</v>
      </c>
      <c r="F670" s="3">
        <v>46233</v>
      </c>
      <c r="G670" s="3">
        <v>46247</v>
      </c>
      <c r="H670" t="s">
        <v>74</v>
      </c>
      <c r="I670" t="s">
        <v>216</v>
      </c>
      <c r="J670" t="s">
        <v>181</v>
      </c>
      <c r="L670" s="3">
        <v>46240</v>
      </c>
      <c r="M670" s="3">
        <v>46240</v>
      </c>
      <c r="N670" t="s">
        <v>1249</v>
      </c>
      <c r="P670">
        <v>670</v>
      </c>
      <c r="Q670" t="s">
        <v>1226</v>
      </c>
      <c r="Z670" t="s">
        <v>49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 hidden="1">
      <c r="A671">
        <v>670</v>
      </c>
      <c r="B671" t="s">
        <v>1285</v>
      </c>
      <c r="C671" t="s">
        <v>1284</v>
      </c>
      <c r="D671" t="s">
        <v>143</v>
      </c>
      <c r="E671">
        <v>0</v>
      </c>
      <c r="F671" s="3">
        <v>46247</v>
      </c>
      <c r="G671" s="3">
        <v>46248</v>
      </c>
      <c r="H671" t="s">
        <v>74</v>
      </c>
      <c r="I671" t="s">
        <v>64</v>
      </c>
      <c r="J671" t="s">
        <v>353</v>
      </c>
      <c r="L671" s="3">
        <v>46241</v>
      </c>
      <c r="M671" s="3">
        <v>46241</v>
      </c>
      <c r="N671">
        <v>669</v>
      </c>
      <c r="P671">
        <v>671</v>
      </c>
      <c r="Q671" t="s">
        <v>1226</v>
      </c>
      <c r="Z671" t="s">
        <v>49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 hidden="1">
      <c r="A672">
        <v>671</v>
      </c>
      <c r="B672" t="s">
        <v>1286</v>
      </c>
      <c r="C672" t="s">
        <v>1284</v>
      </c>
      <c r="D672" t="s">
        <v>146</v>
      </c>
      <c r="E672">
        <v>0</v>
      </c>
      <c r="F672" s="3">
        <v>46248</v>
      </c>
      <c r="G672" s="3">
        <v>46253</v>
      </c>
      <c r="H672" t="s">
        <v>74</v>
      </c>
      <c r="I672" t="s">
        <v>147</v>
      </c>
      <c r="J672" t="s">
        <v>353</v>
      </c>
      <c r="L672" s="3">
        <v>46246</v>
      </c>
      <c r="M672" s="3">
        <v>46246</v>
      </c>
      <c r="N672">
        <v>670</v>
      </c>
      <c r="P672">
        <v>672</v>
      </c>
      <c r="Q672" t="s">
        <v>1226</v>
      </c>
      <c r="Z672" t="s">
        <v>49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 hidden="1">
      <c r="A673">
        <v>672</v>
      </c>
      <c r="B673" t="s">
        <v>1287</v>
      </c>
      <c r="C673" t="s">
        <v>1284</v>
      </c>
      <c r="D673" t="s">
        <v>150</v>
      </c>
      <c r="E673">
        <v>0</v>
      </c>
      <c r="F673" s="3">
        <v>46253</v>
      </c>
      <c r="G673" s="3">
        <v>46255</v>
      </c>
      <c r="H673" t="s">
        <v>74</v>
      </c>
      <c r="I673" t="s">
        <v>151</v>
      </c>
      <c r="J673" t="s">
        <v>185</v>
      </c>
      <c r="L673" s="3">
        <v>46248</v>
      </c>
      <c r="M673" s="3">
        <v>46248</v>
      </c>
      <c r="N673">
        <v>671</v>
      </c>
      <c r="Q673" t="s">
        <v>1226</v>
      </c>
      <c r="Z673" t="s">
        <v>49</v>
      </c>
      <c r="AB673">
        <v>0</v>
      </c>
      <c r="AC673">
        <v>0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 hidden="1">
      <c r="A674">
        <v>673</v>
      </c>
      <c r="B674" t="s">
        <v>1288</v>
      </c>
      <c r="C674" t="s">
        <v>1223</v>
      </c>
      <c r="D674" t="s">
        <v>1289</v>
      </c>
      <c r="E674">
        <v>0</v>
      </c>
      <c r="F674" s="3">
        <v>46233</v>
      </c>
      <c r="G674" s="3">
        <v>46261</v>
      </c>
      <c r="H674" t="s">
        <v>74</v>
      </c>
      <c r="I674" t="s">
        <v>224</v>
      </c>
      <c r="J674" t="s">
        <v>181</v>
      </c>
      <c r="K674" s="3">
        <v>46226</v>
      </c>
      <c r="L674" s="3">
        <v>46254</v>
      </c>
      <c r="M674" s="3">
        <v>46254</v>
      </c>
      <c r="O674" t="s">
        <v>1225</v>
      </c>
      <c r="Q674" t="s">
        <v>1226</v>
      </c>
      <c r="R674" t="s">
        <v>1282</v>
      </c>
      <c r="U674" t="s">
        <v>211</v>
      </c>
      <c r="V674" t="s">
        <v>134</v>
      </c>
      <c r="W674" t="s">
        <v>135</v>
      </c>
      <c r="X674" t="s">
        <v>213</v>
      </c>
      <c r="Y674">
        <v>1</v>
      </c>
      <c r="Z674" t="s">
        <v>49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 hidden="1">
      <c r="A675">
        <v>674</v>
      </c>
      <c r="B675" t="s">
        <v>1290</v>
      </c>
      <c r="C675" t="s">
        <v>1291</v>
      </c>
      <c r="D675" t="s">
        <v>139</v>
      </c>
      <c r="E675">
        <v>0</v>
      </c>
      <c r="F675" s="3">
        <v>46233</v>
      </c>
      <c r="G675" s="3">
        <v>46247</v>
      </c>
      <c r="H675" t="s">
        <v>74</v>
      </c>
      <c r="I675" t="s">
        <v>216</v>
      </c>
      <c r="J675" t="s">
        <v>181</v>
      </c>
      <c r="L675" s="3">
        <v>46240</v>
      </c>
      <c r="M675" s="3">
        <v>46240</v>
      </c>
      <c r="N675" t="s">
        <v>1249</v>
      </c>
      <c r="P675">
        <v>675</v>
      </c>
      <c r="Q675" t="s">
        <v>1226</v>
      </c>
      <c r="Z675" t="s">
        <v>49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 hidden="1">
      <c r="A676">
        <v>675</v>
      </c>
      <c r="B676" t="s">
        <v>1292</v>
      </c>
      <c r="C676" t="s">
        <v>1291</v>
      </c>
      <c r="D676" t="s">
        <v>143</v>
      </c>
      <c r="E676">
        <v>0</v>
      </c>
      <c r="F676" s="3">
        <v>46247</v>
      </c>
      <c r="G676" s="3">
        <v>46254</v>
      </c>
      <c r="H676" t="s">
        <v>74</v>
      </c>
      <c r="I676" t="s">
        <v>140</v>
      </c>
      <c r="J676" t="s">
        <v>353</v>
      </c>
      <c r="L676" s="3">
        <v>46247</v>
      </c>
      <c r="M676" s="3">
        <v>46247</v>
      </c>
      <c r="N676">
        <v>674</v>
      </c>
      <c r="P676">
        <v>676</v>
      </c>
      <c r="Q676" t="s">
        <v>1226</v>
      </c>
      <c r="Z676" t="s">
        <v>49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 hidden="1">
      <c r="A677">
        <v>676</v>
      </c>
      <c r="B677" t="s">
        <v>1293</v>
      </c>
      <c r="C677" t="s">
        <v>1291</v>
      </c>
      <c r="D677" t="s">
        <v>146</v>
      </c>
      <c r="E677">
        <v>0</v>
      </c>
      <c r="F677" s="3">
        <v>46254</v>
      </c>
      <c r="G677" s="3">
        <v>46259</v>
      </c>
      <c r="H677" t="s">
        <v>74</v>
      </c>
      <c r="I677" t="s">
        <v>147</v>
      </c>
      <c r="J677" t="s">
        <v>185</v>
      </c>
      <c r="L677" s="3">
        <v>46252</v>
      </c>
      <c r="M677" s="3">
        <v>46252</v>
      </c>
      <c r="N677">
        <v>675</v>
      </c>
      <c r="P677">
        <v>677</v>
      </c>
      <c r="Q677" t="s">
        <v>1226</v>
      </c>
      <c r="Z677" t="s">
        <v>49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 hidden="1">
      <c r="A678">
        <v>677</v>
      </c>
      <c r="B678" t="s">
        <v>1294</v>
      </c>
      <c r="C678" t="s">
        <v>1291</v>
      </c>
      <c r="D678" t="s">
        <v>150</v>
      </c>
      <c r="E678">
        <v>0</v>
      </c>
      <c r="F678" s="3">
        <v>46259</v>
      </c>
      <c r="G678" s="3">
        <v>46261</v>
      </c>
      <c r="H678" t="s">
        <v>74</v>
      </c>
      <c r="I678" t="s">
        <v>151</v>
      </c>
      <c r="J678" t="s">
        <v>185</v>
      </c>
      <c r="L678" s="3">
        <v>46254</v>
      </c>
      <c r="M678" s="3">
        <v>46254</v>
      </c>
      <c r="N678">
        <v>676</v>
      </c>
      <c r="Q678" t="s">
        <v>1226</v>
      </c>
      <c r="Z678" t="s">
        <v>49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 hidden="1">
      <c r="A679">
        <v>678</v>
      </c>
      <c r="B679" t="s">
        <v>1295</v>
      </c>
      <c r="C679" t="s">
        <v>1223</v>
      </c>
      <c r="D679" t="s">
        <v>1296</v>
      </c>
      <c r="E679">
        <v>0</v>
      </c>
      <c r="F679" s="3">
        <v>46233</v>
      </c>
      <c r="G679" s="3">
        <v>46261</v>
      </c>
      <c r="H679" t="s">
        <v>74</v>
      </c>
      <c r="I679" t="s">
        <v>224</v>
      </c>
      <c r="J679" t="s">
        <v>181</v>
      </c>
      <c r="K679" s="3">
        <v>46226</v>
      </c>
      <c r="L679" s="3">
        <v>46254</v>
      </c>
      <c r="M679" s="3">
        <v>46254</v>
      </c>
      <c r="O679" t="s">
        <v>1225</v>
      </c>
      <c r="Q679" t="s">
        <v>1226</v>
      </c>
      <c r="R679" t="s">
        <v>1297</v>
      </c>
      <c r="U679" t="s">
        <v>211</v>
      </c>
      <c r="V679" t="s">
        <v>134</v>
      </c>
      <c r="W679" t="s">
        <v>135</v>
      </c>
      <c r="X679" t="s">
        <v>213</v>
      </c>
      <c r="Y679">
        <v>1</v>
      </c>
      <c r="Z679" t="s">
        <v>49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 hidden="1">
      <c r="A680">
        <v>679</v>
      </c>
      <c r="B680" t="s">
        <v>1298</v>
      </c>
      <c r="C680" t="s">
        <v>1299</v>
      </c>
      <c r="D680" t="s">
        <v>139</v>
      </c>
      <c r="E680">
        <v>0</v>
      </c>
      <c r="F680" s="3">
        <v>46233</v>
      </c>
      <c r="G680" s="3">
        <v>46247</v>
      </c>
      <c r="H680" t="s">
        <v>74</v>
      </c>
      <c r="I680" t="s">
        <v>216</v>
      </c>
      <c r="J680" t="s">
        <v>181</v>
      </c>
      <c r="L680" s="3">
        <v>46240</v>
      </c>
      <c r="M680" s="3">
        <v>46240</v>
      </c>
      <c r="N680" t="s">
        <v>1249</v>
      </c>
      <c r="P680">
        <v>680</v>
      </c>
      <c r="Q680" t="s">
        <v>1226</v>
      </c>
      <c r="Z680" t="s">
        <v>49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 hidden="1">
      <c r="A681">
        <v>680</v>
      </c>
      <c r="B681" t="s">
        <v>1300</v>
      </c>
      <c r="C681" t="s">
        <v>1299</v>
      </c>
      <c r="D681" t="s">
        <v>143</v>
      </c>
      <c r="E681">
        <v>0</v>
      </c>
      <c r="F681" s="3">
        <v>46247</v>
      </c>
      <c r="G681" s="3">
        <v>46254</v>
      </c>
      <c r="H681" t="s">
        <v>74</v>
      </c>
      <c r="I681" t="s">
        <v>140</v>
      </c>
      <c r="J681" t="s">
        <v>353</v>
      </c>
      <c r="L681" s="3">
        <v>46247</v>
      </c>
      <c r="M681" s="3">
        <v>46247</v>
      </c>
      <c r="N681">
        <v>679</v>
      </c>
      <c r="P681">
        <v>681</v>
      </c>
      <c r="Q681" t="s">
        <v>1226</v>
      </c>
      <c r="Z681" t="s">
        <v>49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 hidden="1">
      <c r="A682">
        <v>681</v>
      </c>
      <c r="B682" t="s">
        <v>1301</v>
      </c>
      <c r="C682" t="s">
        <v>1299</v>
      </c>
      <c r="D682" t="s">
        <v>146</v>
      </c>
      <c r="E682">
        <v>0</v>
      </c>
      <c r="F682" s="3">
        <v>46254</v>
      </c>
      <c r="G682" s="3">
        <v>46259</v>
      </c>
      <c r="H682" t="s">
        <v>74</v>
      </c>
      <c r="I682" t="s">
        <v>147</v>
      </c>
      <c r="J682" t="s">
        <v>185</v>
      </c>
      <c r="L682" s="3">
        <v>46252</v>
      </c>
      <c r="M682" s="3">
        <v>46252</v>
      </c>
      <c r="N682">
        <v>680</v>
      </c>
      <c r="P682">
        <v>682</v>
      </c>
      <c r="Q682" t="s">
        <v>1226</v>
      </c>
      <c r="Z682" t="s">
        <v>49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 hidden="1">
      <c r="A683">
        <v>682</v>
      </c>
      <c r="B683" t="s">
        <v>1302</v>
      </c>
      <c r="C683" t="s">
        <v>1299</v>
      </c>
      <c r="D683" t="s">
        <v>150</v>
      </c>
      <c r="E683">
        <v>0</v>
      </c>
      <c r="F683" s="3">
        <v>46259</v>
      </c>
      <c r="G683" s="3">
        <v>46261</v>
      </c>
      <c r="H683" t="s">
        <v>74</v>
      </c>
      <c r="I683" t="s">
        <v>151</v>
      </c>
      <c r="J683" t="s">
        <v>185</v>
      </c>
      <c r="L683" s="3">
        <v>46254</v>
      </c>
      <c r="M683" s="3">
        <v>46254</v>
      </c>
      <c r="N683">
        <v>681</v>
      </c>
      <c r="Q683" t="s">
        <v>1226</v>
      </c>
      <c r="Z683" t="s">
        <v>49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 hidden="1">
      <c r="A684">
        <v>683</v>
      </c>
      <c r="B684" t="s">
        <v>1303</v>
      </c>
      <c r="C684" t="s">
        <v>1223</v>
      </c>
      <c r="D684" t="s">
        <v>1304</v>
      </c>
      <c r="E684">
        <v>0</v>
      </c>
      <c r="F684" s="3">
        <v>46247</v>
      </c>
      <c r="G684" s="3">
        <v>46282</v>
      </c>
      <c r="H684" t="s">
        <v>74</v>
      </c>
      <c r="I684" t="s">
        <v>382</v>
      </c>
      <c r="J684" t="s">
        <v>353</v>
      </c>
      <c r="K684" s="3">
        <v>46240</v>
      </c>
      <c r="L684" s="3">
        <v>46275</v>
      </c>
      <c r="M684" s="3">
        <v>46275</v>
      </c>
      <c r="O684" t="s">
        <v>1225</v>
      </c>
      <c r="Q684" t="s">
        <v>1226</v>
      </c>
      <c r="R684" t="s">
        <v>1305</v>
      </c>
      <c r="U684" t="s">
        <v>1306</v>
      </c>
      <c r="V684" t="s">
        <v>134</v>
      </c>
      <c r="W684" t="s">
        <v>135</v>
      </c>
      <c r="X684" t="s">
        <v>844</v>
      </c>
      <c r="Y684">
        <v>8</v>
      </c>
      <c r="Z684" t="s">
        <v>49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 hidden="1">
      <c r="A685">
        <v>684</v>
      </c>
      <c r="B685" t="s">
        <v>1307</v>
      </c>
      <c r="C685" t="s">
        <v>1308</v>
      </c>
      <c r="D685" t="s">
        <v>139</v>
      </c>
      <c r="E685">
        <v>0</v>
      </c>
      <c r="F685" s="3">
        <v>46247</v>
      </c>
      <c r="G685" s="3">
        <v>46268</v>
      </c>
      <c r="H685" t="s">
        <v>74</v>
      </c>
      <c r="I685" t="s">
        <v>129</v>
      </c>
      <c r="J685" t="s">
        <v>353</v>
      </c>
      <c r="L685" s="3">
        <v>46261</v>
      </c>
      <c r="M685" s="3">
        <v>46261</v>
      </c>
      <c r="N685">
        <v>664</v>
      </c>
      <c r="P685">
        <v>685</v>
      </c>
      <c r="Q685" t="s">
        <v>1226</v>
      </c>
      <c r="Z685" t="s">
        <v>49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 hidden="1">
      <c r="A686">
        <v>685</v>
      </c>
      <c r="B686" t="s">
        <v>1309</v>
      </c>
      <c r="C686" t="s">
        <v>1308</v>
      </c>
      <c r="D686" t="s">
        <v>143</v>
      </c>
      <c r="E686">
        <v>0</v>
      </c>
      <c r="F686" s="3">
        <v>46268</v>
      </c>
      <c r="G686" s="3">
        <v>46275</v>
      </c>
      <c r="H686" t="s">
        <v>74</v>
      </c>
      <c r="I686" t="s">
        <v>140</v>
      </c>
      <c r="J686" t="s">
        <v>398</v>
      </c>
      <c r="L686" s="3">
        <v>46268</v>
      </c>
      <c r="M686" s="3">
        <v>46268</v>
      </c>
      <c r="N686">
        <v>684</v>
      </c>
      <c r="P686" t="s">
        <v>1310</v>
      </c>
      <c r="Q686" t="s">
        <v>1226</v>
      </c>
      <c r="Z686" t="s">
        <v>49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 hidden="1">
      <c r="A687">
        <v>686</v>
      </c>
      <c r="B687" t="s">
        <v>1311</v>
      </c>
      <c r="C687" t="s">
        <v>1308</v>
      </c>
      <c r="D687" t="s">
        <v>146</v>
      </c>
      <c r="E687">
        <v>0</v>
      </c>
      <c r="F687" s="3">
        <v>46275</v>
      </c>
      <c r="G687" s="3">
        <v>46280</v>
      </c>
      <c r="H687" t="s">
        <v>74</v>
      </c>
      <c r="I687" t="s">
        <v>147</v>
      </c>
      <c r="J687" t="s">
        <v>83</v>
      </c>
      <c r="L687" s="3">
        <v>46273</v>
      </c>
      <c r="M687" s="3">
        <v>46273</v>
      </c>
      <c r="N687">
        <v>685</v>
      </c>
      <c r="P687">
        <v>687</v>
      </c>
      <c r="Q687" t="s">
        <v>1226</v>
      </c>
      <c r="Z687" t="s">
        <v>49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 hidden="1">
      <c r="A688">
        <v>687</v>
      </c>
      <c r="B688" t="s">
        <v>1312</v>
      </c>
      <c r="C688" t="s">
        <v>1308</v>
      </c>
      <c r="D688" t="s">
        <v>150</v>
      </c>
      <c r="E688">
        <v>0</v>
      </c>
      <c r="F688" s="3">
        <v>46280</v>
      </c>
      <c r="G688" s="3">
        <v>46282</v>
      </c>
      <c r="H688" t="s">
        <v>74</v>
      </c>
      <c r="I688" t="s">
        <v>151</v>
      </c>
      <c r="J688" t="s">
        <v>83</v>
      </c>
      <c r="L688" s="3">
        <v>46275</v>
      </c>
      <c r="M688" s="3">
        <v>46275</v>
      </c>
      <c r="N688">
        <v>686</v>
      </c>
      <c r="Q688" t="s">
        <v>1226</v>
      </c>
      <c r="Z688" t="s">
        <v>49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 hidden="1">
      <c r="A689">
        <v>688</v>
      </c>
      <c r="B689" t="s">
        <v>1313</v>
      </c>
      <c r="C689" t="s">
        <v>1223</v>
      </c>
      <c r="D689" t="s">
        <v>1314</v>
      </c>
      <c r="E689">
        <v>0</v>
      </c>
      <c r="F689" s="3">
        <v>46247</v>
      </c>
      <c r="G689" s="3">
        <v>46282</v>
      </c>
      <c r="H689" t="s">
        <v>74</v>
      </c>
      <c r="I689" t="s">
        <v>382</v>
      </c>
      <c r="J689" t="s">
        <v>353</v>
      </c>
      <c r="K689" s="3">
        <v>46240</v>
      </c>
      <c r="L689" s="3">
        <v>46275</v>
      </c>
      <c r="M689" s="3">
        <v>46275</v>
      </c>
      <c r="O689" t="s">
        <v>1225</v>
      </c>
      <c r="Q689" t="s">
        <v>1226</v>
      </c>
      <c r="R689" t="s">
        <v>1315</v>
      </c>
      <c r="U689" t="s">
        <v>1316</v>
      </c>
      <c r="V689" t="s">
        <v>134</v>
      </c>
      <c r="W689" t="s">
        <v>135</v>
      </c>
      <c r="X689" t="s">
        <v>844</v>
      </c>
      <c r="Y689">
        <v>1</v>
      </c>
      <c r="Z689" t="s">
        <v>49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 hidden="1">
      <c r="A690">
        <v>689</v>
      </c>
      <c r="B690" t="s">
        <v>1317</v>
      </c>
      <c r="C690" t="s">
        <v>1318</v>
      </c>
      <c r="D690" t="s">
        <v>139</v>
      </c>
      <c r="E690">
        <v>0</v>
      </c>
      <c r="F690" s="3">
        <v>46247</v>
      </c>
      <c r="G690" s="3">
        <v>46268</v>
      </c>
      <c r="H690" t="s">
        <v>74</v>
      </c>
      <c r="I690" t="s">
        <v>129</v>
      </c>
      <c r="J690" t="s">
        <v>353</v>
      </c>
      <c r="L690" s="3">
        <v>46261</v>
      </c>
      <c r="M690" s="3">
        <v>46261</v>
      </c>
      <c r="N690" t="s">
        <v>1319</v>
      </c>
      <c r="P690">
        <v>690</v>
      </c>
      <c r="Q690" t="s">
        <v>1226</v>
      </c>
      <c r="Z690" t="s">
        <v>49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 hidden="1">
      <c r="A691">
        <v>690</v>
      </c>
      <c r="B691" t="s">
        <v>1320</v>
      </c>
      <c r="C691" t="s">
        <v>1318</v>
      </c>
      <c r="D691" t="s">
        <v>143</v>
      </c>
      <c r="E691">
        <v>0</v>
      </c>
      <c r="F691" s="3">
        <v>46268</v>
      </c>
      <c r="G691" s="3">
        <v>46275</v>
      </c>
      <c r="H691" t="s">
        <v>74</v>
      </c>
      <c r="I691" t="s">
        <v>140</v>
      </c>
      <c r="J691" t="s">
        <v>398</v>
      </c>
      <c r="L691" s="3">
        <v>46268</v>
      </c>
      <c r="M691" s="3">
        <v>46268</v>
      </c>
      <c r="N691">
        <v>689</v>
      </c>
      <c r="P691">
        <v>691</v>
      </c>
      <c r="Q691" t="s">
        <v>1226</v>
      </c>
      <c r="Z691" t="s">
        <v>49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 hidden="1">
      <c r="A692">
        <v>691</v>
      </c>
      <c r="B692" t="s">
        <v>1321</v>
      </c>
      <c r="C692" t="s">
        <v>1318</v>
      </c>
      <c r="D692" t="s">
        <v>146</v>
      </c>
      <c r="E692">
        <v>0</v>
      </c>
      <c r="F692" s="3">
        <v>46275</v>
      </c>
      <c r="G692" s="3">
        <v>46280</v>
      </c>
      <c r="H692" t="s">
        <v>74</v>
      </c>
      <c r="I692" t="s">
        <v>147</v>
      </c>
      <c r="J692" t="s">
        <v>83</v>
      </c>
      <c r="L692" s="3">
        <v>46273</v>
      </c>
      <c r="M692" s="3">
        <v>46273</v>
      </c>
      <c r="N692">
        <v>690</v>
      </c>
      <c r="P692">
        <v>692</v>
      </c>
      <c r="Q692" t="s">
        <v>1226</v>
      </c>
      <c r="Z692" t="s">
        <v>49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 hidden="1">
      <c r="A693">
        <v>692</v>
      </c>
      <c r="B693" t="s">
        <v>1322</v>
      </c>
      <c r="C693" t="s">
        <v>1318</v>
      </c>
      <c r="D693" t="s">
        <v>150</v>
      </c>
      <c r="E693">
        <v>0</v>
      </c>
      <c r="F693" s="3">
        <v>46280</v>
      </c>
      <c r="G693" s="3">
        <v>46282</v>
      </c>
      <c r="H693" t="s">
        <v>74</v>
      </c>
      <c r="I693" t="s">
        <v>151</v>
      </c>
      <c r="J693" t="s">
        <v>83</v>
      </c>
      <c r="L693" s="3">
        <v>46275</v>
      </c>
      <c r="M693" s="3">
        <v>46275</v>
      </c>
      <c r="N693">
        <v>691</v>
      </c>
      <c r="Q693" t="s">
        <v>1226</v>
      </c>
      <c r="Z693" t="s">
        <v>49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 hidden="1">
      <c r="A694">
        <v>693</v>
      </c>
      <c r="B694" t="s">
        <v>1323</v>
      </c>
      <c r="C694" t="s">
        <v>1223</v>
      </c>
      <c r="D694" t="s">
        <v>1324</v>
      </c>
      <c r="E694">
        <v>0</v>
      </c>
      <c r="F694" s="3">
        <v>46247</v>
      </c>
      <c r="G694" s="3">
        <v>46286</v>
      </c>
      <c r="H694" t="s">
        <v>74</v>
      </c>
      <c r="I694" t="s">
        <v>887</v>
      </c>
      <c r="J694" t="s">
        <v>353</v>
      </c>
      <c r="K694" s="3">
        <v>46240</v>
      </c>
      <c r="L694" s="3">
        <v>46279</v>
      </c>
      <c r="M694" s="3">
        <v>46279</v>
      </c>
      <c r="O694" t="s">
        <v>1225</v>
      </c>
      <c r="Q694" t="s">
        <v>1226</v>
      </c>
      <c r="R694" t="s">
        <v>1325</v>
      </c>
      <c r="U694" t="s">
        <v>1316</v>
      </c>
      <c r="V694" t="s">
        <v>134</v>
      </c>
      <c r="W694" t="s">
        <v>135</v>
      </c>
      <c r="X694" t="s">
        <v>844</v>
      </c>
      <c r="Y694">
        <v>1</v>
      </c>
      <c r="Z694" t="s">
        <v>49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 hidden="1">
      <c r="A695">
        <v>694</v>
      </c>
      <c r="B695" t="s">
        <v>1326</v>
      </c>
      <c r="C695" t="s">
        <v>1327</v>
      </c>
      <c r="D695" t="s">
        <v>139</v>
      </c>
      <c r="E695">
        <v>0</v>
      </c>
      <c r="F695" s="3">
        <v>46247</v>
      </c>
      <c r="G695" s="3">
        <v>46268</v>
      </c>
      <c r="H695" t="s">
        <v>74</v>
      </c>
      <c r="I695" t="s">
        <v>129</v>
      </c>
      <c r="J695" t="s">
        <v>353</v>
      </c>
      <c r="L695" s="3">
        <v>46261</v>
      </c>
      <c r="M695" s="3">
        <v>46261</v>
      </c>
      <c r="N695" t="s">
        <v>1319</v>
      </c>
      <c r="P695">
        <v>695</v>
      </c>
      <c r="Q695" t="s">
        <v>1226</v>
      </c>
      <c r="Z695" t="s">
        <v>49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 spans="1:39" hidden="1">
      <c r="A696">
        <v>695</v>
      </c>
      <c r="B696" t="s">
        <v>1328</v>
      </c>
      <c r="C696" t="s">
        <v>1327</v>
      </c>
      <c r="D696" t="s">
        <v>143</v>
      </c>
      <c r="E696">
        <v>0</v>
      </c>
      <c r="F696" s="3">
        <v>46268</v>
      </c>
      <c r="G696" s="3">
        <v>46275</v>
      </c>
      <c r="H696" t="s">
        <v>74</v>
      </c>
      <c r="I696" t="s">
        <v>140</v>
      </c>
      <c r="J696" t="s">
        <v>398</v>
      </c>
      <c r="L696" s="3">
        <v>46268</v>
      </c>
      <c r="M696" s="3">
        <v>46268</v>
      </c>
      <c r="N696">
        <v>694</v>
      </c>
      <c r="P696">
        <v>696</v>
      </c>
      <c r="Q696" t="s">
        <v>1226</v>
      </c>
      <c r="Z696" t="s">
        <v>49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hidden="1">
      <c r="A697">
        <v>696</v>
      </c>
      <c r="B697" t="s">
        <v>1329</v>
      </c>
      <c r="C697" t="s">
        <v>1327</v>
      </c>
      <c r="D697" t="s">
        <v>146</v>
      </c>
      <c r="E697">
        <v>0</v>
      </c>
      <c r="F697" s="3">
        <v>46275</v>
      </c>
      <c r="G697" s="3">
        <v>46282</v>
      </c>
      <c r="H697" t="s">
        <v>74</v>
      </c>
      <c r="I697" t="s">
        <v>140</v>
      </c>
      <c r="J697" t="s">
        <v>83</v>
      </c>
      <c r="L697" s="3">
        <v>46275</v>
      </c>
      <c r="M697" s="3">
        <v>46275</v>
      </c>
      <c r="N697">
        <v>695</v>
      </c>
      <c r="P697">
        <v>697</v>
      </c>
      <c r="Q697" t="s">
        <v>1226</v>
      </c>
      <c r="Z697" t="s">
        <v>49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 hidden="1">
      <c r="A698">
        <v>697</v>
      </c>
      <c r="B698" t="s">
        <v>1330</v>
      </c>
      <c r="C698" t="s">
        <v>1327</v>
      </c>
      <c r="D698" t="s">
        <v>150</v>
      </c>
      <c r="E698">
        <v>0</v>
      </c>
      <c r="F698" s="3">
        <v>46282</v>
      </c>
      <c r="G698" s="3">
        <v>46286</v>
      </c>
      <c r="H698" t="s">
        <v>74</v>
      </c>
      <c r="I698" t="s">
        <v>151</v>
      </c>
      <c r="J698" t="s">
        <v>144</v>
      </c>
      <c r="L698" s="3">
        <v>46279</v>
      </c>
      <c r="M698" s="3">
        <v>46279</v>
      </c>
      <c r="N698">
        <v>696</v>
      </c>
      <c r="Q698" t="s">
        <v>1226</v>
      </c>
      <c r="Z698" t="s">
        <v>49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 hidden="1">
      <c r="A699">
        <v>698</v>
      </c>
      <c r="B699" t="s">
        <v>1331</v>
      </c>
      <c r="C699" t="s">
        <v>1223</v>
      </c>
      <c r="D699" t="s">
        <v>1332</v>
      </c>
      <c r="E699">
        <v>0</v>
      </c>
      <c r="F699" s="3">
        <v>46247</v>
      </c>
      <c r="G699" s="3">
        <v>46282</v>
      </c>
      <c r="H699" t="s">
        <v>74</v>
      </c>
      <c r="I699" t="s">
        <v>382</v>
      </c>
      <c r="J699" t="s">
        <v>353</v>
      </c>
      <c r="K699" s="3">
        <v>46240</v>
      </c>
      <c r="L699" s="3">
        <v>46275</v>
      </c>
      <c r="M699" s="3">
        <v>46275</v>
      </c>
      <c r="O699" t="s">
        <v>1225</v>
      </c>
      <c r="Q699" t="s">
        <v>1226</v>
      </c>
      <c r="R699" t="s">
        <v>1333</v>
      </c>
      <c r="U699" t="s">
        <v>1316</v>
      </c>
      <c r="V699" t="s">
        <v>134</v>
      </c>
      <c r="W699" t="s">
        <v>135</v>
      </c>
      <c r="X699" t="s">
        <v>844</v>
      </c>
      <c r="Y699">
        <v>1</v>
      </c>
      <c r="Z699" t="s">
        <v>49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 hidden="1">
      <c r="A700">
        <v>699</v>
      </c>
      <c r="B700" t="s">
        <v>1334</v>
      </c>
      <c r="C700" t="s">
        <v>1335</v>
      </c>
      <c r="D700" t="s">
        <v>139</v>
      </c>
      <c r="E700">
        <v>0</v>
      </c>
      <c r="F700" s="3">
        <v>46247</v>
      </c>
      <c r="G700" s="3">
        <v>46268</v>
      </c>
      <c r="H700" t="s">
        <v>74</v>
      </c>
      <c r="I700" t="s">
        <v>129</v>
      </c>
      <c r="J700" t="s">
        <v>353</v>
      </c>
      <c r="L700" s="3">
        <v>46261</v>
      </c>
      <c r="M700" s="3">
        <v>46261</v>
      </c>
      <c r="N700" t="s">
        <v>1319</v>
      </c>
      <c r="P700">
        <v>700</v>
      </c>
      <c r="Q700" t="s">
        <v>1226</v>
      </c>
      <c r="Z700" t="s">
        <v>49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 hidden="1">
      <c r="A701">
        <v>700</v>
      </c>
      <c r="B701" t="s">
        <v>1336</v>
      </c>
      <c r="C701" t="s">
        <v>1335</v>
      </c>
      <c r="D701" t="s">
        <v>143</v>
      </c>
      <c r="E701">
        <v>0</v>
      </c>
      <c r="F701" s="3">
        <v>46268</v>
      </c>
      <c r="G701" s="3">
        <v>46275</v>
      </c>
      <c r="H701" t="s">
        <v>74</v>
      </c>
      <c r="I701" t="s">
        <v>140</v>
      </c>
      <c r="J701" t="s">
        <v>398</v>
      </c>
      <c r="L701" s="3">
        <v>46268</v>
      </c>
      <c r="M701" s="3">
        <v>46268</v>
      </c>
      <c r="N701">
        <v>699</v>
      </c>
      <c r="P701">
        <v>701</v>
      </c>
      <c r="Q701" t="s">
        <v>1226</v>
      </c>
      <c r="Z701" t="s">
        <v>49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 hidden="1">
      <c r="A702">
        <v>701</v>
      </c>
      <c r="B702" t="s">
        <v>1337</v>
      </c>
      <c r="C702" t="s">
        <v>1335</v>
      </c>
      <c r="D702" t="s">
        <v>146</v>
      </c>
      <c r="E702">
        <v>0</v>
      </c>
      <c r="F702" s="3">
        <v>46275</v>
      </c>
      <c r="G702" s="3">
        <v>46280</v>
      </c>
      <c r="H702" t="s">
        <v>74</v>
      </c>
      <c r="I702" t="s">
        <v>147</v>
      </c>
      <c r="J702" t="s">
        <v>83</v>
      </c>
      <c r="L702" s="3">
        <v>46273</v>
      </c>
      <c r="M702" s="3">
        <v>46273</v>
      </c>
      <c r="N702">
        <v>700</v>
      </c>
      <c r="P702">
        <v>702</v>
      </c>
      <c r="Q702" t="s">
        <v>1226</v>
      </c>
      <c r="Z702" t="s">
        <v>49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 hidden="1">
      <c r="A703">
        <v>702</v>
      </c>
      <c r="B703" t="s">
        <v>1338</v>
      </c>
      <c r="C703" t="s">
        <v>1335</v>
      </c>
      <c r="D703" t="s">
        <v>150</v>
      </c>
      <c r="E703">
        <v>0</v>
      </c>
      <c r="F703" s="3">
        <v>46280</v>
      </c>
      <c r="G703" s="3">
        <v>46282</v>
      </c>
      <c r="H703" t="s">
        <v>74</v>
      </c>
      <c r="I703" t="s">
        <v>151</v>
      </c>
      <c r="J703" t="s">
        <v>83</v>
      </c>
      <c r="L703" s="3">
        <v>46275</v>
      </c>
      <c r="M703" s="3">
        <v>46275</v>
      </c>
      <c r="N703">
        <v>701</v>
      </c>
      <c r="Q703" t="s">
        <v>1226</v>
      </c>
      <c r="Z703" t="s">
        <v>49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 hidden="1">
      <c r="A704">
        <v>703</v>
      </c>
      <c r="B704" t="s">
        <v>1339</v>
      </c>
      <c r="C704" t="s">
        <v>1223</v>
      </c>
      <c r="D704" t="s">
        <v>1340</v>
      </c>
      <c r="E704">
        <v>0</v>
      </c>
      <c r="F704" s="3">
        <v>46251</v>
      </c>
      <c r="G704" s="3">
        <v>46288</v>
      </c>
      <c r="H704" t="s">
        <v>74</v>
      </c>
      <c r="I704" t="s">
        <v>887</v>
      </c>
      <c r="J704" t="s">
        <v>185</v>
      </c>
      <c r="K704" s="3">
        <v>46246</v>
      </c>
      <c r="L704" s="3">
        <v>46282</v>
      </c>
      <c r="M704" s="3">
        <v>46282</v>
      </c>
      <c r="O704" t="s">
        <v>1225</v>
      </c>
      <c r="Q704" t="s">
        <v>1226</v>
      </c>
      <c r="R704" t="s">
        <v>1341</v>
      </c>
      <c r="U704" t="s">
        <v>854</v>
      </c>
      <c r="V704" t="s">
        <v>134</v>
      </c>
      <c r="W704" t="s">
        <v>135</v>
      </c>
      <c r="X704" t="s">
        <v>844</v>
      </c>
      <c r="Y704">
        <v>10</v>
      </c>
      <c r="Z704" t="s">
        <v>49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 hidden="1">
      <c r="A705">
        <v>704</v>
      </c>
      <c r="B705" t="s">
        <v>1342</v>
      </c>
      <c r="C705" t="s">
        <v>1343</v>
      </c>
      <c r="D705" t="s">
        <v>139</v>
      </c>
      <c r="E705">
        <v>0</v>
      </c>
      <c r="F705" s="3">
        <v>46251</v>
      </c>
      <c r="G705" s="3">
        <v>46272</v>
      </c>
      <c r="H705" t="s">
        <v>74</v>
      </c>
      <c r="I705" t="s">
        <v>129</v>
      </c>
      <c r="J705" t="s">
        <v>185</v>
      </c>
      <c r="L705" s="3">
        <v>46266</v>
      </c>
      <c r="M705" s="3">
        <v>46266</v>
      </c>
      <c r="N705" t="s">
        <v>1344</v>
      </c>
      <c r="P705">
        <v>705</v>
      </c>
      <c r="Q705" t="s">
        <v>1226</v>
      </c>
      <c r="Z705" t="s">
        <v>49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 hidden="1">
      <c r="A706">
        <v>705</v>
      </c>
      <c r="B706" t="s">
        <v>1345</v>
      </c>
      <c r="C706" t="s">
        <v>1343</v>
      </c>
      <c r="D706" t="s">
        <v>143</v>
      </c>
      <c r="E706">
        <v>0</v>
      </c>
      <c r="F706" s="3">
        <v>46272</v>
      </c>
      <c r="G706" s="3">
        <v>46279</v>
      </c>
      <c r="H706" t="s">
        <v>74</v>
      </c>
      <c r="I706" t="s">
        <v>140</v>
      </c>
      <c r="J706" t="s">
        <v>83</v>
      </c>
      <c r="L706" s="3">
        <v>46273</v>
      </c>
      <c r="M706" s="3">
        <v>46273</v>
      </c>
      <c r="N706">
        <v>704</v>
      </c>
      <c r="P706">
        <v>706</v>
      </c>
      <c r="Q706" t="s">
        <v>1226</v>
      </c>
      <c r="Z706" t="s">
        <v>49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 hidden="1">
      <c r="A707">
        <v>706</v>
      </c>
      <c r="B707" t="s">
        <v>1346</v>
      </c>
      <c r="C707" t="s">
        <v>1343</v>
      </c>
      <c r="D707" t="s">
        <v>146</v>
      </c>
      <c r="E707">
        <v>0</v>
      </c>
      <c r="F707" s="3">
        <v>46279</v>
      </c>
      <c r="G707" s="3">
        <v>46286</v>
      </c>
      <c r="H707" t="s">
        <v>74</v>
      </c>
      <c r="I707" t="s">
        <v>140</v>
      </c>
      <c r="J707" t="s">
        <v>83</v>
      </c>
      <c r="L707" s="3">
        <v>46280</v>
      </c>
      <c r="M707" s="3">
        <v>46280</v>
      </c>
      <c r="N707">
        <v>705</v>
      </c>
      <c r="P707">
        <v>707</v>
      </c>
      <c r="Q707" t="s">
        <v>1226</v>
      </c>
      <c r="Z707" t="s">
        <v>49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 hidden="1">
      <c r="A708">
        <v>707</v>
      </c>
      <c r="B708" t="s">
        <v>1347</v>
      </c>
      <c r="C708" t="s">
        <v>1343</v>
      </c>
      <c r="D708" t="s">
        <v>150</v>
      </c>
      <c r="E708">
        <v>0</v>
      </c>
      <c r="F708" s="3">
        <v>46286</v>
      </c>
      <c r="G708" s="3">
        <v>46288</v>
      </c>
      <c r="H708" t="s">
        <v>74</v>
      </c>
      <c r="I708" t="s">
        <v>151</v>
      </c>
      <c r="J708" t="s">
        <v>144</v>
      </c>
      <c r="L708" s="3">
        <v>46282</v>
      </c>
      <c r="M708" s="3">
        <v>46282</v>
      </c>
      <c r="N708">
        <v>706</v>
      </c>
      <c r="Q708" t="s">
        <v>1226</v>
      </c>
      <c r="Z708" t="s">
        <v>49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 hidden="1">
      <c r="A709">
        <v>708</v>
      </c>
      <c r="B709" t="s">
        <v>1348</v>
      </c>
      <c r="C709" t="s">
        <v>1223</v>
      </c>
      <c r="D709" t="s">
        <v>1349</v>
      </c>
      <c r="E709">
        <v>0</v>
      </c>
      <c r="F709" s="3">
        <v>46251</v>
      </c>
      <c r="G709" s="3">
        <v>46286</v>
      </c>
      <c r="H709" t="s">
        <v>74</v>
      </c>
      <c r="I709" t="s">
        <v>382</v>
      </c>
      <c r="J709" t="s">
        <v>353</v>
      </c>
      <c r="K709" s="3">
        <v>46244</v>
      </c>
      <c r="L709" s="3">
        <v>46279</v>
      </c>
      <c r="M709" s="3">
        <v>46279</v>
      </c>
      <c r="O709" t="s">
        <v>1264</v>
      </c>
      <c r="Q709" t="s">
        <v>1226</v>
      </c>
      <c r="R709" t="s">
        <v>1350</v>
      </c>
      <c r="U709" t="s">
        <v>1351</v>
      </c>
      <c r="V709" t="s">
        <v>134</v>
      </c>
      <c r="W709" t="s">
        <v>135</v>
      </c>
      <c r="X709" t="s">
        <v>844</v>
      </c>
      <c r="Y709">
        <v>10</v>
      </c>
      <c r="Z709" t="s">
        <v>49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hidden="1">
      <c r="A710">
        <v>709</v>
      </c>
      <c r="B710" t="s">
        <v>1352</v>
      </c>
      <c r="C710" t="s">
        <v>1353</v>
      </c>
      <c r="D710" t="s">
        <v>139</v>
      </c>
      <c r="E710">
        <v>0</v>
      </c>
      <c r="F710" s="3">
        <v>46251</v>
      </c>
      <c r="G710" s="3">
        <v>46272</v>
      </c>
      <c r="H710" t="s">
        <v>74</v>
      </c>
      <c r="I710" t="s">
        <v>129</v>
      </c>
      <c r="J710" t="s">
        <v>353</v>
      </c>
      <c r="L710" s="3">
        <v>46265</v>
      </c>
      <c r="M710" s="3">
        <v>46265</v>
      </c>
      <c r="N710" t="s">
        <v>1344</v>
      </c>
      <c r="P710">
        <v>710</v>
      </c>
      <c r="Q710" t="s">
        <v>1226</v>
      </c>
      <c r="Z710" t="s">
        <v>49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 hidden="1">
      <c r="A711">
        <v>710</v>
      </c>
      <c r="B711" t="s">
        <v>1354</v>
      </c>
      <c r="C711" t="s">
        <v>1353</v>
      </c>
      <c r="D711" t="s">
        <v>143</v>
      </c>
      <c r="E711">
        <v>0</v>
      </c>
      <c r="F711" s="3">
        <v>46272</v>
      </c>
      <c r="G711" s="3">
        <v>46279</v>
      </c>
      <c r="H711" t="s">
        <v>74</v>
      </c>
      <c r="I711" t="s">
        <v>140</v>
      </c>
      <c r="J711" t="s">
        <v>398</v>
      </c>
      <c r="L711" s="3">
        <v>46272</v>
      </c>
      <c r="M711" s="3">
        <v>46272</v>
      </c>
      <c r="N711">
        <v>709</v>
      </c>
      <c r="P711" t="s">
        <v>1355</v>
      </c>
      <c r="Q711" t="s">
        <v>1226</v>
      </c>
      <c r="Z711" t="s">
        <v>49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 hidden="1">
      <c r="A712">
        <v>711</v>
      </c>
      <c r="B712" t="s">
        <v>1356</v>
      </c>
      <c r="C712" t="s">
        <v>1353</v>
      </c>
      <c r="D712" t="s">
        <v>146</v>
      </c>
      <c r="E712">
        <v>0</v>
      </c>
      <c r="F712" s="3">
        <v>46279</v>
      </c>
      <c r="G712" s="3">
        <v>46282</v>
      </c>
      <c r="H712" t="s">
        <v>74</v>
      </c>
      <c r="I712" t="s">
        <v>147</v>
      </c>
      <c r="J712" t="s">
        <v>83</v>
      </c>
      <c r="L712" s="3">
        <v>46275</v>
      </c>
      <c r="M712" s="3">
        <v>46275</v>
      </c>
      <c r="N712">
        <v>710</v>
      </c>
      <c r="P712">
        <v>712</v>
      </c>
      <c r="Q712" t="s">
        <v>1226</v>
      </c>
      <c r="Z712" t="s">
        <v>49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 hidden="1">
      <c r="A713">
        <v>712</v>
      </c>
      <c r="B713" t="s">
        <v>1357</v>
      </c>
      <c r="C713" t="s">
        <v>1353</v>
      </c>
      <c r="D713" t="s">
        <v>150</v>
      </c>
      <c r="E713">
        <v>0</v>
      </c>
      <c r="F713" s="3">
        <v>46282</v>
      </c>
      <c r="G713" s="3">
        <v>46286</v>
      </c>
      <c r="H713" t="s">
        <v>74</v>
      </c>
      <c r="I713" t="s">
        <v>151</v>
      </c>
      <c r="J713" t="s">
        <v>144</v>
      </c>
      <c r="L713" s="3">
        <v>46279</v>
      </c>
      <c r="M713" s="3">
        <v>46279</v>
      </c>
      <c r="N713">
        <v>711</v>
      </c>
      <c r="Q713" t="s">
        <v>1226</v>
      </c>
      <c r="Z713" t="s">
        <v>49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 hidden="1">
      <c r="A714">
        <v>713</v>
      </c>
      <c r="B714" t="s">
        <v>1358</v>
      </c>
      <c r="C714" t="s">
        <v>1223</v>
      </c>
      <c r="D714" t="s">
        <v>1359</v>
      </c>
      <c r="E714">
        <v>0</v>
      </c>
      <c r="F714" s="3">
        <v>46251</v>
      </c>
      <c r="G714" s="3">
        <v>46286</v>
      </c>
      <c r="H714" t="s">
        <v>74</v>
      </c>
      <c r="I714" t="s">
        <v>382</v>
      </c>
      <c r="J714" t="s">
        <v>353</v>
      </c>
      <c r="K714" s="3">
        <v>46244</v>
      </c>
      <c r="L714" s="3">
        <v>46279</v>
      </c>
      <c r="M714" s="3">
        <v>46279</v>
      </c>
      <c r="O714" t="s">
        <v>1264</v>
      </c>
      <c r="Q714" t="s">
        <v>1226</v>
      </c>
      <c r="R714" t="s">
        <v>1360</v>
      </c>
      <c r="U714" t="s">
        <v>993</v>
      </c>
      <c r="V714" t="s">
        <v>134</v>
      </c>
      <c r="W714" t="s">
        <v>135</v>
      </c>
      <c r="X714" t="s">
        <v>844</v>
      </c>
      <c r="Y714">
        <v>10</v>
      </c>
      <c r="Z714" t="s">
        <v>49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 hidden="1">
      <c r="A715">
        <v>714</v>
      </c>
      <c r="B715" t="s">
        <v>1361</v>
      </c>
      <c r="C715" t="s">
        <v>1362</v>
      </c>
      <c r="D715" t="s">
        <v>139</v>
      </c>
      <c r="E715">
        <v>0</v>
      </c>
      <c r="F715" s="3">
        <v>46251</v>
      </c>
      <c r="G715" s="3">
        <v>46272</v>
      </c>
      <c r="H715" t="s">
        <v>74</v>
      </c>
      <c r="I715" t="s">
        <v>129</v>
      </c>
      <c r="J715" t="s">
        <v>353</v>
      </c>
      <c r="L715" s="3">
        <v>46265</v>
      </c>
      <c r="M715" s="3">
        <v>46265</v>
      </c>
      <c r="N715" t="s">
        <v>1363</v>
      </c>
      <c r="P715">
        <v>715</v>
      </c>
      <c r="Q715" t="s">
        <v>1226</v>
      </c>
      <c r="Z715" t="s">
        <v>49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</row>
    <row r="716" spans="1:39" hidden="1">
      <c r="A716">
        <v>715</v>
      </c>
      <c r="B716" t="s">
        <v>1364</v>
      </c>
      <c r="C716" t="s">
        <v>1362</v>
      </c>
      <c r="D716" t="s">
        <v>143</v>
      </c>
      <c r="E716">
        <v>0</v>
      </c>
      <c r="F716" s="3">
        <v>46272</v>
      </c>
      <c r="G716" s="3">
        <v>46279</v>
      </c>
      <c r="H716" t="s">
        <v>74</v>
      </c>
      <c r="I716" t="s">
        <v>140</v>
      </c>
      <c r="J716" t="s">
        <v>398</v>
      </c>
      <c r="L716" s="3">
        <v>46272</v>
      </c>
      <c r="M716" s="3">
        <v>46272</v>
      </c>
      <c r="N716">
        <v>714</v>
      </c>
      <c r="P716">
        <v>716</v>
      </c>
      <c r="Q716" t="s">
        <v>1226</v>
      </c>
      <c r="Z716" t="s">
        <v>49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 hidden="1">
      <c r="A717">
        <v>716</v>
      </c>
      <c r="B717" t="s">
        <v>1365</v>
      </c>
      <c r="C717" t="s">
        <v>1362</v>
      </c>
      <c r="D717" t="s">
        <v>146</v>
      </c>
      <c r="E717">
        <v>0</v>
      </c>
      <c r="F717" s="3">
        <v>46279</v>
      </c>
      <c r="G717" s="3">
        <v>46282</v>
      </c>
      <c r="H717" t="s">
        <v>74</v>
      </c>
      <c r="I717" t="s">
        <v>147</v>
      </c>
      <c r="J717" t="s">
        <v>83</v>
      </c>
      <c r="L717" s="3">
        <v>46275</v>
      </c>
      <c r="M717" s="3">
        <v>46275</v>
      </c>
      <c r="N717">
        <v>715</v>
      </c>
      <c r="P717">
        <v>717</v>
      </c>
      <c r="Q717" t="s">
        <v>1226</v>
      </c>
      <c r="Z717" t="s">
        <v>49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 hidden="1">
      <c r="A718">
        <v>717</v>
      </c>
      <c r="B718" t="s">
        <v>1366</v>
      </c>
      <c r="C718" t="s">
        <v>1362</v>
      </c>
      <c r="D718" t="s">
        <v>150</v>
      </c>
      <c r="E718">
        <v>0</v>
      </c>
      <c r="F718" s="3">
        <v>46282</v>
      </c>
      <c r="G718" s="3">
        <v>46286</v>
      </c>
      <c r="H718" t="s">
        <v>74</v>
      </c>
      <c r="I718" t="s">
        <v>151</v>
      </c>
      <c r="J718" t="s">
        <v>144</v>
      </c>
      <c r="L718" s="3">
        <v>46279</v>
      </c>
      <c r="M718" s="3">
        <v>46279</v>
      </c>
      <c r="N718">
        <v>716</v>
      </c>
      <c r="Q718" t="s">
        <v>1226</v>
      </c>
      <c r="Z718" t="s">
        <v>49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 hidden="1">
      <c r="A719">
        <v>718</v>
      </c>
      <c r="B719" t="s">
        <v>1367</v>
      </c>
      <c r="C719" t="s">
        <v>1223</v>
      </c>
      <c r="D719" t="s">
        <v>1368</v>
      </c>
      <c r="E719">
        <v>0</v>
      </c>
      <c r="F719" s="3">
        <v>46251</v>
      </c>
      <c r="G719" s="3">
        <v>46286</v>
      </c>
      <c r="H719" t="s">
        <v>74</v>
      </c>
      <c r="I719" t="s">
        <v>382</v>
      </c>
      <c r="J719" t="s">
        <v>353</v>
      </c>
      <c r="K719" s="3">
        <v>46244</v>
      </c>
      <c r="L719" s="3">
        <v>46279</v>
      </c>
      <c r="M719" s="3">
        <v>46279</v>
      </c>
      <c r="O719" t="s">
        <v>1225</v>
      </c>
      <c r="Q719" t="s">
        <v>1226</v>
      </c>
      <c r="R719" t="s">
        <v>1369</v>
      </c>
      <c r="U719" t="s">
        <v>1370</v>
      </c>
      <c r="V719" t="s">
        <v>134</v>
      </c>
      <c r="W719" t="s">
        <v>135</v>
      </c>
      <c r="X719" t="s">
        <v>844</v>
      </c>
      <c r="Y719">
        <v>10</v>
      </c>
      <c r="Z719" t="s">
        <v>49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 hidden="1">
      <c r="A720">
        <v>719</v>
      </c>
      <c r="B720" t="s">
        <v>1371</v>
      </c>
      <c r="C720" t="s">
        <v>1372</v>
      </c>
      <c r="D720" t="s">
        <v>139</v>
      </c>
      <c r="E720">
        <v>0</v>
      </c>
      <c r="F720" s="3">
        <v>46251</v>
      </c>
      <c r="G720" s="3">
        <v>46272</v>
      </c>
      <c r="H720" t="s">
        <v>74</v>
      </c>
      <c r="I720" t="s">
        <v>129</v>
      </c>
      <c r="J720" t="s">
        <v>353</v>
      </c>
      <c r="L720" s="3">
        <v>46265</v>
      </c>
      <c r="M720" s="3">
        <v>46265</v>
      </c>
      <c r="N720" t="s">
        <v>1363</v>
      </c>
      <c r="P720">
        <v>720</v>
      </c>
      <c r="Q720" t="s">
        <v>1226</v>
      </c>
      <c r="Z720" t="s">
        <v>49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 hidden="1">
      <c r="A721">
        <v>720</v>
      </c>
      <c r="B721" t="s">
        <v>1373</v>
      </c>
      <c r="C721" t="s">
        <v>1372</v>
      </c>
      <c r="D721" t="s">
        <v>143</v>
      </c>
      <c r="E721">
        <v>0</v>
      </c>
      <c r="F721" s="3">
        <v>46272</v>
      </c>
      <c r="G721" s="3">
        <v>46279</v>
      </c>
      <c r="H721" t="s">
        <v>74</v>
      </c>
      <c r="I721" t="s">
        <v>140</v>
      </c>
      <c r="J721" t="s">
        <v>398</v>
      </c>
      <c r="L721" s="3">
        <v>46272</v>
      </c>
      <c r="M721" s="3">
        <v>46272</v>
      </c>
      <c r="N721">
        <v>719</v>
      </c>
      <c r="P721">
        <v>721</v>
      </c>
      <c r="Q721" t="s">
        <v>1226</v>
      </c>
      <c r="Z721" t="s">
        <v>49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 hidden="1">
      <c r="A722">
        <v>721</v>
      </c>
      <c r="B722" t="s">
        <v>1374</v>
      </c>
      <c r="C722" t="s">
        <v>1372</v>
      </c>
      <c r="D722" t="s">
        <v>146</v>
      </c>
      <c r="E722">
        <v>0</v>
      </c>
      <c r="F722" s="3">
        <v>46279</v>
      </c>
      <c r="G722" s="3">
        <v>46282</v>
      </c>
      <c r="H722" t="s">
        <v>74</v>
      </c>
      <c r="I722" t="s">
        <v>147</v>
      </c>
      <c r="J722" t="s">
        <v>83</v>
      </c>
      <c r="L722" s="3">
        <v>46275</v>
      </c>
      <c r="M722" s="3">
        <v>46275</v>
      </c>
      <c r="N722">
        <v>720</v>
      </c>
      <c r="P722">
        <v>722</v>
      </c>
      <c r="Q722" t="s">
        <v>1226</v>
      </c>
      <c r="Z722" t="s">
        <v>49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 hidden="1">
      <c r="A723">
        <v>722</v>
      </c>
      <c r="B723" t="s">
        <v>1375</v>
      </c>
      <c r="C723" t="s">
        <v>1372</v>
      </c>
      <c r="D723" t="s">
        <v>150</v>
      </c>
      <c r="E723">
        <v>0</v>
      </c>
      <c r="F723" s="3">
        <v>46282</v>
      </c>
      <c r="G723" s="3">
        <v>46286</v>
      </c>
      <c r="H723" t="s">
        <v>74</v>
      </c>
      <c r="I723" t="s">
        <v>151</v>
      </c>
      <c r="J723" t="s">
        <v>144</v>
      </c>
      <c r="L723" s="3">
        <v>46279</v>
      </c>
      <c r="M723" s="3">
        <v>46279</v>
      </c>
      <c r="N723">
        <v>721</v>
      </c>
      <c r="Q723" t="s">
        <v>1226</v>
      </c>
      <c r="Z723" t="s">
        <v>49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 hidden="1">
      <c r="A724">
        <v>723</v>
      </c>
      <c r="B724" t="s">
        <v>1376</v>
      </c>
      <c r="C724" t="s">
        <v>1223</v>
      </c>
      <c r="D724" t="s">
        <v>1377</v>
      </c>
      <c r="E724">
        <v>0</v>
      </c>
      <c r="F724" s="3">
        <v>46251</v>
      </c>
      <c r="G724" s="3">
        <v>46286</v>
      </c>
      <c r="H724" t="s">
        <v>74</v>
      </c>
      <c r="I724" t="s">
        <v>382</v>
      </c>
      <c r="J724" t="s">
        <v>353</v>
      </c>
      <c r="K724" s="3">
        <v>46244</v>
      </c>
      <c r="L724" s="3">
        <v>46279</v>
      </c>
      <c r="M724" s="3">
        <v>46279</v>
      </c>
      <c r="O724" t="s">
        <v>991</v>
      </c>
      <c r="Q724" t="s">
        <v>1226</v>
      </c>
      <c r="R724" t="s">
        <v>1378</v>
      </c>
      <c r="U724" t="s">
        <v>1122</v>
      </c>
      <c r="V724" t="s">
        <v>134</v>
      </c>
      <c r="W724" t="s">
        <v>135</v>
      </c>
      <c r="X724" t="s">
        <v>844</v>
      </c>
      <c r="Y724">
        <v>10</v>
      </c>
      <c r="Z724" t="s">
        <v>49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hidden="1">
      <c r="A725">
        <v>724</v>
      </c>
      <c r="B725" t="s">
        <v>1379</v>
      </c>
      <c r="C725" t="s">
        <v>1380</v>
      </c>
      <c r="D725" t="s">
        <v>139</v>
      </c>
      <c r="E725">
        <v>0</v>
      </c>
      <c r="F725" s="3">
        <v>46251</v>
      </c>
      <c r="G725" s="3">
        <v>46272</v>
      </c>
      <c r="H725" t="s">
        <v>74</v>
      </c>
      <c r="I725" t="s">
        <v>129</v>
      </c>
      <c r="J725" t="s">
        <v>353</v>
      </c>
      <c r="L725" s="3">
        <v>46265</v>
      </c>
      <c r="M725" s="3">
        <v>46265</v>
      </c>
      <c r="N725" t="s">
        <v>1363</v>
      </c>
      <c r="P725">
        <v>725</v>
      </c>
      <c r="Q725" t="s">
        <v>1226</v>
      </c>
      <c r="Z725" t="s">
        <v>49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 spans="1:39" hidden="1">
      <c r="A726">
        <v>725</v>
      </c>
      <c r="B726" t="s">
        <v>1381</v>
      </c>
      <c r="C726" t="s">
        <v>1380</v>
      </c>
      <c r="D726" t="s">
        <v>143</v>
      </c>
      <c r="E726">
        <v>0</v>
      </c>
      <c r="F726" s="3">
        <v>46272</v>
      </c>
      <c r="G726" s="3">
        <v>46279</v>
      </c>
      <c r="H726" t="s">
        <v>74</v>
      </c>
      <c r="I726" t="s">
        <v>140</v>
      </c>
      <c r="J726" t="s">
        <v>398</v>
      </c>
      <c r="L726" s="3">
        <v>46272</v>
      </c>
      <c r="M726" s="3">
        <v>46272</v>
      </c>
      <c r="N726">
        <v>724</v>
      </c>
      <c r="P726">
        <v>726</v>
      </c>
      <c r="Q726" t="s">
        <v>1226</v>
      </c>
      <c r="Z726" t="s">
        <v>49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 spans="1:39" hidden="1">
      <c r="A727">
        <v>726</v>
      </c>
      <c r="B727" t="s">
        <v>1382</v>
      </c>
      <c r="C727" t="s">
        <v>1380</v>
      </c>
      <c r="D727" t="s">
        <v>146</v>
      </c>
      <c r="E727">
        <v>0</v>
      </c>
      <c r="F727" s="3">
        <v>46279</v>
      </c>
      <c r="G727" s="3">
        <v>46282</v>
      </c>
      <c r="H727" t="s">
        <v>74</v>
      </c>
      <c r="I727" t="s">
        <v>147</v>
      </c>
      <c r="J727" t="s">
        <v>83</v>
      </c>
      <c r="L727" s="3">
        <v>46275</v>
      </c>
      <c r="M727" s="3">
        <v>46275</v>
      </c>
      <c r="N727">
        <v>725</v>
      </c>
      <c r="P727">
        <v>727</v>
      </c>
      <c r="Q727" t="s">
        <v>1226</v>
      </c>
      <c r="Z727" t="s">
        <v>49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 hidden="1">
      <c r="A728">
        <v>727</v>
      </c>
      <c r="B728" t="s">
        <v>1383</v>
      </c>
      <c r="C728" t="s">
        <v>1380</v>
      </c>
      <c r="D728" t="s">
        <v>150</v>
      </c>
      <c r="E728">
        <v>0</v>
      </c>
      <c r="F728" s="3">
        <v>46282</v>
      </c>
      <c r="G728" s="3">
        <v>46286</v>
      </c>
      <c r="H728" t="s">
        <v>74</v>
      </c>
      <c r="I728" t="s">
        <v>151</v>
      </c>
      <c r="J728" t="s">
        <v>144</v>
      </c>
      <c r="L728" s="3">
        <v>46279</v>
      </c>
      <c r="M728" s="3">
        <v>46279</v>
      </c>
      <c r="N728">
        <v>726</v>
      </c>
      <c r="Q728" t="s">
        <v>1226</v>
      </c>
      <c r="Z728" t="s">
        <v>49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 hidden="1">
      <c r="A729">
        <v>728</v>
      </c>
      <c r="B729" t="s">
        <v>1384</v>
      </c>
      <c r="C729" t="s">
        <v>1223</v>
      </c>
      <c r="D729" t="s">
        <v>1385</v>
      </c>
      <c r="E729">
        <v>0</v>
      </c>
      <c r="F729" s="3">
        <v>46251</v>
      </c>
      <c r="G729" s="3">
        <v>46286</v>
      </c>
      <c r="H729" t="s">
        <v>74</v>
      </c>
      <c r="I729" t="s">
        <v>382</v>
      </c>
      <c r="J729" t="s">
        <v>353</v>
      </c>
      <c r="K729" s="3">
        <v>46244</v>
      </c>
      <c r="L729" s="3">
        <v>46279</v>
      </c>
      <c r="M729" s="3">
        <v>46279</v>
      </c>
      <c r="O729" t="s">
        <v>991</v>
      </c>
      <c r="Q729" t="s">
        <v>1226</v>
      </c>
      <c r="R729" t="s">
        <v>1386</v>
      </c>
      <c r="U729" t="s">
        <v>1002</v>
      </c>
      <c r="V729" t="s">
        <v>134</v>
      </c>
      <c r="W729" t="s">
        <v>135</v>
      </c>
      <c r="X729" t="s">
        <v>213</v>
      </c>
      <c r="Y729">
        <v>10</v>
      </c>
      <c r="Z729" t="s">
        <v>49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 hidden="1">
      <c r="A730">
        <v>729</v>
      </c>
      <c r="B730" t="s">
        <v>1387</v>
      </c>
      <c r="C730" t="s">
        <v>1388</v>
      </c>
      <c r="D730" t="s">
        <v>139</v>
      </c>
      <c r="E730">
        <v>0</v>
      </c>
      <c r="F730" s="3">
        <v>46251</v>
      </c>
      <c r="G730" s="3">
        <v>46272</v>
      </c>
      <c r="H730" t="s">
        <v>74</v>
      </c>
      <c r="I730" t="s">
        <v>129</v>
      </c>
      <c r="J730" t="s">
        <v>353</v>
      </c>
      <c r="L730" s="3">
        <v>46265</v>
      </c>
      <c r="M730" s="3">
        <v>46265</v>
      </c>
      <c r="N730" t="s">
        <v>1363</v>
      </c>
      <c r="P730">
        <v>730</v>
      </c>
      <c r="Q730" t="s">
        <v>1226</v>
      </c>
      <c r="Z730" t="s">
        <v>49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 hidden="1">
      <c r="A731">
        <v>730</v>
      </c>
      <c r="B731" t="s">
        <v>1389</v>
      </c>
      <c r="C731" t="s">
        <v>1388</v>
      </c>
      <c r="D731" t="s">
        <v>143</v>
      </c>
      <c r="E731">
        <v>0</v>
      </c>
      <c r="F731" s="3">
        <v>46272</v>
      </c>
      <c r="G731" s="3">
        <v>46279</v>
      </c>
      <c r="H731" t="s">
        <v>74</v>
      </c>
      <c r="I731" t="s">
        <v>140</v>
      </c>
      <c r="J731" t="s">
        <v>398</v>
      </c>
      <c r="L731" s="3">
        <v>46272</v>
      </c>
      <c r="M731" s="3">
        <v>46272</v>
      </c>
      <c r="N731">
        <v>729</v>
      </c>
      <c r="P731">
        <v>731</v>
      </c>
      <c r="Q731" t="s">
        <v>1226</v>
      </c>
      <c r="Z731" t="s">
        <v>49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 hidden="1">
      <c r="A732">
        <v>731</v>
      </c>
      <c r="B732" t="s">
        <v>1390</v>
      </c>
      <c r="C732" t="s">
        <v>1388</v>
      </c>
      <c r="D732" t="s">
        <v>146</v>
      </c>
      <c r="E732">
        <v>0</v>
      </c>
      <c r="F732" s="3">
        <v>46279</v>
      </c>
      <c r="G732" s="3">
        <v>46282</v>
      </c>
      <c r="H732" t="s">
        <v>74</v>
      </c>
      <c r="I732" t="s">
        <v>147</v>
      </c>
      <c r="J732" t="s">
        <v>83</v>
      </c>
      <c r="L732" s="3">
        <v>46275</v>
      </c>
      <c r="M732" s="3">
        <v>46275</v>
      </c>
      <c r="N732">
        <v>730</v>
      </c>
      <c r="P732">
        <v>732</v>
      </c>
      <c r="Q732" t="s">
        <v>1226</v>
      </c>
      <c r="Z732" t="s">
        <v>49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 hidden="1">
      <c r="A733">
        <v>732</v>
      </c>
      <c r="B733" t="s">
        <v>1391</v>
      </c>
      <c r="C733" t="s">
        <v>1388</v>
      </c>
      <c r="D733" t="s">
        <v>150</v>
      </c>
      <c r="E733">
        <v>0</v>
      </c>
      <c r="F733" s="3">
        <v>46282</v>
      </c>
      <c r="G733" s="3">
        <v>46286</v>
      </c>
      <c r="H733" t="s">
        <v>74</v>
      </c>
      <c r="I733" t="s">
        <v>151</v>
      </c>
      <c r="J733" t="s">
        <v>144</v>
      </c>
      <c r="L733" s="3">
        <v>46279</v>
      </c>
      <c r="M733" s="3">
        <v>46279</v>
      </c>
      <c r="N733">
        <v>731</v>
      </c>
      <c r="Q733" t="s">
        <v>1226</v>
      </c>
      <c r="Z733" t="s">
        <v>49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 hidden="1">
      <c r="A734">
        <v>733</v>
      </c>
      <c r="B734" t="s">
        <v>1392</v>
      </c>
      <c r="C734" t="s">
        <v>45</v>
      </c>
      <c r="D734" t="s">
        <v>1393</v>
      </c>
      <c r="E734">
        <v>0</v>
      </c>
      <c r="F734" s="3">
        <v>46196</v>
      </c>
      <c r="G734" s="3">
        <v>46293</v>
      </c>
      <c r="I734" t="s">
        <v>203</v>
      </c>
      <c r="J734" t="s">
        <v>42</v>
      </c>
      <c r="N734" t="s">
        <v>1394</v>
      </c>
      <c r="Z734" t="s">
        <v>49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 hidden="1">
      <c r="A735">
        <v>734</v>
      </c>
      <c r="B735" t="s">
        <v>1395</v>
      </c>
      <c r="C735" t="s">
        <v>45</v>
      </c>
      <c r="D735" t="s">
        <v>1393</v>
      </c>
      <c r="E735">
        <v>0</v>
      </c>
      <c r="F735" s="3">
        <v>46203</v>
      </c>
      <c r="G735" s="3">
        <v>46301</v>
      </c>
      <c r="I735" t="s">
        <v>203</v>
      </c>
      <c r="J735" t="s">
        <v>42</v>
      </c>
      <c r="N735" t="s">
        <v>1394</v>
      </c>
      <c r="Z735" t="s">
        <v>43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39" hidden="1">
      <c r="A736">
        <v>735</v>
      </c>
      <c r="B736" t="s">
        <v>1396</v>
      </c>
      <c r="C736" t="s">
        <v>45</v>
      </c>
      <c r="D736" t="s">
        <v>1393</v>
      </c>
      <c r="E736">
        <v>0</v>
      </c>
      <c r="F736" s="3">
        <v>46203</v>
      </c>
      <c r="G736" s="3">
        <v>46301</v>
      </c>
      <c r="H736" t="s">
        <v>74</v>
      </c>
      <c r="I736" t="s">
        <v>203</v>
      </c>
      <c r="J736" t="s">
        <v>42</v>
      </c>
      <c r="K736" s="3">
        <v>46196</v>
      </c>
      <c r="L736" s="3">
        <v>46294</v>
      </c>
      <c r="M736" s="3">
        <v>46294</v>
      </c>
      <c r="P736" t="s">
        <v>1397</v>
      </c>
      <c r="Z736" t="s">
        <v>43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hidden="1">
      <c r="A737">
        <v>736</v>
      </c>
      <c r="B737" t="s">
        <v>1398</v>
      </c>
      <c r="C737" t="s">
        <v>1399</v>
      </c>
      <c r="D737" t="s">
        <v>1400</v>
      </c>
      <c r="E737">
        <v>0</v>
      </c>
      <c r="F737" s="3">
        <v>46203</v>
      </c>
      <c r="G737" s="3">
        <v>46238</v>
      </c>
      <c r="H737" t="s">
        <v>74</v>
      </c>
      <c r="I737" t="s">
        <v>382</v>
      </c>
      <c r="J737" t="s">
        <v>117</v>
      </c>
      <c r="K737" s="3">
        <v>46196</v>
      </c>
      <c r="L737" s="3">
        <v>46231</v>
      </c>
      <c r="M737" s="3">
        <v>46231</v>
      </c>
      <c r="O737" t="s">
        <v>713</v>
      </c>
      <c r="Q737" t="s">
        <v>1401</v>
      </c>
      <c r="R737" t="s">
        <v>1402</v>
      </c>
      <c r="U737" t="s">
        <v>843</v>
      </c>
      <c r="V737" t="s">
        <v>134</v>
      </c>
      <c r="W737" t="s">
        <v>135</v>
      </c>
      <c r="X737" t="s">
        <v>844</v>
      </c>
      <c r="Y737">
        <v>10</v>
      </c>
      <c r="Z737" t="s">
        <v>49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 hidden="1">
      <c r="A738">
        <v>737</v>
      </c>
      <c r="B738" t="s">
        <v>1403</v>
      </c>
      <c r="C738" t="s">
        <v>1404</v>
      </c>
      <c r="D738" t="s">
        <v>139</v>
      </c>
      <c r="E738">
        <v>0</v>
      </c>
      <c r="F738" s="3">
        <v>46203</v>
      </c>
      <c r="G738" s="3">
        <v>46224</v>
      </c>
      <c r="H738" t="s">
        <v>74</v>
      </c>
      <c r="I738" t="s">
        <v>129</v>
      </c>
      <c r="J738" t="s">
        <v>117</v>
      </c>
      <c r="L738" s="3">
        <v>46217</v>
      </c>
      <c r="M738" s="3">
        <v>46217</v>
      </c>
      <c r="N738">
        <v>21</v>
      </c>
      <c r="P738">
        <v>738</v>
      </c>
      <c r="Q738" t="s">
        <v>1401</v>
      </c>
      <c r="Z738" t="s">
        <v>49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 hidden="1">
      <c r="A739">
        <v>738</v>
      </c>
      <c r="B739" t="s">
        <v>1405</v>
      </c>
      <c r="C739" t="s">
        <v>1404</v>
      </c>
      <c r="D739" t="s">
        <v>143</v>
      </c>
      <c r="E739">
        <v>0</v>
      </c>
      <c r="F739" s="3">
        <v>46224</v>
      </c>
      <c r="G739" s="3">
        <v>46231</v>
      </c>
      <c r="H739" t="s">
        <v>74</v>
      </c>
      <c r="I739" t="s">
        <v>140</v>
      </c>
      <c r="J739" t="s">
        <v>219</v>
      </c>
      <c r="L739" s="3">
        <v>46224</v>
      </c>
      <c r="M739" s="3">
        <v>46224</v>
      </c>
      <c r="N739">
        <v>737</v>
      </c>
      <c r="P739">
        <v>739</v>
      </c>
      <c r="Q739" t="s">
        <v>1401</v>
      </c>
      <c r="Z739" t="s">
        <v>49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</row>
    <row r="740" spans="1:39" hidden="1">
      <c r="A740">
        <v>739</v>
      </c>
      <c r="B740" t="s">
        <v>1406</v>
      </c>
      <c r="C740" t="s">
        <v>1404</v>
      </c>
      <c r="D740" t="s">
        <v>146</v>
      </c>
      <c r="E740">
        <v>0</v>
      </c>
      <c r="F740" s="3">
        <v>46231</v>
      </c>
      <c r="G740" s="3">
        <v>46234</v>
      </c>
      <c r="H740" t="s">
        <v>74</v>
      </c>
      <c r="I740" t="s">
        <v>147</v>
      </c>
      <c r="J740" t="s">
        <v>179</v>
      </c>
      <c r="L740" s="3">
        <v>46227</v>
      </c>
      <c r="M740" s="3">
        <v>46227</v>
      </c>
      <c r="N740">
        <v>738</v>
      </c>
      <c r="P740">
        <v>740</v>
      </c>
      <c r="Q740" t="s">
        <v>1401</v>
      </c>
      <c r="Z740" t="s">
        <v>49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</row>
    <row r="741" spans="1:39" hidden="1">
      <c r="A741">
        <v>740</v>
      </c>
      <c r="B741" t="s">
        <v>1407</v>
      </c>
      <c r="C741" t="s">
        <v>1404</v>
      </c>
      <c r="D741" t="s">
        <v>150</v>
      </c>
      <c r="E741">
        <v>0</v>
      </c>
      <c r="F741" s="3">
        <v>46234</v>
      </c>
      <c r="G741" s="3">
        <v>46238</v>
      </c>
      <c r="H741" t="s">
        <v>74</v>
      </c>
      <c r="I741" t="s">
        <v>151</v>
      </c>
      <c r="J741" t="s">
        <v>181</v>
      </c>
      <c r="L741" s="3">
        <v>46231</v>
      </c>
      <c r="M741" s="3">
        <v>46231</v>
      </c>
      <c r="N741">
        <v>739</v>
      </c>
      <c r="Q741" t="s">
        <v>1401</v>
      </c>
      <c r="Z741" t="s">
        <v>49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 spans="1:39" hidden="1">
      <c r="A742">
        <v>741</v>
      </c>
      <c r="B742" t="s">
        <v>1408</v>
      </c>
      <c r="C742" t="s">
        <v>1399</v>
      </c>
      <c r="D742" t="s">
        <v>1409</v>
      </c>
      <c r="E742">
        <v>0</v>
      </c>
      <c r="F742" s="3">
        <v>46203</v>
      </c>
      <c r="G742" s="3">
        <v>46238</v>
      </c>
      <c r="H742" t="s">
        <v>74</v>
      </c>
      <c r="I742" t="s">
        <v>382</v>
      </c>
      <c r="J742" t="s">
        <v>117</v>
      </c>
      <c r="K742" s="3">
        <v>46196</v>
      </c>
      <c r="L742" s="3">
        <v>46231</v>
      </c>
      <c r="M742" s="3">
        <v>46231</v>
      </c>
      <c r="N742">
        <v>21</v>
      </c>
      <c r="O742" t="s">
        <v>713</v>
      </c>
      <c r="Q742" t="s">
        <v>1401</v>
      </c>
      <c r="R742" t="s">
        <v>1410</v>
      </c>
      <c r="U742" t="s">
        <v>843</v>
      </c>
      <c r="V742" t="s">
        <v>134</v>
      </c>
      <c r="W742" t="s">
        <v>135</v>
      </c>
      <c r="X742" t="s">
        <v>844</v>
      </c>
      <c r="Y742">
        <v>10</v>
      </c>
      <c r="Z742" t="s">
        <v>49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 hidden="1">
      <c r="A743">
        <v>742</v>
      </c>
      <c r="B743" t="s">
        <v>1411</v>
      </c>
      <c r="C743" t="s">
        <v>1412</v>
      </c>
      <c r="D743" t="s">
        <v>139</v>
      </c>
      <c r="E743">
        <v>0</v>
      </c>
      <c r="F743" s="3">
        <v>46203</v>
      </c>
      <c r="G743" s="3">
        <v>46224</v>
      </c>
      <c r="H743" t="s">
        <v>74</v>
      </c>
      <c r="I743" t="s">
        <v>129</v>
      </c>
      <c r="J743" t="s">
        <v>117</v>
      </c>
      <c r="L743" s="3">
        <v>46217</v>
      </c>
      <c r="M743" s="3">
        <v>46217</v>
      </c>
      <c r="N743">
        <v>21</v>
      </c>
      <c r="P743">
        <v>743</v>
      </c>
      <c r="Q743" t="s">
        <v>1401</v>
      </c>
      <c r="Z743" t="s">
        <v>49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 hidden="1">
      <c r="A744">
        <v>743</v>
      </c>
      <c r="B744" t="s">
        <v>1413</v>
      </c>
      <c r="C744" t="s">
        <v>1412</v>
      </c>
      <c r="D744" t="s">
        <v>143</v>
      </c>
      <c r="E744">
        <v>0</v>
      </c>
      <c r="F744" s="3">
        <v>46224</v>
      </c>
      <c r="G744" s="3">
        <v>46231</v>
      </c>
      <c r="H744" t="s">
        <v>74</v>
      </c>
      <c r="I744" t="s">
        <v>140</v>
      </c>
      <c r="J744" t="s">
        <v>219</v>
      </c>
      <c r="L744" s="3">
        <v>46224</v>
      </c>
      <c r="M744" s="3">
        <v>46224</v>
      </c>
      <c r="N744">
        <v>742</v>
      </c>
      <c r="P744">
        <v>744</v>
      </c>
      <c r="Q744" t="s">
        <v>1401</v>
      </c>
      <c r="Z744" t="s">
        <v>49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 hidden="1">
      <c r="A745">
        <v>744</v>
      </c>
      <c r="B745" t="s">
        <v>1414</v>
      </c>
      <c r="C745" t="s">
        <v>1412</v>
      </c>
      <c r="D745" t="s">
        <v>146</v>
      </c>
      <c r="E745">
        <v>0</v>
      </c>
      <c r="F745" s="3">
        <v>46231</v>
      </c>
      <c r="G745" s="3">
        <v>46234</v>
      </c>
      <c r="H745" t="s">
        <v>74</v>
      </c>
      <c r="I745" t="s">
        <v>147</v>
      </c>
      <c r="J745" t="s">
        <v>179</v>
      </c>
      <c r="L745" s="3">
        <v>46227</v>
      </c>
      <c r="M745" s="3">
        <v>46227</v>
      </c>
      <c r="N745">
        <v>743</v>
      </c>
      <c r="P745">
        <v>745</v>
      </c>
      <c r="Q745" t="s">
        <v>1401</v>
      </c>
      <c r="Z745" t="s">
        <v>49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 hidden="1">
      <c r="A746">
        <v>745</v>
      </c>
      <c r="B746" t="s">
        <v>1415</v>
      </c>
      <c r="C746" t="s">
        <v>1412</v>
      </c>
      <c r="D746" t="s">
        <v>150</v>
      </c>
      <c r="E746">
        <v>0</v>
      </c>
      <c r="F746" s="3">
        <v>46234</v>
      </c>
      <c r="G746" s="3">
        <v>46238</v>
      </c>
      <c r="H746" t="s">
        <v>74</v>
      </c>
      <c r="I746" t="s">
        <v>151</v>
      </c>
      <c r="J746" t="s">
        <v>181</v>
      </c>
      <c r="L746" s="3">
        <v>46231</v>
      </c>
      <c r="M746" s="3">
        <v>46231</v>
      </c>
      <c r="N746">
        <v>744</v>
      </c>
      <c r="Q746" t="s">
        <v>1401</v>
      </c>
      <c r="Z746" t="s">
        <v>49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 hidden="1">
      <c r="A747">
        <v>746</v>
      </c>
      <c r="B747" t="s">
        <v>1416</v>
      </c>
      <c r="C747" t="s">
        <v>1399</v>
      </c>
      <c r="D747" t="s">
        <v>1417</v>
      </c>
      <c r="E747">
        <v>0</v>
      </c>
      <c r="F747" s="3">
        <v>46233</v>
      </c>
      <c r="G747" s="3">
        <v>46261</v>
      </c>
      <c r="H747" t="s">
        <v>74</v>
      </c>
      <c r="I747" t="s">
        <v>224</v>
      </c>
      <c r="J747" t="s">
        <v>181</v>
      </c>
      <c r="K747" s="3">
        <v>46226</v>
      </c>
      <c r="L747" s="3">
        <v>46254</v>
      </c>
      <c r="M747" s="3">
        <v>46254</v>
      </c>
      <c r="O747" t="s">
        <v>713</v>
      </c>
      <c r="Q747" t="s">
        <v>1401</v>
      </c>
      <c r="R747" t="s">
        <v>1418</v>
      </c>
      <c r="U747" t="s">
        <v>211</v>
      </c>
      <c r="V747" t="s">
        <v>134</v>
      </c>
      <c r="W747" t="s">
        <v>135</v>
      </c>
      <c r="X747" t="s">
        <v>213</v>
      </c>
      <c r="Y747">
        <v>1</v>
      </c>
      <c r="Z747" t="s">
        <v>43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 hidden="1">
      <c r="A748">
        <v>747</v>
      </c>
      <c r="B748" t="s">
        <v>1419</v>
      </c>
      <c r="C748" t="s">
        <v>1420</v>
      </c>
      <c r="D748" t="s">
        <v>139</v>
      </c>
      <c r="E748">
        <v>0</v>
      </c>
      <c r="F748" s="3">
        <v>46233</v>
      </c>
      <c r="G748" s="3">
        <v>46247</v>
      </c>
      <c r="H748" t="s">
        <v>74</v>
      </c>
      <c r="I748" t="s">
        <v>216</v>
      </c>
      <c r="J748" t="s">
        <v>181</v>
      </c>
      <c r="L748" s="3">
        <v>46240</v>
      </c>
      <c r="M748" s="3">
        <v>46240</v>
      </c>
      <c r="N748" t="s">
        <v>1421</v>
      </c>
      <c r="P748" t="s">
        <v>1422</v>
      </c>
      <c r="Q748" t="s">
        <v>1401</v>
      </c>
      <c r="Z748" t="s">
        <v>43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 hidden="1">
      <c r="A749">
        <v>748</v>
      </c>
      <c r="B749" t="s">
        <v>1423</v>
      </c>
      <c r="C749" t="s">
        <v>1420</v>
      </c>
      <c r="D749" t="s">
        <v>143</v>
      </c>
      <c r="E749">
        <v>0</v>
      </c>
      <c r="F749" s="3">
        <v>46247</v>
      </c>
      <c r="G749" s="3">
        <v>46254</v>
      </c>
      <c r="H749" t="s">
        <v>74</v>
      </c>
      <c r="I749" t="s">
        <v>140</v>
      </c>
      <c r="J749" t="s">
        <v>353</v>
      </c>
      <c r="L749" s="3">
        <v>46247</v>
      </c>
      <c r="M749" s="3">
        <v>46247</v>
      </c>
      <c r="N749">
        <v>747</v>
      </c>
      <c r="P749">
        <v>749</v>
      </c>
      <c r="Q749" t="s">
        <v>1401</v>
      </c>
      <c r="Z749" t="s">
        <v>49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</row>
    <row r="750" spans="1:39" hidden="1">
      <c r="A750">
        <v>749</v>
      </c>
      <c r="B750" t="s">
        <v>1424</v>
      </c>
      <c r="C750" t="s">
        <v>1420</v>
      </c>
      <c r="D750" t="s">
        <v>146</v>
      </c>
      <c r="E750">
        <v>0</v>
      </c>
      <c r="F750" s="3">
        <v>46254</v>
      </c>
      <c r="G750" s="3">
        <v>46259</v>
      </c>
      <c r="H750" t="s">
        <v>74</v>
      </c>
      <c r="I750" t="s">
        <v>147</v>
      </c>
      <c r="J750" t="s">
        <v>185</v>
      </c>
      <c r="L750" s="3">
        <v>46252</v>
      </c>
      <c r="M750" s="3">
        <v>46252</v>
      </c>
      <c r="N750">
        <v>748</v>
      </c>
      <c r="P750">
        <v>750</v>
      </c>
      <c r="Q750" t="s">
        <v>1401</v>
      </c>
      <c r="Z750" t="s">
        <v>49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 hidden="1">
      <c r="A751">
        <v>750</v>
      </c>
      <c r="B751" t="s">
        <v>1425</v>
      </c>
      <c r="C751" t="s">
        <v>1420</v>
      </c>
      <c r="D751" t="s">
        <v>150</v>
      </c>
      <c r="E751">
        <v>0</v>
      </c>
      <c r="F751" s="3">
        <v>46259</v>
      </c>
      <c r="G751" s="3">
        <v>46261</v>
      </c>
      <c r="H751" t="s">
        <v>74</v>
      </c>
      <c r="I751" t="s">
        <v>151</v>
      </c>
      <c r="J751" t="s">
        <v>185</v>
      </c>
      <c r="L751" s="3">
        <v>46254</v>
      </c>
      <c r="M751" s="3">
        <v>46254</v>
      </c>
      <c r="N751">
        <v>749</v>
      </c>
      <c r="Q751" t="s">
        <v>1401</v>
      </c>
      <c r="Z751" t="s">
        <v>49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 hidden="1">
      <c r="A752">
        <v>751</v>
      </c>
      <c r="B752" t="s">
        <v>1426</v>
      </c>
      <c r="C752" t="s">
        <v>1399</v>
      </c>
      <c r="D752" t="s">
        <v>1427</v>
      </c>
      <c r="E752">
        <v>0</v>
      </c>
      <c r="F752" s="3">
        <v>46219</v>
      </c>
      <c r="G752" s="3">
        <v>46252</v>
      </c>
      <c r="H752" t="s">
        <v>74</v>
      </c>
      <c r="I752" t="s">
        <v>208</v>
      </c>
      <c r="J752" t="s">
        <v>219</v>
      </c>
      <c r="K752" s="3">
        <v>46212</v>
      </c>
      <c r="L752" s="3">
        <v>46245</v>
      </c>
      <c r="M752" s="3">
        <v>46245</v>
      </c>
      <c r="O752" t="s">
        <v>713</v>
      </c>
      <c r="Q752" t="s">
        <v>1401</v>
      </c>
      <c r="R752" t="s">
        <v>1428</v>
      </c>
      <c r="U752" t="s">
        <v>211</v>
      </c>
      <c r="V752" t="s">
        <v>134</v>
      </c>
      <c r="W752" t="s">
        <v>135</v>
      </c>
      <c r="X752" t="s">
        <v>213</v>
      </c>
      <c r="Y752">
        <v>1</v>
      </c>
      <c r="Z752" t="s">
        <v>49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 hidden="1">
      <c r="A753">
        <v>752</v>
      </c>
      <c r="B753" t="s">
        <v>1429</v>
      </c>
      <c r="C753" t="s">
        <v>1430</v>
      </c>
      <c r="D753" t="s">
        <v>139</v>
      </c>
      <c r="E753">
        <v>0</v>
      </c>
      <c r="F753" s="3">
        <v>46219</v>
      </c>
      <c r="G753" s="3">
        <v>46233</v>
      </c>
      <c r="H753" t="s">
        <v>74</v>
      </c>
      <c r="I753" t="s">
        <v>216</v>
      </c>
      <c r="J753" t="s">
        <v>219</v>
      </c>
      <c r="L753" s="3">
        <v>46226</v>
      </c>
      <c r="M753" s="3">
        <v>46226</v>
      </c>
      <c r="N753" t="s">
        <v>1431</v>
      </c>
      <c r="P753">
        <v>753</v>
      </c>
      <c r="Q753" t="s">
        <v>1401</v>
      </c>
      <c r="Z753" t="s">
        <v>49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 hidden="1">
      <c r="A754">
        <v>753</v>
      </c>
      <c r="B754" t="s">
        <v>1432</v>
      </c>
      <c r="C754" t="s">
        <v>1430</v>
      </c>
      <c r="D754" t="s">
        <v>143</v>
      </c>
      <c r="E754">
        <v>0</v>
      </c>
      <c r="F754" s="3">
        <v>46233</v>
      </c>
      <c r="G754" s="3">
        <v>46240</v>
      </c>
      <c r="H754" t="s">
        <v>74</v>
      </c>
      <c r="I754" t="s">
        <v>140</v>
      </c>
      <c r="J754" t="s">
        <v>181</v>
      </c>
      <c r="L754" s="3">
        <v>46233</v>
      </c>
      <c r="M754" s="3">
        <v>46233</v>
      </c>
      <c r="N754">
        <v>752</v>
      </c>
      <c r="P754">
        <v>754</v>
      </c>
      <c r="Q754" t="s">
        <v>1401</v>
      </c>
      <c r="Z754" t="s">
        <v>49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hidden="1">
      <c r="A755">
        <v>754</v>
      </c>
      <c r="B755" t="s">
        <v>1433</v>
      </c>
      <c r="C755" t="s">
        <v>1430</v>
      </c>
      <c r="D755" t="s">
        <v>146</v>
      </c>
      <c r="E755">
        <v>0</v>
      </c>
      <c r="F755" s="3">
        <v>46240</v>
      </c>
      <c r="G755" s="3">
        <v>46245</v>
      </c>
      <c r="H755" t="s">
        <v>74</v>
      </c>
      <c r="I755" t="s">
        <v>147</v>
      </c>
      <c r="J755" t="s">
        <v>79</v>
      </c>
      <c r="L755" s="3">
        <v>46238</v>
      </c>
      <c r="M755" s="3">
        <v>46238</v>
      </c>
      <c r="N755">
        <v>753</v>
      </c>
      <c r="P755">
        <v>755</v>
      </c>
      <c r="Q755" t="s">
        <v>1401</v>
      </c>
      <c r="Z755" t="s">
        <v>49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 hidden="1">
      <c r="A756">
        <v>755</v>
      </c>
      <c r="B756" t="s">
        <v>1434</v>
      </c>
      <c r="C756" t="s">
        <v>1430</v>
      </c>
      <c r="D756" t="s">
        <v>150</v>
      </c>
      <c r="E756">
        <v>0</v>
      </c>
      <c r="F756" s="3">
        <v>46245</v>
      </c>
      <c r="G756" s="3">
        <v>46252</v>
      </c>
      <c r="H756" t="s">
        <v>74</v>
      </c>
      <c r="I756" t="s">
        <v>140</v>
      </c>
      <c r="J756" t="s">
        <v>79</v>
      </c>
      <c r="L756" s="3">
        <v>46245</v>
      </c>
      <c r="M756" s="3">
        <v>46245</v>
      </c>
      <c r="N756">
        <v>754</v>
      </c>
      <c r="Q756" t="s">
        <v>1401</v>
      </c>
      <c r="Z756" t="s">
        <v>49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 hidden="1">
      <c r="A757">
        <v>756</v>
      </c>
      <c r="B757" t="s">
        <v>1435</v>
      </c>
      <c r="C757" t="s">
        <v>1399</v>
      </c>
      <c r="D757" t="s">
        <v>1436</v>
      </c>
      <c r="E757">
        <v>0</v>
      </c>
      <c r="F757" s="3">
        <v>46219</v>
      </c>
      <c r="G757" s="3">
        <v>46247</v>
      </c>
      <c r="H757" t="s">
        <v>74</v>
      </c>
      <c r="I757" t="s">
        <v>224</v>
      </c>
      <c r="J757" t="s">
        <v>219</v>
      </c>
      <c r="K757" s="3">
        <v>46212</v>
      </c>
      <c r="L757" s="3">
        <v>46240</v>
      </c>
      <c r="M757" s="3">
        <v>46240</v>
      </c>
      <c r="O757" t="s">
        <v>713</v>
      </c>
      <c r="Q757" t="s">
        <v>1401</v>
      </c>
      <c r="R757" t="s">
        <v>1437</v>
      </c>
      <c r="U757" t="s">
        <v>211</v>
      </c>
      <c r="V757" t="s">
        <v>134</v>
      </c>
      <c r="W757" t="s">
        <v>135</v>
      </c>
      <c r="X757" t="s">
        <v>213</v>
      </c>
      <c r="Y757">
        <v>1</v>
      </c>
      <c r="Z757" t="s">
        <v>49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 hidden="1">
      <c r="A758">
        <v>757</v>
      </c>
      <c r="B758" t="s">
        <v>1438</v>
      </c>
      <c r="C758" t="s">
        <v>1439</v>
      </c>
      <c r="D758" t="s">
        <v>139</v>
      </c>
      <c r="E758">
        <v>0</v>
      </c>
      <c r="F758" s="3">
        <v>46219</v>
      </c>
      <c r="G758" s="3">
        <v>46233</v>
      </c>
      <c r="H758" t="s">
        <v>74</v>
      </c>
      <c r="I758" t="s">
        <v>216</v>
      </c>
      <c r="J758" t="s">
        <v>219</v>
      </c>
      <c r="L758" s="3">
        <v>46226</v>
      </c>
      <c r="M758" s="3">
        <v>46226</v>
      </c>
      <c r="N758" t="s">
        <v>1431</v>
      </c>
      <c r="P758">
        <v>758</v>
      </c>
      <c r="Q758" t="s">
        <v>1401</v>
      </c>
      <c r="Z758" t="s">
        <v>49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 hidden="1">
      <c r="A759">
        <v>758</v>
      </c>
      <c r="B759" t="s">
        <v>1440</v>
      </c>
      <c r="C759" t="s">
        <v>1439</v>
      </c>
      <c r="D759" t="s">
        <v>143</v>
      </c>
      <c r="E759">
        <v>0</v>
      </c>
      <c r="F759" s="3">
        <v>46233</v>
      </c>
      <c r="G759" s="3">
        <v>46240</v>
      </c>
      <c r="H759" t="s">
        <v>74</v>
      </c>
      <c r="I759" t="s">
        <v>140</v>
      </c>
      <c r="J759" t="s">
        <v>181</v>
      </c>
      <c r="L759" s="3">
        <v>46233</v>
      </c>
      <c r="M759" s="3">
        <v>46233</v>
      </c>
      <c r="N759">
        <v>757</v>
      </c>
      <c r="P759">
        <v>759</v>
      </c>
      <c r="Q759" t="s">
        <v>1401</v>
      </c>
      <c r="Z759" t="s">
        <v>49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 hidden="1">
      <c r="A760">
        <v>759</v>
      </c>
      <c r="B760" t="s">
        <v>1441</v>
      </c>
      <c r="C760" t="s">
        <v>1439</v>
      </c>
      <c r="D760" t="s">
        <v>146</v>
      </c>
      <c r="E760">
        <v>0</v>
      </c>
      <c r="F760" s="3">
        <v>46240</v>
      </c>
      <c r="G760" s="3">
        <v>46245</v>
      </c>
      <c r="H760" t="s">
        <v>74</v>
      </c>
      <c r="I760" t="s">
        <v>147</v>
      </c>
      <c r="J760" t="s">
        <v>79</v>
      </c>
      <c r="L760" s="3">
        <v>46238</v>
      </c>
      <c r="M760" s="3">
        <v>46238</v>
      </c>
      <c r="N760">
        <v>758</v>
      </c>
      <c r="P760">
        <v>760</v>
      </c>
      <c r="Q760" t="s">
        <v>1401</v>
      </c>
      <c r="Z760" t="s">
        <v>49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hidden="1">
      <c r="A761">
        <v>760</v>
      </c>
      <c r="B761" t="s">
        <v>1442</v>
      </c>
      <c r="C761" t="s">
        <v>1439</v>
      </c>
      <c r="D761" t="s">
        <v>150</v>
      </c>
      <c r="E761">
        <v>0</v>
      </c>
      <c r="F761" s="3">
        <v>46245</v>
      </c>
      <c r="G761" s="3">
        <v>46247</v>
      </c>
      <c r="H761" t="s">
        <v>74</v>
      </c>
      <c r="I761" t="s">
        <v>151</v>
      </c>
      <c r="J761" t="s">
        <v>79</v>
      </c>
      <c r="L761" s="3">
        <v>46240</v>
      </c>
      <c r="M761" s="3">
        <v>46240</v>
      </c>
      <c r="N761">
        <v>759</v>
      </c>
      <c r="Q761" t="s">
        <v>1401</v>
      </c>
      <c r="Z761" t="s">
        <v>49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 hidden="1">
      <c r="A762">
        <v>761</v>
      </c>
      <c r="B762" t="s">
        <v>1443</v>
      </c>
      <c r="C762" t="s">
        <v>1399</v>
      </c>
      <c r="D762" t="s">
        <v>1444</v>
      </c>
      <c r="E762">
        <v>0</v>
      </c>
      <c r="F762" s="3">
        <v>46219</v>
      </c>
      <c r="G762" s="3">
        <v>46247</v>
      </c>
      <c r="H762" t="s">
        <v>74</v>
      </c>
      <c r="I762" t="s">
        <v>224</v>
      </c>
      <c r="J762" t="s">
        <v>219</v>
      </c>
      <c r="K762" s="3">
        <v>46212</v>
      </c>
      <c r="L762" s="3">
        <v>46240</v>
      </c>
      <c r="M762" s="3">
        <v>46240</v>
      </c>
      <c r="O762" t="s">
        <v>713</v>
      </c>
      <c r="Q762" t="s">
        <v>1401</v>
      </c>
      <c r="R762" t="s">
        <v>1445</v>
      </c>
      <c r="U762" t="s">
        <v>211</v>
      </c>
      <c r="V762" t="s">
        <v>134</v>
      </c>
      <c r="W762" t="s">
        <v>135</v>
      </c>
      <c r="X762" t="s">
        <v>213</v>
      </c>
      <c r="Y762">
        <v>1</v>
      </c>
      <c r="Z762" t="s">
        <v>43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hidden="1">
      <c r="A763">
        <v>762</v>
      </c>
      <c r="B763" t="s">
        <v>1446</v>
      </c>
      <c r="C763" t="s">
        <v>1447</v>
      </c>
      <c r="D763" t="s">
        <v>139</v>
      </c>
      <c r="E763">
        <v>0</v>
      </c>
      <c r="F763" s="3">
        <v>46219</v>
      </c>
      <c r="G763" s="3">
        <v>46233</v>
      </c>
      <c r="H763" t="s">
        <v>74</v>
      </c>
      <c r="I763" t="s">
        <v>216</v>
      </c>
      <c r="J763" t="s">
        <v>219</v>
      </c>
      <c r="L763" s="3">
        <v>46226</v>
      </c>
      <c r="M763" s="3">
        <v>46226</v>
      </c>
      <c r="N763" t="s">
        <v>1431</v>
      </c>
      <c r="P763" t="s">
        <v>1448</v>
      </c>
      <c r="Q763" t="s">
        <v>1401</v>
      </c>
      <c r="Z763" t="s">
        <v>43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hidden="1">
      <c r="A764">
        <v>763</v>
      </c>
      <c r="B764" t="s">
        <v>1449</v>
      </c>
      <c r="C764" t="s">
        <v>1447</v>
      </c>
      <c r="D764" t="s">
        <v>143</v>
      </c>
      <c r="E764">
        <v>0</v>
      </c>
      <c r="F764" s="3">
        <v>46233</v>
      </c>
      <c r="G764" s="3">
        <v>46240</v>
      </c>
      <c r="H764" t="s">
        <v>74</v>
      </c>
      <c r="I764" t="s">
        <v>140</v>
      </c>
      <c r="J764" t="s">
        <v>181</v>
      </c>
      <c r="L764" s="3">
        <v>46233</v>
      </c>
      <c r="M764" s="3">
        <v>46233</v>
      </c>
      <c r="N764">
        <v>762</v>
      </c>
      <c r="P764">
        <v>764</v>
      </c>
      <c r="Q764" t="s">
        <v>1401</v>
      </c>
      <c r="Z764" t="s">
        <v>49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 hidden="1">
      <c r="A765">
        <v>764</v>
      </c>
      <c r="B765" t="s">
        <v>1450</v>
      </c>
      <c r="C765" t="s">
        <v>1447</v>
      </c>
      <c r="D765" t="s">
        <v>146</v>
      </c>
      <c r="E765">
        <v>0</v>
      </c>
      <c r="F765" s="3">
        <v>46240</v>
      </c>
      <c r="G765" s="3">
        <v>46245</v>
      </c>
      <c r="H765" t="s">
        <v>74</v>
      </c>
      <c r="I765" t="s">
        <v>147</v>
      </c>
      <c r="J765" t="s">
        <v>79</v>
      </c>
      <c r="L765" s="3">
        <v>46238</v>
      </c>
      <c r="M765" s="3">
        <v>46238</v>
      </c>
      <c r="N765">
        <v>763</v>
      </c>
      <c r="P765">
        <v>765</v>
      </c>
      <c r="Q765" t="s">
        <v>1401</v>
      </c>
      <c r="Z765" t="s">
        <v>49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 hidden="1">
      <c r="A766">
        <v>765</v>
      </c>
      <c r="B766" t="s">
        <v>1451</v>
      </c>
      <c r="C766" t="s">
        <v>1447</v>
      </c>
      <c r="D766" t="s">
        <v>150</v>
      </c>
      <c r="E766">
        <v>0</v>
      </c>
      <c r="F766" s="3">
        <v>46245</v>
      </c>
      <c r="G766" s="3">
        <v>46247</v>
      </c>
      <c r="H766" t="s">
        <v>74</v>
      </c>
      <c r="I766" t="s">
        <v>151</v>
      </c>
      <c r="J766" t="s">
        <v>79</v>
      </c>
      <c r="L766" s="3">
        <v>46240</v>
      </c>
      <c r="M766" s="3">
        <v>46240</v>
      </c>
      <c r="N766">
        <v>764</v>
      </c>
      <c r="Q766" t="s">
        <v>1401</v>
      </c>
      <c r="Z766" t="s">
        <v>49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 hidden="1">
      <c r="A767">
        <v>766</v>
      </c>
      <c r="B767" t="s">
        <v>1452</v>
      </c>
      <c r="C767" t="s">
        <v>1399</v>
      </c>
      <c r="D767" t="s">
        <v>1453</v>
      </c>
      <c r="E767">
        <v>0</v>
      </c>
      <c r="F767" s="3">
        <v>46233</v>
      </c>
      <c r="G767" s="3">
        <v>46265</v>
      </c>
      <c r="H767" t="s">
        <v>74</v>
      </c>
      <c r="I767" t="s">
        <v>1255</v>
      </c>
      <c r="J767" t="s">
        <v>181</v>
      </c>
      <c r="K767" s="3">
        <v>46226</v>
      </c>
      <c r="L767" s="3">
        <v>46258</v>
      </c>
      <c r="M767" s="3">
        <v>46258</v>
      </c>
      <c r="O767" t="s">
        <v>713</v>
      </c>
      <c r="Q767" t="s">
        <v>1401</v>
      </c>
      <c r="R767" t="s">
        <v>1454</v>
      </c>
      <c r="U767" t="s">
        <v>211</v>
      </c>
      <c r="V767" t="s">
        <v>134</v>
      </c>
      <c r="W767" t="s">
        <v>135</v>
      </c>
      <c r="X767" t="s">
        <v>213</v>
      </c>
      <c r="Y767">
        <v>1</v>
      </c>
      <c r="Z767" t="s">
        <v>43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 hidden="1">
      <c r="A768">
        <v>767</v>
      </c>
      <c r="B768" t="s">
        <v>1455</v>
      </c>
      <c r="C768" t="s">
        <v>1456</v>
      </c>
      <c r="D768" t="s">
        <v>139</v>
      </c>
      <c r="E768">
        <v>0</v>
      </c>
      <c r="F768" s="3">
        <v>46233</v>
      </c>
      <c r="G768" s="3">
        <v>46247</v>
      </c>
      <c r="H768" t="s">
        <v>74</v>
      </c>
      <c r="I768" t="s">
        <v>216</v>
      </c>
      <c r="J768" t="s">
        <v>181</v>
      </c>
      <c r="L768" s="3">
        <v>46240</v>
      </c>
      <c r="M768" s="3">
        <v>46240</v>
      </c>
      <c r="N768">
        <v>762</v>
      </c>
      <c r="P768">
        <v>768</v>
      </c>
      <c r="Q768" t="s">
        <v>1401</v>
      </c>
      <c r="Z768" t="s">
        <v>43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 hidden="1">
      <c r="A769">
        <v>768</v>
      </c>
      <c r="B769" t="s">
        <v>1457</v>
      </c>
      <c r="C769" t="s">
        <v>1456</v>
      </c>
      <c r="D769" t="s">
        <v>143</v>
      </c>
      <c r="E769">
        <v>0</v>
      </c>
      <c r="F769" s="3">
        <v>46247</v>
      </c>
      <c r="G769" s="3">
        <v>46254</v>
      </c>
      <c r="H769" t="s">
        <v>74</v>
      </c>
      <c r="I769" t="s">
        <v>140</v>
      </c>
      <c r="J769" t="s">
        <v>353</v>
      </c>
      <c r="L769" s="3">
        <v>46247</v>
      </c>
      <c r="M769" s="3">
        <v>46247</v>
      </c>
      <c r="N769">
        <v>767</v>
      </c>
      <c r="P769" t="s">
        <v>1458</v>
      </c>
      <c r="Q769" t="s">
        <v>1401</v>
      </c>
      <c r="Z769" t="s">
        <v>43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</row>
    <row r="770" spans="1:39" hidden="1">
      <c r="A770">
        <v>769</v>
      </c>
      <c r="B770" t="s">
        <v>1459</v>
      </c>
      <c r="C770" t="s">
        <v>1456</v>
      </c>
      <c r="D770" t="s">
        <v>146</v>
      </c>
      <c r="E770">
        <v>0</v>
      </c>
      <c r="F770" s="3">
        <v>46254</v>
      </c>
      <c r="G770" s="3">
        <v>46261</v>
      </c>
      <c r="H770" t="s">
        <v>74</v>
      </c>
      <c r="I770" t="s">
        <v>140</v>
      </c>
      <c r="J770" t="s">
        <v>185</v>
      </c>
      <c r="L770" s="3">
        <v>46254</v>
      </c>
      <c r="M770" s="3">
        <v>46254</v>
      </c>
      <c r="N770">
        <v>768</v>
      </c>
      <c r="P770">
        <v>770</v>
      </c>
      <c r="Q770" t="s">
        <v>1401</v>
      </c>
      <c r="Z770" t="s">
        <v>49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hidden="1">
      <c r="A771">
        <v>770</v>
      </c>
      <c r="B771" t="s">
        <v>1460</v>
      </c>
      <c r="C771" t="s">
        <v>1456</v>
      </c>
      <c r="D771" t="s">
        <v>150</v>
      </c>
      <c r="E771">
        <v>0</v>
      </c>
      <c r="F771" s="3">
        <v>46261</v>
      </c>
      <c r="G771" s="3">
        <v>46265</v>
      </c>
      <c r="H771" t="s">
        <v>74</v>
      </c>
      <c r="I771" t="s">
        <v>151</v>
      </c>
      <c r="J771" t="s">
        <v>185</v>
      </c>
      <c r="L771" s="3">
        <v>46258</v>
      </c>
      <c r="M771" s="3">
        <v>46258</v>
      </c>
      <c r="N771">
        <v>769</v>
      </c>
      <c r="Q771" t="s">
        <v>1401</v>
      </c>
      <c r="Z771" t="s">
        <v>49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 hidden="1">
      <c r="A772">
        <v>771</v>
      </c>
      <c r="B772" t="s">
        <v>1461</v>
      </c>
      <c r="C772" t="s">
        <v>1399</v>
      </c>
      <c r="D772" t="s">
        <v>1462</v>
      </c>
      <c r="E772">
        <v>0</v>
      </c>
      <c r="F772" s="3">
        <v>46233</v>
      </c>
      <c r="G772" s="3">
        <v>46261</v>
      </c>
      <c r="H772" t="s">
        <v>74</v>
      </c>
      <c r="I772" t="s">
        <v>224</v>
      </c>
      <c r="J772" t="s">
        <v>181</v>
      </c>
      <c r="K772" s="3">
        <v>46226</v>
      </c>
      <c r="L772" s="3">
        <v>46254</v>
      </c>
      <c r="M772" s="3">
        <v>46254</v>
      </c>
      <c r="O772" t="s">
        <v>713</v>
      </c>
      <c r="Q772" t="s">
        <v>1401</v>
      </c>
      <c r="R772" t="s">
        <v>1463</v>
      </c>
      <c r="U772" t="s">
        <v>211</v>
      </c>
      <c r="V772" t="s">
        <v>134</v>
      </c>
      <c r="W772" t="s">
        <v>135</v>
      </c>
      <c r="X772" t="s">
        <v>213</v>
      </c>
      <c r="Y772">
        <v>1</v>
      </c>
      <c r="Z772" t="s">
        <v>49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 hidden="1">
      <c r="A773">
        <v>772</v>
      </c>
      <c r="B773" t="s">
        <v>1464</v>
      </c>
      <c r="C773" t="s">
        <v>1465</v>
      </c>
      <c r="D773" t="s">
        <v>139</v>
      </c>
      <c r="E773">
        <v>0</v>
      </c>
      <c r="F773" s="3">
        <v>46233</v>
      </c>
      <c r="G773" s="3">
        <v>46247</v>
      </c>
      <c r="H773" t="s">
        <v>74</v>
      </c>
      <c r="I773" t="s">
        <v>216</v>
      </c>
      <c r="J773" t="s">
        <v>181</v>
      </c>
      <c r="L773" s="3">
        <v>46240</v>
      </c>
      <c r="M773" s="3">
        <v>46240</v>
      </c>
      <c r="N773" t="s">
        <v>1466</v>
      </c>
      <c r="P773">
        <v>773</v>
      </c>
      <c r="Q773" t="s">
        <v>1401</v>
      </c>
      <c r="Z773" t="s">
        <v>49</v>
      </c>
      <c r="AB773">
        <v>0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hidden="1">
      <c r="A774">
        <v>773</v>
      </c>
      <c r="B774" t="s">
        <v>1467</v>
      </c>
      <c r="C774" t="s">
        <v>1465</v>
      </c>
      <c r="D774" t="s">
        <v>143</v>
      </c>
      <c r="E774">
        <v>0</v>
      </c>
      <c r="F774" s="3">
        <v>46247</v>
      </c>
      <c r="G774" s="3">
        <v>46254</v>
      </c>
      <c r="H774" t="s">
        <v>74</v>
      </c>
      <c r="I774" t="s">
        <v>140</v>
      </c>
      <c r="J774" t="s">
        <v>353</v>
      </c>
      <c r="L774" s="3">
        <v>46247</v>
      </c>
      <c r="M774" s="3">
        <v>46247</v>
      </c>
      <c r="N774">
        <v>772</v>
      </c>
      <c r="P774">
        <v>774</v>
      </c>
      <c r="Q774" t="s">
        <v>1401</v>
      </c>
      <c r="Z774" t="s">
        <v>49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 hidden="1">
      <c r="A775">
        <v>774</v>
      </c>
      <c r="B775" t="s">
        <v>1468</v>
      </c>
      <c r="C775" t="s">
        <v>1465</v>
      </c>
      <c r="D775" t="s">
        <v>146</v>
      </c>
      <c r="E775">
        <v>0</v>
      </c>
      <c r="F775" s="3">
        <v>46254</v>
      </c>
      <c r="G775" s="3">
        <v>46259</v>
      </c>
      <c r="H775" t="s">
        <v>74</v>
      </c>
      <c r="I775" t="s">
        <v>147</v>
      </c>
      <c r="J775" t="s">
        <v>185</v>
      </c>
      <c r="L775" s="3">
        <v>46252</v>
      </c>
      <c r="M775" s="3">
        <v>46252</v>
      </c>
      <c r="N775">
        <v>773</v>
      </c>
      <c r="P775">
        <v>775</v>
      </c>
      <c r="Q775" t="s">
        <v>1401</v>
      </c>
      <c r="Z775" t="s">
        <v>49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 hidden="1">
      <c r="A776">
        <v>775</v>
      </c>
      <c r="B776" t="s">
        <v>1469</v>
      </c>
      <c r="C776" t="s">
        <v>1465</v>
      </c>
      <c r="D776" t="s">
        <v>150</v>
      </c>
      <c r="E776">
        <v>0</v>
      </c>
      <c r="F776" s="3">
        <v>46259</v>
      </c>
      <c r="G776" s="3">
        <v>46261</v>
      </c>
      <c r="H776" t="s">
        <v>74</v>
      </c>
      <c r="I776" t="s">
        <v>151</v>
      </c>
      <c r="J776" t="s">
        <v>185</v>
      </c>
      <c r="L776" s="3">
        <v>46254</v>
      </c>
      <c r="M776" s="3">
        <v>46254</v>
      </c>
      <c r="N776">
        <v>774</v>
      </c>
      <c r="Q776" t="s">
        <v>1401</v>
      </c>
      <c r="Z776" t="s">
        <v>49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 hidden="1">
      <c r="A777">
        <v>776</v>
      </c>
      <c r="B777" t="s">
        <v>1470</v>
      </c>
      <c r="C777" t="s">
        <v>1399</v>
      </c>
      <c r="D777" t="s">
        <v>1471</v>
      </c>
      <c r="E777">
        <v>0</v>
      </c>
      <c r="F777" s="3">
        <v>46233</v>
      </c>
      <c r="G777" s="3">
        <v>46265</v>
      </c>
      <c r="H777" t="s">
        <v>74</v>
      </c>
      <c r="I777" t="s">
        <v>1255</v>
      </c>
      <c r="J777" t="s">
        <v>181</v>
      </c>
      <c r="K777" s="3">
        <v>46226</v>
      </c>
      <c r="L777" s="3">
        <v>46258</v>
      </c>
      <c r="M777" s="3">
        <v>46258</v>
      </c>
      <c r="O777" t="s">
        <v>713</v>
      </c>
      <c r="Q777" t="s">
        <v>1401</v>
      </c>
      <c r="R777" t="s">
        <v>1472</v>
      </c>
      <c r="U777" t="s">
        <v>211</v>
      </c>
      <c r="V777" t="s">
        <v>134</v>
      </c>
      <c r="W777" t="s">
        <v>135</v>
      </c>
      <c r="X777" t="s">
        <v>213</v>
      </c>
      <c r="Y777">
        <v>1</v>
      </c>
      <c r="Z777" t="s">
        <v>49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 hidden="1">
      <c r="A778">
        <v>777</v>
      </c>
      <c r="B778" t="s">
        <v>1473</v>
      </c>
      <c r="C778" t="s">
        <v>1474</v>
      </c>
      <c r="D778" t="s">
        <v>139</v>
      </c>
      <c r="E778">
        <v>0</v>
      </c>
      <c r="F778" s="3">
        <v>46233</v>
      </c>
      <c r="G778" s="3">
        <v>46247</v>
      </c>
      <c r="H778" t="s">
        <v>74</v>
      </c>
      <c r="I778" t="s">
        <v>216</v>
      </c>
      <c r="J778" t="s">
        <v>181</v>
      </c>
      <c r="L778" s="3">
        <v>46240</v>
      </c>
      <c r="M778" s="3">
        <v>46240</v>
      </c>
      <c r="N778" t="s">
        <v>1466</v>
      </c>
      <c r="P778">
        <v>778</v>
      </c>
      <c r="Q778" t="s">
        <v>1401</v>
      </c>
      <c r="Z778" t="s">
        <v>49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 spans="1:39" hidden="1">
      <c r="A779">
        <v>778</v>
      </c>
      <c r="B779" t="s">
        <v>1475</v>
      </c>
      <c r="C779" t="s">
        <v>1474</v>
      </c>
      <c r="D779" t="s">
        <v>143</v>
      </c>
      <c r="E779">
        <v>0</v>
      </c>
      <c r="F779" s="3">
        <v>46247</v>
      </c>
      <c r="G779" s="3">
        <v>46254</v>
      </c>
      <c r="H779" t="s">
        <v>74</v>
      </c>
      <c r="I779" t="s">
        <v>140</v>
      </c>
      <c r="J779" t="s">
        <v>353</v>
      </c>
      <c r="L779" s="3">
        <v>46247</v>
      </c>
      <c r="M779" s="3">
        <v>46247</v>
      </c>
      <c r="N779">
        <v>777</v>
      </c>
      <c r="P779">
        <v>779</v>
      </c>
      <c r="Q779" t="s">
        <v>1401</v>
      </c>
      <c r="Z779" t="s">
        <v>49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</row>
    <row r="780" spans="1:39" hidden="1">
      <c r="A780">
        <v>779</v>
      </c>
      <c r="B780" t="s">
        <v>1476</v>
      </c>
      <c r="C780" t="s">
        <v>1474</v>
      </c>
      <c r="D780" t="s">
        <v>146</v>
      </c>
      <c r="E780">
        <v>0</v>
      </c>
      <c r="F780" s="3">
        <v>46254</v>
      </c>
      <c r="G780" s="3">
        <v>46261</v>
      </c>
      <c r="H780" t="s">
        <v>74</v>
      </c>
      <c r="I780" t="s">
        <v>140</v>
      </c>
      <c r="J780" t="s">
        <v>185</v>
      </c>
      <c r="L780" s="3">
        <v>46254</v>
      </c>
      <c r="M780" s="3">
        <v>46254</v>
      </c>
      <c r="N780">
        <v>778</v>
      </c>
      <c r="P780">
        <v>780</v>
      </c>
      <c r="Q780" t="s">
        <v>1401</v>
      </c>
      <c r="Z780" t="s">
        <v>49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 hidden="1">
      <c r="A781">
        <v>780</v>
      </c>
      <c r="B781" t="s">
        <v>1477</v>
      </c>
      <c r="C781" t="s">
        <v>1474</v>
      </c>
      <c r="D781" t="s">
        <v>150</v>
      </c>
      <c r="E781">
        <v>0</v>
      </c>
      <c r="F781" s="3">
        <v>46261</v>
      </c>
      <c r="G781" s="3">
        <v>46265</v>
      </c>
      <c r="H781" t="s">
        <v>74</v>
      </c>
      <c r="I781" t="s">
        <v>151</v>
      </c>
      <c r="J781" t="s">
        <v>185</v>
      </c>
      <c r="L781" s="3">
        <v>46258</v>
      </c>
      <c r="M781" s="3">
        <v>46258</v>
      </c>
      <c r="N781">
        <v>779</v>
      </c>
      <c r="Q781" t="s">
        <v>1401</v>
      </c>
      <c r="Z781" t="s">
        <v>49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 hidden="1">
      <c r="A782">
        <v>781</v>
      </c>
      <c r="B782" t="s">
        <v>1478</v>
      </c>
      <c r="C782" t="s">
        <v>1399</v>
      </c>
      <c r="D782" t="s">
        <v>1479</v>
      </c>
      <c r="E782">
        <v>0</v>
      </c>
      <c r="F782" s="3">
        <v>46233</v>
      </c>
      <c r="G782" s="3">
        <v>46261</v>
      </c>
      <c r="H782" t="s">
        <v>74</v>
      </c>
      <c r="I782" t="s">
        <v>224</v>
      </c>
      <c r="J782" t="s">
        <v>181</v>
      </c>
      <c r="K782" s="3">
        <v>46226</v>
      </c>
      <c r="L782" s="3">
        <v>46254</v>
      </c>
      <c r="M782" s="3">
        <v>46254</v>
      </c>
      <c r="O782" t="s">
        <v>713</v>
      </c>
      <c r="Q782" t="s">
        <v>1401</v>
      </c>
      <c r="R782" t="s">
        <v>1480</v>
      </c>
      <c r="U782" t="s">
        <v>211</v>
      </c>
      <c r="V782" t="s">
        <v>134</v>
      </c>
      <c r="W782" t="s">
        <v>135</v>
      </c>
      <c r="X782" t="s">
        <v>213</v>
      </c>
      <c r="Y782">
        <v>1</v>
      </c>
      <c r="Z782" t="s">
        <v>49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 spans="1:39" hidden="1">
      <c r="A783">
        <v>782</v>
      </c>
      <c r="B783" t="s">
        <v>1481</v>
      </c>
      <c r="C783" t="s">
        <v>1482</v>
      </c>
      <c r="D783" t="s">
        <v>139</v>
      </c>
      <c r="E783">
        <v>0</v>
      </c>
      <c r="F783" s="3">
        <v>46233</v>
      </c>
      <c r="G783" s="3">
        <v>46247</v>
      </c>
      <c r="H783" t="s">
        <v>74</v>
      </c>
      <c r="I783" t="s">
        <v>216</v>
      </c>
      <c r="J783" t="s">
        <v>181</v>
      </c>
      <c r="L783" s="3">
        <v>46240</v>
      </c>
      <c r="M783" s="3">
        <v>46240</v>
      </c>
      <c r="N783" t="s">
        <v>1466</v>
      </c>
      <c r="P783">
        <v>783</v>
      </c>
      <c r="Q783" t="s">
        <v>1401</v>
      </c>
      <c r="Z783" t="s">
        <v>49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 hidden="1">
      <c r="A784">
        <v>783</v>
      </c>
      <c r="B784" t="s">
        <v>1483</v>
      </c>
      <c r="C784" t="s">
        <v>1482</v>
      </c>
      <c r="D784" t="s">
        <v>143</v>
      </c>
      <c r="E784">
        <v>0</v>
      </c>
      <c r="F784" s="3">
        <v>46247</v>
      </c>
      <c r="G784" s="3">
        <v>46254</v>
      </c>
      <c r="H784" t="s">
        <v>74</v>
      </c>
      <c r="I784" t="s">
        <v>140</v>
      </c>
      <c r="J784" t="s">
        <v>353</v>
      </c>
      <c r="L784" s="3">
        <v>46247</v>
      </c>
      <c r="M784" s="3">
        <v>46247</v>
      </c>
      <c r="N784">
        <v>782</v>
      </c>
      <c r="P784">
        <v>784</v>
      </c>
      <c r="Q784" t="s">
        <v>1401</v>
      </c>
      <c r="Z784" t="s">
        <v>49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</row>
    <row r="785" spans="1:39" hidden="1">
      <c r="A785">
        <v>784</v>
      </c>
      <c r="B785" t="s">
        <v>1484</v>
      </c>
      <c r="C785" t="s">
        <v>1482</v>
      </c>
      <c r="D785" t="s">
        <v>146</v>
      </c>
      <c r="E785">
        <v>0</v>
      </c>
      <c r="F785" s="3">
        <v>46254</v>
      </c>
      <c r="G785" s="3">
        <v>46259</v>
      </c>
      <c r="H785" t="s">
        <v>74</v>
      </c>
      <c r="I785" t="s">
        <v>147</v>
      </c>
      <c r="J785" t="s">
        <v>185</v>
      </c>
      <c r="L785" s="3">
        <v>46252</v>
      </c>
      <c r="M785" s="3">
        <v>46252</v>
      </c>
      <c r="N785">
        <v>783</v>
      </c>
      <c r="P785">
        <v>785</v>
      </c>
      <c r="Q785" t="s">
        <v>1401</v>
      </c>
      <c r="Z785" t="s">
        <v>49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 hidden="1">
      <c r="A786">
        <v>785</v>
      </c>
      <c r="B786" t="s">
        <v>1485</v>
      </c>
      <c r="C786" t="s">
        <v>1482</v>
      </c>
      <c r="D786" t="s">
        <v>150</v>
      </c>
      <c r="E786">
        <v>0</v>
      </c>
      <c r="F786" s="3">
        <v>46259</v>
      </c>
      <c r="G786" s="3">
        <v>46261</v>
      </c>
      <c r="H786" t="s">
        <v>74</v>
      </c>
      <c r="I786" t="s">
        <v>151</v>
      </c>
      <c r="J786" t="s">
        <v>185</v>
      </c>
      <c r="L786" s="3">
        <v>46254</v>
      </c>
      <c r="M786" s="3">
        <v>46254</v>
      </c>
      <c r="N786">
        <v>784</v>
      </c>
      <c r="Q786" t="s">
        <v>1401</v>
      </c>
      <c r="Z786" t="s">
        <v>49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 hidden="1">
      <c r="A787">
        <v>786</v>
      </c>
      <c r="B787" t="s">
        <v>1486</v>
      </c>
      <c r="C787" t="s">
        <v>1399</v>
      </c>
      <c r="D787" t="s">
        <v>1487</v>
      </c>
      <c r="E787">
        <v>0</v>
      </c>
      <c r="F787" s="3">
        <v>46233</v>
      </c>
      <c r="G787" s="3">
        <v>46261</v>
      </c>
      <c r="H787" t="s">
        <v>74</v>
      </c>
      <c r="I787" t="s">
        <v>224</v>
      </c>
      <c r="J787" t="s">
        <v>181</v>
      </c>
      <c r="K787" s="3">
        <v>46226</v>
      </c>
      <c r="L787" s="3">
        <v>46254</v>
      </c>
      <c r="M787" s="3">
        <v>46254</v>
      </c>
      <c r="O787" t="s">
        <v>713</v>
      </c>
      <c r="Q787" t="s">
        <v>1401</v>
      </c>
      <c r="R787" t="s">
        <v>1488</v>
      </c>
      <c r="U787" t="s">
        <v>211</v>
      </c>
      <c r="V787" t="s">
        <v>134</v>
      </c>
      <c r="W787" t="s">
        <v>135</v>
      </c>
      <c r="X787" t="s">
        <v>213</v>
      </c>
      <c r="Y787">
        <v>1</v>
      </c>
      <c r="Z787" t="s">
        <v>43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39" hidden="1">
      <c r="A788">
        <v>787</v>
      </c>
      <c r="B788" t="s">
        <v>1489</v>
      </c>
      <c r="C788" t="s">
        <v>1490</v>
      </c>
      <c r="D788" t="s">
        <v>139</v>
      </c>
      <c r="E788">
        <v>0</v>
      </c>
      <c r="F788" s="3">
        <v>46233</v>
      </c>
      <c r="G788" s="3">
        <v>46247</v>
      </c>
      <c r="H788" t="s">
        <v>74</v>
      </c>
      <c r="I788" t="s">
        <v>216</v>
      </c>
      <c r="J788" t="s">
        <v>181</v>
      </c>
      <c r="L788" s="3">
        <v>46240</v>
      </c>
      <c r="M788" s="3">
        <v>46240</v>
      </c>
      <c r="N788" t="s">
        <v>1466</v>
      </c>
      <c r="P788" t="s">
        <v>1491</v>
      </c>
      <c r="Q788" t="s">
        <v>1401</v>
      </c>
      <c r="Z788" t="s">
        <v>43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 hidden="1">
      <c r="A789">
        <v>788</v>
      </c>
      <c r="B789" t="s">
        <v>1492</v>
      </c>
      <c r="C789" t="s">
        <v>1490</v>
      </c>
      <c r="D789" t="s">
        <v>143</v>
      </c>
      <c r="E789">
        <v>0</v>
      </c>
      <c r="F789" s="3">
        <v>46247</v>
      </c>
      <c r="G789" s="3">
        <v>46254</v>
      </c>
      <c r="H789" t="s">
        <v>74</v>
      </c>
      <c r="I789" t="s">
        <v>140</v>
      </c>
      <c r="J789" t="s">
        <v>353</v>
      </c>
      <c r="L789" s="3">
        <v>46247</v>
      </c>
      <c r="M789" s="3">
        <v>46247</v>
      </c>
      <c r="N789">
        <v>787</v>
      </c>
      <c r="P789">
        <v>789</v>
      </c>
      <c r="Q789" t="s">
        <v>1401</v>
      </c>
      <c r="Z789" t="s">
        <v>49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 hidden="1">
      <c r="A790">
        <v>789</v>
      </c>
      <c r="B790" t="s">
        <v>1493</v>
      </c>
      <c r="C790" t="s">
        <v>1490</v>
      </c>
      <c r="D790" t="s">
        <v>146</v>
      </c>
      <c r="E790">
        <v>0</v>
      </c>
      <c r="F790" s="3">
        <v>46254</v>
      </c>
      <c r="G790" s="3">
        <v>46259</v>
      </c>
      <c r="H790" t="s">
        <v>74</v>
      </c>
      <c r="I790" t="s">
        <v>147</v>
      </c>
      <c r="J790" t="s">
        <v>185</v>
      </c>
      <c r="L790" s="3">
        <v>46252</v>
      </c>
      <c r="M790" s="3">
        <v>46252</v>
      </c>
      <c r="N790">
        <v>788</v>
      </c>
      <c r="P790">
        <v>790</v>
      </c>
      <c r="Q790" t="s">
        <v>1401</v>
      </c>
      <c r="Z790" t="s">
        <v>49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 hidden="1">
      <c r="A791">
        <v>790</v>
      </c>
      <c r="B791" t="s">
        <v>1494</v>
      </c>
      <c r="C791" t="s">
        <v>1490</v>
      </c>
      <c r="D791" t="s">
        <v>150</v>
      </c>
      <c r="E791">
        <v>0</v>
      </c>
      <c r="F791" s="3">
        <v>46259</v>
      </c>
      <c r="G791" s="3">
        <v>46261</v>
      </c>
      <c r="H791" t="s">
        <v>74</v>
      </c>
      <c r="I791" t="s">
        <v>151</v>
      </c>
      <c r="J791" t="s">
        <v>185</v>
      </c>
      <c r="L791" s="3">
        <v>46254</v>
      </c>
      <c r="M791" s="3">
        <v>46254</v>
      </c>
      <c r="N791">
        <v>789</v>
      </c>
      <c r="Q791" t="s">
        <v>1401</v>
      </c>
      <c r="Z791" t="s">
        <v>49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 hidden="1">
      <c r="A792">
        <v>791</v>
      </c>
      <c r="B792" t="s">
        <v>1495</v>
      </c>
      <c r="C792" t="s">
        <v>1399</v>
      </c>
      <c r="D792" t="s">
        <v>1496</v>
      </c>
      <c r="E792">
        <v>0</v>
      </c>
      <c r="F792" s="3">
        <v>46247</v>
      </c>
      <c r="G792" s="3">
        <v>46286</v>
      </c>
      <c r="H792" t="s">
        <v>74</v>
      </c>
      <c r="I792" t="s">
        <v>887</v>
      </c>
      <c r="J792" t="s">
        <v>353</v>
      </c>
      <c r="K792" s="3">
        <v>46240</v>
      </c>
      <c r="L792" s="3">
        <v>46279</v>
      </c>
      <c r="M792" s="3">
        <v>46279</v>
      </c>
      <c r="O792" t="s">
        <v>713</v>
      </c>
      <c r="Q792" t="s">
        <v>1401</v>
      </c>
      <c r="R792" t="s">
        <v>1497</v>
      </c>
      <c r="U792" t="s">
        <v>1351</v>
      </c>
      <c r="V792" t="s">
        <v>134</v>
      </c>
      <c r="W792" t="s">
        <v>135</v>
      </c>
      <c r="X792" t="s">
        <v>844</v>
      </c>
      <c r="Y792">
        <v>10</v>
      </c>
      <c r="Z792" t="s">
        <v>43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 hidden="1">
      <c r="A793">
        <v>792</v>
      </c>
      <c r="B793" t="s">
        <v>1498</v>
      </c>
      <c r="C793" t="s">
        <v>1499</v>
      </c>
      <c r="D793" t="s">
        <v>139</v>
      </c>
      <c r="E793">
        <v>0</v>
      </c>
      <c r="F793" s="3">
        <v>46247</v>
      </c>
      <c r="G793" s="3">
        <v>46268</v>
      </c>
      <c r="H793" t="s">
        <v>74</v>
      </c>
      <c r="I793" t="s">
        <v>129</v>
      </c>
      <c r="J793" t="s">
        <v>353</v>
      </c>
      <c r="L793" s="3">
        <v>46261</v>
      </c>
      <c r="M793" s="3">
        <v>46261</v>
      </c>
      <c r="N793" t="s">
        <v>1500</v>
      </c>
      <c r="P793">
        <v>793</v>
      </c>
      <c r="Q793" t="s">
        <v>1401</v>
      </c>
      <c r="Z793" t="s">
        <v>43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 hidden="1">
      <c r="A794">
        <v>793</v>
      </c>
      <c r="B794" t="s">
        <v>1501</v>
      </c>
      <c r="C794" t="s">
        <v>1499</v>
      </c>
      <c r="D794" t="s">
        <v>143</v>
      </c>
      <c r="E794">
        <v>0</v>
      </c>
      <c r="F794" s="3">
        <v>46268</v>
      </c>
      <c r="G794" s="3">
        <v>46275</v>
      </c>
      <c r="H794" t="s">
        <v>74</v>
      </c>
      <c r="I794" t="s">
        <v>140</v>
      </c>
      <c r="J794" t="s">
        <v>398</v>
      </c>
      <c r="L794" s="3">
        <v>46268</v>
      </c>
      <c r="M794" s="3">
        <v>46268</v>
      </c>
      <c r="N794">
        <v>792</v>
      </c>
      <c r="P794" t="s">
        <v>1502</v>
      </c>
      <c r="Q794" t="s">
        <v>1401</v>
      </c>
      <c r="Z794" t="s">
        <v>43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 hidden="1">
      <c r="A795">
        <v>794</v>
      </c>
      <c r="B795" t="s">
        <v>1503</v>
      </c>
      <c r="C795" t="s">
        <v>1499</v>
      </c>
      <c r="D795" t="s">
        <v>146</v>
      </c>
      <c r="E795">
        <v>0</v>
      </c>
      <c r="F795" s="3">
        <v>46275</v>
      </c>
      <c r="G795" s="3">
        <v>46282</v>
      </c>
      <c r="H795" t="s">
        <v>74</v>
      </c>
      <c r="I795" t="s">
        <v>140</v>
      </c>
      <c r="J795" t="s">
        <v>83</v>
      </c>
      <c r="L795" s="3">
        <v>46275</v>
      </c>
      <c r="M795" s="3">
        <v>46275</v>
      </c>
      <c r="N795">
        <v>793</v>
      </c>
      <c r="P795">
        <v>795</v>
      </c>
      <c r="Q795" t="s">
        <v>1401</v>
      </c>
      <c r="Z795" t="s">
        <v>49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 hidden="1">
      <c r="A796">
        <v>795</v>
      </c>
      <c r="B796" t="s">
        <v>1504</v>
      </c>
      <c r="C796" t="s">
        <v>1499</v>
      </c>
      <c r="D796" t="s">
        <v>150</v>
      </c>
      <c r="E796">
        <v>0</v>
      </c>
      <c r="F796" s="3">
        <v>46282</v>
      </c>
      <c r="G796" s="3">
        <v>46286</v>
      </c>
      <c r="H796" t="s">
        <v>74</v>
      </c>
      <c r="I796" t="s">
        <v>151</v>
      </c>
      <c r="J796" t="s">
        <v>144</v>
      </c>
      <c r="L796" s="3">
        <v>46279</v>
      </c>
      <c r="M796" s="3">
        <v>46279</v>
      </c>
      <c r="N796">
        <v>794</v>
      </c>
      <c r="Q796" t="s">
        <v>1401</v>
      </c>
      <c r="Z796" t="s">
        <v>49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 hidden="1">
      <c r="A797">
        <v>796</v>
      </c>
      <c r="B797" t="s">
        <v>1505</v>
      </c>
      <c r="C797" t="s">
        <v>1399</v>
      </c>
      <c r="D797" t="s">
        <v>1506</v>
      </c>
      <c r="E797">
        <v>0</v>
      </c>
      <c r="F797" s="3">
        <v>46247</v>
      </c>
      <c r="G797" s="3">
        <v>46282</v>
      </c>
      <c r="H797" t="s">
        <v>74</v>
      </c>
      <c r="I797" t="s">
        <v>382</v>
      </c>
      <c r="J797" t="s">
        <v>353</v>
      </c>
      <c r="K797" s="3">
        <v>46240</v>
      </c>
      <c r="L797" s="3">
        <v>46275</v>
      </c>
      <c r="M797" s="3">
        <v>46275</v>
      </c>
      <c r="O797" t="s">
        <v>713</v>
      </c>
      <c r="Q797" t="s">
        <v>1401</v>
      </c>
      <c r="R797" t="s">
        <v>1507</v>
      </c>
      <c r="U797" t="s">
        <v>1508</v>
      </c>
      <c r="V797" t="s">
        <v>134</v>
      </c>
      <c r="W797" t="s">
        <v>175</v>
      </c>
      <c r="X797" t="s">
        <v>136</v>
      </c>
      <c r="Y797">
        <v>1</v>
      </c>
      <c r="Z797" t="s">
        <v>49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 hidden="1">
      <c r="A798">
        <v>797</v>
      </c>
      <c r="B798" t="s">
        <v>1509</v>
      </c>
      <c r="C798" t="s">
        <v>1510</v>
      </c>
      <c r="D798" t="s">
        <v>139</v>
      </c>
      <c r="E798">
        <v>0</v>
      </c>
      <c r="F798" s="3">
        <v>46247</v>
      </c>
      <c r="G798" s="3">
        <v>46268</v>
      </c>
      <c r="H798" t="s">
        <v>74</v>
      </c>
      <c r="I798" t="s">
        <v>129</v>
      </c>
      <c r="J798" t="s">
        <v>353</v>
      </c>
      <c r="L798" s="3">
        <v>46261</v>
      </c>
      <c r="M798" s="3">
        <v>46261</v>
      </c>
      <c r="N798" t="s">
        <v>1511</v>
      </c>
      <c r="P798">
        <v>798</v>
      </c>
      <c r="Q798" t="s">
        <v>1401</v>
      </c>
      <c r="Z798" t="s">
        <v>49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hidden="1">
      <c r="A799">
        <v>798</v>
      </c>
      <c r="B799" t="s">
        <v>1512</v>
      </c>
      <c r="C799" t="s">
        <v>1510</v>
      </c>
      <c r="D799" t="s">
        <v>143</v>
      </c>
      <c r="E799">
        <v>0</v>
      </c>
      <c r="F799" s="3">
        <v>46268</v>
      </c>
      <c r="G799" s="3">
        <v>46275</v>
      </c>
      <c r="H799" t="s">
        <v>74</v>
      </c>
      <c r="I799" t="s">
        <v>140</v>
      </c>
      <c r="J799" t="s">
        <v>398</v>
      </c>
      <c r="L799" s="3">
        <v>46268</v>
      </c>
      <c r="M799" s="3">
        <v>46268</v>
      </c>
      <c r="N799">
        <v>797</v>
      </c>
      <c r="P799">
        <v>799</v>
      </c>
      <c r="Q799" t="s">
        <v>1401</v>
      </c>
      <c r="Z799" t="s">
        <v>49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 hidden="1">
      <c r="A800">
        <v>799</v>
      </c>
      <c r="B800" t="s">
        <v>1513</v>
      </c>
      <c r="C800" t="s">
        <v>1510</v>
      </c>
      <c r="D800" t="s">
        <v>146</v>
      </c>
      <c r="E800">
        <v>0</v>
      </c>
      <c r="F800" s="3">
        <v>46275</v>
      </c>
      <c r="G800" s="3">
        <v>46280</v>
      </c>
      <c r="H800" t="s">
        <v>74</v>
      </c>
      <c r="I800" t="s">
        <v>147</v>
      </c>
      <c r="J800" t="s">
        <v>83</v>
      </c>
      <c r="L800" s="3">
        <v>46273</v>
      </c>
      <c r="M800" s="3">
        <v>46273</v>
      </c>
      <c r="N800">
        <v>798</v>
      </c>
      <c r="P800">
        <v>800</v>
      </c>
      <c r="Q800" t="s">
        <v>1401</v>
      </c>
      <c r="Z800" t="s">
        <v>49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 hidden="1">
      <c r="A801">
        <v>800</v>
      </c>
      <c r="B801" t="s">
        <v>1514</v>
      </c>
      <c r="C801" t="s">
        <v>1510</v>
      </c>
      <c r="D801" t="s">
        <v>150</v>
      </c>
      <c r="E801">
        <v>0</v>
      </c>
      <c r="F801" s="3">
        <v>46280</v>
      </c>
      <c r="G801" s="3">
        <v>46282</v>
      </c>
      <c r="H801" t="s">
        <v>74</v>
      </c>
      <c r="I801" t="s">
        <v>151</v>
      </c>
      <c r="J801" t="s">
        <v>83</v>
      </c>
      <c r="L801" s="3">
        <v>46275</v>
      </c>
      <c r="M801" s="3">
        <v>46275</v>
      </c>
      <c r="N801">
        <v>799</v>
      </c>
      <c r="Q801" t="s">
        <v>1401</v>
      </c>
      <c r="Z801" t="s">
        <v>49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 hidden="1">
      <c r="A802">
        <v>801</v>
      </c>
      <c r="B802" t="s">
        <v>1515</v>
      </c>
      <c r="C802" t="s">
        <v>1399</v>
      </c>
      <c r="D802" t="s">
        <v>1516</v>
      </c>
      <c r="E802">
        <v>0</v>
      </c>
      <c r="F802" s="3">
        <v>46247</v>
      </c>
      <c r="G802" s="3">
        <v>46282</v>
      </c>
      <c r="H802" t="s">
        <v>74</v>
      </c>
      <c r="I802" t="s">
        <v>382</v>
      </c>
      <c r="J802" t="s">
        <v>353</v>
      </c>
      <c r="K802" s="3">
        <v>46240</v>
      </c>
      <c r="L802" s="3">
        <v>46275</v>
      </c>
      <c r="M802" s="3">
        <v>46275</v>
      </c>
      <c r="O802" t="s">
        <v>713</v>
      </c>
      <c r="Q802" t="s">
        <v>1401</v>
      </c>
      <c r="R802" t="s">
        <v>1517</v>
      </c>
      <c r="U802" t="s">
        <v>1508</v>
      </c>
      <c r="V802" t="s">
        <v>134</v>
      </c>
      <c r="W802" t="s">
        <v>212</v>
      </c>
      <c r="X802" t="s">
        <v>136</v>
      </c>
      <c r="Y802">
        <v>1</v>
      </c>
      <c r="Z802" t="s">
        <v>49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 hidden="1">
      <c r="A803">
        <v>802</v>
      </c>
      <c r="B803" t="s">
        <v>1518</v>
      </c>
      <c r="C803" t="s">
        <v>1519</v>
      </c>
      <c r="D803" t="s">
        <v>139</v>
      </c>
      <c r="E803">
        <v>0</v>
      </c>
      <c r="F803" s="3">
        <v>46247</v>
      </c>
      <c r="G803" s="3">
        <v>46268</v>
      </c>
      <c r="H803" t="s">
        <v>74</v>
      </c>
      <c r="I803" t="s">
        <v>129</v>
      </c>
      <c r="J803" t="s">
        <v>353</v>
      </c>
      <c r="L803" s="3">
        <v>46261</v>
      </c>
      <c r="M803" s="3">
        <v>46261</v>
      </c>
      <c r="N803" t="s">
        <v>1511</v>
      </c>
      <c r="P803">
        <v>803</v>
      </c>
      <c r="Q803" t="s">
        <v>1401</v>
      </c>
      <c r="Z803" t="s">
        <v>49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 hidden="1">
      <c r="A804">
        <v>803</v>
      </c>
      <c r="B804" t="s">
        <v>1520</v>
      </c>
      <c r="C804" t="s">
        <v>1519</v>
      </c>
      <c r="D804" t="s">
        <v>143</v>
      </c>
      <c r="E804">
        <v>0</v>
      </c>
      <c r="F804" s="3">
        <v>46268</v>
      </c>
      <c r="G804" s="3">
        <v>46275</v>
      </c>
      <c r="H804" t="s">
        <v>74</v>
      </c>
      <c r="I804" t="s">
        <v>140</v>
      </c>
      <c r="J804" t="s">
        <v>398</v>
      </c>
      <c r="L804" s="3">
        <v>46268</v>
      </c>
      <c r="M804" s="3">
        <v>46268</v>
      </c>
      <c r="N804">
        <v>802</v>
      </c>
      <c r="P804">
        <v>804</v>
      </c>
      <c r="Q804" t="s">
        <v>1401</v>
      </c>
      <c r="Z804" t="s">
        <v>49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 hidden="1">
      <c r="A805">
        <v>804</v>
      </c>
      <c r="B805" t="s">
        <v>1521</v>
      </c>
      <c r="C805" t="s">
        <v>1519</v>
      </c>
      <c r="D805" t="s">
        <v>146</v>
      </c>
      <c r="E805">
        <v>0</v>
      </c>
      <c r="F805" s="3">
        <v>46275</v>
      </c>
      <c r="G805" s="3">
        <v>46280</v>
      </c>
      <c r="H805" t="s">
        <v>74</v>
      </c>
      <c r="I805" t="s">
        <v>147</v>
      </c>
      <c r="J805" t="s">
        <v>83</v>
      </c>
      <c r="L805" s="3">
        <v>46273</v>
      </c>
      <c r="M805" s="3">
        <v>46273</v>
      </c>
      <c r="N805">
        <v>803</v>
      </c>
      <c r="P805">
        <v>805</v>
      </c>
      <c r="Q805" t="s">
        <v>1401</v>
      </c>
      <c r="Z805" t="s">
        <v>49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 hidden="1">
      <c r="A806">
        <v>805</v>
      </c>
      <c r="B806" t="s">
        <v>1522</v>
      </c>
      <c r="C806" t="s">
        <v>1519</v>
      </c>
      <c r="D806" t="s">
        <v>150</v>
      </c>
      <c r="E806">
        <v>0</v>
      </c>
      <c r="F806" s="3">
        <v>46280</v>
      </c>
      <c r="G806" s="3">
        <v>46282</v>
      </c>
      <c r="H806" t="s">
        <v>74</v>
      </c>
      <c r="I806" t="s">
        <v>151</v>
      </c>
      <c r="J806" t="s">
        <v>83</v>
      </c>
      <c r="L806" s="3">
        <v>46275</v>
      </c>
      <c r="M806" s="3">
        <v>46275</v>
      </c>
      <c r="N806">
        <v>804</v>
      </c>
      <c r="Q806" t="s">
        <v>1401</v>
      </c>
      <c r="Z806" t="s">
        <v>49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hidden="1">
      <c r="A807">
        <v>806</v>
      </c>
      <c r="B807" t="s">
        <v>1523</v>
      </c>
      <c r="C807" t="s">
        <v>1399</v>
      </c>
      <c r="D807" t="s">
        <v>1524</v>
      </c>
      <c r="E807">
        <v>0</v>
      </c>
      <c r="F807" s="3">
        <v>46247</v>
      </c>
      <c r="G807" s="3">
        <v>46282</v>
      </c>
      <c r="H807" t="s">
        <v>74</v>
      </c>
      <c r="I807" t="s">
        <v>382</v>
      </c>
      <c r="J807" t="s">
        <v>353</v>
      </c>
      <c r="K807" s="3">
        <v>46240</v>
      </c>
      <c r="L807" s="3">
        <v>46275</v>
      </c>
      <c r="M807" s="3">
        <v>46275</v>
      </c>
      <c r="O807" t="s">
        <v>713</v>
      </c>
      <c r="Q807" t="s">
        <v>1401</v>
      </c>
      <c r="R807" t="s">
        <v>1525</v>
      </c>
      <c r="U807" t="s">
        <v>1508</v>
      </c>
      <c r="V807" t="s">
        <v>134</v>
      </c>
      <c r="W807" t="s">
        <v>212</v>
      </c>
      <c r="X807" t="s">
        <v>136</v>
      </c>
      <c r="Y807">
        <v>1</v>
      </c>
      <c r="Z807" t="s">
        <v>49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 hidden="1">
      <c r="A808">
        <v>807</v>
      </c>
      <c r="B808" t="s">
        <v>1526</v>
      </c>
      <c r="C808" t="s">
        <v>1527</v>
      </c>
      <c r="D808" t="s">
        <v>139</v>
      </c>
      <c r="E808">
        <v>0</v>
      </c>
      <c r="F808" s="3">
        <v>46247</v>
      </c>
      <c r="G808" s="3">
        <v>46268</v>
      </c>
      <c r="H808" t="s">
        <v>74</v>
      </c>
      <c r="I808" t="s">
        <v>129</v>
      </c>
      <c r="J808" t="s">
        <v>353</v>
      </c>
      <c r="L808" s="3">
        <v>46261</v>
      </c>
      <c r="M808" s="3">
        <v>46261</v>
      </c>
      <c r="N808" t="s">
        <v>1511</v>
      </c>
      <c r="P808">
        <v>808</v>
      </c>
      <c r="Q808" t="s">
        <v>1401</v>
      </c>
      <c r="Z808" t="s">
        <v>49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 hidden="1">
      <c r="A809">
        <v>808</v>
      </c>
      <c r="B809" t="s">
        <v>1528</v>
      </c>
      <c r="C809" t="s">
        <v>1527</v>
      </c>
      <c r="D809" t="s">
        <v>143</v>
      </c>
      <c r="E809">
        <v>0</v>
      </c>
      <c r="F809" s="3">
        <v>46268</v>
      </c>
      <c r="G809" s="3">
        <v>46275</v>
      </c>
      <c r="H809" t="s">
        <v>74</v>
      </c>
      <c r="I809" t="s">
        <v>140</v>
      </c>
      <c r="J809" t="s">
        <v>398</v>
      </c>
      <c r="L809" s="3">
        <v>46268</v>
      </c>
      <c r="M809" s="3">
        <v>46268</v>
      </c>
      <c r="N809">
        <v>807</v>
      </c>
      <c r="P809">
        <v>809</v>
      </c>
      <c r="Q809" t="s">
        <v>1401</v>
      </c>
      <c r="Z809" t="s">
        <v>49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</row>
    <row r="810" spans="1:39" hidden="1">
      <c r="A810">
        <v>809</v>
      </c>
      <c r="B810" t="s">
        <v>1529</v>
      </c>
      <c r="C810" t="s">
        <v>1527</v>
      </c>
      <c r="D810" t="s">
        <v>146</v>
      </c>
      <c r="E810">
        <v>0</v>
      </c>
      <c r="F810" s="3">
        <v>46275</v>
      </c>
      <c r="G810" s="3">
        <v>46280</v>
      </c>
      <c r="H810" t="s">
        <v>74</v>
      </c>
      <c r="I810" t="s">
        <v>147</v>
      </c>
      <c r="J810" t="s">
        <v>83</v>
      </c>
      <c r="L810" s="3">
        <v>46273</v>
      </c>
      <c r="M810" s="3">
        <v>46273</v>
      </c>
      <c r="N810">
        <v>808</v>
      </c>
      <c r="P810">
        <v>810</v>
      </c>
      <c r="Q810" t="s">
        <v>1401</v>
      </c>
      <c r="Z810" t="s">
        <v>49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 hidden="1">
      <c r="A811">
        <v>810</v>
      </c>
      <c r="B811" t="s">
        <v>1530</v>
      </c>
      <c r="C811" t="s">
        <v>1527</v>
      </c>
      <c r="D811" t="s">
        <v>150</v>
      </c>
      <c r="E811">
        <v>0</v>
      </c>
      <c r="F811" s="3">
        <v>46280</v>
      </c>
      <c r="G811" s="3">
        <v>46282</v>
      </c>
      <c r="H811" t="s">
        <v>74</v>
      </c>
      <c r="I811" t="s">
        <v>151</v>
      </c>
      <c r="J811" t="s">
        <v>83</v>
      </c>
      <c r="L811" s="3">
        <v>46275</v>
      </c>
      <c r="M811" s="3">
        <v>46275</v>
      </c>
      <c r="N811">
        <v>809</v>
      </c>
      <c r="Q811" t="s">
        <v>1401</v>
      </c>
      <c r="Z811" t="s">
        <v>49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hidden="1">
      <c r="A812">
        <v>811</v>
      </c>
      <c r="B812" t="s">
        <v>1531</v>
      </c>
      <c r="C812" t="s">
        <v>1399</v>
      </c>
      <c r="D812" t="s">
        <v>1532</v>
      </c>
      <c r="E812">
        <v>0</v>
      </c>
      <c r="F812" s="3">
        <v>46247</v>
      </c>
      <c r="G812" s="3">
        <v>46286</v>
      </c>
      <c r="H812" t="s">
        <v>74</v>
      </c>
      <c r="I812" t="s">
        <v>887</v>
      </c>
      <c r="J812" t="s">
        <v>353</v>
      </c>
      <c r="K812" s="3">
        <v>46240</v>
      </c>
      <c r="L812" s="3">
        <v>46279</v>
      </c>
      <c r="M812" s="3">
        <v>46279</v>
      </c>
      <c r="O812" t="s">
        <v>713</v>
      </c>
      <c r="Q812" t="s">
        <v>1401</v>
      </c>
      <c r="R812" t="s">
        <v>1533</v>
      </c>
      <c r="U812" t="s">
        <v>1508</v>
      </c>
      <c r="V812" t="s">
        <v>134</v>
      </c>
      <c r="W812" t="s">
        <v>212</v>
      </c>
      <c r="X812" t="s">
        <v>136</v>
      </c>
      <c r="Y812">
        <v>1</v>
      </c>
      <c r="Z812" t="s">
        <v>49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 hidden="1">
      <c r="A813">
        <v>812</v>
      </c>
      <c r="B813" t="s">
        <v>1534</v>
      </c>
      <c r="C813" t="s">
        <v>1535</v>
      </c>
      <c r="D813" t="s">
        <v>139</v>
      </c>
      <c r="E813">
        <v>0</v>
      </c>
      <c r="F813" s="3">
        <v>46247</v>
      </c>
      <c r="G813" s="3">
        <v>46268</v>
      </c>
      <c r="H813" t="s">
        <v>74</v>
      </c>
      <c r="I813" t="s">
        <v>129</v>
      </c>
      <c r="J813" t="s">
        <v>353</v>
      </c>
      <c r="L813" s="3">
        <v>46261</v>
      </c>
      <c r="M813" s="3">
        <v>46261</v>
      </c>
      <c r="N813" t="s">
        <v>1511</v>
      </c>
      <c r="P813">
        <v>813</v>
      </c>
      <c r="Q813" t="s">
        <v>1401</v>
      </c>
      <c r="Z813" t="s">
        <v>49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 hidden="1">
      <c r="A814">
        <v>813</v>
      </c>
      <c r="B814" t="s">
        <v>1536</v>
      </c>
      <c r="C814" t="s">
        <v>1535</v>
      </c>
      <c r="D814" t="s">
        <v>143</v>
      </c>
      <c r="E814">
        <v>0</v>
      </c>
      <c r="F814" s="3">
        <v>46268</v>
      </c>
      <c r="G814" s="3">
        <v>46275</v>
      </c>
      <c r="H814" t="s">
        <v>74</v>
      </c>
      <c r="I814" t="s">
        <v>140</v>
      </c>
      <c r="J814" t="s">
        <v>398</v>
      </c>
      <c r="L814" s="3">
        <v>46268</v>
      </c>
      <c r="M814" s="3">
        <v>46268</v>
      </c>
      <c r="N814">
        <v>812</v>
      </c>
      <c r="P814">
        <v>814</v>
      </c>
      <c r="Q814" t="s">
        <v>1401</v>
      </c>
      <c r="Z814" t="s">
        <v>49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 hidden="1">
      <c r="A815">
        <v>814</v>
      </c>
      <c r="B815" t="s">
        <v>1537</v>
      </c>
      <c r="C815" t="s">
        <v>1535</v>
      </c>
      <c r="D815" t="s">
        <v>146</v>
      </c>
      <c r="E815">
        <v>0</v>
      </c>
      <c r="F815" s="3">
        <v>46275</v>
      </c>
      <c r="G815" s="3">
        <v>46282</v>
      </c>
      <c r="H815" t="s">
        <v>74</v>
      </c>
      <c r="I815" t="s">
        <v>140</v>
      </c>
      <c r="J815" t="s">
        <v>83</v>
      </c>
      <c r="L815" s="3">
        <v>46275</v>
      </c>
      <c r="M815" s="3">
        <v>46275</v>
      </c>
      <c r="N815">
        <v>813</v>
      </c>
      <c r="P815">
        <v>815</v>
      </c>
      <c r="Q815" t="s">
        <v>1401</v>
      </c>
      <c r="Z815" t="s">
        <v>49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 hidden="1">
      <c r="A816">
        <v>815</v>
      </c>
      <c r="B816" t="s">
        <v>1538</v>
      </c>
      <c r="C816" t="s">
        <v>1535</v>
      </c>
      <c r="D816" t="s">
        <v>150</v>
      </c>
      <c r="E816">
        <v>0</v>
      </c>
      <c r="F816" s="3">
        <v>46282</v>
      </c>
      <c r="G816" s="3">
        <v>46286</v>
      </c>
      <c r="H816" t="s">
        <v>74</v>
      </c>
      <c r="I816" t="s">
        <v>151</v>
      </c>
      <c r="J816" t="s">
        <v>144</v>
      </c>
      <c r="L816" s="3">
        <v>46279</v>
      </c>
      <c r="M816" s="3">
        <v>46279</v>
      </c>
      <c r="N816">
        <v>814</v>
      </c>
      <c r="Q816" t="s">
        <v>1401</v>
      </c>
      <c r="Z816" t="s">
        <v>49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 hidden="1">
      <c r="A817">
        <v>816</v>
      </c>
      <c r="B817" t="s">
        <v>1539</v>
      </c>
      <c r="C817" t="s">
        <v>1399</v>
      </c>
      <c r="D817" t="s">
        <v>1540</v>
      </c>
      <c r="E817">
        <v>0</v>
      </c>
      <c r="F817" s="3">
        <v>46247</v>
      </c>
      <c r="G817" s="3">
        <v>46282</v>
      </c>
      <c r="H817" t="s">
        <v>74</v>
      </c>
      <c r="I817" t="s">
        <v>382</v>
      </c>
      <c r="J817" t="s">
        <v>353</v>
      </c>
      <c r="K817" s="3">
        <v>46240</v>
      </c>
      <c r="L817" s="3">
        <v>46275</v>
      </c>
      <c r="M817" s="3">
        <v>46275</v>
      </c>
      <c r="O817" t="s">
        <v>713</v>
      </c>
      <c r="Q817" t="s">
        <v>1401</v>
      </c>
      <c r="R817" t="s">
        <v>1541</v>
      </c>
      <c r="U817" t="s">
        <v>1508</v>
      </c>
      <c r="V817" t="s">
        <v>134</v>
      </c>
      <c r="W817" t="s">
        <v>212</v>
      </c>
      <c r="X817" t="s">
        <v>136</v>
      </c>
      <c r="Y817">
        <v>1</v>
      </c>
      <c r="Z817" t="s">
        <v>49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hidden="1">
      <c r="A818">
        <v>817</v>
      </c>
      <c r="B818" t="s">
        <v>1542</v>
      </c>
      <c r="C818" t="s">
        <v>1543</v>
      </c>
      <c r="D818" t="s">
        <v>139</v>
      </c>
      <c r="E818">
        <v>0</v>
      </c>
      <c r="F818" s="3">
        <v>46247</v>
      </c>
      <c r="G818" s="3">
        <v>46268</v>
      </c>
      <c r="H818" t="s">
        <v>74</v>
      </c>
      <c r="I818" t="s">
        <v>129</v>
      </c>
      <c r="J818" t="s">
        <v>353</v>
      </c>
      <c r="L818" s="3">
        <v>46261</v>
      </c>
      <c r="M818" s="3">
        <v>46261</v>
      </c>
      <c r="N818" t="s">
        <v>1511</v>
      </c>
      <c r="P818">
        <v>818</v>
      </c>
      <c r="Q818" t="s">
        <v>1401</v>
      </c>
      <c r="Z818" t="s">
        <v>49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 hidden="1">
      <c r="A819">
        <v>818</v>
      </c>
      <c r="B819" t="s">
        <v>1544</v>
      </c>
      <c r="C819" t="s">
        <v>1543</v>
      </c>
      <c r="D819" t="s">
        <v>143</v>
      </c>
      <c r="E819">
        <v>0</v>
      </c>
      <c r="F819" s="3">
        <v>46268</v>
      </c>
      <c r="G819" s="3">
        <v>46275</v>
      </c>
      <c r="H819" t="s">
        <v>74</v>
      </c>
      <c r="I819" t="s">
        <v>140</v>
      </c>
      <c r="J819" t="s">
        <v>398</v>
      </c>
      <c r="L819" s="3">
        <v>46268</v>
      </c>
      <c r="M819" s="3">
        <v>46268</v>
      </c>
      <c r="N819">
        <v>817</v>
      </c>
      <c r="P819">
        <v>819</v>
      </c>
      <c r="Q819" t="s">
        <v>1401</v>
      </c>
      <c r="Z819" t="s">
        <v>49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 spans="1:39" hidden="1">
      <c r="A820">
        <v>819</v>
      </c>
      <c r="B820" t="s">
        <v>1545</v>
      </c>
      <c r="C820" t="s">
        <v>1543</v>
      </c>
      <c r="D820" t="s">
        <v>146</v>
      </c>
      <c r="E820">
        <v>0</v>
      </c>
      <c r="F820" s="3">
        <v>46275</v>
      </c>
      <c r="G820" s="3">
        <v>46280</v>
      </c>
      <c r="H820" t="s">
        <v>74</v>
      </c>
      <c r="I820" t="s">
        <v>147</v>
      </c>
      <c r="J820" t="s">
        <v>83</v>
      </c>
      <c r="L820" s="3">
        <v>46273</v>
      </c>
      <c r="M820" s="3">
        <v>46273</v>
      </c>
      <c r="N820">
        <v>818</v>
      </c>
      <c r="P820">
        <v>820</v>
      </c>
      <c r="Q820" t="s">
        <v>1401</v>
      </c>
      <c r="Z820" t="s">
        <v>49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 hidden="1">
      <c r="A821">
        <v>820</v>
      </c>
      <c r="B821" t="s">
        <v>1546</v>
      </c>
      <c r="C821" t="s">
        <v>1543</v>
      </c>
      <c r="D821" t="s">
        <v>150</v>
      </c>
      <c r="E821">
        <v>0</v>
      </c>
      <c r="F821" s="3">
        <v>46280</v>
      </c>
      <c r="G821" s="3">
        <v>46282</v>
      </c>
      <c r="H821" t="s">
        <v>74</v>
      </c>
      <c r="I821" t="s">
        <v>151</v>
      </c>
      <c r="J821" t="s">
        <v>83</v>
      </c>
      <c r="L821" s="3">
        <v>46275</v>
      </c>
      <c r="M821" s="3">
        <v>46275</v>
      </c>
      <c r="N821">
        <v>819</v>
      </c>
      <c r="Q821" t="s">
        <v>1401</v>
      </c>
      <c r="Z821" t="s">
        <v>49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 spans="1:39" hidden="1">
      <c r="A822">
        <v>821</v>
      </c>
      <c r="B822" t="s">
        <v>1547</v>
      </c>
      <c r="C822" t="s">
        <v>1399</v>
      </c>
      <c r="D822" t="s">
        <v>1548</v>
      </c>
      <c r="E822">
        <v>0</v>
      </c>
      <c r="F822" s="3">
        <v>46247</v>
      </c>
      <c r="G822" s="3">
        <v>46286</v>
      </c>
      <c r="H822" t="s">
        <v>74</v>
      </c>
      <c r="I822" t="s">
        <v>887</v>
      </c>
      <c r="J822" t="s">
        <v>353</v>
      </c>
      <c r="K822" s="3">
        <v>46240</v>
      </c>
      <c r="L822" s="3">
        <v>46279</v>
      </c>
      <c r="M822" s="3">
        <v>46279</v>
      </c>
      <c r="O822" t="s">
        <v>713</v>
      </c>
      <c r="Q822" t="s">
        <v>1401</v>
      </c>
      <c r="R822" t="s">
        <v>1549</v>
      </c>
      <c r="U822" t="s">
        <v>1508</v>
      </c>
      <c r="V822" t="s">
        <v>134</v>
      </c>
      <c r="W822" t="s">
        <v>212</v>
      </c>
      <c r="X822" t="s">
        <v>136</v>
      </c>
      <c r="Y822">
        <v>1</v>
      </c>
      <c r="Z822" t="s">
        <v>49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 hidden="1">
      <c r="A823">
        <v>822</v>
      </c>
      <c r="B823" t="s">
        <v>1550</v>
      </c>
      <c r="C823" t="s">
        <v>1551</v>
      </c>
      <c r="D823" t="s">
        <v>139</v>
      </c>
      <c r="E823">
        <v>0</v>
      </c>
      <c r="F823" s="3">
        <v>46247</v>
      </c>
      <c r="G823" s="3">
        <v>46268</v>
      </c>
      <c r="H823" t="s">
        <v>74</v>
      </c>
      <c r="I823" t="s">
        <v>129</v>
      </c>
      <c r="J823" t="s">
        <v>353</v>
      </c>
      <c r="L823" s="3">
        <v>46261</v>
      </c>
      <c r="M823" s="3">
        <v>46261</v>
      </c>
      <c r="N823" t="s">
        <v>1511</v>
      </c>
      <c r="P823">
        <v>823</v>
      </c>
      <c r="Q823" t="s">
        <v>1401</v>
      </c>
      <c r="Z823" t="s">
        <v>49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 hidden="1">
      <c r="A824">
        <v>823</v>
      </c>
      <c r="B824" t="s">
        <v>1552</v>
      </c>
      <c r="C824" t="s">
        <v>1551</v>
      </c>
      <c r="D824" t="s">
        <v>143</v>
      </c>
      <c r="E824">
        <v>0</v>
      </c>
      <c r="F824" s="3">
        <v>46268</v>
      </c>
      <c r="G824" s="3">
        <v>46275</v>
      </c>
      <c r="H824" t="s">
        <v>74</v>
      </c>
      <c r="I824" t="s">
        <v>140</v>
      </c>
      <c r="J824" t="s">
        <v>398</v>
      </c>
      <c r="L824" s="3">
        <v>46268</v>
      </c>
      <c r="M824" s="3">
        <v>46268</v>
      </c>
      <c r="N824">
        <v>822</v>
      </c>
      <c r="P824">
        <v>824</v>
      </c>
      <c r="Q824" t="s">
        <v>1401</v>
      </c>
      <c r="Z824" t="s">
        <v>49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 hidden="1">
      <c r="A825">
        <v>824</v>
      </c>
      <c r="B825" t="s">
        <v>1553</v>
      </c>
      <c r="C825" t="s">
        <v>1551</v>
      </c>
      <c r="D825" t="s">
        <v>146</v>
      </c>
      <c r="E825">
        <v>0</v>
      </c>
      <c r="F825" s="3">
        <v>46275</v>
      </c>
      <c r="G825" s="3">
        <v>46282</v>
      </c>
      <c r="H825" t="s">
        <v>74</v>
      </c>
      <c r="I825" t="s">
        <v>140</v>
      </c>
      <c r="J825" t="s">
        <v>83</v>
      </c>
      <c r="L825" s="3">
        <v>46275</v>
      </c>
      <c r="M825" s="3">
        <v>46275</v>
      </c>
      <c r="N825">
        <v>823</v>
      </c>
      <c r="P825">
        <v>825</v>
      </c>
      <c r="Q825" t="s">
        <v>1401</v>
      </c>
      <c r="Z825" t="s">
        <v>49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 hidden="1">
      <c r="A826">
        <v>825</v>
      </c>
      <c r="B826" t="s">
        <v>1554</v>
      </c>
      <c r="C826" t="s">
        <v>1551</v>
      </c>
      <c r="D826" t="s">
        <v>150</v>
      </c>
      <c r="E826">
        <v>0</v>
      </c>
      <c r="F826" s="3">
        <v>46282</v>
      </c>
      <c r="G826" s="3">
        <v>46286</v>
      </c>
      <c r="H826" t="s">
        <v>74</v>
      </c>
      <c r="I826" t="s">
        <v>151</v>
      </c>
      <c r="J826" t="s">
        <v>144</v>
      </c>
      <c r="L826" s="3">
        <v>46279</v>
      </c>
      <c r="M826" s="3">
        <v>46279</v>
      </c>
      <c r="N826">
        <v>824</v>
      </c>
      <c r="Q826" t="s">
        <v>1401</v>
      </c>
      <c r="Z826" t="s">
        <v>49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hidden="1">
      <c r="A827">
        <v>826</v>
      </c>
      <c r="B827" t="s">
        <v>1555</v>
      </c>
      <c r="C827" t="s">
        <v>1399</v>
      </c>
      <c r="D827" t="s">
        <v>1556</v>
      </c>
      <c r="E827">
        <v>0</v>
      </c>
      <c r="F827" s="3">
        <v>46247</v>
      </c>
      <c r="G827" s="3">
        <v>46282</v>
      </c>
      <c r="H827" t="s">
        <v>74</v>
      </c>
      <c r="I827" t="s">
        <v>382</v>
      </c>
      <c r="J827" t="s">
        <v>353</v>
      </c>
      <c r="K827" s="3">
        <v>46240</v>
      </c>
      <c r="L827" s="3">
        <v>46275</v>
      </c>
      <c r="M827" s="3">
        <v>46275</v>
      </c>
      <c r="O827" t="s">
        <v>713</v>
      </c>
      <c r="Q827" t="s">
        <v>1401</v>
      </c>
      <c r="R827" t="s">
        <v>1557</v>
      </c>
      <c r="U827" t="s">
        <v>1508</v>
      </c>
      <c r="V827" t="s">
        <v>134</v>
      </c>
      <c r="W827" t="s">
        <v>212</v>
      </c>
      <c r="X827" t="s">
        <v>136</v>
      </c>
      <c r="Y827">
        <v>1</v>
      </c>
      <c r="Z827" t="s">
        <v>49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 hidden="1">
      <c r="A828">
        <v>827</v>
      </c>
      <c r="B828" t="s">
        <v>1558</v>
      </c>
      <c r="C828" t="s">
        <v>1559</v>
      </c>
      <c r="D828" t="s">
        <v>139</v>
      </c>
      <c r="E828">
        <v>0</v>
      </c>
      <c r="F828" s="3">
        <v>46247</v>
      </c>
      <c r="G828" s="3">
        <v>46268</v>
      </c>
      <c r="H828" t="s">
        <v>74</v>
      </c>
      <c r="I828" t="s">
        <v>129</v>
      </c>
      <c r="J828" t="s">
        <v>353</v>
      </c>
      <c r="L828" s="3">
        <v>46261</v>
      </c>
      <c r="M828" s="3">
        <v>46261</v>
      </c>
      <c r="N828" t="s">
        <v>1511</v>
      </c>
      <c r="P828">
        <v>828</v>
      </c>
      <c r="Q828" t="s">
        <v>1401</v>
      </c>
      <c r="Z828" t="s">
        <v>49</v>
      </c>
      <c r="AB828">
        <v>0</v>
      </c>
      <c r="AC828">
        <v>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 hidden="1">
      <c r="A829">
        <v>828</v>
      </c>
      <c r="B829" t="s">
        <v>1560</v>
      </c>
      <c r="C829" t="s">
        <v>1559</v>
      </c>
      <c r="D829" t="s">
        <v>143</v>
      </c>
      <c r="E829">
        <v>0</v>
      </c>
      <c r="F829" s="3">
        <v>46268</v>
      </c>
      <c r="G829" s="3">
        <v>46275</v>
      </c>
      <c r="H829" t="s">
        <v>74</v>
      </c>
      <c r="I829" t="s">
        <v>140</v>
      </c>
      <c r="J829" t="s">
        <v>398</v>
      </c>
      <c r="L829" s="3">
        <v>46268</v>
      </c>
      <c r="M829" s="3">
        <v>46268</v>
      </c>
      <c r="N829">
        <v>827</v>
      </c>
      <c r="P829">
        <v>829</v>
      </c>
      <c r="Q829" t="s">
        <v>1401</v>
      </c>
      <c r="Z829" t="s">
        <v>49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 spans="1:39" hidden="1">
      <c r="A830">
        <v>829</v>
      </c>
      <c r="B830" t="s">
        <v>1561</v>
      </c>
      <c r="C830" t="s">
        <v>1559</v>
      </c>
      <c r="D830" t="s">
        <v>146</v>
      </c>
      <c r="E830">
        <v>0</v>
      </c>
      <c r="F830" s="3">
        <v>46275</v>
      </c>
      <c r="G830" s="3">
        <v>46280</v>
      </c>
      <c r="H830" t="s">
        <v>74</v>
      </c>
      <c r="I830" t="s">
        <v>147</v>
      </c>
      <c r="J830" t="s">
        <v>83</v>
      </c>
      <c r="L830" s="3">
        <v>46273</v>
      </c>
      <c r="M830" s="3">
        <v>46273</v>
      </c>
      <c r="N830">
        <v>828</v>
      </c>
      <c r="P830">
        <v>830</v>
      </c>
      <c r="Q830" t="s">
        <v>1401</v>
      </c>
      <c r="Z830" t="s">
        <v>49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hidden="1">
      <c r="A831">
        <v>830</v>
      </c>
      <c r="B831" t="s">
        <v>1562</v>
      </c>
      <c r="C831" t="s">
        <v>1559</v>
      </c>
      <c r="D831" t="s">
        <v>150</v>
      </c>
      <c r="E831">
        <v>0</v>
      </c>
      <c r="F831" s="3">
        <v>46280</v>
      </c>
      <c r="G831" s="3">
        <v>46282</v>
      </c>
      <c r="H831" t="s">
        <v>74</v>
      </c>
      <c r="I831" t="s">
        <v>151</v>
      </c>
      <c r="J831" t="s">
        <v>83</v>
      </c>
      <c r="L831" s="3">
        <v>46275</v>
      </c>
      <c r="M831" s="3">
        <v>46275</v>
      </c>
      <c r="N831">
        <v>829</v>
      </c>
      <c r="Q831" t="s">
        <v>1401</v>
      </c>
      <c r="Z831" t="s">
        <v>49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hidden="1">
      <c r="A832">
        <v>831</v>
      </c>
      <c r="B832" t="s">
        <v>1563</v>
      </c>
      <c r="C832" t="s">
        <v>1399</v>
      </c>
      <c r="D832" t="s">
        <v>1564</v>
      </c>
      <c r="E832">
        <v>0</v>
      </c>
      <c r="F832" s="3">
        <v>46247</v>
      </c>
      <c r="G832" s="3">
        <v>46286</v>
      </c>
      <c r="H832" t="s">
        <v>74</v>
      </c>
      <c r="I832" t="s">
        <v>887</v>
      </c>
      <c r="J832" t="s">
        <v>353</v>
      </c>
      <c r="K832" s="3">
        <v>46240</v>
      </c>
      <c r="L832" s="3">
        <v>46279</v>
      </c>
      <c r="M832" s="3">
        <v>46279</v>
      </c>
      <c r="O832" t="s">
        <v>713</v>
      </c>
      <c r="Q832" t="s">
        <v>1401</v>
      </c>
      <c r="R832" t="s">
        <v>1565</v>
      </c>
      <c r="U832" t="s">
        <v>1508</v>
      </c>
      <c r="V832" t="s">
        <v>134</v>
      </c>
      <c r="W832" t="s">
        <v>1566</v>
      </c>
      <c r="X832" t="s">
        <v>136</v>
      </c>
      <c r="Y832">
        <v>1</v>
      </c>
      <c r="Z832" t="s">
        <v>49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 hidden="1">
      <c r="A833">
        <v>832</v>
      </c>
      <c r="B833" t="s">
        <v>1567</v>
      </c>
      <c r="C833" t="s">
        <v>1568</v>
      </c>
      <c r="D833" t="s">
        <v>139</v>
      </c>
      <c r="E833">
        <v>0</v>
      </c>
      <c r="F833" s="3">
        <v>46247</v>
      </c>
      <c r="G833" s="3">
        <v>46268</v>
      </c>
      <c r="H833" t="s">
        <v>74</v>
      </c>
      <c r="I833" t="s">
        <v>129</v>
      </c>
      <c r="J833" t="s">
        <v>353</v>
      </c>
      <c r="L833" s="3">
        <v>46261</v>
      </c>
      <c r="M833" s="3">
        <v>46261</v>
      </c>
      <c r="N833" t="s">
        <v>1511</v>
      </c>
      <c r="P833">
        <v>833</v>
      </c>
      <c r="Q833" t="s">
        <v>1401</v>
      </c>
      <c r="Z833" t="s">
        <v>49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 hidden="1">
      <c r="A834">
        <v>833</v>
      </c>
      <c r="B834" t="s">
        <v>1569</v>
      </c>
      <c r="C834" t="s">
        <v>1568</v>
      </c>
      <c r="D834" t="s">
        <v>143</v>
      </c>
      <c r="E834">
        <v>0</v>
      </c>
      <c r="F834" s="3">
        <v>46268</v>
      </c>
      <c r="G834" s="3">
        <v>46275</v>
      </c>
      <c r="H834" t="s">
        <v>74</v>
      </c>
      <c r="I834" t="s">
        <v>140</v>
      </c>
      <c r="J834" t="s">
        <v>398</v>
      </c>
      <c r="L834" s="3">
        <v>46268</v>
      </c>
      <c r="M834" s="3">
        <v>46268</v>
      </c>
      <c r="N834">
        <v>832</v>
      </c>
      <c r="P834">
        <v>834</v>
      </c>
      <c r="Q834" t="s">
        <v>1401</v>
      </c>
      <c r="Z834" t="s">
        <v>49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 hidden="1">
      <c r="A835">
        <v>834</v>
      </c>
      <c r="B835" t="s">
        <v>1570</v>
      </c>
      <c r="C835" t="s">
        <v>1568</v>
      </c>
      <c r="D835" t="s">
        <v>146</v>
      </c>
      <c r="E835">
        <v>0</v>
      </c>
      <c r="F835" s="3">
        <v>46275</v>
      </c>
      <c r="G835" s="3">
        <v>46282</v>
      </c>
      <c r="H835" t="s">
        <v>74</v>
      </c>
      <c r="I835" t="s">
        <v>140</v>
      </c>
      <c r="J835" t="s">
        <v>83</v>
      </c>
      <c r="L835" s="3">
        <v>46275</v>
      </c>
      <c r="M835" s="3">
        <v>46275</v>
      </c>
      <c r="N835">
        <v>833</v>
      </c>
      <c r="P835">
        <v>835</v>
      </c>
      <c r="Q835" t="s">
        <v>1401</v>
      </c>
      <c r="Z835" t="s">
        <v>49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hidden="1">
      <c r="A836">
        <v>835</v>
      </c>
      <c r="B836" t="s">
        <v>1571</v>
      </c>
      <c r="C836" t="s">
        <v>1568</v>
      </c>
      <c r="D836" t="s">
        <v>150</v>
      </c>
      <c r="E836">
        <v>0</v>
      </c>
      <c r="F836" s="3">
        <v>46282</v>
      </c>
      <c r="G836" s="3">
        <v>46286</v>
      </c>
      <c r="H836" t="s">
        <v>74</v>
      </c>
      <c r="I836" t="s">
        <v>151</v>
      </c>
      <c r="J836" t="s">
        <v>144</v>
      </c>
      <c r="L836" s="3">
        <v>46279</v>
      </c>
      <c r="M836" s="3">
        <v>46279</v>
      </c>
      <c r="N836">
        <v>834</v>
      </c>
      <c r="Q836" t="s">
        <v>1401</v>
      </c>
      <c r="Z836" t="s">
        <v>49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 hidden="1">
      <c r="A837">
        <v>836</v>
      </c>
      <c r="B837" t="s">
        <v>1572</v>
      </c>
      <c r="C837" t="s">
        <v>1399</v>
      </c>
      <c r="D837" t="s">
        <v>1573</v>
      </c>
      <c r="E837">
        <v>0</v>
      </c>
      <c r="F837" s="3">
        <v>46247</v>
      </c>
      <c r="G837" s="3">
        <v>46282</v>
      </c>
      <c r="H837" t="s">
        <v>74</v>
      </c>
      <c r="I837" t="s">
        <v>382</v>
      </c>
      <c r="J837" t="s">
        <v>353</v>
      </c>
      <c r="K837" s="3">
        <v>46240</v>
      </c>
      <c r="L837" s="3">
        <v>46275</v>
      </c>
      <c r="M837" s="3">
        <v>46275</v>
      </c>
      <c r="O837" t="s">
        <v>713</v>
      </c>
      <c r="Q837" t="s">
        <v>1401</v>
      </c>
      <c r="R837" t="s">
        <v>1574</v>
      </c>
      <c r="U837" t="s">
        <v>1508</v>
      </c>
      <c r="V837" t="s">
        <v>134</v>
      </c>
      <c r="W837" t="s">
        <v>135</v>
      </c>
      <c r="X837" t="s">
        <v>844</v>
      </c>
      <c r="Y837">
        <v>10</v>
      </c>
      <c r="Z837" t="s">
        <v>49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 hidden="1">
      <c r="A838">
        <v>837</v>
      </c>
      <c r="B838" t="s">
        <v>1575</v>
      </c>
      <c r="C838" t="s">
        <v>1576</v>
      </c>
      <c r="D838" t="s">
        <v>139</v>
      </c>
      <c r="E838">
        <v>0</v>
      </c>
      <c r="F838" s="3">
        <v>46247</v>
      </c>
      <c r="G838" s="3">
        <v>46268</v>
      </c>
      <c r="H838" t="s">
        <v>74</v>
      </c>
      <c r="I838" t="s">
        <v>129</v>
      </c>
      <c r="J838" t="s">
        <v>353</v>
      </c>
      <c r="L838" s="3">
        <v>46261</v>
      </c>
      <c r="M838" s="3">
        <v>46261</v>
      </c>
      <c r="N838" t="s">
        <v>1511</v>
      </c>
      <c r="P838">
        <v>838</v>
      </c>
      <c r="Q838" t="s">
        <v>1401</v>
      </c>
      <c r="Z838" t="s">
        <v>49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</row>
    <row r="839" spans="1:39" hidden="1">
      <c r="A839">
        <v>838</v>
      </c>
      <c r="B839" t="s">
        <v>1577</v>
      </c>
      <c r="C839" t="s">
        <v>1576</v>
      </c>
      <c r="D839" t="s">
        <v>143</v>
      </c>
      <c r="E839">
        <v>0</v>
      </c>
      <c r="F839" s="3">
        <v>46268</v>
      </c>
      <c r="G839" s="3">
        <v>46275</v>
      </c>
      <c r="H839" t="s">
        <v>74</v>
      </c>
      <c r="I839" t="s">
        <v>140</v>
      </c>
      <c r="J839" t="s">
        <v>398</v>
      </c>
      <c r="L839" s="3">
        <v>46268</v>
      </c>
      <c r="M839" s="3">
        <v>46268</v>
      </c>
      <c r="N839">
        <v>837</v>
      </c>
      <c r="P839">
        <v>839</v>
      </c>
      <c r="Q839" t="s">
        <v>1401</v>
      </c>
      <c r="Z839" t="s">
        <v>49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 spans="1:39" hidden="1">
      <c r="A840">
        <v>839</v>
      </c>
      <c r="B840" t="s">
        <v>1578</v>
      </c>
      <c r="C840" t="s">
        <v>1576</v>
      </c>
      <c r="D840" t="s">
        <v>146</v>
      </c>
      <c r="E840">
        <v>0</v>
      </c>
      <c r="F840" s="3">
        <v>46275</v>
      </c>
      <c r="G840" s="3">
        <v>46280</v>
      </c>
      <c r="H840" t="s">
        <v>74</v>
      </c>
      <c r="I840" t="s">
        <v>147</v>
      </c>
      <c r="J840" t="s">
        <v>83</v>
      </c>
      <c r="L840" s="3">
        <v>46273</v>
      </c>
      <c r="M840" s="3">
        <v>46273</v>
      </c>
      <c r="N840">
        <v>838</v>
      </c>
      <c r="P840">
        <v>840</v>
      </c>
      <c r="Q840" t="s">
        <v>1401</v>
      </c>
      <c r="Z840" t="s">
        <v>49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 hidden="1">
      <c r="A841">
        <v>840</v>
      </c>
      <c r="B841" t="s">
        <v>1579</v>
      </c>
      <c r="C841" t="s">
        <v>1576</v>
      </c>
      <c r="D841" t="s">
        <v>150</v>
      </c>
      <c r="E841">
        <v>0</v>
      </c>
      <c r="F841" s="3">
        <v>46280</v>
      </c>
      <c r="G841" s="3">
        <v>46282</v>
      </c>
      <c r="H841" t="s">
        <v>74</v>
      </c>
      <c r="I841" t="s">
        <v>151</v>
      </c>
      <c r="J841" t="s">
        <v>83</v>
      </c>
      <c r="L841" s="3">
        <v>46275</v>
      </c>
      <c r="M841" s="3">
        <v>46275</v>
      </c>
      <c r="N841">
        <v>839</v>
      </c>
      <c r="Q841" t="s">
        <v>1401</v>
      </c>
      <c r="Z841" t="s">
        <v>49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 hidden="1">
      <c r="A842">
        <v>841</v>
      </c>
      <c r="B842" t="s">
        <v>1580</v>
      </c>
      <c r="C842" t="s">
        <v>1399</v>
      </c>
      <c r="D842" t="s">
        <v>1581</v>
      </c>
      <c r="E842">
        <v>0</v>
      </c>
      <c r="F842" s="3">
        <v>46247</v>
      </c>
      <c r="G842" s="3">
        <v>46282</v>
      </c>
      <c r="H842" t="s">
        <v>74</v>
      </c>
      <c r="I842" t="s">
        <v>382</v>
      </c>
      <c r="J842" t="s">
        <v>353</v>
      </c>
      <c r="K842" s="3">
        <v>46240</v>
      </c>
      <c r="L842" s="3">
        <v>46275</v>
      </c>
      <c r="M842" s="3">
        <v>46275</v>
      </c>
      <c r="O842" t="s">
        <v>713</v>
      </c>
      <c r="Q842" t="s">
        <v>1401</v>
      </c>
      <c r="R842" t="s">
        <v>1582</v>
      </c>
      <c r="U842" t="s">
        <v>1508</v>
      </c>
      <c r="V842" t="s">
        <v>134</v>
      </c>
      <c r="W842" t="s">
        <v>135</v>
      </c>
      <c r="X842" t="s">
        <v>136</v>
      </c>
      <c r="Y842">
        <v>1</v>
      </c>
      <c r="Z842" t="s">
        <v>49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 hidden="1">
      <c r="A843">
        <v>842</v>
      </c>
      <c r="B843" t="s">
        <v>1583</v>
      </c>
      <c r="C843" t="s">
        <v>1584</v>
      </c>
      <c r="D843" t="s">
        <v>139</v>
      </c>
      <c r="E843">
        <v>0</v>
      </c>
      <c r="F843" s="3">
        <v>46247</v>
      </c>
      <c r="G843" s="3">
        <v>46268</v>
      </c>
      <c r="H843" t="s">
        <v>74</v>
      </c>
      <c r="I843" t="s">
        <v>129</v>
      </c>
      <c r="J843" t="s">
        <v>353</v>
      </c>
      <c r="L843" s="3">
        <v>46261</v>
      </c>
      <c r="M843" s="3">
        <v>46261</v>
      </c>
      <c r="N843" t="s">
        <v>1511</v>
      </c>
      <c r="P843">
        <v>843</v>
      </c>
      <c r="Q843" t="s">
        <v>1401</v>
      </c>
      <c r="Z843" t="s">
        <v>49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 hidden="1">
      <c r="A844">
        <v>843</v>
      </c>
      <c r="B844" t="s">
        <v>1585</v>
      </c>
      <c r="C844" t="s">
        <v>1584</v>
      </c>
      <c r="D844" t="s">
        <v>143</v>
      </c>
      <c r="E844">
        <v>0</v>
      </c>
      <c r="F844" s="3">
        <v>46268</v>
      </c>
      <c r="G844" s="3">
        <v>46275</v>
      </c>
      <c r="H844" t="s">
        <v>74</v>
      </c>
      <c r="I844" t="s">
        <v>140</v>
      </c>
      <c r="J844" t="s">
        <v>83</v>
      </c>
      <c r="L844" s="3">
        <v>46268</v>
      </c>
      <c r="M844" s="3">
        <v>46268</v>
      </c>
      <c r="N844">
        <v>842</v>
      </c>
      <c r="P844">
        <v>844</v>
      </c>
      <c r="Q844" t="s">
        <v>1401</v>
      </c>
      <c r="Z844" t="s">
        <v>49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 hidden="1">
      <c r="A845">
        <v>844</v>
      </c>
      <c r="B845" t="s">
        <v>1586</v>
      </c>
      <c r="C845" t="s">
        <v>1584</v>
      </c>
      <c r="D845" t="s">
        <v>146</v>
      </c>
      <c r="E845">
        <v>0</v>
      </c>
      <c r="F845" s="3">
        <v>46275</v>
      </c>
      <c r="G845" s="3">
        <v>46280</v>
      </c>
      <c r="H845" t="s">
        <v>74</v>
      </c>
      <c r="I845" t="s">
        <v>147</v>
      </c>
      <c r="J845" t="s">
        <v>83</v>
      </c>
      <c r="L845" s="3">
        <v>46273</v>
      </c>
      <c r="M845" s="3">
        <v>46273</v>
      </c>
      <c r="N845">
        <v>843</v>
      </c>
      <c r="P845">
        <v>845</v>
      </c>
      <c r="Q845" t="s">
        <v>1401</v>
      </c>
      <c r="Z845" t="s">
        <v>49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 hidden="1">
      <c r="A846">
        <v>845</v>
      </c>
      <c r="B846" t="s">
        <v>1587</v>
      </c>
      <c r="C846" t="s">
        <v>1584</v>
      </c>
      <c r="D846" t="s">
        <v>150</v>
      </c>
      <c r="E846">
        <v>0</v>
      </c>
      <c r="F846" s="3">
        <v>46280</v>
      </c>
      <c r="G846" s="3">
        <v>46282</v>
      </c>
      <c r="H846" t="s">
        <v>74</v>
      </c>
      <c r="I846" t="s">
        <v>151</v>
      </c>
      <c r="J846" t="s">
        <v>83</v>
      </c>
      <c r="L846" s="3">
        <v>46275</v>
      </c>
      <c r="M846" s="3">
        <v>46275</v>
      </c>
      <c r="N846">
        <v>844</v>
      </c>
      <c r="Q846" t="s">
        <v>1401</v>
      </c>
      <c r="Z846" t="s">
        <v>49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 spans="1:39" hidden="1">
      <c r="A847">
        <v>846</v>
      </c>
      <c r="B847" t="s">
        <v>1588</v>
      </c>
      <c r="C847" t="s">
        <v>1399</v>
      </c>
      <c r="D847" t="s">
        <v>1589</v>
      </c>
      <c r="E847">
        <v>0</v>
      </c>
      <c r="F847" s="3">
        <v>46247</v>
      </c>
      <c r="G847" s="3">
        <v>46282</v>
      </c>
      <c r="H847" t="s">
        <v>74</v>
      </c>
      <c r="I847" t="s">
        <v>382</v>
      </c>
      <c r="J847" t="s">
        <v>353</v>
      </c>
      <c r="K847" s="3">
        <v>46240</v>
      </c>
      <c r="L847" s="3">
        <v>46275</v>
      </c>
      <c r="M847" s="3">
        <v>46275</v>
      </c>
      <c r="O847" t="s">
        <v>713</v>
      </c>
      <c r="Q847" t="s">
        <v>1401</v>
      </c>
      <c r="R847" t="s">
        <v>1590</v>
      </c>
      <c r="U847" t="s">
        <v>1508</v>
      </c>
      <c r="V847" t="s">
        <v>134</v>
      </c>
      <c r="W847" t="s">
        <v>135</v>
      </c>
      <c r="X847" t="s">
        <v>136</v>
      </c>
      <c r="Y847">
        <v>1</v>
      </c>
      <c r="Z847" t="s">
        <v>49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 hidden="1">
      <c r="A848">
        <v>847</v>
      </c>
      <c r="B848" t="s">
        <v>1591</v>
      </c>
      <c r="C848" t="s">
        <v>1592</v>
      </c>
      <c r="D848" t="s">
        <v>139</v>
      </c>
      <c r="E848">
        <v>0</v>
      </c>
      <c r="F848" s="3">
        <v>46247</v>
      </c>
      <c r="G848" s="3">
        <v>46268</v>
      </c>
      <c r="H848" t="s">
        <v>74</v>
      </c>
      <c r="I848" t="s">
        <v>129</v>
      </c>
      <c r="J848" t="s">
        <v>353</v>
      </c>
      <c r="L848" s="3">
        <v>46261</v>
      </c>
      <c r="M848" s="3">
        <v>46261</v>
      </c>
      <c r="N848" t="s">
        <v>1511</v>
      </c>
      <c r="P848">
        <v>848</v>
      </c>
      <c r="Q848" t="s">
        <v>1401</v>
      </c>
      <c r="Z848" t="s">
        <v>49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 hidden="1">
      <c r="A849">
        <v>848</v>
      </c>
      <c r="B849" t="s">
        <v>1593</v>
      </c>
      <c r="C849" t="s">
        <v>1592</v>
      </c>
      <c r="D849" t="s">
        <v>143</v>
      </c>
      <c r="E849">
        <v>0</v>
      </c>
      <c r="F849" s="3">
        <v>46268</v>
      </c>
      <c r="G849" s="3">
        <v>46275</v>
      </c>
      <c r="H849" t="s">
        <v>74</v>
      </c>
      <c r="I849" t="s">
        <v>140</v>
      </c>
      <c r="J849" t="s">
        <v>398</v>
      </c>
      <c r="L849" s="3">
        <v>46268</v>
      </c>
      <c r="M849" s="3">
        <v>46268</v>
      </c>
      <c r="N849">
        <v>847</v>
      </c>
      <c r="P849">
        <v>849</v>
      </c>
      <c r="Q849" t="s">
        <v>1401</v>
      </c>
      <c r="Z849" t="s">
        <v>49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 hidden="1">
      <c r="A850">
        <v>849</v>
      </c>
      <c r="B850" t="s">
        <v>1594</v>
      </c>
      <c r="C850" t="s">
        <v>1592</v>
      </c>
      <c r="D850" t="s">
        <v>146</v>
      </c>
      <c r="E850">
        <v>0</v>
      </c>
      <c r="F850" s="3">
        <v>46275</v>
      </c>
      <c r="G850" s="3">
        <v>46280</v>
      </c>
      <c r="H850" t="s">
        <v>74</v>
      </c>
      <c r="I850" t="s">
        <v>147</v>
      </c>
      <c r="J850" t="s">
        <v>83</v>
      </c>
      <c r="L850" s="3">
        <v>46273</v>
      </c>
      <c r="M850" s="3">
        <v>46273</v>
      </c>
      <c r="N850">
        <v>848</v>
      </c>
      <c r="P850">
        <v>850</v>
      </c>
      <c r="Q850" t="s">
        <v>1401</v>
      </c>
      <c r="Z850" t="s">
        <v>49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 hidden="1">
      <c r="A851">
        <v>850</v>
      </c>
      <c r="B851" t="s">
        <v>1595</v>
      </c>
      <c r="C851" t="s">
        <v>1592</v>
      </c>
      <c r="D851" t="s">
        <v>150</v>
      </c>
      <c r="E851">
        <v>0</v>
      </c>
      <c r="F851" s="3">
        <v>46280</v>
      </c>
      <c r="G851" s="3">
        <v>46282</v>
      </c>
      <c r="H851" t="s">
        <v>74</v>
      </c>
      <c r="I851" t="s">
        <v>151</v>
      </c>
      <c r="J851" t="s">
        <v>83</v>
      </c>
      <c r="L851" s="3">
        <v>46275</v>
      </c>
      <c r="M851" s="3">
        <v>46275</v>
      </c>
      <c r="N851">
        <v>849</v>
      </c>
      <c r="Q851" t="s">
        <v>1401</v>
      </c>
      <c r="Z851" t="s">
        <v>49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</row>
    <row r="852" spans="1:39" hidden="1">
      <c r="A852">
        <v>851</v>
      </c>
      <c r="B852" t="s">
        <v>1596</v>
      </c>
      <c r="C852" t="s">
        <v>1399</v>
      </c>
      <c r="D852" t="s">
        <v>1597</v>
      </c>
      <c r="E852">
        <v>0</v>
      </c>
      <c r="F852" s="3">
        <v>46247</v>
      </c>
      <c r="G852" s="3">
        <v>46282</v>
      </c>
      <c r="H852" t="s">
        <v>74</v>
      </c>
      <c r="I852" t="s">
        <v>382</v>
      </c>
      <c r="J852" t="s">
        <v>353</v>
      </c>
      <c r="K852" s="3">
        <v>46240</v>
      </c>
      <c r="L852" s="3">
        <v>46275</v>
      </c>
      <c r="M852" s="3">
        <v>46275</v>
      </c>
      <c r="O852" t="s">
        <v>713</v>
      </c>
      <c r="Q852" t="s">
        <v>1401</v>
      </c>
      <c r="R852" t="s">
        <v>1598</v>
      </c>
      <c r="U852" t="s">
        <v>1508</v>
      </c>
      <c r="V852" t="s">
        <v>134</v>
      </c>
      <c r="W852" t="s">
        <v>135</v>
      </c>
      <c r="X852" t="s">
        <v>136</v>
      </c>
      <c r="Y852">
        <v>1</v>
      </c>
      <c r="Z852" t="s">
        <v>49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 hidden="1">
      <c r="A853">
        <v>852</v>
      </c>
      <c r="B853" t="s">
        <v>1599</v>
      </c>
      <c r="C853" t="s">
        <v>1600</v>
      </c>
      <c r="D853" t="s">
        <v>139</v>
      </c>
      <c r="E853">
        <v>0</v>
      </c>
      <c r="F853" s="3">
        <v>46247</v>
      </c>
      <c r="G853" s="3">
        <v>46268</v>
      </c>
      <c r="H853" t="s">
        <v>74</v>
      </c>
      <c r="I853" t="s">
        <v>129</v>
      </c>
      <c r="J853" t="s">
        <v>353</v>
      </c>
      <c r="L853" s="3">
        <v>46261</v>
      </c>
      <c r="M853" s="3">
        <v>46261</v>
      </c>
      <c r="N853" t="s">
        <v>1511</v>
      </c>
      <c r="P853">
        <v>853</v>
      </c>
      <c r="Q853" t="s">
        <v>1401</v>
      </c>
      <c r="Z853" t="s">
        <v>49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 hidden="1">
      <c r="A854">
        <v>853</v>
      </c>
      <c r="B854" t="s">
        <v>1601</v>
      </c>
      <c r="C854" t="s">
        <v>1600</v>
      </c>
      <c r="D854" t="s">
        <v>143</v>
      </c>
      <c r="E854">
        <v>0</v>
      </c>
      <c r="F854" s="3">
        <v>46268</v>
      </c>
      <c r="G854" s="3">
        <v>46275</v>
      </c>
      <c r="H854" t="s">
        <v>74</v>
      </c>
      <c r="I854" t="s">
        <v>140</v>
      </c>
      <c r="J854" t="s">
        <v>398</v>
      </c>
      <c r="L854" s="3">
        <v>46268</v>
      </c>
      <c r="M854" s="3">
        <v>46268</v>
      </c>
      <c r="N854">
        <v>852</v>
      </c>
      <c r="P854">
        <v>854</v>
      </c>
      <c r="Q854" t="s">
        <v>1401</v>
      </c>
      <c r="Z854" t="s">
        <v>49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 hidden="1">
      <c r="A855">
        <v>854</v>
      </c>
      <c r="B855" t="s">
        <v>1602</v>
      </c>
      <c r="C855" t="s">
        <v>1600</v>
      </c>
      <c r="D855" t="s">
        <v>146</v>
      </c>
      <c r="E855">
        <v>0</v>
      </c>
      <c r="F855" s="3">
        <v>46275</v>
      </c>
      <c r="G855" s="3">
        <v>46280</v>
      </c>
      <c r="H855" t="s">
        <v>74</v>
      </c>
      <c r="I855" t="s">
        <v>147</v>
      </c>
      <c r="J855" t="s">
        <v>83</v>
      </c>
      <c r="L855" s="3">
        <v>46273</v>
      </c>
      <c r="M855" s="3">
        <v>46273</v>
      </c>
      <c r="N855">
        <v>853</v>
      </c>
      <c r="P855">
        <v>855</v>
      </c>
      <c r="Q855" t="s">
        <v>1401</v>
      </c>
      <c r="Z855" t="s">
        <v>49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 hidden="1">
      <c r="A856">
        <v>855</v>
      </c>
      <c r="B856" t="s">
        <v>1603</v>
      </c>
      <c r="C856" t="s">
        <v>1600</v>
      </c>
      <c r="D856" t="s">
        <v>150</v>
      </c>
      <c r="E856">
        <v>0</v>
      </c>
      <c r="F856" s="3">
        <v>46280</v>
      </c>
      <c r="G856" s="3">
        <v>46282</v>
      </c>
      <c r="H856" t="s">
        <v>74</v>
      </c>
      <c r="I856" t="s">
        <v>151</v>
      </c>
      <c r="J856" t="s">
        <v>83</v>
      </c>
      <c r="L856" s="3">
        <v>46275</v>
      </c>
      <c r="M856" s="3">
        <v>46275</v>
      </c>
      <c r="N856">
        <v>854</v>
      </c>
      <c r="Q856" t="s">
        <v>1401</v>
      </c>
      <c r="Z856" t="s">
        <v>49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 hidden="1">
      <c r="A857">
        <v>856</v>
      </c>
      <c r="B857" t="s">
        <v>1604</v>
      </c>
      <c r="C857" t="s">
        <v>1399</v>
      </c>
      <c r="D857" t="s">
        <v>1605</v>
      </c>
      <c r="E857">
        <v>0</v>
      </c>
      <c r="F857" s="3">
        <v>46247</v>
      </c>
      <c r="G857" s="3">
        <v>46282</v>
      </c>
      <c r="H857" t="s">
        <v>74</v>
      </c>
      <c r="I857" t="s">
        <v>382</v>
      </c>
      <c r="J857" t="s">
        <v>353</v>
      </c>
      <c r="K857" s="3">
        <v>46240</v>
      </c>
      <c r="L857" s="3">
        <v>46275</v>
      </c>
      <c r="M857" s="3">
        <v>46275</v>
      </c>
      <c r="O857" t="s">
        <v>713</v>
      </c>
      <c r="Q857" t="s">
        <v>1401</v>
      </c>
      <c r="R857" t="s">
        <v>1606</v>
      </c>
      <c r="U857" t="s">
        <v>1508</v>
      </c>
      <c r="V857" t="s">
        <v>134</v>
      </c>
      <c r="W857" t="s">
        <v>135</v>
      </c>
      <c r="X857" t="s">
        <v>136</v>
      </c>
      <c r="Y857">
        <v>1</v>
      </c>
      <c r="Z857" t="s">
        <v>49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 hidden="1">
      <c r="A858">
        <v>857</v>
      </c>
      <c r="B858" t="s">
        <v>1607</v>
      </c>
      <c r="C858" t="s">
        <v>1608</v>
      </c>
      <c r="D858" t="s">
        <v>139</v>
      </c>
      <c r="E858">
        <v>0</v>
      </c>
      <c r="F858" s="3">
        <v>46247</v>
      </c>
      <c r="G858" s="3">
        <v>46268</v>
      </c>
      <c r="H858" t="s">
        <v>74</v>
      </c>
      <c r="I858" t="s">
        <v>129</v>
      </c>
      <c r="J858" t="s">
        <v>353</v>
      </c>
      <c r="L858" s="3">
        <v>46261</v>
      </c>
      <c r="M858" s="3">
        <v>46261</v>
      </c>
      <c r="N858" t="s">
        <v>1511</v>
      </c>
      <c r="P858">
        <v>858</v>
      </c>
      <c r="Q858" t="s">
        <v>1401</v>
      </c>
      <c r="Z858" t="s">
        <v>49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 hidden="1">
      <c r="A859">
        <v>858</v>
      </c>
      <c r="B859" t="s">
        <v>1609</v>
      </c>
      <c r="C859" t="s">
        <v>1608</v>
      </c>
      <c r="D859" t="s">
        <v>143</v>
      </c>
      <c r="E859">
        <v>0</v>
      </c>
      <c r="F859" s="3">
        <v>46268</v>
      </c>
      <c r="G859" s="3">
        <v>46275</v>
      </c>
      <c r="H859" t="s">
        <v>74</v>
      </c>
      <c r="I859" t="s">
        <v>140</v>
      </c>
      <c r="J859" t="s">
        <v>398</v>
      </c>
      <c r="L859" s="3">
        <v>46268</v>
      </c>
      <c r="M859" s="3">
        <v>46268</v>
      </c>
      <c r="N859">
        <v>857</v>
      </c>
      <c r="P859">
        <v>859</v>
      </c>
      <c r="Q859" t="s">
        <v>1401</v>
      </c>
      <c r="Z859" t="s">
        <v>49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 hidden="1">
      <c r="A860">
        <v>859</v>
      </c>
      <c r="B860" t="s">
        <v>1610</v>
      </c>
      <c r="C860" t="s">
        <v>1608</v>
      </c>
      <c r="D860" t="s">
        <v>146</v>
      </c>
      <c r="E860">
        <v>0</v>
      </c>
      <c r="F860" s="3">
        <v>46275</v>
      </c>
      <c r="G860" s="3">
        <v>46280</v>
      </c>
      <c r="H860" t="s">
        <v>74</v>
      </c>
      <c r="I860" t="s">
        <v>147</v>
      </c>
      <c r="J860" t="s">
        <v>83</v>
      </c>
      <c r="L860" s="3">
        <v>46273</v>
      </c>
      <c r="M860" s="3">
        <v>46273</v>
      </c>
      <c r="N860">
        <v>858</v>
      </c>
      <c r="P860">
        <v>860</v>
      </c>
      <c r="Q860" t="s">
        <v>1401</v>
      </c>
      <c r="Z860" t="s">
        <v>49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 hidden="1">
      <c r="A861">
        <v>860</v>
      </c>
      <c r="B861" t="s">
        <v>1611</v>
      </c>
      <c r="C861" t="s">
        <v>1608</v>
      </c>
      <c r="D861" t="s">
        <v>150</v>
      </c>
      <c r="E861">
        <v>0</v>
      </c>
      <c r="F861" s="3">
        <v>46280</v>
      </c>
      <c r="G861" s="3">
        <v>46282</v>
      </c>
      <c r="H861" t="s">
        <v>74</v>
      </c>
      <c r="I861" t="s">
        <v>151</v>
      </c>
      <c r="J861" t="s">
        <v>83</v>
      </c>
      <c r="L861" s="3">
        <v>46275</v>
      </c>
      <c r="M861" s="3">
        <v>46275</v>
      </c>
      <c r="N861">
        <v>859</v>
      </c>
      <c r="Q861" t="s">
        <v>1401</v>
      </c>
      <c r="Z861" t="s">
        <v>49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 hidden="1">
      <c r="A862">
        <v>861</v>
      </c>
      <c r="B862" t="s">
        <v>1612</v>
      </c>
      <c r="C862" t="s">
        <v>1399</v>
      </c>
      <c r="D862" t="s">
        <v>1613</v>
      </c>
      <c r="E862">
        <v>0</v>
      </c>
      <c r="F862" s="3">
        <v>46247</v>
      </c>
      <c r="G862" s="3">
        <v>46286</v>
      </c>
      <c r="H862" t="s">
        <v>74</v>
      </c>
      <c r="I862" t="s">
        <v>887</v>
      </c>
      <c r="J862" t="s">
        <v>353</v>
      </c>
      <c r="K862" s="3">
        <v>46240</v>
      </c>
      <c r="L862" s="3">
        <v>46279</v>
      </c>
      <c r="M862" s="3">
        <v>46279</v>
      </c>
      <c r="O862" t="s">
        <v>713</v>
      </c>
      <c r="Q862" t="s">
        <v>1401</v>
      </c>
      <c r="R862" t="s">
        <v>1614</v>
      </c>
      <c r="U862" t="s">
        <v>1508</v>
      </c>
      <c r="V862" t="s">
        <v>134</v>
      </c>
      <c r="W862" t="s">
        <v>135</v>
      </c>
      <c r="X862" t="s">
        <v>136</v>
      </c>
      <c r="Y862">
        <v>1</v>
      </c>
      <c r="Z862" t="s">
        <v>49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hidden="1">
      <c r="A863">
        <v>862</v>
      </c>
      <c r="B863" t="s">
        <v>1615</v>
      </c>
      <c r="C863" t="s">
        <v>1616</v>
      </c>
      <c r="D863" t="s">
        <v>139</v>
      </c>
      <c r="E863">
        <v>0</v>
      </c>
      <c r="F863" s="3">
        <v>46247</v>
      </c>
      <c r="G863" s="3">
        <v>46268</v>
      </c>
      <c r="H863" t="s">
        <v>74</v>
      </c>
      <c r="I863" t="s">
        <v>129</v>
      </c>
      <c r="J863" t="s">
        <v>353</v>
      </c>
      <c r="L863" s="3">
        <v>46261</v>
      </c>
      <c r="M863" s="3">
        <v>46261</v>
      </c>
      <c r="N863" t="s">
        <v>1511</v>
      </c>
      <c r="P863">
        <v>863</v>
      </c>
      <c r="Q863" t="s">
        <v>1401</v>
      </c>
      <c r="Z863" t="s">
        <v>49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 spans="1:39" hidden="1">
      <c r="A864">
        <v>863</v>
      </c>
      <c r="B864" t="s">
        <v>1617</v>
      </c>
      <c r="C864" t="s">
        <v>1616</v>
      </c>
      <c r="D864" t="s">
        <v>143</v>
      </c>
      <c r="E864">
        <v>0</v>
      </c>
      <c r="F864" s="3">
        <v>46268</v>
      </c>
      <c r="G864" s="3">
        <v>46275</v>
      </c>
      <c r="H864" t="s">
        <v>74</v>
      </c>
      <c r="I864" t="s">
        <v>140</v>
      </c>
      <c r="J864" t="s">
        <v>398</v>
      </c>
      <c r="L864" s="3">
        <v>46268</v>
      </c>
      <c r="M864" s="3">
        <v>46268</v>
      </c>
      <c r="N864">
        <v>862</v>
      </c>
      <c r="P864">
        <v>864</v>
      </c>
      <c r="Q864" t="s">
        <v>1401</v>
      </c>
      <c r="Z864" t="s">
        <v>49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 hidden="1">
      <c r="A865">
        <v>864</v>
      </c>
      <c r="B865" t="s">
        <v>1618</v>
      </c>
      <c r="C865" t="s">
        <v>1616</v>
      </c>
      <c r="D865" t="s">
        <v>146</v>
      </c>
      <c r="E865">
        <v>0</v>
      </c>
      <c r="F865" s="3">
        <v>46275</v>
      </c>
      <c r="G865" s="3">
        <v>46282</v>
      </c>
      <c r="H865" t="s">
        <v>74</v>
      </c>
      <c r="I865" t="s">
        <v>140</v>
      </c>
      <c r="J865" t="s">
        <v>83</v>
      </c>
      <c r="L865" s="3">
        <v>46275</v>
      </c>
      <c r="M865" s="3">
        <v>46275</v>
      </c>
      <c r="N865">
        <v>863</v>
      </c>
      <c r="P865">
        <v>865</v>
      </c>
      <c r="Q865" t="s">
        <v>1401</v>
      </c>
      <c r="Z865" t="s">
        <v>49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</row>
    <row r="866" spans="1:39" hidden="1">
      <c r="A866">
        <v>865</v>
      </c>
      <c r="B866" t="s">
        <v>1619</v>
      </c>
      <c r="C866" t="s">
        <v>1616</v>
      </c>
      <c r="D866" t="s">
        <v>150</v>
      </c>
      <c r="E866">
        <v>0</v>
      </c>
      <c r="F866" s="3">
        <v>46282</v>
      </c>
      <c r="G866" s="3">
        <v>46286</v>
      </c>
      <c r="H866" t="s">
        <v>74</v>
      </c>
      <c r="I866" t="s">
        <v>151</v>
      </c>
      <c r="J866" t="s">
        <v>144</v>
      </c>
      <c r="L866" s="3">
        <v>46279</v>
      </c>
      <c r="M866" s="3">
        <v>46279</v>
      </c>
      <c r="N866">
        <v>864</v>
      </c>
      <c r="Q866" t="s">
        <v>1401</v>
      </c>
      <c r="Z866" t="s">
        <v>49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39" hidden="1">
      <c r="A867">
        <v>866</v>
      </c>
      <c r="B867" t="s">
        <v>1620</v>
      </c>
      <c r="C867" t="s">
        <v>1399</v>
      </c>
      <c r="D867" t="s">
        <v>1621</v>
      </c>
      <c r="E867">
        <v>0</v>
      </c>
      <c r="F867" s="3">
        <v>46247</v>
      </c>
      <c r="G867" s="3">
        <v>46282</v>
      </c>
      <c r="H867" t="s">
        <v>74</v>
      </c>
      <c r="I867" t="s">
        <v>382</v>
      </c>
      <c r="J867" t="s">
        <v>353</v>
      </c>
      <c r="K867" s="3">
        <v>46240</v>
      </c>
      <c r="L867" s="3">
        <v>46275</v>
      </c>
      <c r="M867" s="3">
        <v>46275</v>
      </c>
      <c r="O867" t="s">
        <v>713</v>
      </c>
      <c r="Q867" t="s">
        <v>1401</v>
      </c>
      <c r="R867" t="s">
        <v>1622</v>
      </c>
      <c r="U867" t="s">
        <v>1508</v>
      </c>
      <c r="V867" t="s">
        <v>134</v>
      </c>
      <c r="W867" t="s">
        <v>135</v>
      </c>
      <c r="X867" t="s">
        <v>136</v>
      </c>
      <c r="Y867">
        <v>1</v>
      </c>
      <c r="Z867" t="s">
        <v>49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 spans="1:39" hidden="1">
      <c r="A868">
        <v>867</v>
      </c>
      <c r="B868" t="s">
        <v>1623</v>
      </c>
      <c r="C868" t="s">
        <v>1624</v>
      </c>
      <c r="D868" t="s">
        <v>139</v>
      </c>
      <c r="E868">
        <v>0</v>
      </c>
      <c r="F868" s="3">
        <v>46247</v>
      </c>
      <c r="G868" s="3">
        <v>46268</v>
      </c>
      <c r="H868" t="s">
        <v>74</v>
      </c>
      <c r="I868" t="s">
        <v>129</v>
      </c>
      <c r="J868" t="s">
        <v>353</v>
      </c>
      <c r="L868" s="3">
        <v>46261</v>
      </c>
      <c r="M868" s="3">
        <v>46261</v>
      </c>
      <c r="N868" t="s">
        <v>1511</v>
      </c>
      <c r="P868">
        <v>868</v>
      </c>
      <c r="Q868" t="s">
        <v>1401</v>
      </c>
      <c r="Z868" t="s">
        <v>49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 hidden="1">
      <c r="A869">
        <v>868</v>
      </c>
      <c r="B869" t="s">
        <v>1625</v>
      </c>
      <c r="C869" t="s">
        <v>1624</v>
      </c>
      <c r="D869" t="s">
        <v>143</v>
      </c>
      <c r="E869">
        <v>0</v>
      </c>
      <c r="F869" s="3">
        <v>46268</v>
      </c>
      <c r="G869" s="3">
        <v>46275</v>
      </c>
      <c r="H869" t="s">
        <v>74</v>
      </c>
      <c r="I869" t="s">
        <v>140</v>
      </c>
      <c r="J869" t="s">
        <v>398</v>
      </c>
      <c r="L869" s="3">
        <v>46268</v>
      </c>
      <c r="M869" s="3">
        <v>46268</v>
      </c>
      <c r="N869">
        <v>867</v>
      </c>
      <c r="P869">
        <v>869</v>
      </c>
      <c r="Q869" t="s">
        <v>1401</v>
      </c>
      <c r="Z869" t="s">
        <v>49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 hidden="1">
      <c r="A870">
        <v>869</v>
      </c>
      <c r="B870" t="s">
        <v>1626</v>
      </c>
      <c r="C870" t="s">
        <v>1624</v>
      </c>
      <c r="D870" t="s">
        <v>146</v>
      </c>
      <c r="E870">
        <v>0</v>
      </c>
      <c r="F870" s="3">
        <v>46275</v>
      </c>
      <c r="G870" s="3">
        <v>46280</v>
      </c>
      <c r="H870" t="s">
        <v>74</v>
      </c>
      <c r="I870" t="s">
        <v>147</v>
      </c>
      <c r="J870" t="s">
        <v>83</v>
      </c>
      <c r="L870" s="3">
        <v>46273</v>
      </c>
      <c r="M870" s="3">
        <v>46273</v>
      </c>
      <c r="N870">
        <v>868</v>
      </c>
      <c r="P870">
        <v>870</v>
      </c>
      <c r="Q870" t="s">
        <v>1401</v>
      </c>
      <c r="Z870" t="s">
        <v>49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 hidden="1">
      <c r="A871">
        <v>870</v>
      </c>
      <c r="B871" t="s">
        <v>1627</v>
      </c>
      <c r="C871" t="s">
        <v>1624</v>
      </c>
      <c r="D871" t="s">
        <v>150</v>
      </c>
      <c r="E871">
        <v>0</v>
      </c>
      <c r="F871" s="3">
        <v>46280</v>
      </c>
      <c r="G871" s="3">
        <v>46282</v>
      </c>
      <c r="H871" t="s">
        <v>74</v>
      </c>
      <c r="I871" t="s">
        <v>151</v>
      </c>
      <c r="J871" t="s">
        <v>83</v>
      </c>
      <c r="L871" s="3">
        <v>46275</v>
      </c>
      <c r="M871" s="3">
        <v>46275</v>
      </c>
      <c r="N871">
        <v>869</v>
      </c>
      <c r="Q871" t="s">
        <v>1401</v>
      </c>
      <c r="Z871" t="s">
        <v>49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 hidden="1">
      <c r="A872">
        <v>871</v>
      </c>
      <c r="B872" t="s">
        <v>1628</v>
      </c>
      <c r="C872" t="s">
        <v>1399</v>
      </c>
      <c r="D872" t="s">
        <v>1629</v>
      </c>
      <c r="E872">
        <v>0</v>
      </c>
      <c r="F872" s="3">
        <v>46247</v>
      </c>
      <c r="G872" s="3">
        <v>46286</v>
      </c>
      <c r="H872" t="s">
        <v>74</v>
      </c>
      <c r="I872" t="s">
        <v>887</v>
      </c>
      <c r="J872" t="s">
        <v>353</v>
      </c>
      <c r="K872" s="3">
        <v>46240</v>
      </c>
      <c r="L872" s="3">
        <v>46279</v>
      </c>
      <c r="M872" s="3">
        <v>46279</v>
      </c>
      <c r="O872" t="s">
        <v>713</v>
      </c>
      <c r="Q872" t="s">
        <v>1401</v>
      </c>
      <c r="R872" t="s">
        <v>1630</v>
      </c>
      <c r="U872" t="s">
        <v>1508</v>
      </c>
      <c r="V872" t="s">
        <v>134</v>
      </c>
      <c r="W872" t="s">
        <v>135</v>
      </c>
      <c r="X872" t="s">
        <v>136</v>
      </c>
      <c r="Y872">
        <v>1</v>
      </c>
      <c r="Z872" t="s">
        <v>49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 hidden="1">
      <c r="A873">
        <v>872</v>
      </c>
      <c r="B873" t="s">
        <v>1631</v>
      </c>
      <c r="C873" t="s">
        <v>1632</v>
      </c>
      <c r="D873" t="s">
        <v>139</v>
      </c>
      <c r="E873">
        <v>0</v>
      </c>
      <c r="F873" s="3">
        <v>46247</v>
      </c>
      <c r="G873" s="3">
        <v>46268</v>
      </c>
      <c r="H873" t="s">
        <v>74</v>
      </c>
      <c r="I873" t="s">
        <v>129</v>
      </c>
      <c r="J873" t="s">
        <v>353</v>
      </c>
      <c r="L873" s="3">
        <v>46261</v>
      </c>
      <c r="M873" s="3">
        <v>46261</v>
      </c>
      <c r="N873" t="s">
        <v>1511</v>
      </c>
      <c r="P873">
        <v>873</v>
      </c>
      <c r="Q873" t="s">
        <v>1401</v>
      </c>
      <c r="Z873" t="s">
        <v>49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 hidden="1">
      <c r="A874">
        <v>873</v>
      </c>
      <c r="B874" t="s">
        <v>1633</v>
      </c>
      <c r="C874" t="s">
        <v>1632</v>
      </c>
      <c r="D874" t="s">
        <v>143</v>
      </c>
      <c r="E874">
        <v>0</v>
      </c>
      <c r="F874" s="3">
        <v>46268</v>
      </c>
      <c r="G874" s="3">
        <v>46275</v>
      </c>
      <c r="H874" t="s">
        <v>74</v>
      </c>
      <c r="I874" t="s">
        <v>140</v>
      </c>
      <c r="J874" t="s">
        <v>398</v>
      </c>
      <c r="L874" s="3">
        <v>46268</v>
      </c>
      <c r="M874" s="3">
        <v>46268</v>
      </c>
      <c r="N874">
        <v>872</v>
      </c>
      <c r="P874">
        <v>874</v>
      </c>
      <c r="Q874" t="s">
        <v>1401</v>
      </c>
      <c r="Z874" t="s">
        <v>49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 hidden="1">
      <c r="A875">
        <v>874</v>
      </c>
      <c r="B875" t="s">
        <v>1634</v>
      </c>
      <c r="C875" t="s">
        <v>1632</v>
      </c>
      <c r="D875" t="s">
        <v>146</v>
      </c>
      <c r="E875">
        <v>0</v>
      </c>
      <c r="F875" s="3">
        <v>46275</v>
      </c>
      <c r="G875" s="3">
        <v>46282</v>
      </c>
      <c r="H875" t="s">
        <v>74</v>
      </c>
      <c r="I875" t="s">
        <v>140</v>
      </c>
      <c r="J875" t="s">
        <v>83</v>
      </c>
      <c r="L875" s="3">
        <v>46275</v>
      </c>
      <c r="M875" s="3">
        <v>46275</v>
      </c>
      <c r="N875">
        <v>873</v>
      </c>
      <c r="P875">
        <v>875</v>
      </c>
      <c r="Q875" t="s">
        <v>1401</v>
      </c>
      <c r="Z875" t="s">
        <v>49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 hidden="1">
      <c r="A876">
        <v>875</v>
      </c>
      <c r="B876" t="s">
        <v>1635</v>
      </c>
      <c r="C876" t="s">
        <v>1632</v>
      </c>
      <c r="D876" t="s">
        <v>150</v>
      </c>
      <c r="E876">
        <v>0</v>
      </c>
      <c r="F876" s="3">
        <v>46282</v>
      </c>
      <c r="G876" s="3">
        <v>46286</v>
      </c>
      <c r="H876" t="s">
        <v>74</v>
      </c>
      <c r="I876" t="s">
        <v>151</v>
      </c>
      <c r="J876" t="s">
        <v>144</v>
      </c>
      <c r="L876" s="3">
        <v>46279</v>
      </c>
      <c r="M876" s="3">
        <v>46279</v>
      </c>
      <c r="N876">
        <v>874</v>
      </c>
      <c r="Q876" t="s">
        <v>1401</v>
      </c>
      <c r="Z876" t="s">
        <v>49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 hidden="1">
      <c r="A877">
        <v>876</v>
      </c>
      <c r="B877" t="s">
        <v>1636</v>
      </c>
      <c r="C877" t="s">
        <v>1399</v>
      </c>
      <c r="D877" t="s">
        <v>1637</v>
      </c>
      <c r="E877">
        <v>0</v>
      </c>
      <c r="F877" s="3">
        <v>46247</v>
      </c>
      <c r="G877" s="3">
        <v>46282</v>
      </c>
      <c r="H877" t="s">
        <v>74</v>
      </c>
      <c r="I877" t="s">
        <v>382</v>
      </c>
      <c r="J877" t="s">
        <v>353</v>
      </c>
      <c r="K877" s="3">
        <v>46240</v>
      </c>
      <c r="L877" s="3">
        <v>46275</v>
      </c>
      <c r="M877" s="3">
        <v>46275</v>
      </c>
      <c r="O877" t="s">
        <v>713</v>
      </c>
      <c r="Q877" t="s">
        <v>1401</v>
      </c>
      <c r="R877" t="s">
        <v>1638</v>
      </c>
      <c r="U877" t="s">
        <v>1508</v>
      </c>
      <c r="V877" t="s">
        <v>134</v>
      </c>
      <c r="W877" t="s">
        <v>135</v>
      </c>
      <c r="X877" t="s">
        <v>136</v>
      </c>
      <c r="Y877">
        <v>1</v>
      </c>
      <c r="Z877" t="s">
        <v>43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 hidden="1">
      <c r="A878">
        <v>877</v>
      </c>
      <c r="B878" t="s">
        <v>1639</v>
      </c>
      <c r="C878" t="s">
        <v>1640</v>
      </c>
      <c r="D878" t="s">
        <v>139</v>
      </c>
      <c r="E878">
        <v>0</v>
      </c>
      <c r="F878" s="3">
        <v>46247</v>
      </c>
      <c r="G878" s="3">
        <v>46268</v>
      </c>
      <c r="H878" t="s">
        <v>74</v>
      </c>
      <c r="I878" t="s">
        <v>129</v>
      </c>
      <c r="J878" t="s">
        <v>353</v>
      </c>
      <c r="L878" s="3">
        <v>46261</v>
      </c>
      <c r="M878" s="3">
        <v>46261</v>
      </c>
      <c r="N878" t="s">
        <v>1511</v>
      </c>
      <c r="P878" t="s">
        <v>1641</v>
      </c>
      <c r="Q878" t="s">
        <v>1401</v>
      </c>
      <c r="Z878" t="s">
        <v>43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 hidden="1">
      <c r="A879">
        <v>878</v>
      </c>
      <c r="B879" t="s">
        <v>1642</v>
      </c>
      <c r="C879" t="s">
        <v>1640</v>
      </c>
      <c r="D879" t="s">
        <v>143</v>
      </c>
      <c r="E879">
        <v>0</v>
      </c>
      <c r="F879" s="3">
        <v>46268</v>
      </c>
      <c r="G879" s="3">
        <v>46275</v>
      </c>
      <c r="H879" t="s">
        <v>74</v>
      </c>
      <c r="I879" t="s">
        <v>140</v>
      </c>
      <c r="J879" t="s">
        <v>398</v>
      </c>
      <c r="L879" s="3">
        <v>46268</v>
      </c>
      <c r="M879" s="3">
        <v>46268</v>
      </c>
      <c r="N879">
        <v>877</v>
      </c>
      <c r="P879">
        <v>879</v>
      </c>
      <c r="Q879" t="s">
        <v>1401</v>
      </c>
      <c r="Z879" t="s">
        <v>49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 hidden="1">
      <c r="A880">
        <v>879</v>
      </c>
      <c r="B880" t="s">
        <v>1643</v>
      </c>
      <c r="C880" t="s">
        <v>1640</v>
      </c>
      <c r="D880" t="s">
        <v>146</v>
      </c>
      <c r="E880">
        <v>0</v>
      </c>
      <c r="F880" s="3">
        <v>46275</v>
      </c>
      <c r="G880" s="3">
        <v>46280</v>
      </c>
      <c r="H880" t="s">
        <v>74</v>
      </c>
      <c r="I880" t="s">
        <v>147</v>
      </c>
      <c r="J880" t="s">
        <v>83</v>
      </c>
      <c r="L880" s="3">
        <v>46273</v>
      </c>
      <c r="M880" s="3">
        <v>46273</v>
      </c>
      <c r="N880">
        <v>878</v>
      </c>
      <c r="P880">
        <v>880</v>
      </c>
      <c r="Q880" t="s">
        <v>1401</v>
      </c>
      <c r="Z880" t="s">
        <v>49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</row>
    <row r="881" spans="1:39" hidden="1">
      <c r="A881">
        <v>880</v>
      </c>
      <c r="B881" t="s">
        <v>1644</v>
      </c>
      <c r="C881" t="s">
        <v>1640</v>
      </c>
      <c r="D881" t="s">
        <v>150</v>
      </c>
      <c r="E881">
        <v>0</v>
      </c>
      <c r="F881" s="3">
        <v>46280</v>
      </c>
      <c r="G881" s="3">
        <v>46282</v>
      </c>
      <c r="H881" t="s">
        <v>74</v>
      </c>
      <c r="I881" t="s">
        <v>151</v>
      </c>
      <c r="J881" t="s">
        <v>83</v>
      </c>
      <c r="L881" s="3">
        <v>46275</v>
      </c>
      <c r="M881" s="3">
        <v>46275</v>
      </c>
      <c r="N881">
        <v>879</v>
      </c>
      <c r="Q881" t="s">
        <v>1401</v>
      </c>
      <c r="Z881" t="s">
        <v>49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 hidden="1">
      <c r="A882">
        <v>881</v>
      </c>
      <c r="B882" t="s">
        <v>1645</v>
      </c>
      <c r="C882" t="s">
        <v>1399</v>
      </c>
      <c r="D882" t="s">
        <v>1646</v>
      </c>
      <c r="E882">
        <v>0</v>
      </c>
      <c r="F882" s="3">
        <v>46268</v>
      </c>
      <c r="G882" s="3">
        <v>46297</v>
      </c>
      <c r="H882" t="s">
        <v>74</v>
      </c>
      <c r="I882" t="s">
        <v>1647</v>
      </c>
      <c r="J882" t="s">
        <v>398</v>
      </c>
      <c r="K882" s="3">
        <v>46261</v>
      </c>
      <c r="L882" s="3">
        <v>46290</v>
      </c>
      <c r="M882" s="3">
        <v>46290</v>
      </c>
      <c r="O882" t="s">
        <v>991</v>
      </c>
      <c r="Q882" t="s">
        <v>1401</v>
      </c>
      <c r="R882" t="s">
        <v>1648</v>
      </c>
      <c r="U882" t="s">
        <v>993</v>
      </c>
      <c r="V882" t="s">
        <v>134</v>
      </c>
      <c r="W882" t="s">
        <v>135</v>
      </c>
      <c r="X882" t="s">
        <v>213</v>
      </c>
      <c r="Y882">
        <v>10</v>
      </c>
      <c r="Z882" t="s">
        <v>49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 hidden="1">
      <c r="A883">
        <v>882</v>
      </c>
      <c r="B883" t="s">
        <v>1649</v>
      </c>
      <c r="C883" t="s">
        <v>1650</v>
      </c>
      <c r="D883" t="s">
        <v>139</v>
      </c>
      <c r="E883">
        <v>0</v>
      </c>
      <c r="F883" s="3">
        <v>46268</v>
      </c>
      <c r="G883" s="3">
        <v>46283</v>
      </c>
      <c r="H883" t="s">
        <v>74</v>
      </c>
      <c r="I883" t="s">
        <v>1651</v>
      </c>
      <c r="J883" t="s">
        <v>398</v>
      </c>
      <c r="L883" s="3">
        <v>46276</v>
      </c>
      <c r="M883" s="3">
        <v>46276</v>
      </c>
      <c r="N883">
        <v>877</v>
      </c>
      <c r="P883">
        <v>883</v>
      </c>
      <c r="Q883" t="s">
        <v>1401</v>
      </c>
      <c r="Z883" t="s">
        <v>49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 hidden="1">
      <c r="A884">
        <v>883</v>
      </c>
      <c r="B884" t="s">
        <v>1652</v>
      </c>
      <c r="C884" t="s">
        <v>1650</v>
      </c>
      <c r="D884" t="s">
        <v>143</v>
      </c>
      <c r="E884">
        <v>0</v>
      </c>
      <c r="F884" s="3">
        <v>46283</v>
      </c>
      <c r="G884" s="3">
        <v>46290</v>
      </c>
      <c r="H884" t="s">
        <v>74</v>
      </c>
      <c r="I884" t="s">
        <v>140</v>
      </c>
      <c r="J884" t="s">
        <v>144</v>
      </c>
      <c r="L884" s="3">
        <v>46283</v>
      </c>
      <c r="M884" s="3">
        <v>46283</v>
      </c>
      <c r="N884">
        <v>882</v>
      </c>
      <c r="P884">
        <v>884</v>
      </c>
      <c r="Q884" t="s">
        <v>1401</v>
      </c>
      <c r="Z884" t="s">
        <v>49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 hidden="1">
      <c r="A885">
        <v>884</v>
      </c>
      <c r="B885" t="s">
        <v>1653</v>
      </c>
      <c r="C885" t="s">
        <v>1650</v>
      </c>
      <c r="D885" t="s">
        <v>146</v>
      </c>
      <c r="E885">
        <v>0</v>
      </c>
      <c r="F885" s="3">
        <v>46290</v>
      </c>
      <c r="G885" s="3">
        <v>46295</v>
      </c>
      <c r="H885" t="s">
        <v>74</v>
      </c>
      <c r="I885" t="s">
        <v>147</v>
      </c>
      <c r="J885" t="s">
        <v>148</v>
      </c>
      <c r="L885" s="3">
        <v>46288</v>
      </c>
      <c r="M885" s="3">
        <v>46288</v>
      </c>
      <c r="N885">
        <v>883</v>
      </c>
      <c r="P885">
        <v>885</v>
      </c>
      <c r="Q885" t="s">
        <v>1401</v>
      </c>
      <c r="Z885" t="s">
        <v>49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 hidden="1">
      <c r="A886">
        <v>885</v>
      </c>
      <c r="B886" t="s">
        <v>1654</v>
      </c>
      <c r="C886" t="s">
        <v>1650</v>
      </c>
      <c r="D886" t="s">
        <v>150</v>
      </c>
      <c r="E886">
        <v>0</v>
      </c>
      <c r="F886" s="3">
        <v>46295</v>
      </c>
      <c r="G886" s="3">
        <v>46297</v>
      </c>
      <c r="H886" t="s">
        <v>74</v>
      </c>
      <c r="I886" t="s">
        <v>151</v>
      </c>
      <c r="J886" t="s">
        <v>822</v>
      </c>
      <c r="L886" s="3">
        <v>46290</v>
      </c>
      <c r="M886" s="3">
        <v>46290</v>
      </c>
      <c r="N886">
        <v>884</v>
      </c>
      <c r="Q886" t="s">
        <v>1401</v>
      </c>
      <c r="Z886" t="s">
        <v>49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 hidden="1">
      <c r="A887">
        <v>886</v>
      </c>
      <c r="B887" t="s">
        <v>1655</v>
      </c>
      <c r="C887" t="s">
        <v>1399</v>
      </c>
      <c r="D887" t="s">
        <v>1656</v>
      </c>
      <c r="E887">
        <v>0</v>
      </c>
      <c r="F887" s="3">
        <v>46268</v>
      </c>
      <c r="G887" s="3">
        <v>46301</v>
      </c>
      <c r="H887" t="s">
        <v>74</v>
      </c>
      <c r="I887" t="s">
        <v>208</v>
      </c>
      <c r="J887" t="s">
        <v>398</v>
      </c>
      <c r="K887" s="3">
        <v>46261</v>
      </c>
      <c r="L887" s="3">
        <v>46294</v>
      </c>
      <c r="M887" s="3">
        <v>46294</v>
      </c>
      <c r="O887" t="s">
        <v>991</v>
      </c>
      <c r="Q887" t="s">
        <v>1401</v>
      </c>
      <c r="R887" t="s">
        <v>1657</v>
      </c>
      <c r="U887" t="s">
        <v>1122</v>
      </c>
      <c r="V887" t="s">
        <v>134</v>
      </c>
      <c r="W887" t="s">
        <v>135</v>
      </c>
      <c r="X887" t="s">
        <v>844</v>
      </c>
      <c r="Y887">
        <v>10</v>
      </c>
      <c r="Z887" t="s">
        <v>43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 hidden="1">
      <c r="A888">
        <v>887</v>
      </c>
      <c r="B888" t="s">
        <v>1658</v>
      </c>
      <c r="C888" t="s">
        <v>1659</v>
      </c>
      <c r="D888" t="s">
        <v>139</v>
      </c>
      <c r="E888">
        <v>0</v>
      </c>
      <c r="F888" s="3">
        <v>46268</v>
      </c>
      <c r="G888" s="3">
        <v>46287</v>
      </c>
      <c r="H888" t="s">
        <v>74</v>
      </c>
      <c r="I888" t="s">
        <v>1660</v>
      </c>
      <c r="J888" t="s">
        <v>398</v>
      </c>
      <c r="L888" s="3">
        <v>46280</v>
      </c>
      <c r="M888" s="3">
        <v>46280</v>
      </c>
      <c r="N888">
        <v>877</v>
      </c>
      <c r="P888" t="s">
        <v>1661</v>
      </c>
      <c r="Q888" t="s">
        <v>1401</v>
      </c>
      <c r="Z888" t="s">
        <v>43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 hidden="1">
      <c r="A889">
        <v>888</v>
      </c>
      <c r="B889" t="s">
        <v>1662</v>
      </c>
      <c r="C889" t="s">
        <v>1659</v>
      </c>
      <c r="D889" t="s">
        <v>143</v>
      </c>
      <c r="E889">
        <v>0</v>
      </c>
      <c r="F889" s="3">
        <v>46287</v>
      </c>
      <c r="G889" s="3">
        <v>46294</v>
      </c>
      <c r="H889" t="s">
        <v>74</v>
      </c>
      <c r="I889" t="s">
        <v>140</v>
      </c>
      <c r="J889" t="s">
        <v>144</v>
      </c>
      <c r="L889" s="3">
        <v>46287</v>
      </c>
      <c r="M889" s="3">
        <v>46287</v>
      </c>
      <c r="N889">
        <v>887</v>
      </c>
      <c r="P889">
        <v>889</v>
      </c>
      <c r="Q889" t="s">
        <v>1401</v>
      </c>
      <c r="Z889" t="s">
        <v>43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 spans="1:39" hidden="1">
      <c r="A890">
        <v>889</v>
      </c>
      <c r="B890" t="s">
        <v>1663</v>
      </c>
      <c r="C890" t="s">
        <v>1659</v>
      </c>
      <c r="D890" t="s">
        <v>146</v>
      </c>
      <c r="E890">
        <v>0</v>
      </c>
      <c r="F890" s="3">
        <v>46294</v>
      </c>
      <c r="G890" s="3">
        <v>46297</v>
      </c>
      <c r="H890" t="s">
        <v>74</v>
      </c>
      <c r="I890" t="s">
        <v>147</v>
      </c>
      <c r="J890" t="s">
        <v>148</v>
      </c>
      <c r="L890" s="3">
        <v>46290</v>
      </c>
      <c r="M890" s="3">
        <v>46290</v>
      </c>
      <c r="N890">
        <v>888</v>
      </c>
      <c r="P890">
        <v>890</v>
      </c>
      <c r="Q890" t="s">
        <v>1401</v>
      </c>
      <c r="Z890" t="s">
        <v>43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 hidden="1">
      <c r="A891">
        <v>890</v>
      </c>
      <c r="B891" t="s">
        <v>1664</v>
      </c>
      <c r="C891" t="s">
        <v>1659</v>
      </c>
      <c r="D891" t="s">
        <v>150</v>
      </c>
      <c r="E891">
        <v>0</v>
      </c>
      <c r="F891" s="3">
        <v>46297</v>
      </c>
      <c r="G891" s="3">
        <v>46301</v>
      </c>
      <c r="H891" t="s">
        <v>74</v>
      </c>
      <c r="I891" t="s">
        <v>151</v>
      </c>
      <c r="J891" t="s">
        <v>822</v>
      </c>
      <c r="L891" s="3">
        <v>46294</v>
      </c>
      <c r="M891" s="3">
        <v>46294</v>
      </c>
      <c r="N891">
        <v>889</v>
      </c>
      <c r="Q891" t="s">
        <v>1401</v>
      </c>
      <c r="Z891" t="s">
        <v>43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</row>
    <row r="892" spans="1:39" hidden="1">
      <c r="A892">
        <v>891</v>
      </c>
      <c r="B892" t="s">
        <v>1665</v>
      </c>
      <c r="C892" t="s">
        <v>1399</v>
      </c>
      <c r="D892" t="s">
        <v>1666</v>
      </c>
      <c r="E892">
        <v>0</v>
      </c>
      <c r="F892" s="3">
        <v>46247</v>
      </c>
      <c r="G892" s="3">
        <v>46282</v>
      </c>
      <c r="H892" t="s">
        <v>74</v>
      </c>
      <c r="I892" t="s">
        <v>382</v>
      </c>
      <c r="J892" t="s">
        <v>353</v>
      </c>
      <c r="K892" s="3">
        <v>46240</v>
      </c>
      <c r="L892" s="3">
        <v>46275</v>
      </c>
      <c r="M892" s="3">
        <v>46275</v>
      </c>
      <c r="O892" t="s">
        <v>713</v>
      </c>
      <c r="Q892" t="s">
        <v>1401</v>
      </c>
      <c r="R892" t="s">
        <v>1667</v>
      </c>
      <c r="U892" t="s">
        <v>1002</v>
      </c>
      <c r="V892" t="s">
        <v>134</v>
      </c>
      <c r="W892" t="s">
        <v>135</v>
      </c>
      <c r="X892" t="s">
        <v>213</v>
      </c>
      <c r="Y892">
        <v>10</v>
      </c>
      <c r="Z892" t="s">
        <v>49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 hidden="1">
      <c r="A893">
        <v>892</v>
      </c>
      <c r="B893" t="s">
        <v>1668</v>
      </c>
      <c r="C893" t="s">
        <v>1669</v>
      </c>
      <c r="D893" t="s">
        <v>139</v>
      </c>
      <c r="E893">
        <v>0</v>
      </c>
      <c r="F893" s="3">
        <v>46247</v>
      </c>
      <c r="G893" s="3">
        <v>46268</v>
      </c>
      <c r="H893" t="s">
        <v>74</v>
      </c>
      <c r="I893" t="s">
        <v>129</v>
      </c>
      <c r="J893" t="s">
        <v>353</v>
      </c>
      <c r="L893" s="3">
        <v>46261</v>
      </c>
      <c r="M893" s="3">
        <v>46261</v>
      </c>
      <c r="N893" t="s">
        <v>1670</v>
      </c>
      <c r="P893">
        <v>893</v>
      </c>
      <c r="Q893" t="s">
        <v>1401</v>
      </c>
      <c r="Z893" t="s">
        <v>49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</row>
    <row r="894" spans="1:39" hidden="1">
      <c r="A894">
        <v>893</v>
      </c>
      <c r="B894" t="s">
        <v>1671</v>
      </c>
      <c r="C894" t="s">
        <v>1669</v>
      </c>
      <c r="D894" t="s">
        <v>143</v>
      </c>
      <c r="E894">
        <v>0</v>
      </c>
      <c r="F894" s="3">
        <v>46268</v>
      </c>
      <c r="G894" s="3">
        <v>46275</v>
      </c>
      <c r="H894" t="s">
        <v>74</v>
      </c>
      <c r="I894" t="s">
        <v>140</v>
      </c>
      <c r="J894" t="s">
        <v>398</v>
      </c>
      <c r="L894" s="3">
        <v>46268</v>
      </c>
      <c r="M894" s="3">
        <v>46268</v>
      </c>
      <c r="N894">
        <v>892</v>
      </c>
      <c r="P894">
        <v>894</v>
      </c>
      <c r="Q894" t="s">
        <v>1401</v>
      </c>
      <c r="Z894" t="s">
        <v>49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 hidden="1">
      <c r="A895">
        <v>894</v>
      </c>
      <c r="B895" t="s">
        <v>1672</v>
      </c>
      <c r="C895" t="s">
        <v>1669</v>
      </c>
      <c r="D895" t="s">
        <v>146</v>
      </c>
      <c r="E895">
        <v>0</v>
      </c>
      <c r="F895" s="3">
        <v>46275</v>
      </c>
      <c r="G895" s="3">
        <v>46280</v>
      </c>
      <c r="H895" t="s">
        <v>74</v>
      </c>
      <c r="I895" t="s">
        <v>147</v>
      </c>
      <c r="J895" t="s">
        <v>83</v>
      </c>
      <c r="L895" s="3">
        <v>46273</v>
      </c>
      <c r="M895" s="3">
        <v>46273</v>
      </c>
      <c r="N895">
        <v>893</v>
      </c>
      <c r="P895">
        <v>895</v>
      </c>
      <c r="Q895" t="s">
        <v>1401</v>
      </c>
      <c r="Z895" t="s">
        <v>49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 hidden="1">
      <c r="A896">
        <v>895</v>
      </c>
      <c r="B896" t="s">
        <v>1673</v>
      </c>
      <c r="C896" t="s">
        <v>1669</v>
      </c>
      <c r="D896" t="s">
        <v>150</v>
      </c>
      <c r="E896">
        <v>0</v>
      </c>
      <c r="F896" s="3">
        <v>46280</v>
      </c>
      <c r="G896" s="3">
        <v>46282</v>
      </c>
      <c r="H896" t="s">
        <v>74</v>
      </c>
      <c r="I896" t="s">
        <v>151</v>
      </c>
      <c r="J896" t="s">
        <v>83</v>
      </c>
      <c r="L896" s="3">
        <v>46275</v>
      </c>
      <c r="M896" s="3">
        <v>46275</v>
      </c>
      <c r="N896">
        <v>894</v>
      </c>
      <c r="Q896" t="s">
        <v>1401</v>
      </c>
      <c r="Z896" t="s">
        <v>49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 hidden="1">
      <c r="A897">
        <v>896</v>
      </c>
      <c r="B897" t="s">
        <v>1674</v>
      </c>
      <c r="C897" t="s">
        <v>1399</v>
      </c>
      <c r="D897" t="s">
        <v>1675</v>
      </c>
      <c r="E897">
        <v>0</v>
      </c>
      <c r="F897" s="3">
        <v>46247</v>
      </c>
      <c r="G897" s="3">
        <v>46282</v>
      </c>
      <c r="H897" t="s">
        <v>74</v>
      </c>
      <c r="I897" t="s">
        <v>382</v>
      </c>
      <c r="J897" t="s">
        <v>353</v>
      </c>
      <c r="K897" s="3">
        <v>46240</v>
      </c>
      <c r="L897" s="3">
        <v>46275</v>
      </c>
      <c r="M897" s="3">
        <v>46275</v>
      </c>
      <c r="O897" t="s">
        <v>991</v>
      </c>
      <c r="Q897" t="s">
        <v>1401</v>
      </c>
      <c r="R897" t="s">
        <v>1667</v>
      </c>
      <c r="U897" t="s">
        <v>1002</v>
      </c>
      <c r="V897" t="s">
        <v>134</v>
      </c>
      <c r="W897" t="s">
        <v>135</v>
      </c>
      <c r="X897" t="s">
        <v>213</v>
      </c>
      <c r="Y897">
        <v>10</v>
      </c>
      <c r="Z897" t="s">
        <v>49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 hidden="1">
      <c r="A898">
        <v>897</v>
      </c>
      <c r="B898" t="s">
        <v>1676</v>
      </c>
      <c r="C898" t="s">
        <v>1677</v>
      </c>
      <c r="D898" t="s">
        <v>139</v>
      </c>
      <c r="E898">
        <v>0</v>
      </c>
      <c r="F898" s="3">
        <v>46247</v>
      </c>
      <c r="G898" s="3">
        <v>46268</v>
      </c>
      <c r="H898" t="s">
        <v>74</v>
      </c>
      <c r="I898" t="s">
        <v>129</v>
      </c>
      <c r="J898" t="s">
        <v>353</v>
      </c>
      <c r="L898" s="3">
        <v>46261</v>
      </c>
      <c r="M898" s="3">
        <v>46261</v>
      </c>
      <c r="N898" t="s">
        <v>1670</v>
      </c>
      <c r="P898">
        <v>898</v>
      </c>
      <c r="Q898" t="s">
        <v>1401</v>
      </c>
      <c r="Z898" t="s">
        <v>49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 hidden="1">
      <c r="A899">
        <v>898</v>
      </c>
      <c r="B899" t="s">
        <v>1678</v>
      </c>
      <c r="C899" t="s">
        <v>1677</v>
      </c>
      <c r="D899" t="s">
        <v>143</v>
      </c>
      <c r="E899">
        <v>0</v>
      </c>
      <c r="F899" s="3">
        <v>46268</v>
      </c>
      <c r="G899" s="3">
        <v>46275</v>
      </c>
      <c r="H899" t="s">
        <v>74</v>
      </c>
      <c r="I899" t="s">
        <v>140</v>
      </c>
      <c r="J899" t="s">
        <v>398</v>
      </c>
      <c r="L899" s="3">
        <v>46268</v>
      </c>
      <c r="M899" s="3">
        <v>46268</v>
      </c>
      <c r="N899">
        <v>897</v>
      </c>
      <c r="P899">
        <v>899</v>
      </c>
      <c r="Q899" t="s">
        <v>1401</v>
      </c>
      <c r="Z899" t="s">
        <v>49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 hidden="1">
      <c r="A900">
        <v>899</v>
      </c>
      <c r="B900" t="s">
        <v>1679</v>
      </c>
      <c r="C900" t="s">
        <v>1677</v>
      </c>
      <c r="D900" t="s">
        <v>146</v>
      </c>
      <c r="E900">
        <v>0</v>
      </c>
      <c r="F900" s="3">
        <v>46275</v>
      </c>
      <c r="G900" s="3">
        <v>46280</v>
      </c>
      <c r="H900" t="s">
        <v>74</v>
      </c>
      <c r="I900" t="s">
        <v>147</v>
      </c>
      <c r="J900" t="s">
        <v>83</v>
      </c>
      <c r="L900" s="3">
        <v>46273</v>
      </c>
      <c r="M900" s="3">
        <v>46273</v>
      </c>
      <c r="N900">
        <v>898</v>
      </c>
      <c r="P900">
        <v>900</v>
      </c>
      <c r="Q900" t="s">
        <v>1401</v>
      </c>
      <c r="Z900" t="s">
        <v>49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 hidden="1">
      <c r="A901">
        <v>900</v>
      </c>
      <c r="B901" t="s">
        <v>1680</v>
      </c>
      <c r="C901" t="s">
        <v>1677</v>
      </c>
      <c r="D901" t="s">
        <v>150</v>
      </c>
      <c r="E901">
        <v>0</v>
      </c>
      <c r="F901" s="3">
        <v>46280</v>
      </c>
      <c r="G901" s="3">
        <v>46282</v>
      </c>
      <c r="H901" t="s">
        <v>74</v>
      </c>
      <c r="I901" t="s">
        <v>151</v>
      </c>
      <c r="J901" t="s">
        <v>83</v>
      </c>
      <c r="L901" s="3">
        <v>46275</v>
      </c>
      <c r="M901" s="3">
        <v>46275</v>
      </c>
      <c r="N901">
        <v>899</v>
      </c>
      <c r="Q901" t="s">
        <v>1401</v>
      </c>
      <c r="Z901" t="s">
        <v>49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 hidden="1">
      <c r="A902">
        <v>901</v>
      </c>
      <c r="B902" t="s">
        <v>1681</v>
      </c>
      <c r="C902" t="s">
        <v>45</v>
      </c>
      <c r="D902" t="s">
        <v>1682</v>
      </c>
      <c r="E902">
        <v>0</v>
      </c>
      <c r="F902" s="3">
        <v>46196</v>
      </c>
      <c r="G902" s="3">
        <v>46287</v>
      </c>
      <c r="I902" t="s">
        <v>1683</v>
      </c>
      <c r="J902" t="s">
        <v>42</v>
      </c>
      <c r="N902" t="s">
        <v>1684</v>
      </c>
      <c r="Z902" t="s">
        <v>49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 hidden="1">
      <c r="A903">
        <v>902</v>
      </c>
      <c r="B903" t="s">
        <v>1685</v>
      </c>
      <c r="C903" t="s">
        <v>45</v>
      </c>
      <c r="D903" t="s">
        <v>1682</v>
      </c>
      <c r="E903">
        <v>0</v>
      </c>
      <c r="F903" s="3">
        <v>46203</v>
      </c>
      <c r="G903" s="3">
        <v>46294</v>
      </c>
      <c r="I903" t="s">
        <v>89</v>
      </c>
      <c r="J903" t="s">
        <v>42</v>
      </c>
      <c r="N903" t="s">
        <v>1684</v>
      </c>
      <c r="Z903" t="s">
        <v>49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 hidden="1">
      <c r="A904">
        <v>903</v>
      </c>
      <c r="B904" t="s">
        <v>1686</v>
      </c>
      <c r="C904" t="s">
        <v>45</v>
      </c>
      <c r="D904" t="s">
        <v>1682</v>
      </c>
      <c r="E904">
        <v>0</v>
      </c>
      <c r="F904" s="3">
        <v>46203</v>
      </c>
      <c r="G904" s="3">
        <v>46294</v>
      </c>
      <c r="H904" t="s">
        <v>74</v>
      </c>
      <c r="I904" t="s">
        <v>89</v>
      </c>
      <c r="J904" t="s">
        <v>42</v>
      </c>
      <c r="K904" s="3">
        <v>46196</v>
      </c>
      <c r="L904" s="3">
        <v>46287</v>
      </c>
      <c r="M904" s="3">
        <v>46287</v>
      </c>
      <c r="P904" t="s">
        <v>1687</v>
      </c>
      <c r="Z904" t="s">
        <v>43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 hidden="1">
      <c r="A905">
        <v>904</v>
      </c>
      <c r="B905" t="s">
        <v>1688</v>
      </c>
      <c r="C905" t="s">
        <v>1689</v>
      </c>
      <c r="D905" t="s">
        <v>1690</v>
      </c>
      <c r="E905">
        <v>0</v>
      </c>
      <c r="F905" s="3">
        <v>46203</v>
      </c>
      <c r="G905" s="3">
        <v>46238</v>
      </c>
      <c r="H905" t="s">
        <v>74</v>
      </c>
      <c r="I905" t="s">
        <v>382</v>
      </c>
      <c r="J905" t="s">
        <v>117</v>
      </c>
      <c r="K905" s="3">
        <v>46196</v>
      </c>
      <c r="L905" s="3">
        <v>46231</v>
      </c>
      <c r="M905" s="3">
        <v>46231</v>
      </c>
      <c r="O905" t="s">
        <v>940</v>
      </c>
      <c r="P905">
        <v>1094</v>
      </c>
      <c r="Q905" t="s">
        <v>1691</v>
      </c>
      <c r="R905" t="s">
        <v>1692</v>
      </c>
      <c r="U905" t="s">
        <v>843</v>
      </c>
      <c r="V905" t="s">
        <v>134</v>
      </c>
      <c r="W905" t="s">
        <v>135</v>
      </c>
      <c r="X905" t="s">
        <v>844</v>
      </c>
      <c r="Y905">
        <v>10</v>
      </c>
      <c r="Z905" t="s">
        <v>49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 hidden="1">
      <c r="A906">
        <v>905</v>
      </c>
      <c r="B906" t="s">
        <v>1693</v>
      </c>
      <c r="C906" t="s">
        <v>1694</v>
      </c>
      <c r="D906" t="s">
        <v>139</v>
      </c>
      <c r="E906">
        <v>0</v>
      </c>
      <c r="F906" s="3">
        <v>46203</v>
      </c>
      <c r="G906" s="3">
        <v>46224</v>
      </c>
      <c r="H906" t="s">
        <v>74</v>
      </c>
      <c r="I906" t="s">
        <v>129</v>
      </c>
      <c r="J906" t="s">
        <v>117</v>
      </c>
      <c r="L906" s="3">
        <v>46217</v>
      </c>
      <c r="M906" s="3">
        <v>46217</v>
      </c>
      <c r="N906">
        <v>21</v>
      </c>
      <c r="P906">
        <v>906</v>
      </c>
      <c r="Q906" t="s">
        <v>1691</v>
      </c>
      <c r="Z906" t="s">
        <v>49</v>
      </c>
      <c r="AB906">
        <v>0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 hidden="1">
      <c r="A907">
        <v>906</v>
      </c>
      <c r="B907" t="s">
        <v>1695</v>
      </c>
      <c r="C907" t="s">
        <v>1694</v>
      </c>
      <c r="D907" t="s">
        <v>143</v>
      </c>
      <c r="E907">
        <v>0</v>
      </c>
      <c r="F907" s="3">
        <v>46224</v>
      </c>
      <c r="G907" s="3">
        <v>46231</v>
      </c>
      <c r="H907" t="s">
        <v>74</v>
      </c>
      <c r="I907" t="s">
        <v>140</v>
      </c>
      <c r="J907" t="s">
        <v>219</v>
      </c>
      <c r="L907" s="3">
        <v>46224</v>
      </c>
      <c r="M907" s="3">
        <v>46224</v>
      </c>
      <c r="N907">
        <v>905</v>
      </c>
      <c r="P907">
        <v>907</v>
      </c>
      <c r="Q907" t="s">
        <v>1691</v>
      </c>
      <c r="Z907" t="s">
        <v>49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 hidden="1">
      <c r="A908">
        <v>907</v>
      </c>
      <c r="B908" t="s">
        <v>1696</v>
      </c>
      <c r="C908" t="s">
        <v>1694</v>
      </c>
      <c r="D908" t="s">
        <v>146</v>
      </c>
      <c r="E908">
        <v>0</v>
      </c>
      <c r="F908" s="3">
        <v>46231</v>
      </c>
      <c r="G908" s="3">
        <v>46234</v>
      </c>
      <c r="H908" t="s">
        <v>74</v>
      </c>
      <c r="I908" t="s">
        <v>147</v>
      </c>
      <c r="J908" t="s">
        <v>179</v>
      </c>
      <c r="L908" s="3">
        <v>46227</v>
      </c>
      <c r="M908" s="3">
        <v>46227</v>
      </c>
      <c r="N908">
        <v>906</v>
      </c>
      <c r="P908">
        <v>908</v>
      </c>
      <c r="Q908" t="s">
        <v>1691</v>
      </c>
      <c r="Z908" t="s">
        <v>49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</row>
    <row r="909" spans="1:39" hidden="1">
      <c r="A909">
        <v>908</v>
      </c>
      <c r="B909" t="s">
        <v>1697</v>
      </c>
      <c r="C909" t="s">
        <v>1694</v>
      </c>
      <c r="D909" t="s">
        <v>150</v>
      </c>
      <c r="E909">
        <v>0</v>
      </c>
      <c r="F909" s="3">
        <v>46234</v>
      </c>
      <c r="G909" s="3">
        <v>46238</v>
      </c>
      <c r="H909" t="s">
        <v>74</v>
      </c>
      <c r="I909" t="s">
        <v>151</v>
      </c>
      <c r="J909" t="s">
        <v>181</v>
      </c>
      <c r="L909" s="3">
        <v>46231</v>
      </c>
      <c r="M909" s="3">
        <v>46231</v>
      </c>
      <c r="N909">
        <v>907</v>
      </c>
      <c r="Q909" t="s">
        <v>1691</v>
      </c>
      <c r="Z909" t="s">
        <v>49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 hidden="1">
      <c r="A910">
        <v>909</v>
      </c>
      <c r="B910" t="s">
        <v>1698</v>
      </c>
      <c r="C910" t="s">
        <v>1689</v>
      </c>
      <c r="D910" t="s">
        <v>1699</v>
      </c>
      <c r="E910">
        <v>0</v>
      </c>
      <c r="F910" s="3">
        <v>46203</v>
      </c>
      <c r="G910" s="3">
        <v>46231</v>
      </c>
      <c r="H910" t="s">
        <v>74</v>
      </c>
      <c r="I910" t="s">
        <v>224</v>
      </c>
      <c r="J910" t="s">
        <v>117</v>
      </c>
      <c r="K910" s="3">
        <v>46196</v>
      </c>
      <c r="L910" s="3">
        <v>46224</v>
      </c>
      <c r="M910" s="3">
        <v>46224</v>
      </c>
      <c r="O910" t="s">
        <v>1700</v>
      </c>
      <c r="Q910" t="s">
        <v>1691</v>
      </c>
      <c r="R910" t="s">
        <v>1701</v>
      </c>
      <c r="U910" t="s">
        <v>1702</v>
      </c>
      <c r="V910" t="s">
        <v>134</v>
      </c>
      <c r="W910" t="s">
        <v>175</v>
      </c>
      <c r="X910" t="s">
        <v>213</v>
      </c>
      <c r="Y910">
        <v>1</v>
      </c>
      <c r="Z910" t="s">
        <v>49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 hidden="1">
      <c r="A911">
        <v>910</v>
      </c>
      <c r="B911" t="s">
        <v>1703</v>
      </c>
      <c r="C911" t="s">
        <v>1704</v>
      </c>
      <c r="D911" t="s">
        <v>139</v>
      </c>
      <c r="E911">
        <v>0</v>
      </c>
      <c r="F911" s="3">
        <v>46203</v>
      </c>
      <c r="G911" s="3">
        <v>46217</v>
      </c>
      <c r="H911" t="s">
        <v>74</v>
      </c>
      <c r="I911" t="s">
        <v>216</v>
      </c>
      <c r="J911" t="s">
        <v>117</v>
      </c>
      <c r="L911" s="3">
        <v>46210</v>
      </c>
      <c r="M911" s="3">
        <v>46210</v>
      </c>
      <c r="N911">
        <v>21</v>
      </c>
      <c r="P911" t="s">
        <v>1705</v>
      </c>
      <c r="Q911" t="s">
        <v>1691</v>
      </c>
      <c r="Z911" t="s">
        <v>49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 hidden="1">
      <c r="A912">
        <v>911</v>
      </c>
      <c r="B912" t="s">
        <v>1706</v>
      </c>
      <c r="C912" t="s">
        <v>1704</v>
      </c>
      <c r="D912" t="s">
        <v>143</v>
      </c>
      <c r="E912">
        <v>0</v>
      </c>
      <c r="F912" s="3">
        <v>46217</v>
      </c>
      <c r="G912" s="3">
        <v>46224</v>
      </c>
      <c r="H912" t="s">
        <v>74</v>
      </c>
      <c r="I912" t="s">
        <v>140</v>
      </c>
      <c r="J912" t="s">
        <v>75</v>
      </c>
      <c r="L912" s="3">
        <v>46217</v>
      </c>
      <c r="M912" s="3">
        <v>46217</v>
      </c>
      <c r="N912">
        <v>910</v>
      </c>
      <c r="P912" t="s">
        <v>1707</v>
      </c>
      <c r="Q912" t="s">
        <v>1691</v>
      </c>
      <c r="Z912" t="s">
        <v>49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 hidden="1">
      <c r="A913">
        <v>912</v>
      </c>
      <c r="B913" t="s">
        <v>1708</v>
      </c>
      <c r="C913" t="s">
        <v>1704</v>
      </c>
      <c r="D913" t="s">
        <v>146</v>
      </c>
      <c r="E913">
        <v>0</v>
      </c>
      <c r="F913" s="3">
        <v>46224</v>
      </c>
      <c r="G913" s="3">
        <v>46227</v>
      </c>
      <c r="H913" t="s">
        <v>74</v>
      </c>
      <c r="I913" t="s">
        <v>147</v>
      </c>
      <c r="J913" t="s">
        <v>219</v>
      </c>
      <c r="L913" s="3">
        <v>46220</v>
      </c>
      <c r="M913" s="3">
        <v>46220</v>
      </c>
      <c r="N913">
        <v>911</v>
      </c>
      <c r="P913">
        <v>913</v>
      </c>
      <c r="Q913" t="s">
        <v>1691</v>
      </c>
      <c r="Z913" t="s">
        <v>49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 spans="1:39" hidden="1">
      <c r="A914">
        <v>913</v>
      </c>
      <c r="B914" t="s">
        <v>1709</v>
      </c>
      <c r="C914" t="s">
        <v>1704</v>
      </c>
      <c r="D914" t="s">
        <v>150</v>
      </c>
      <c r="E914">
        <v>0</v>
      </c>
      <c r="F914" s="3">
        <v>46227</v>
      </c>
      <c r="G914" s="3">
        <v>46231</v>
      </c>
      <c r="H914" t="s">
        <v>74</v>
      </c>
      <c r="I914" t="s">
        <v>151</v>
      </c>
      <c r="J914" t="s">
        <v>179</v>
      </c>
      <c r="L914" s="3">
        <v>46224</v>
      </c>
      <c r="M914" s="3">
        <v>46224</v>
      </c>
      <c r="N914">
        <v>912</v>
      </c>
      <c r="Q914" t="s">
        <v>1691</v>
      </c>
      <c r="Z914" t="s">
        <v>49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 hidden="1">
      <c r="A915">
        <v>914</v>
      </c>
      <c r="B915" t="s">
        <v>1710</v>
      </c>
      <c r="C915" t="s">
        <v>1689</v>
      </c>
      <c r="D915" t="s">
        <v>1711</v>
      </c>
      <c r="E915">
        <v>0</v>
      </c>
      <c r="F915" s="3">
        <v>46203</v>
      </c>
      <c r="G915" s="3">
        <v>46231</v>
      </c>
      <c r="H915" t="s">
        <v>74</v>
      </c>
      <c r="I915" t="s">
        <v>224</v>
      </c>
      <c r="J915" t="s">
        <v>117</v>
      </c>
      <c r="K915" s="3">
        <v>46196</v>
      </c>
      <c r="L915" s="3">
        <v>46224</v>
      </c>
      <c r="M915" s="3">
        <v>46224</v>
      </c>
      <c r="O915" t="s">
        <v>1700</v>
      </c>
      <c r="Q915" t="s">
        <v>1691</v>
      </c>
      <c r="R915" t="s">
        <v>1712</v>
      </c>
      <c r="U915" t="s">
        <v>1702</v>
      </c>
      <c r="V915" t="s">
        <v>134</v>
      </c>
      <c r="W915" t="s">
        <v>175</v>
      </c>
      <c r="X915" t="s">
        <v>213</v>
      </c>
      <c r="Y915">
        <v>1</v>
      </c>
      <c r="Z915" t="s">
        <v>49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 hidden="1">
      <c r="A916">
        <v>915</v>
      </c>
      <c r="B916" t="s">
        <v>1713</v>
      </c>
      <c r="C916" t="s">
        <v>1714</v>
      </c>
      <c r="D916" t="s">
        <v>139</v>
      </c>
      <c r="E916">
        <v>0</v>
      </c>
      <c r="F916" s="3">
        <v>46203</v>
      </c>
      <c r="G916" s="3">
        <v>46217</v>
      </c>
      <c r="H916" t="s">
        <v>74</v>
      </c>
      <c r="I916" t="s">
        <v>216</v>
      </c>
      <c r="J916" t="s">
        <v>117</v>
      </c>
      <c r="L916" s="3">
        <v>46210</v>
      </c>
      <c r="M916" s="3">
        <v>46210</v>
      </c>
      <c r="N916" t="s">
        <v>1715</v>
      </c>
      <c r="P916">
        <v>916</v>
      </c>
      <c r="Q916" t="s">
        <v>1691</v>
      </c>
      <c r="Z916" t="s">
        <v>49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 hidden="1">
      <c r="A917">
        <v>916</v>
      </c>
      <c r="B917" t="s">
        <v>1716</v>
      </c>
      <c r="C917" t="s">
        <v>1714</v>
      </c>
      <c r="D917" t="s">
        <v>143</v>
      </c>
      <c r="E917">
        <v>0</v>
      </c>
      <c r="F917" s="3">
        <v>46217</v>
      </c>
      <c r="G917" s="3">
        <v>46224</v>
      </c>
      <c r="H917" t="s">
        <v>74</v>
      </c>
      <c r="I917" t="s">
        <v>140</v>
      </c>
      <c r="J917" t="s">
        <v>75</v>
      </c>
      <c r="L917" s="3">
        <v>46217</v>
      </c>
      <c r="M917" s="3">
        <v>46217</v>
      </c>
      <c r="N917">
        <v>915</v>
      </c>
      <c r="P917">
        <v>917</v>
      </c>
      <c r="Q917" t="s">
        <v>1691</v>
      </c>
      <c r="Z917" t="s">
        <v>49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 hidden="1">
      <c r="A918">
        <v>917</v>
      </c>
      <c r="B918" t="s">
        <v>1717</v>
      </c>
      <c r="C918" t="s">
        <v>1714</v>
      </c>
      <c r="D918" t="s">
        <v>146</v>
      </c>
      <c r="E918">
        <v>0</v>
      </c>
      <c r="F918" s="3">
        <v>46224</v>
      </c>
      <c r="G918" s="3">
        <v>46227</v>
      </c>
      <c r="H918" t="s">
        <v>74</v>
      </c>
      <c r="I918" t="s">
        <v>147</v>
      </c>
      <c r="J918" t="s">
        <v>219</v>
      </c>
      <c r="L918" s="3">
        <v>46220</v>
      </c>
      <c r="M918" s="3">
        <v>46220</v>
      </c>
      <c r="N918">
        <v>916</v>
      </c>
      <c r="P918">
        <v>918</v>
      </c>
      <c r="Q918" t="s">
        <v>1691</v>
      </c>
      <c r="Z918" t="s">
        <v>49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 spans="1:39" hidden="1">
      <c r="A919">
        <v>918</v>
      </c>
      <c r="B919" t="s">
        <v>1718</v>
      </c>
      <c r="C919" t="s">
        <v>1714</v>
      </c>
      <c r="D919" t="s">
        <v>150</v>
      </c>
      <c r="E919">
        <v>0</v>
      </c>
      <c r="F919" s="3">
        <v>46227</v>
      </c>
      <c r="G919" s="3">
        <v>46231</v>
      </c>
      <c r="H919" t="s">
        <v>74</v>
      </c>
      <c r="I919" t="s">
        <v>151</v>
      </c>
      <c r="J919" t="s">
        <v>179</v>
      </c>
      <c r="L919" s="3">
        <v>46224</v>
      </c>
      <c r="M919" s="3">
        <v>46224</v>
      </c>
      <c r="N919">
        <v>917</v>
      </c>
      <c r="Q919" t="s">
        <v>1691</v>
      </c>
      <c r="Z919" t="s">
        <v>49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 hidden="1">
      <c r="A920">
        <v>919</v>
      </c>
      <c r="B920" t="s">
        <v>1719</v>
      </c>
      <c r="C920" t="s">
        <v>1689</v>
      </c>
      <c r="D920" t="s">
        <v>1720</v>
      </c>
      <c r="E920">
        <v>0</v>
      </c>
      <c r="F920" s="3">
        <v>46203</v>
      </c>
      <c r="G920" s="3">
        <v>46233</v>
      </c>
      <c r="H920" t="s">
        <v>74</v>
      </c>
      <c r="I920" t="s">
        <v>1255</v>
      </c>
      <c r="J920" t="s">
        <v>117</v>
      </c>
      <c r="K920" s="3">
        <v>46196</v>
      </c>
      <c r="L920" s="3">
        <v>46226</v>
      </c>
      <c r="M920" s="3">
        <v>46226</v>
      </c>
      <c r="O920" t="s">
        <v>713</v>
      </c>
      <c r="P920">
        <v>259</v>
      </c>
      <c r="Q920" t="s">
        <v>1691</v>
      </c>
      <c r="R920" t="s">
        <v>1721</v>
      </c>
      <c r="U920" t="s">
        <v>1702</v>
      </c>
      <c r="V920" t="s">
        <v>134</v>
      </c>
      <c r="W920" t="s">
        <v>212</v>
      </c>
      <c r="X920" t="s">
        <v>213</v>
      </c>
      <c r="Y920">
        <v>1</v>
      </c>
      <c r="Z920" t="s">
        <v>49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</row>
    <row r="921" spans="1:39" hidden="1">
      <c r="A921">
        <v>920</v>
      </c>
      <c r="B921" t="s">
        <v>1722</v>
      </c>
      <c r="C921" t="s">
        <v>1723</v>
      </c>
      <c r="D921" t="s">
        <v>139</v>
      </c>
      <c r="E921">
        <v>0</v>
      </c>
      <c r="F921" s="3">
        <v>46203</v>
      </c>
      <c r="G921" s="3">
        <v>46217</v>
      </c>
      <c r="H921" t="s">
        <v>74</v>
      </c>
      <c r="I921" t="s">
        <v>216</v>
      </c>
      <c r="J921" t="s">
        <v>117</v>
      </c>
      <c r="L921" s="3">
        <v>46210</v>
      </c>
      <c r="M921" s="3">
        <v>46210</v>
      </c>
      <c r="N921" t="s">
        <v>1715</v>
      </c>
      <c r="P921">
        <v>921</v>
      </c>
      <c r="Q921" t="s">
        <v>1691</v>
      </c>
      <c r="Z921" t="s">
        <v>49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 spans="1:39" hidden="1">
      <c r="A922">
        <v>921</v>
      </c>
      <c r="B922" t="s">
        <v>1724</v>
      </c>
      <c r="C922" t="s">
        <v>1723</v>
      </c>
      <c r="D922" t="s">
        <v>143</v>
      </c>
      <c r="E922">
        <v>0</v>
      </c>
      <c r="F922" s="3">
        <v>46217</v>
      </c>
      <c r="G922" s="3">
        <v>46224</v>
      </c>
      <c r="H922" t="s">
        <v>74</v>
      </c>
      <c r="I922" t="s">
        <v>140</v>
      </c>
      <c r="J922" t="s">
        <v>75</v>
      </c>
      <c r="L922" s="3">
        <v>46217</v>
      </c>
      <c r="M922" s="3">
        <v>46217</v>
      </c>
      <c r="N922">
        <v>920</v>
      </c>
      <c r="P922">
        <v>922</v>
      </c>
      <c r="Q922" t="s">
        <v>1691</v>
      </c>
      <c r="Z922" t="s">
        <v>49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 hidden="1">
      <c r="A923">
        <v>922</v>
      </c>
      <c r="B923" t="s">
        <v>1725</v>
      </c>
      <c r="C923" t="s">
        <v>1723</v>
      </c>
      <c r="D923" t="s">
        <v>146</v>
      </c>
      <c r="E923">
        <v>0</v>
      </c>
      <c r="F923" s="3">
        <v>46224</v>
      </c>
      <c r="G923" s="3">
        <v>46231</v>
      </c>
      <c r="H923" t="s">
        <v>74</v>
      </c>
      <c r="I923" t="s">
        <v>140</v>
      </c>
      <c r="J923" t="s">
        <v>219</v>
      </c>
      <c r="L923" s="3">
        <v>46224</v>
      </c>
      <c r="M923" s="3">
        <v>46224</v>
      </c>
      <c r="N923">
        <v>921</v>
      </c>
      <c r="P923">
        <v>923</v>
      </c>
      <c r="Q923" t="s">
        <v>1691</v>
      </c>
      <c r="Z923" t="s">
        <v>49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39" hidden="1">
      <c r="A924">
        <v>923</v>
      </c>
      <c r="B924" t="s">
        <v>1726</v>
      </c>
      <c r="C924" t="s">
        <v>1723</v>
      </c>
      <c r="D924" t="s">
        <v>150</v>
      </c>
      <c r="E924">
        <v>0</v>
      </c>
      <c r="F924" s="3">
        <v>46231</v>
      </c>
      <c r="G924" s="3">
        <v>46233</v>
      </c>
      <c r="H924" t="s">
        <v>74</v>
      </c>
      <c r="I924" t="s">
        <v>151</v>
      </c>
      <c r="J924" t="s">
        <v>179</v>
      </c>
      <c r="L924" s="3">
        <v>46226</v>
      </c>
      <c r="M924" s="3">
        <v>46226</v>
      </c>
      <c r="N924">
        <v>922</v>
      </c>
      <c r="Q924" t="s">
        <v>1691</v>
      </c>
      <c r="Z924" t="s">
        <v>49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 spans="1:39" hidden="1">
      <c r="A925">
        <v>924</v>
      </c>
      <c r="B925" t="s">
        <v>1727</v>
      </c>
      <c r="C925" t="s">
        <v>1689</v>
      </c>
      <c r="D925" t="s">
        <v>1728</v>
      </c>
      <c r="E925">
        <v>0</v>
      </c>
      <c r="F925" s="3">
        <v>46203</v>
      </c>
      <c r="G925" s="3">
        <v>46231</v>
      </c>
      <c r="H925" t="s">
        <v>74</v>
      </c>
      <c r="I925" t="s">
        <v>224</v>
      </c>
      <c r="J925" t="s">
        <v>117</v>
      </c>
      <c r="K925" s="3">
        <v>46196</v>
      </c>
      <c r="L925" s="3">
        <v>46224</v>
      </c>
      <c r="M925" s="3">
        <v>46224</v>
      </c>
      <c r="O925" t="s">
        <v>713</v>
      </c>
      <c r="Q925" t="s">
        <v>1691</v>
      </c>
      <c r="R925" t="s">
        <v>1729</v>
      </c>
      <c r="U925" t="s">
        <v>1702</v>
      </c>
      <c r="V925" t="s">
        <v>134</v>
      </c>
      <c r="W925" t="s">
        <v>212</v>
      </c>
      <c r="X925" t="s">
        <v>213</v>
      </c>
      <c r="Y925">
        <v>1</v>
      </c>
      <c r="Z925" t="s">
        <v>49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 spans="1:39" hidden="1">
      <c r="A926">
        <v>925</v>
      </c>
      <c r="B926" t="s">
        <v>1730</v>
      </c>
      <c r="C926" t="s">
        <v>1731</v>
      </c>
      <c r="D926" t="s">
        <v>139</v>
      </c>
      <c r="E926">
        <v>0</v>
      </c>
      <c r="F926" s="3">
        <v>46203</v>
      </c>
      <c r="G926" s="3">
        <v>46217</v>
      </c>
      <c r="H926" t="s">
        <v>74</v>
      </c>
      <c r="I926" t="s">
        <v>216</v>
      </c>
      <c r="J926" t="s">
        <v>117</v>
      </c>
      <c r="L926" s="3">
        <v>46210</v>
      </c>
      <c r="M926" s="3">
        <v>46210</v>
      </c>
      <c r="N926" t="s">
        <v>1715</v>
      </c>
      <c r="P926">
        <v>926</v>
      </c>
      <c r="Q926" t="s">
        <v>1691</v>
      </c>
      <c r="Z926" t="s">
        <v>49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 hidden="1">
      <c r="A927">
        <v>926</v>
      </c>
      <c r="B927" t="s">
        <v>1732</v>
      </c>
      <c r="C927" t="s">
        <v>1731</v>
      </c>
      <c r="D927" t="s">
        <v>143</v>
      </c>
      <c r="E927">
        <v>0</v>
      </c>
      <c r="F927" s="3">
        <v>46217</v>
      </c>
      <c r="G927" s="3">
        <v>46224</v>
      </c>
      <c r="H927" t="s">
        <v>74</v>
      </c>
      <c r="I927" t="s">
        <v>140</v>
      </c>
      <c r="J927" t="s">
        <v>75</v>
      </c>
      <c r="L927" s="3">
        <v>46217</v>
      </c>
      <c r="M927" s="3">
        <v>46217</v>
      </c>
      <c r="N927">
        <v>925</v>
      </c>
      <c r="P927">
        <v>927</v>
      </c>
      <c r="Q927" t="s">
        <v>1691</v>
      </c>
      <c r="Z927" t="s">
        <v>49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 hidden="1">
      <c r="A928">
        <v>927</v>
      </c>
      <c r="B928" t="s">
        <v>1733</v>
      </c>
      <c r="C928" t="s">
        <v>1731</v>
      </c>
      <c r="D928" t="s">
        <v>146</v>
      </c>
      <c r="E928">
        <v>0</v>
      </c>
      <c r="F928" s="3">
        <v>46224</v>
      </c>
      <c r="G928" s="3">
        <v>46227</v>
      </c>
      <c r="H928" t="s">
        <v>74</v>
      </c>
      <c r="I928" t="s">
        <v>147</v>
      </c>
      <c r="J928" t="s">
        <v>219</v>
      </c>
      <c r="L928" s="3">
        <v>46220</v>
      </c>
      <c r="M928" s="3">
        <v>46220</v>
      </c>
      <c r="N928">
        <v>926</v>
      </c>
      <c r="P928">
        <v>928</v>
      </c>
      <c r="Q928" t="s">
        <v>1691</v>
      </c>
      <c r="Z928" t="s">
        <v>49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 hidden="1">
      <c r="A929">
        <v>928</v>
      </c>
      <c r="B929" t="s">
        <v>1734</v>
      </c>
      <c r="C929" t="s">
        <v>1731</v>
      </c>
      <c r="D929" t="s">
        <v>150</v>
      </c>
      <c r="E929">
        <v>0</v>
      </c>
      <c r="F929" s="3">
        <v>46227</v>
      </c>
      <c r="G929" s="3">
        <v>46231</v>
      </c>
      <c r="H929" t="s">
        <v>74</v>
      </c>
      <c r="I929" t="s">
        <v>151</v>
      </c>
      <c r="J929" t="s">
        <v>179</v>
      </c>
      <c r="L929" s="3">
        <v>46224</v>
      </c>
      <c r="M929" s="3">
        <v>46224</v>
      </c>
      <c r="N929">
        <v>927</v>
      </c>
      <c r="Q929" t="s">
        <v>1691</v>
      </c>
      <c r="Z929" t="s">
        <v>49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hidden="1">
      <c r="A930">
        <v>929</v>
      </c>
      <c r="B930" t="s">
        <v>1735</v>
      </c>
      <c r="C930" t="s">
        <v>1689</v>
      </c>
      <c r="D930" t="s">
        <v>1736</v>
      </c>
      <c r="E930">
        <v>0</v>
      </c>
      <c r="F930" s="3">
        <v>46217</v>
      </c>
      <c r="G930" s="3">
        <v>46247</v>
      </c>
      <c r="H930" t="s">
        <v>74</v>
      </c>
      <c r="I930" t="s">
        <v>1255</v>
      </c>
      <c r="J930" t="s">
        <v>75</v>
      </c>
      <c r="K930" s="3">
        <v>46210</v>
      </c>
      <c r="L930" s="3">
        <v>46240</v>
      </c>
      <c r="M930" s="3">
        <v>46240</v>
      </c>
      <c r="O930" t="s">
        <v>713</v>
      </c>
      <c r="Q930" t="s">
        <v>1691</v>
      </c>
      <c r="R930" t="s">
        <v>1737</v>
      </c>
      <c r="U930" t="s">
        <v>1702</v>
      </c>
      <c r="V930" t="s">
        <v>134</v>
      </c>
      <c r="W930" t="s">
        <v>212</v>
      </c>
      <c r="X930" t="s">
        <v>213</v>
      </c>
      <c r="Y930">
        <v>1</v>
      </c>
      <c r="Z930" t="s">
        <v>49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 hidden="1">
      <c r="A931">
        <v>930</v>
      </c>
      <c r="B931" t="s">
        <v>1738</v>
      </c>
      <c r="C931" t="s">
        <v>1739</v>
      </c>
      <c r="D931" t="s">
        <v>139</v>
      </c>
      <c r="E931">
        <v>0</v>
      </c>
      <c r="F931" s="3">
        <v>46217</v>
      </c>
      <c r="G931" s="3">
        <v>46231</v>
      </c>
      <c r="H931" t="s">
        <v>74</v>
      </c>
      <c r="I931" t="s">
        <v>216</v>
      </c>
      <c r="J931" t="s">
        <v>75</v>
      </c>
      <c r="L931" s="3">
        <v>46224</v>
      </c>
      <c r="M931" s="3">
        <v>46224</v>
      </c>
      <c r="N931">
        <v>910</v>
      </c>
      <c r="P931">
        <v>931</v>
      </c>
      <c r="Q931" t="s">
        <v>1691</v>
      </c>
      <c r="Z931" t="s">
        <v>49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 spans="1:39" hidden="1">
      <c r="A932">
        <v>931</v>
      </c>
      <c r="B932" t="s">
        <v>1740</v>
      </c>
      <c r="C932" t="s">
        <v>1739</v>
      </c>
      <c r="D932" t="s">
        <v>143</v>
      </c>
      <c r="E932">
        <v>0</v>
      </c>
      <c r="F932" s="3">
        <v>46231</v>
      </c>
      <c r="G932" s="3">
        <v>46238</v>
      </c>
      <c r="H932" t="s">
        <v>74</v>
      </c>
      <c r="I932" t="s">
        <v>140</v>
      </c>
      <c r="J932" t="s">
        <v>179</v>
      </c>
      <c r="L932" s="3">
        <v>46231</v>
      </c>
      <c r="M932" s="3">
        <v>46231</v>
      </c>
      <c r="N932">
        <v>930</v>
      </c>
      <c r="P932" t="s">
        <v>1741</v>
      </c>
      <c r="Q932" t="s">
        <v>1691</v>
      </c>
      <c r="Z932" t="s">
        <v>49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 hidden="1">
      <c r="A933">
        <v>932</v>
      </c>
      <c r="B933" t="s">
        <v>1742</v>
      </c>
      <c r="C933" t="s">
        <v>1739</v>
      </c>
      <c r="D933" t="s">
        <v>146</v>
      </c>
      <c r="E933">
        <v>0</v>
      </c>
      <c r="F933" s="3">
        <v>46238</v>
      </c>
      <c r="G933" s="3">
        <v>46245</v>
      </c>
      <c r="H933" t="s">
        <v>74</v>
      </c>
      <c r="I933" t="s">
        <v>140</v>
      </c>
      <c r="J933" t="s">
        <v>181</v>
      </c>
      <c r="L933" s="3">
        <v>46238</v>
      </c>
      <c r="M933" s="3">
        <v>46238</v>
      </c>
      <c r="N933">
        <v>931</v>
      </c>
      <c r="P933">
        <v>933</v>
      </c>
      <c r="Q933" t="s">
        <v>1691</v>
      </c>
      <c r="Z933" t="s">
        <v>49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 hidden="1">
      <c r="A934">
        <v>933</v>
      </c>
      <c r="B934" t="s">
        <v>1743</v>
      </c>
      <c r="C934" t="s">
        <v>1739</v>
      </c>
      <c r="D934" t="s">
        <v>150</v>
      </c>
      <c r="E934">
        <v>0</v>
      </c>
      <c r="F934" s="3">
        <v>46245</v>
      </c>
      <c r="G934" s="3">
        <v>46247</v>
      </c>
      <c r="H934" t="s">
        <v>74</v>
      </c>
      <c r="I934" t="s">
        <v>151</v>
      </c>
      <c r="J934" t="s">
        <v>79</v>
      </c>
      <c r="L934" s="3">
        <v>46240</v>
      </c>
      <c r="M934" s="3">
        <v>46240</v>
      </c>
      <c r="N934">
        <v>932</v>
      </c>
      <c r="Q934" t="s">
        <v>1691</v>
      </c>
      <c r="Z934" t="s">
        <v>49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 hidden="1">
      <c r="A935">
        <v>934</v>
      </c>
      <c r="B935" t="s">
        <v>1744</v>
      </c>
      <c r="C935" t="s">
        <v>1689</v>
      </c>
      <c r="D935" t="s">
        <v>1745</v>
      </c>
      <c r="E935">
        <v>0</v>
      </c>
      <c r="F935" s="3">
        <v>46217</v>
      </c>
      <c r="G935" s="3">
        <v>46245</v>
      </c>
      <c r="H935" t="s">
        <v>74</v>
      </c>
      <c r="I935" t="s">
        <v>224</v>
      </c>
      <c r="J935" t="s">
        <v>75</v>
      </c>
      <c r="K935" s="3">
        <v>46210</v>
      </c>
      <c r="L935" s="3">
        <v>46238</v>
      </c>
      <c r="M935" s="3">
        <v>46238</v>
      </c>
      <c r="O935" t="s">
        <v>713</v>
      </c>
      <c r="Q935" t="s">
        <v>1691</v>
      </c>
      <c r="R935" t="s">
        <v>1746</v>
      </c>
      <c r="U935" t="s">
        <v>1702</v>
      </c>
      <c r="V935" t="s">
        <v>134</v>
      </c>
      <c r="W935" t="s">
        <v>212</v>
      </c>
      <c r="X935" t="s">
        <v>213</v>
      </c>
      <c r="Y935">
        <v>1</v>
      </c>
      <c r="Z935" t="s">
        <v>49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 hidden="1">
      <c r="A936">
        <v>935</v>
      </c>
      <c r="B936" t="s">
        <v>1747</v>
      </c>
      <c r="C936" t="s">
        <v>1748</v>
      </c>
      <c r="D936" t="s">
        <v>139</v>
      </c>
      <c r="E936">
        <v>0</v>
      </c>
      <c r="F936" s="3">
        <v>46217</v>
      </c>
      <c r="G936" s="3">
        <v>46231</v>
      </c>
      <c r="H936" t="s">
        <v>74</v>
      </c>
      <c r="I936" t="s">
        <v>216</v>
      </c>
      <c r="J936" t="s">
        <v>75</v>
      </c>
      <c r="L936" s="3">
        <v>46224</v>
      </c>
      <c r="M936" s="3">
        <v>46224</v>
      </c>
      <c r="N936" t="s">
        <v>1749</v>
      </c>
      <c r="P936">
        <v>936</v>
      </c>
      <c r="Q936" t="s">
        <v>1691</v>
      </c>
      <c r="Z936" t="s">
        <v>49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 hidden="1">
      <c r="A937">
        <v>936</v>
      </c>
      <c r="B937" t="s">
        <v>1750</v>
      </c>
      <c r="C937" t="s">
        <v>1748</v>
      </c>
      <c r="D937" t="s">
        <v>143</v>
      </c>
      <c r="E937">
        <v>0</v>
      </c>
      <c r="F937" s="3">
        <v>46231</v>
      </c>
      <c r="G937" s="3">
        <v>46238</v>
      </c>
      <c r="H937" t="s">
        <v>74</v>
      </c>
      <c r="I937" t="s">
        <v>140</v>
      </c>
      <c r="J937" t="s">
        <v>179</v>
      </c>
      <c r="L937" s="3">
        <v>46231</v>
      </c>
      <c r="M937" s="3">
        <v>46231</v>
      </c>
      <c r="N937">
        <v>935</v>
      </c>
      <c r="P937">
        <v>937</v>
      </c>
      <c r="Q937" t="s">
        <v>1691</v>
      </c>
      <c r="Z937" t="s">
        <v>49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 hidden="1">
      <c r="A938">
        <v>937</v>
      </c>
      <c r="B938" t="s">
        <v>1751</v>
      </c>
      <c r="C938" t="s">
        <v>1748</v>
      </c>
      <c r="D938" t="s">
        <v>146</v>
      </c>
      <c r="E938">
        <v>0</v>
      </c>
      <c r="F938" s="3">
        <v>46238</v>
      </c>
      <c r="G938" s="3">
        <v>46241</v>
      </c>
      <c r="H938" t="s">
        <v>74</v>
      </c>
      <c r="I938" t="s">
        <v>147</v>
      </c>
      <c r="J938" t="s">
        <v>181</v>
      </c>
      <c r="L938" s="3">
        <v>46234</v>
      </c>
      <c r="M938" s="3">
        <v>46234</v>
      </c>
      <c r="N938">
        <v>936</v>
      </c>
      <c r="P938">
        <v>938</v>
      </c>
      <c r="Q938" t="s">
        <v>1691</v>
      </c>
      <c r="Z938" t="s">
        <v>49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 hidden="1">
      <c r="A939">
        <v>938</v>
      </c>
      <c r="B939" t="s">
        <v>1752</v>
      </c>
      <c r="C939" t="s">
        <v>1748</v>
      </c>
      <c r="D939" t="s">
        <v>150</v>
      </c>
      <c r="E939">
        <v>0</v>
      </c>
      <c r="F939" s="3">
        <v>46241</v>
      </c>
      <c r="G939" s="3">
        <v>46245</v>
      </c>
      <c r="H939" t="s">
        <v>74</v>
      </c>
      <c r="I939" t="s">
        <v>151</v>
      </c>
      <c r="J939" t="s">
        <v>79</v>
      </c>
      <c r="L939" s="3">
        <v>46238</v>
      </c>
      <c r="M939" s="3">
        <v>46238</v>
      </c>
      <c r="N939">
        <v>937</v>
      </c>
      <c r="Q939" t="s">
        <v>1691</v>
      </c>
      <c r="Z939" t="s">
        <v>49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 hidden="1">
      <c r="A940">
        <v>939</v>
      </c>
      <c r="B940" t="s">
        <v>1753</v>
      </c>
      <c r="C940" t="s">
        <v>1689</v>
      </c>
      <c r="D940" t="s">
        <v>1754</v>
      </c>
      <c r="E940">
        <v>0</v>
      </c>
      <c r="F940" s="3">
        <v>46217</v>
      </c>
      <c r="G940" s="3">
        <v>46245</v>
      </c>
      <c r="H940" t="s">
        <v>74</v>
      </c>
      <c r="I940" t="s">
        <v>224</v>
      </c>
      <c r="J940" t="s">
        <v>75</v>
      </c>
      <c r="K940" s="3">
        <v>46210</v>
      </c>
      <c r="L940" s="3">
        <v>46238</v>
      </c>
      <c r="M940" s="3">
        <v>46238</v>
      </c>
      <c r="O940" t="s">
        <v>713</v>
      </c>
      <c r="Q940" t="s">
        <v>1691</v>
      </c>
      <c r="R940" t="s">
        <v>1755</v>
      </c>
      <c r="U940" t="s">
        <v>1702</v>
      </c>
      <c r="V940" t="s">
        <v>134</v>
      </c>
      <c r="W940" t="s">
        <v>212</v>
      </c>
      <c r="X940" t="s">
        <v>213</v>
      </c>
      <c r="Y940">
        <v>1</v>
      </c>
      <c r="Z940" t="s">
        <v>49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 spans="1:39" hidden="1">
      <c r="A941">
        <v>940</v>
      </c>
      <c r="B941" t="s">
        <v>1756</v>
      </c>
      <c r="C941" t="s">
        <v>1757</v>
      </c>
      <c r="D941" t="s">
        <v>139</v>
      </c>
      <c r="E941">
        <v>0</v>
      </c>
      <c r="F941" s="3">
        <v>46217</v>
      </c>
      <c r="G941" s="3">
        <v>46231</v>
      </c>
      <c r="H941" t="s">
        <v>74</v>
      </c>
      <c r="I941" t="s">
        <v>216</v>
      </c>
      <c r="J941" t="s">
        <v>75</v>
      </c>
      <c r="L941" s="3">
        <v>46224</v>
      </c>
      <c r="M941" s="3">
        <v>46224</v>
      </c>
      <c r="N941" t="s">
        <v>1749</v>
      </c>
      <c r="P941">
        <v>941</v>
      </c>
      <c r="Q941" t="s">
        <v>1691</v>
      </c>
      <c r="Z941" t="s">
        <v>49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 hidden="1">
      <c r="A942">
        <v>941</v>
      </c>
      <c r="B942" t="s">
        <v>1758</v>
      </c>
      <c r="C942" t="s">
        <v>1757</v>
      </c>
      <c r="D942" t="s">
        <v>143</v>
      </c>
      <c r="E942">
        <v>0</v>
      </c>
      <c r="F942" s="3">
        <v>46231</v>
      </c>
      <c r="G942" s="3">
        <v>46238</v>
      </c>
      <c r="H942" t="s">
        <v>74</v>
      </c>
      <c r="I942" t="s">
        <v>140</v>
      </c>
      <c r="J942" t="s">
        <v>179</v>
      </c>
      <c r="L942" s="3">
        <v>46231</v>
      </c>
      <c r="M942" s="3">
        <v>46231</v>
      </c>
      <c r="N942">
        <v>940</v>
      </c>
      <c r="P942">
        <v>942</v>
      </c>
      <c r="Q942" t="s">
        <v>1691</v>
      </c>
      <c r="Z942" t="s">
        <v>49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 hidden="1">
      <c r="A943">
        <v>942</v>
      </c>
      <c r="B943" t="s">
        <v>1759</v>
      </c>
      <c r="C943" t="s">
        <v>1757</v>
      </c>
      <c r="D943" t="s">
        <v>146</v>
      </c>
      <c r="E943">
        <v>0</v>
      </c>
      <c r="F943" s="3">
        <v>46238</v>
      </c>
      <c r="G943" s="3">
        <v>46241</v>
      </c>
      <c r="H943" t="s">
        <v>74</v>
      </c>
      <c r="I943" t="s">
        <v>147</v>
      </c>
      <c r="J943" t="s">
        <v>181</v>
      </c>
      <c r="L943" s="3">
        <v>46234</v>
      </c>
      <c r="M943" s="3">
        <v>46234</v>
      </c>
      <c r="N943">
        <v>941</v>
      </c>
      <c r="P943">
        <v>943</v>
      </c>
      <c r="Q943" t="s">
        <v>1691</v>
      </c>
      <c r="Z943" t="s">
        <v>49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 hidden="1">
      <c r="A944">
        <v>943</v>
      </c>
      <c r="B944" t="s">
        <v>1760</v>
      </c>
      <c r="C944" t="s">
        <v>1757</v>
      </c>
      <c r="D944" t="s">
        <v>150</v>
      </c>
      <c r="E944">
        <v>0</v>
      </c>
      <c r="F944" s="3">
        <v>46241</v>
      </c>
      <c r="G944" s="3">
        <v>46245</v>
      </c>
      <c r="H944" t="s">
        <v>74</v>
      </c>
      <c r="I944" t="s">
        <v>151</v>
      </c>
      <c r="J944" t="s">
        <v>79</v>
      </c>
      <c r="L944" s="3">
        <v>46238</v>
      </c>
      <c r="M944" s="3">
        <v>46238</v>
      </c>
      <c r="N944">
        <v>942</v>
      </c>
      <c r="Q944" t="s">
        <v>1691</v>
      </c>
      <c r="Z944" t="s">
        <v>49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hidden="1">
      <c r="A945">
        <v>944</v>
      </c>
      <c r="B945" t="s">
        <v>1761</v>
      </c>
      <c r="C945" t="s">
        <v>1689</v>
      </c>
      <c r="D945" t="s">
        <v>1762</v>
      </c>
      <c r="E945">
        <v>0</v>
      </c>
      <c r="F945" s="3">
        <v>46217</v>
      </c>
      <c r="G945" s="3">
        <v>46247</v>
      </c>
      <c r="H945" t="s">
        <v>74</v>
      </c>
      <c r="I945" t="s">
        <v>1255</v>
      </c>
      <c r="J945" t="s">
        <v>75</v>
      </c>
      <c r="K945" s="3">
        <v>46210</v>
      </c>
      <c r="L945" s="3">
        <v>46240</v>
      </c>
      <c r="M945" s="3">
        <v>46240</v>
      </c>
      <c r="O945" t="s">
        <v>713</v>
      </c>
      <c r="Q945" t="s">
        <v>1691</v>
      </c>
      <c r="R945" t="s">
        <v>1763</v>
      </c>
      <c r="U945" t="s">
        <v>1702</v>
      </c>
      <c r="V945" t="s">
        <v>134</v>
      </c>
      <c r="W945" t="s">
        <v>212</v>
      </c>
      <c r="X945" t="s">
        <v>213</v>
      </c>
      <c r="Y945">
        <v>1</v>
      </c>
      <c r="Z945" t="s">
        <v>49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 hidden="1">
      <c r="A946">
        <v>945</v>
      </c>
      <c r="B946" t="s">
        <v>1764</v>
      </c>
      <c r="C946" t="s">
        <v>1765</v>
      </c>
      <c r="D946" t="s">
        <v>139</v>
      </c>
      <c r="E946">
        <v>0</v>
      </c>
      <c r="F946" s="3">
        <v>46217</v>
      </c>
      <c r="G946" s="3">
        <v>46231</v>
      </c>
      <c r="H946" t="s">
        <v>74</v>
      </c>
      <c r="I946" t="s">
        <v>216</v>
      </c>
      <c r="J946" t="s">
        <v>75</v>
      </c>
      <c r="L946" s="3">
        <v>46224</v>
      </c>
      <c r="M946" s="3">
        <v>46224</v>
      </c>
      <c r="N946" t="s">
        <v>1749</v>
      </c>
      <c r="P946" t="s">
        <v>1766</v>
      </c>
      <c r="Q946" t="s">
        <v>1691</v>
      </c>
      <c r="Z946" t="s">
        <v>49</v>
      </c>
      <c r="AB946">
        <v>0</v>
      </c>
      <c r="AC946">
        <v>1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 hidden="1">
      <c r="A947">
        <v>946</v>
      </c>
      <c r="B947" t="s">
        <v>1767</v>
      </c>
      <c r="C947" t="s">
        <v>1765</v>
      </c>
      <c r="D947" t="s">
        <v>143</v>
      </c>
      <c r="E947">
        <v>0</v>
      </c>
      <c r="F947" s="3">
        <v>46231</v>
      </c>
      <c r="G947" s="3">
        <v>46238</v>
      </c>
      <c r="H947" t="s">
        <v>74</v>
      </c>
      <c r="I947" t="s">
        <v>140</v>
      </c>
      <c r="J947" t="s">
        <v>179</v>
      </c>
      <c r="L947" s="3">
        <v>46231</v>
      </c>
      <c r="M947" s="3">
        <v>46231</v>
      </c>
      <c r="N947">
        <v>945</v>
      </c>
      <c r="P947">
        <v>947</v>
      </c>
      <c r="Q947" t="s">
        <v>1691</v>
      </c>
      <c r="Z947" t="s">
        <v>49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 hidden="1">
      <c r="A948">
        <v>947</v>
      </c>
      <c r="B948" t="s">
        <v>1768</v>
      </c>
      <c r="C948" t="s">
        <v>1765</v>
      </c>
      <c r="D948" t="s">
        <v>146</v>
      </c>
      <c r="E948">
        <v>0</v>
      </c>
      <c r="F948" s="3">
        <v>46238</v>
      </c>
      <c r="G948" s="3">
        <v>46245</v>
      </c>
      <c r="H948" t="s">
        <v>74</v>
      </c>
      <c r="I948" t="s">
        <v>140</v>
      </c>
      <c r="J948" t="s">
        <v>181</v>
      </c>
      <c r="L948" s="3">
        <v>46238</v>
      </c>
      <c r="M948" s="3">
        <v>46238</v>
      </c>
      <c r="N948">
        <v>946</v>
      </c>
      <c r="P948">
        <v>948</v>
      </c>
      <c r="Q948" t="s">
        <v>1691</v>
      </c>
      <c r="Z948" t="s">
        <v>49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 hidden="1">
      <c r="A949">
        <v>948</v>
      </c>
      <c r="B949" t="s">
        <v>1769</v>
      </c>
      <c r="C949" t="s">
        <v>1765</v>
      </c>
      <c r="D949" t="s">
        <v>150</v>
      </c>
      <c r="E949">
        <v>0</v>
      </c>
      <c r="F949" s="3">
        <v>46245</v>
      </c>
      <c r="G949" s="3">
        <v>46247</v>
      </c>
      <c r="H949" t="s">
        <v>74</v>
      </c>
      <c r="I949" t="s">
        <v>151</v>
      </c>
      <c r="J949" t="s">
        <v>79</v>
      </c>
      <c r="L949" s="3">
        <v>46240</v>
      </c>
      <c r="M949" s="3">
        <v>46240</v>
      </c>
      <c r="N949">
        <v>947</v>
      </c>
      <c r="Q949" t="s">
        <v>1691</v>
      </c>
      <c r="Z949" t="s">
        <v>49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 hidden="1">
      <c r="A950">
        <v>949</v>
      </c>
      <c r="B950" t="s">
        <v>1770</v>
      </c>
      <c r="C950" t="s">
        <v>1689</v>
      </c>
      <c r="D950" t="s">
        <v>1771</v>
      </c>
      <c r="E950">
        <v>0</v>
      </c>
      <c r="F950" s="3">
        <v>46231</v>
      </c>
      <c r="G950" s="3">
        <v>46259</v>
      </c>
      <c r="H950" t="s">
        <v>74</v>
      </c>
      <c r="I950" t="s">
        <v>224</v>
      </c>
      <c r="J950" t="s">
        <v>179</v>
      </c>
      <c r="K950" s="3">
        <v>46224</v>
      </c>
      <c r="L950" s="3">
        <v>46252</v>
      </c>
      <c r="M950" s="3">
        <v>46252</v>
      </c>
      <c r="O950" t="s">
        <v>1700</v>
      </c>
      <c r="Q950" t="s">
        <v>1691</v>
      </c>
      <c r="R950" t="s">
        <v>1772</v>
      </c>
      <c r="U950" t="s">
        <v>1702</v>
      </c>
      <c r="V950" t="s">
        <v>134</v>
      </c>
      <c r="W950" t="s">
        <v>212</v>
      </c>
      <c r="X950" t="s">
        <v>213</v>
      </c>
      <c r="Y950">
        <v>1</v>
      </c>
      <c r="Z950" t="s">
        <v>49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 spans="1:39" hidden="1">
      <c r="A951">
        <v>950</v>
      </c>
      <c r="B951" t="s">
        <v>1773</v>
      </c>
      <c r="C951" t="s">
        <v>1774</v>
      </c>
      <c r="D951" t="s">
        <v>139</v>
      </c>
      <c r="E951">
        <v>0</v>
      </c>
      <c r="F951" s="3">
        <v>46231</v>
      </c>
      <c r="G951" s="3">
        <v>46245</v>
      </c>
      <c r="H951" t="s">
        <v>74</v>
      </c>
      <c r="I951" t="s">
        <v>216</v>
      </c>
      <c r="J951" t="s">
        <v>179</v>
      </c>
      <c r="L951" s="3">
        <v>46238</v>
      </c>
      <c r="M951" s="3">
        <v>46238</v>
      </c>
      <c r="N951">
        <v>945</v>
      </c>
      <c r="P951">
        <v>951</v>
      </c>
      <c r="Q951" t="s">
        <v>1691</v>
      </c>
      <c r="Z951" t="s">
        <v>49</v>
      </c>
      <c r="AB951">
        <v>0</v>
      </c>
      <c r="AC951">
        <v>1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 hidden="1">
      <c r="A952">
        <v>951</v>
      </c>
      <c r="B952" t="s">
        <v>1775</v>
      </c>
      <c r="C952" t="s">
        <v>1774</v>
      </c>
      <c r="D952" t="s">
        <v>143</v>
      </c>
      <c r="E952">
        <v>0</v>
      </c>
      <c r="F952" s="3">
        <v>46245</v>
      </c>
      <c r="G952" s="3">
        <v>46252</v>
      </c>
      <c r="H952" t="s">
        <v>74</v>
      </c>
      <c r="I952" t="s">
        <v>140</v>
      </c>
      <c r="J952" t="s">
        <v>79</v>
      </c>
      <c r="L952" s="3">
        <v>46245</v>
      </c>
      <c r="M952" s="3">
        <v>46245</v>
      </c>
      <c r="N952">
        <v>950</v>
      </c>
      <c r="P952" t="s">
        <v>1776</v>
      </c>
      <c r="Q952" t="s">
        <v>1691</v>
      </c>
      <c r="Z952" t="s">
        <v>49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 hidden="1">
      <c r="A953">
        <v>952</v>
      </c>
      <c r="B953" t="s">
        <v>1777</v>
      </c>
      <c r="C953" t="s">
        <v>1774</v>
      </c>
      <c r="D953" t="s">
        <v>146</v>
      </c>
      <c r="E953">
        <v>0</v>
      </c>
      <c r="F953" s="3">
        <v>46252</v>
      </c>
      <c r="G953" s="3">
        <v>46255</v>
      </c>
      <c r="H953" t="s">
        <v>74</v>
      </c>
      <c r="I953" t="s">
        <v>147</v>
      </c>
      <c r="J953" t="s">
        <v>353</v>
      </c>
      <c r="L953" s="3">
        <v>46248</v>
      </c>
      <c r="M953" s="3">
        <v>46248</v>
      </c>
      <c r="N953">
        <v>951</v>
      </c>
      <c r="P953">
        <v>953</v>
      </c>
      <c r="Q953" t="s">
        <v>1691</v>
      </c>
      <c r="Z953" t="s">
        <v>49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 hidden="1">
      <c r="A954">
        <v>953</v>
      </c>
      <c r="B954" t="s">
        <v>1778</v>
      </c>
      <c r="C954" t="s">
        <v>1774</v>
      </c>
      <c r="D954" t="s">
        <v>150</v>
      </c>
      <c r="E954">
        <v>0</v>
      </c>
      <c r="F954" s="3">
        <v>46255</v>
      </c>
      <c r="G954" s="3">
        <v>46259</v>
      </c>
      <c r="H954" t="s">
        <v>74</v>
      </c>
      <c r="I954" t="s">
        <v>151</v>
      </c>
      <c r="J954" t="s">
        <v>185</v>
      </c>
      <c r="L954" s="3">
        <v>46252</v>
      </c>
      <c r="M954" s="3">
        <v>46252</v>
      </c>
      <c r="N954">
        <v>952</v>
      </c>
      <c r="Q954" t="s">
        <v>1691</v>
      </c>
      <c r="Z954" t="s">
        <v>49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 hidden="1">
      <c r="A955">
        <v>954</v>
      </c>
      <c r="B955" t="s">
        <v>1779</v>
      </c>
      <c r="C955" t="s">
        <v>1689</v>
      </c>
      <c r="D955" t="s">
        <v>1780</v>
      </c>
      <c r="E955">
        <v>0</v>
      </c>
      <c r="F955" s="3">
        <v>46231</v>
      </c>
      <c r="G955" s="3">
        <v>46259</v>
      </c>
      <c r="H955" t="s">
        <v>74</v>
      </c>
      <c r="I955" t="s">
        <v>224</v>
      </c>
      <c r="J955" t="s">
        <v>179</v>
      </c>
      <c r="K955" s="3">
        <v>46224</v>
      </c>
      <c r="L955" s="3">
        <v>46252</v>
      </c>
      <c r="M955" s="3">
        <v>46252</v>
      </c>
      <c r="O955" t="s">
        <v>1700</v>
      </c>
      <c r="Q955" t="s">
        <v>1691</v>
      </c>
      <c r="R955" t="s">
        <v>1781</v>
      </c>
      <c r="U955" t="s">
        <v>1702</v>
      </c>
      <c r="V955" t="s">
        <v>134</v>
      </c>
      <c r="W955" t="s">
        <v>212</v>
      </c>
      <c r="X955" t="s">
        <v>844</v>
      </c>
      <c r="Y955">
        <v>1</v>
      </c>
      <c r="Z955" t="s">
        <v>49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 spans="1:39" hidden="1">
      <c r="A956">
        <v>955</v>
      </c>
      <c r="B956" t="s">
        <v>1782</v>
      </c>
      <c r="C956" t="s">
        <v>1783</v>
      </c>
      <c r="D956" t="s">
        <v>139</v>
      </c>
      <c r="E956">
        <v>0</v>
      </c>
      <c r="F956" s="3">
        <v>46231</v>
      </c>
      <c r="G956" s="3">
        <v>46245</v>
      </c>
      <c r="H956" t="s">
        <v>74</v>
      </c>
      <c r="I956" t="s">
        <v>216</v>
      </c>
      <c r="J956" t="s">
        <v>179</v>
      </c>
      <c r="L956" s="3">
        <v>46238</v>
      </c>
      <c r="M956" s="3">
        <v>46238</v>
      </c>
      <c r="N956" t="s">
        <v>1784</v>
      </c>
      <c r="P956">
        <v>956</v>
      </c>
      <c r="Q956" t="s">
        <v>1691</v>
      </c>
      <c r="Z956" t="s">
        <v>49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</row>
    <row r="957" spans="1:39" hidden="1">
      <c r="A957">
        <v>956</v>
      </c>
      <c r="B957" t="s">
        <v>1785</v>
      </c>
      <c r="C957" t="s">
        <v>1783</v>
      </c>
      <c r="D957" t="s">
        <v>143</v>
      </c>
      <c r="E957">
        <v>0</v>
      </c>
      <c r="F957" s="3">
        <v>46245</v>
      </c>
      <c r="G957" s="3">
        <v>46252</v>
      </c>
      <c r="H957" t="s">
        <v>74</v>
      </c>
      <c r="I957" t="s">
        <v>140</v>
      </c>
      <c r="J957" t="s">
        <v>79</v>
      </c>
      <c r="L957" s="3">
        <v>46245</v>
      </c>
      <c r="M957" s="3">
        <v>46245</v>
      </c>
      <c r="N957">
        <v>955</v>
      </c>
      <c r="P957">
        <v>957</v>
      </c>
      <c r="Q957" t="s">
        <v>1691</v>
      </c>
      <c r="Z957" t="s">
        <v>49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 spans="1:39" hidden="1">
      <c r="A958">
        <v>957</v>
      </c>
      <c r="B958" t="s">
        <v>1786</v>
      </c>
      <c r="C958" t="s">
        <v>1783</v>
      </c>
      <c r="D958" t="s">
        <v>146</v>
      </c>
      <c r="E958">
        <v>0</v>
      </c>
      <c r="F958" s="3">
        <v>46252</v>
      </c>
      <c r="G958" s="3">
        <v>46255</v>
      </c>
      <c r="H958" t="s">
        <v>74</v>
      </c>
      <c r="I958" t="s">
        <v>147</v>
      </c>
      <c r="J958" t="s">
        <v>353</v>
      </c>
      <c r="L958" s="3">
        <v>46248</v>
      </c>
      <c r="M958" s="3">
        <v>46248</v>
      </c>
      <c r="N958">
        <v>956</v>
      </c>
      <c r="P958">
        <v>958</v>
      </c>
      <c r="Q958" t="s">
        <v>1691</v>
      </c>
      <c r="Z958" t="s">
        <v>49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 hidden="1">
      <c r="A959">
        <v>958</v>
      </c>
      <c r="B959" t="s">
        <v>1787</v>
      </c>
      <c r="C959" t="s">
        <v>1783</v>
      </c>
      <c r="D959" t="s">
        <v>150</v>
      </c>
      <c r="E959">
        <v>0</v>
      </c>
      <c r="F959" s="3">
        <v>46255</v>
      </c>
      <c r="G959" s="3">
        <v>46259</v>
      </c>
      <c r="H959" t="s">
        <v>74</v>
      </c>
      <c r="I959" t="s">
        <v>151</v>
      </c>
      <c r="J959" t="s">
        <v>185</v>
      </c>
      <c r="L959" s="3">
        <v>46252</v>
      </c>
      <c r="M959" s="3">
        <v>46252</v>
      </c>
      <c r="N959">
        <v>957</v>
      </c>
      <c r="Q959" t="s">
        <v>1691</v>
      </c>
      <c r="Z959" t="s">
        <v>49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 hidden="1">
      <c r="A960">
        <v>959</v>
      </c>
      <c r="B960" t="s">
        <v>1788</v>
      </c>
      <c r="C960" t="s">
        <v>1689</v>
      </c>
      <c r="D960" t="s">
        <v>1789</v>
      </c>
      <c r="E960">
        <v>0</v>
      </c>
      <c r="F960" s="3">
        <v>46231</v>
      </c>
      <c r="G960" s="3">
        <v>46259</v>
      </c>
      <c r="H960" t="s">
        <v>74</v>
      </c>
      <c r="I960" t="s">
        <v>224</v>
      </c>
      <c r="J960" t="s">
        <v>179</v>
      </c>
      <c r="K960" s="3">
        <v>46224</v>
      </c>
      <c r="L960" s="3">
        <v>46252</v>
      </c>
      <c r="M960" s="3">
        <v>46252</v>
      </c>
      <c r="O960" t="s">
        <v>1700</v>
      </c>
      <c r="Q960" t="s">
        <v>1691</v>
      </c>
      <c r="R960" t="s">
        <v>1781</v>
      </c>
      <c r="U960" t="s">
        <v>1702</v>
      </c>
      <c r="V960" t="s">
        <v>134</v>
      </c>
      <c r="W960" t="s">
        <v>212</v>
      </c>
      <c r="X960" t="s">
        <v>844</v>
      </c>
      <c r="Y960">
        <v>1</v>
      </c>
      <c r="Z960" t="s">
        <v>49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 hidden="1">
      <c r="A961">
        <v>960</v>
      </c>
      <c r="B961" t="s">
        <v>1790</v>
      </c>
      <c r="C961" t="s">
        <v>1791</v>
      </c>
      <c r="D961" t="s">
        <v>139</v>
      </c>
      <c r="E961">
        <v>0</v>
      </c>
      <c r="F961" s="3">
        <v>46231</v>
      </c>
      <c r="G961" s="3">
        <v>46245</v>
      </c>
      <c r="H961" t="s">
        <v>74</v>
      </c>
      <c r="I961" t="s">
        <v>216</v>
      </c>
      <c r="J961" t="s">
        <v>179</v>
      </c>
      <c r="L961" s="3">
        <v>46238</v>
      </c>
      <c r="M961" s="3">
        <v>46238</v>
      </c>
      <c r="N961" t="s">
        <v>1784</v>
      </c>
      <c r="P961">
        <v>961</v>
      </c>
      <c r="Q961" t="s">
        <v>1691</v>
      </c>
      <c r="Z961" t="s">
        <v>49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 spans="1:39" hidden="1">
      <c r="A962">
        <v>961</v>
      </c>
      <c r="B962" t="s">
        <v>1792</v>
      </c>
      <c r="C962" t="s">
        <v>1791</v>
      </c>
      <c r="D962" t="s">
        <v>143</v>
      </c>
      <c r="E962">
        <v>0</v>
      </c>
      <c r="F962" s="3">
        <v>46245</v>
      </c>
      <c r="G962" s="3">
        <v>46252</v>
      </c>
      <c r="H962" t="s">
        <v>74</v>
      </c>
      <c r="I962" t="s">
        <v>140</v>
      </c>
      <c r="J962" t="s">
        <v>79</v>
      </c>
      <c r="L962" s="3">
        <v>46245</v>
      </c>
      <c r="M962" s="3">
        <v>46245</v>
      </c>
      <c r="N962">
        <v>960</v>
      </c>
      <c r="P962">
        <v>962</v>
      </c>
      <c r="Q962" t="s">
        <v>1691</v>
      </c>
      <c r="Z962" t="s">
        <v>49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hidden="1">
      <c r="A963">
        <v>962</v>
      </c>
      <c r="B963" t="s">
        <v>1793</v>
      </c>
      <c r="C963" t="s">
        <v>1791</v>
      </c>
      <c r="D963" t="s">
        <v>146</v>
      </c>
      <c r="E963">
        <v>0</v>
      </c>
      <c r="F963" s="3">
        <v>46252</v>
      </c>
      <c r="G963" s="3">
        <v>46255</v>
      </c>
      <c r="H963" t="s">
        <v>74</v>
      </c>
      <c r="I963" t="s">
        <v>147</v>
      </c>
      <c r="J963" t="s">
        <v>353</v>
      </c>
      <c r="L963" s="3">
        <v>46248</v>
      </c>
      <c r="M963" s="3">
        <v>46248</v>
      </c>
      <c r="N963">
        <v>961</v>
      </c>
      <c r="P963">
        <v>963</v>
      </c>
      <c r="Q963" t="s">
        <v>1691</v>
      </c>
      <c r="Z963" t="s">
        <v>49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 spans="1:39" hidden="1">
      <c r="A964">
        <v>963</v>
      </c>
      <c r="B964" t="s">
        <v>1794</v>
      </c>
      <c r="C964" t="s">
        <v>1791</v>
      </c>
      <c r="D964" t="s">
        <v>150</v>
      </c>
      <c r="E964">
        <v>0</v>
      </c>
      <c r="F964" s="3">
        <v>46255</v>
      </c>
      <c r="G964" s="3">
        <v>46259</v>
      </c>
      <c r="H964" t="s">
        <v>74</v>
      </c>
      <c r="I964" t="s">
        <v>151</v>
      </c>
      <c r="J964" t="s">
        <v>185</v>
      </c>
      <c r="L964" s="3">
        <v>46252</v>
      </c>
      <c r="M964" s="3">
        <v>46252</v>
      </c>
      <c r="N964">
        <v>962</v>
      </c>
      <c r="Q964" t="s">
        <v>1691</v>
      </c>
      <c r="Z964" t="s">
        <v>49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 hidden="1">
      <c r="A965">
        <v>964</v>
      </c>
      <c r="B965" t="s">
        <v>1795</v>
      </c>
      <c r="C965" t="s">
        <v>1689</v>
      </c>
      <c r="D965" t="s">
        <v>1796</v>
      </c>
      <c r="E965">
        <v>0</v>
      </c>
      <c r="F965" s="3">
        <v>46231</v>
      </c>
      <c r="G965" s="3">
        <v>46261</v>
      </c>
      <c r="H965" t="s">
        <v>74</v>
      </c>
      <c r="I965" t="s">
        <v>1255</v>
      </c>
      <c r="J965" t="s">
        <v>179</v>
      </c>
      <c r="K965" s="3">
        <v>46224</v>
      </c>
      <c r="L965" s="3">
        <v>46254</v>
      </c>
      <c r="M965" s="3">
        <v>46254</v>
      </c>
      <c r="O965" t="s">
        <v>1700</v>
      </c>
      <c r="Q965" t="s">
        <v>1691</v>
      </c>
      <c r="R965" t="s">
        <v>1781</v>
      </c>
      <c r="U965" t="s">
        <v>1702</v>
      </c>
      <c r="V965" t="s">
        <v>134</v>
      </c>
      <c r="W965" t="s">
        <v>212</v>
      </c>
      <c r="X965" t="s">
        <v>844</v>
      </c>
      <c r="Y965">
        <v>1</v>
      </c>
      <c r="Z965" t="s">
        <v>49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 spans="1:39" hidden="1">
      <c r="A966">
        <v>965</v>
      </c>
      <c r="B966" t="s">
        <v>1797</v>
      </c>
      <c r="C966" t="s">
        <v>1798</v>
      </c>
      <c r="D966" t="s">
        <v>139</v>
      </c>
      <c r="E966">
        <v>0</v>
      </c>
      <c r="F966" s="3">
        <v>46231</v>
      </c>
      <c r="G966" s="3">
        <v>46245</v>
      </c>
      <c r="H966" t="s">
        <v>74</v>
      </c>
      <c r="I966" t="s">
        <v>216</v>
      </c>
      <c r="J966" t="s">
        <v>179</v>
      </c>
      <c r="L966" s="3">
        <v>46238</v>
      </c>
      <c r="M966" s="3">
        <v>46238</v>
      </c>
      <c r="N966" t="s">
        <v>1784</v>
      </c>
      <c r="P966">
        <v>966</v>
      </c>
      <c r="Q966" t="s">
        <v>1691</v>
      </c>
      <c r="Z966" t="s">
        <v>49</v>
      </c>
      <c r="AB966">
        <v>0</v>
      </c>
      <c r="AC966">
        <v>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 hidden="1">
      <c r="A967">
        <v>966</v>
      </c>
      <c r="B967" t="s">
        <v>1799</v>
      </c>
      <c r="C967" t="s">
        <v>1798</v>
      </c>
      <c r="D967" t="s">
        <v>143</v>
      </c>
      <c r="E967">
        <v>0</v>
      </c>
      <c r="F967" s="3">
        <v>46245</v>
      </c>
      <c r="G967" s="3">
        <v>46252</v>
      </c>
      <c r="H967" t="s">
        <v>74</v>
      </c>
      <c r="I967" t="s">
        <v>140</v>
      </c>
      <c r="J967" t="s">
        <v>79</v>
      </c>
      <c r="L967" s="3">
        <v>46245</v>
      </c>
      <c r="M967" s="3">
        <v>46245</v>
      </c>
      <c r="N967">
        <v>965</v>
      </c>
      <c r="P967">
        <v>967</v>
      </c>
      <c r="Q967" t="s">
        <v>1691</v>
      </c>
      <c r="Z967" t="s">
        <v>49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 hidden="1">
      <c r="A968">
        <v>967</v>
      </c>
      <c r="B968" t="s">
        <v>1800</v>
      </c>
      <c r="C968" t="s">
        <v>1798</v>
      </c>
      <c r="D968" t="s">
        <v>146</v>
      </c>
      <c r="E968">
        <v>0</v>
      </c>
      <c r="F968" s="3">
        <v>46252</v>
      </c>
      <c r="G968" s="3">
        <v>46259</v>
      </c>
      <c r="H968" t="s">
        <v>74</v>
      </c>
      <c r="I968" t="s">
        <v>140</v>
      </c>
      <c r="J968" t="s">
        <v>353</v>
      </c>
      <c r="L968" s="3">
        <v>46252</v>
      </c>
      <c r="M968" s="3">
        <v>46252</v>
      </c>
      <c r="N968">
        <v>966</v>
      </c>
      <c r="P968">
        <v>968</v>
      </c>
      <c r="Q968" t="s">
        <v>1691</v>
      </c>
      <c r="Z968" t="s">
        <v>49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 hidden="1">
      <c r="A969">
        <v>968</v>
      </c>
      <c r="B969" t="s">
        <v>1801</v>
      </c>
      <c r="C969" t="s">
        <v>1798</v>
      </c>
      <c r="D969" t="s">
        <v>150</v>
      </c>
      <c r="E969">
        <v>0</v>
      </c>
      <c r="F969" s="3">
        <v>46259</v>
      </c>
      <c r="G969" s="3">
        <v>46261</v>
      </c>
      <c r="H969" t="s">
        <v>74</v>
      </c>
      <c r="I969" t="s">
        <v>151</v>
      </c>
      <c r="J969" t="s">
        <v>185</v>
      </c>
      <c r="L969" s="3">
        <v>46254</v>
      </c>
      <c r="M969" s="3">
        <v>46254</v>
      </c>
      <c r="N969">
        <v>967</v>
      </c>
      <c r="Q969" t="s">
        <v>1691</v>
      </c>
      <c r="Z969" t="s">
        <v>49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 hidden="1">
      <c r="A970">
        <v>969</v>
      </c>
      <c r="B970" t="s">
        <v>1802</v>
      </c>
      <c r="C970" t="s">
        <v>1689</v>
      </c>
      <c r="D970" t="s">
        <v>1803</v>
      </c>
      <c r="E970">
        <v>0</v>
      </c>
      <c r="F970" s="3">
        <v>46231</v>
      </c>
      <c r="G970" s="3">
        <v>46259</v>
      </c>
      <c r="H970" t="s">
        <v>74</v>
      </c>
      <c r="I970" t="s">
        <v>224</v>
      </c>
      <c r="J970" t="s">
        <v>179</v>
      </c>
      <c r="K970" s="3">
        <v>46224</v>
      </c>
      <c r="L970" s="3">
        <v>46252</v>
      </c>
      <c r="M970" s="3">
        <v>46252</v>
      </c>
      <c r="O970" t="s">
        <v>1700</v>
      </c>
      <c r="Q970" t="s">
        <v>1691</v>
      </c>
      <c r="R970" t="s">
        <v>1781</v>
      </c>
      <c r="U970" t="s">
        <v>1702</v>
      </c>
      <c r="V970" t="s">
        <v>134</v>
      </c>
      <c r="W970" t="s">
        <v>212</v>
      </c>
      <c r="X970" t="s">
        <v>844</v>
      </c>
      <c r="Y970">
        <v>1</v>
      </c>
      <c r="Z970" t="s">
        <v>49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 hidden="1">
      <c r="A971">
        <v>970</v>
      </c>
      <c r="B971" t="s">
        <v>1804</v>
      </c>
      <c r="C971" t="s">
        <v>1805</v>
      </c>
      <c r="D971" t="s">
        <v>139</v>
      </c>
      <c r="E971">
        <v>0</v>
      </c>
      <c r="F971" s="3">
        <v>46231</v>
      </c>
      <c r="G971" s="3">
        <v>46245</v>
      </c>
      <c r="H971" t="s">
        <v>74</v>
      </c>
      <c r="I971" t="s">
        <v>216</v>
      </c>
      <c r="J971" t="s">
        <v>179</v>
      </c>
      <c r="L971" s="3">
        <v>46238</v>
      </c>
      <c r="M971" s="3">
        <v>46238</v>
      </c>
      <c r="N971" t="s">
        <v>1784</v>
      </c>
      <c r="P971">
        <v>971</v>
      </c>
      <c r="Q971" t="s">
        <v>1691</v>
      </c>
      <c r="Z971" t="s">
        <v>49</v>
      </c>
      <c r="AB971">
        <v>0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hidden="1">
      <c r="A972">
        <v>971</v>
      </c>
      <c r="B972" t="s">
        <v>1806</v>
      </c>
      <c r="C972" t="s">
        <v>1805</v>
      </c>
      <c r="D972" t="s">
        <v>143</v>
      </c>
      <c r="E972">
        <v>0</v>
      </c>
      <c r="F972" s="3">
        <v>46245</v>
      </c>
      <c r="G972" s="3">
        <v>46252</v>
      </c>
      <c r="H972" t="s">
        <v>74</v>
      </c>
      <c r="I972" t="s">
        <v>140</v>
      </c>
      <c r="J972" t="s">
        <v>79</v>
      </c>
      <c r="L972" s="3">
        <v>46245</v>
      </c>
      <c r="M972" s="3">
        <v>46245</v>
      </c>
      <c r="N972">
        <v>970</v>
      </c>
      <c r="P972">
        <v>972</v>
      </c>
      <c r="Q972" t="s">
        <v>1691</v>
      </c>
      <c r="Z972" t="s">
        <v>49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 hidden="1">
      <c r="A973">
        <v>972</v>
      </c>
      <c r="B973" t="s">
        <v>1807</v>
      </c>
      <c r="C973" t="s">
        <v>1805</v>
      </c>
      <c r="D973" t="s">
        <v>146</v>
      </c>
      <c r="E973">
        <v>0</v>
      </c>
      <c r="F973" s="3">
        <v>46252</v>
      </c>
      <c r="G973" s="3">
        <v>46255</v>
      </c>
      <c r="H973" t="s">
        <v>74</v>
      </c>
      <c r="I973" t="s">
        <v>147</v>
      </c>
      <c r="J973" t="s">
        <v>353</v>
      </c>
      <c r="L973" s="3">
        <v>46248</v>
      </c>
      <c r="M973" s="3">
        <v>46248</v>
      </c>
      <c r="N973">
        <v>971</v>
      </c>
      <c r="P973">
        <v>973</v>
      </c>
      <c r="Q973" t="s">
        <v>1691</v>
      </c>
      <c r="Z973" t="s">
        <v>49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 hidden="1">
      <c r="A974">
        <v>973</v>
      </c>
      <c r="B974" t="s">
        <v>1808</v>
      </c>
      <c r="C974" t="s">
        <v>1805</v>
      </c>
      <c r="D974" t="s">
        <v>150</v>
      </c>
      <c r="E974">
        <v>0</v>
      </c>
      <c r="F974" s="3">
        <v>46255</v>
      </c>
      <c r="G974" s="3">
        <v>46259</v>
      </c>
      <c r="H974" t="s">
        <v>74</v>
      </c>
      <c r="I974" t="s">
        <v>151</v>
      </c>
      <c r="J974" t="s">
        <v>185</v>
      </c>
      <c r="L974" s="3">
        <v>46252</v>
      </c>
      <c r="M974" s="3">
        <v>46252</v>
      </c>
      <c r="N974">
        <v>972</v>
      </c>
      <c r="Q974" t="s">
        <v>1691</v>
      </c>
      <c r="Z974" t="s">
        <v>49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 hidden="1">
      <c r="A975">
        <v>974</v>
      </c>
      <c r="B975" t="s">
        <v>1809</v>
      </c>
      <c r="C975" t="s">
        <v>1689</v>
      </c>
      <c r="D975" t="s">
        <v>1810</v>
      </c>
      <c r="E975">
        <v>0</v>
      </c>
      <c r="F975" s="3">
        <v>46203</v>
      </c>
      <c r="G975" s="3">
        <v>46231</v>
      </c>
      <c r="H975" t="s">
        <v>74</v>
      </c>
      <c r="I975" t="s">
        <v>224</v>
      </c>
      <c r="J975" t="s">
        <v>117</v>
      </c>
      <c r="K975" s="3">
        <v>46196</v>
      </c>
      <c r="L975" s="3">
        <v>46224</v>
      </c>
      <c r="M975" s="3">
        <v>46224</v>
      </c>
      <c r="O975" t="s">
        <v>713</v>
      </c>
      <c r="Q975" t="s">
        <v>1691</v>
      </c>
      <c r="R975" t="s">
        <v>1811</v>
      </c>
      <c r="U975" t="s">
        <v>1702</v>
      </c>
      <c r="V975" t="s">
        <v>134</v>
      </c>
      <c r="W975" t="s">
        <v>1566</v>
      </c>
      <c r="X975" t="s">
        <v>213</v>
      </c>
      <c r="Y975">
        <v>1</v>
      </c>
      <c r="Z975" t="s">
        <v>43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 hidden="1">
      <c r="A976">
        <v>975</v>
      </c>
      <c r="B976" t="s">
        <v>1812</v>
      </c>
      <c r="C976" t="s">
        <v>1813</v>
      </c>
      <c r="D976" t="s">
        <v>139</v>
      </c>
      <c r="E976">
        <v>0</v>
      </c>
      <c r="F976" s="3">
        <v>46203</v>
      </c>
      <c r="G976" s="3">
        <v>46217</v>
      </c>
      <c r="H976" t="s">
        <v>74</v>
      </c>
      <c r="I976" t="s">
        <v>216</v>
      </c>
      <c r="J976" t="s">
        <v>117</v>
      </c>
      <c r="L976" s="3">
        <v>46210</v>
      </c>
      <c r="M976" s="3">
        <v>46210</v>
      </c>
      <c r="N976">
        <v>21</v>
      </c>
      <c r="P976">
        <v>976</v>
      </c>
      <c r="Q976" t="s">
        <v>1691</v>
      </c>
      <c r="Z976" t="s">
        <v>43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 hidden="1">
      <c r="A977">
        <v>976</v>
      </c>
      <c r="B977" t="s">
        <v>1814</v>
      </c>
      <c r="C977" t="s">
        <v>1813</v>
      </c>
      <c r="D977" t="s">
        <v>143</v>
      </c>
      <c r="E977">
        <v>0</v>
      </c>
      <c r="F977" s="3">
        <v>46217</v>
      </c>
      <c r="G977" s="3">
        <v>46224</v>
      </c>
      <c r="H977" t="s">
        <v>74</v>
      </c>
      <c r="I977" t="s">
        <v>140</v>
      </c>
      <c r="J977" t="s">
        <v>75</v>
      </c>
      <c r="L977" s="3">
        <v>46217</v>
      </c>
      <c r="M977" s="3">
        <v>46217</v>
      </c>
      <c r="N977">
        <v>975</v>
      </c>
      <c r="P977" t="s">
        <v>1815</v>
      </c>
      <c r="Q977" t="s">
        <v>1691</v>
      </c>
      <c r="Z977" t="s">
        <v>43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 hidden="1">
      <c r="A978">
        <v>977</v>
      </c>
      <c r="B978" t="s">
        <v>1816</v>
      </c>
      <c r="C978" t="s">
        <v>1813</v>
      </c>
      <c r="D978" t="s">
        <v>146</v>
      </c>
      <c r="E978">
        <v>0</v>
      </c>
      <c r="F978" s="3">
        <v>46224</v>
      </c>
      <c r="G978" s="3">
        <v>46227</v>
      </c>
      <c r="H978" t="s">
        <v>74</v>
      </c>
      <c r="I978" t="s">
        <v>147</v>
      </c>
      <c r="J978" t="s">
        <v>219</v>
      </c>
      <c r="L978" s="3">
        <v>46220</v>
      </c>
      <c r="M978" s="3">
        <v>46220</v>
      </c>
      <c r="N978">
        <v>976</v>
      </c>
      <c r="P978">
        <v>978</v>
      </c>
      <c r="Q978" t="s">
        <v>1691</v>
      </c>
      <c r="Z978" t="s">
        <v>49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 hidden="1">
      <c r="A979">
        <v>978</v>
      </c>
      <c r="B979" t="s">
        <v>1817</v>
      </c>
      <c r="C979" t="s">
        <v>1813</v>
      </c>
      <c r="D979" t="s">
        <v>150</v>
      </c>
      <c r="E979">
        <v>0</v>
      </c>
      <c r="F979" s="3">
        <v>46227</v>
      </c>
      <c r="G979" s="3">
        <v>46231</v>
      </c>
      <c r="H979" t="s">
        <v>74</v>
      </c>
      <c r="I979" t="s">
        <v>151</v>
      </c>
      <c r="J979" t="s">
        <v>179</v>
      </c>
      <c r="L979" s="3">
        <v>46224</v>
      </c>
      <c r="M979" s="3">
        <v>46224</v>
      </c>
      <c r="N979">
        <v>977</v>
      </c>
      <c r="Q979" t="s">
        <v>1691</v>
      </c>
      <c r="Z979" t="s">
        <v>49</v>
      </c>
      <c r="AB979">
        <v>0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 hidden="1">
      <c r="A980">
        <v>979</v>
      </c>
      <c r="B980" t="s">
        <v>1818</v>
      </c>
      <c r="C980" t="s">
        <v>1689</v>
      </c>
      <c r="D980" t="s">
        <v>1819</v>
      </c>
      <c r="E980">
        <v>0</v>
      </c>
      <c r="F980" s="3">
        <v>46203</v>
      </c>
      <c r="G980" s="3">
        <v>46231</v>
      </c>
      <c r="H980" t="s">
        <v>74</v>
      </c>
      <c r="I980" t="s">
        <v>224</v>
      </c>
      <c r="J980" t="s">
        <v>117</v>
      </c>
      <c r="K980" s="3">
        <v>46196</v>
      </c>
      <c r="L980" s="3">
        <v>46224</v>
      </c>
      <c r="M980" s="3">
        <v>46224</v>
      </c>
      <c r="O980" t="s">
        <v>1700</v>
      </c>
      <c r="Q980" t="s">
        <v>1691</v>
      </c>
      <c r="R980" t="s">
        <v>1820</v>
      </c>
      <c r="U980" t="s">
        <v>1702</v>
      </c>
      <c r="V980" t="s">
        <v>134</v>
      </c>
      <c r="W980" t="s">
        <v>1566</v>
      </c>
      <c r="X980" t="s">
        <v>213</v>
      </c>
      <c r="Y980">
        <v>1</v>
      </c>
      <c r="Z980" t="s">
        <v>49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hidden="1">
      <c r="A981">
        <v>980</v>
      </c>
      <c r="B981" t="s">
        <v>1821</v>
      </c>
      <c r="C981" t="s">
        <v>1822</v>
      </c>
      <c r="D981" t="s">
        <v>139</v>
      </c>
      <c r="E981">
        <v>0</v>
      </c>
      <c r="F981" s="3">
        <v>46203</v>
      </c>
      <c r="G981" s="3">
        <v>46217</v>
      </c>
      <c r="H981" t="s">
        <v>74</v>
      </c>
      <c r="I981" t="s">
        <v>216</v>
      </c>
      <c r="J981" t="s">
        <v>117</v>
      </c>
      <c r="L981" s="3">
        <v>46210</v>
      </c>
      <c r="M981" s="3">
        <v>46210</v>
      </c>
      <c r="N981" t="s">
        <v>1823</v>
      </c>
      <c r="P981">
        <v>981</v>
      </c>
      <c r="Q981" t="s">
        <v>1691</v>
      </c>
      <c r="Z981" t="s">
        <v>49</v>
      </c>
      <c r="AB981">
        <v>0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hidden="1">
      <c r="A982">
        <v>981</v>
      </c>
      <c r="B982" t="s">
        <v>1824</v>
      </c>
      <c r="C982" t="s">
        <v>1822</v>
      </c>
      <c r="D982" t="s">
        <v>143</v>
      </c>
      <c r="E982">
        <v>0</v>
      </c>
      <c r="F982" s="3">
        <v>46217</v>
      </c>
      <c r="G982" s="3">
        <v>46224</v>
      </c>
      <c r="H982" t="s">
        <v>74</v>
      </c>
      <c r="I982" t="s">
        <v>140</v>
      </c>
      <c r="J982" t="s">
        <v>75</v>
      </c>
      <c r="L982" s="3">
        <v>46217</v>
      </c>
      <c r="M982" s="3">
        <v>46217</v>
      </c>
      <c r="N982">
        <v>980</v>
      </c>
      <c r="P982">
        <v>982</v>
      </c>
      <c r="Q982" t="s">
        <v>1691</v>
      </c>
      <c r="Z982" t="s">
        <v>49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 hidden="1">
      <c r="A983">
        <v>982</v>
      </c>
      <c r="B983" t="s">
        <v>1825</v>
      </c>
      <c r="C983" t="s">
        <v>1822</v>
      </c>
      <c r="D983" t="s">
        <v>146</v>
      </c>
      <c r="E983">
        <v>0</v>
      </c>
      <c r="F983" s="3">
        <v>46224</v>
      </c>
      <c r="G983" s="3">
        <v>46227</v>
      </c>
      <c r="H983" t="s">
        <v>74</v>
      </c>
      <c r="I983" t="s">
        <v>147</v>
      </c>
      <c r="J983" t="s">
        <v>219</v>
      </c>
      <c r="L983" s="3">
        <v>46220</v>
      </c>
      <c r="M983" s="3">
        <v>46220</v>
      </c>
      <c r="N983">
        <v>981</v>
      </c>
      <c r="P983">
        <v>983</v>
      </c>
      <c r="Q983" t="s">
        <v>1691</v>
      </c>
      <c r="Z983" t="s">
        <v>49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 hidden="1">
      <c r="A984">
        <v>983</v>
      </c>
      <c r="B984" t="s">
        <v>1826</v>
      </c>
      <c r="C984" t="s">
        <v>1822</v>
      </c>
      <c r="D984" t="s">
        <v>150</v>
      </c>
      <c r="E984">
        <v>0</v>
      </c>
      <c r="F984" s="3">
        <v>46227</v>
      </c>
      <c r="G984" s="3">
        <v>46231</v>
      </c>
      <c r="H984" t="s">
        <v>74</v>
      </c>
      <c r="I984" t="s">
        <v>151</v>
      </c>
      <c r="J984" t="s">
        <v>179</v>
      </c>
      <c r="L984" s="3">
        <v>46224</v>
      </c>
      <c r="M984" s="3">
        <v>46224</v>
      </c>
      <c r="N984">
        <v>982</v>
      </c>
      <c r="Q984" t="s">
        <v>1691</v>
      </c>
      <c r="Z984" t="s">
        <v>49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 hidden="1">
      <c r="A985">
        <v>984</v>
      </c>
      <c r="B985" t="s">
        <v>1827</v>
      </c>
      <c r="C985" t="s">
        <v>1689</v>
      </c>
      <c r="D985" t="s">
        <v>1828</v>
      </c>
      <c r="E985">
        <v>0</v>
      </c>
      <c r="F985" s="3">
        <v>46203</v>
      </c>
      <c r="G985" s="3">
        <v>46233</v>
      </c>
      <c r="H985" t="s">
        <v>74</v>
      </c>
      <c r="I985" t="s">
        <v>1255</v>
      </c>
      <c r="J985" t="s">
        <v>117</v>
      </c>
      <c r="K985" s="3">
        <v>46196</v>
      </c>
      <c r="L985" s="3">
        <v>46226</v>
      </c>
      <c r="M985" s="3">
        <v>46226</v>
      </c>
      <c r="O985" t="s">
        <v>713</v>
      </c>
      <c r="Q985" t="s">
        <v>1691</v>
      </c>
      <c r="R985" t="s">
        <v>1829</v>
      </c>
      <c r="U985" t="s">
        <v>1702</v>
      </c>
      <c r="V985" t="s">
        <v>134</v>
      </c>
      <c r="W985" t="s">
        <v>135</v>
      </c>
      <c r="X985" t="s">
        <v>213</v>
      </c>
      <c r="Y985">
        <v>1</v>
      </c>
      <c r="Z985" t="s">
        <v>49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 hidden="1">
      <c r="A986">
        <v>985</v>
      </c>
      <c r="B986" t="s">
        <v>1830</v>
      </c>
      <c r="C986" t="s">
        <v>1831</v>
      </c>
      <c r="D986" t="s">
        <v>139</v>
      </c>
      <c r="E986">
        <v>0</v>
      </c>
      <c r="F986" s="3">
        <v>46203</v>
      </c>
      <c r="G986" s="3">
        <v>46217</v>
      </c>
      <c r="H986" t="s">
        <v>74</v>
      </c>
      <c r="I986" t="s">
        <v>216</v>
      </c>
      <c r="J986" t="s">
        <v>117</v>
      </c>
      <c r="L986" s="3">
        <v>46210</v>
      </c>
      <c r="M986" s="3">
        <v>46210</v>
      </c>
      <c r="N986" t="s">
        <v>1823</v>
      </c>
      <c r="P986">
        <v>986</v>
      </c>
      <c r="Q986" t="s">
        <v>1691</v>
      </c>
      <c r="Z986" t="s">
        <v>49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hidden="1">
      <c r="A987">
        <v>986</v>
      </c>
      <c r="B987" t="s">
        <v>1832</v>
      </c>
      <c r="C987" t="s">
        <v>1831</v>
      </c>
      <c r="D987" t="s">
        <v>143</v>
      </c>
      <c r="E987">
        <v>0</v>
      </c>
      <c r="F987" s="3">
        <v>46217</v>
      </c>
      <c r="G987" s="3">
        <v>46224</v>
      </c>
      <c r="H987" t="s">
        <v>74</v>
      </c>
      <c r="I987" t="s">
        <v>140</v>
      </c>
      <c r="J987" t="s">
        <v>75</v>
      </c>
      <c r="L987" s="3">
        <v>46217</v>
      </c>
      <c r="M987" s="3">
        <v>46217</v>
      </c>
      <c r="N987">
        <v>985</v>
      </c>
      <c r="P987">
        <v>987</v>
      </c>
      <c r="Q987" t="s">
        <v>1691</v>
      </c>
      <c r="Z987" t="s">
        <v>49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 hidden="1">
      <c r="A988">
        <v>987</v>
      </c>
      <c r="B988" t="s">
        <v>1833</v>
      </c>
      <c r="C988" t="s">
        <v>1831</v>
      </c>
      <c r="D988" t="s">
        <v>146</v>
      </c>
      <c r="E988">
        <v>0</v>
      </c>
      <c r="F988" s="3">
        <v>46224</v>
      </c>
      <c r="G988" s="3">
        <v>46231</v>
      </c>
      <c r="H988" t="s">
        <v>74</v>
      </c>
      <c r="I988" t="s">
        <v>140</v>
      </c>
      <c r="J988" t="s">
        <v>219</v>
      </c>
      <c r="L988" s="3">
        <v>46224</v>
      </c>
      <c r="M988" s="3">
        <v>46224</v>
      </c>
      <c r="N988">
        <v>986</v>
      </c>
      <c r="P988">
        <v>988</v>
      </c>
      <c r="Q988" t="s">
        <v>1691</v>
      </c>
      <c r="Z988" t="s">
        <v>49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 hidden="1">
      <c r="A989">
        <v>988</v>
      </c>
      <c r="B989" t="s">
        <v>1834</v>
      </c>
      <c r="C989" t="s">
        <v>1831</v>
      </c>
      <c r="D989" t="s">
        <v>150</v>
      </c>
      <c r="E989">
        <v>0</v>
      </c>
      <c r="F989" s="3">
        <v>46231</v>
      </c>
      <c r="G989" s="3">
        <v>46233</v>
      </c>
      <c r="H989" t="s">
        <v>74</v>
      </c>
      <c r="I989" t="s">
        <v>151</v>
      </c>
      <c r="J989" t="s">
        <v>179</v>
      </c>
      <c r="L989" s="3">
        <v>46226</v>
      </c>
      <c r="M989" s="3">
        <v>46226</v>
      </c>
      <c r="N989">
        <v>987</v>
      </c>
      <c r="Q989" t="s">
        <v>1691</v>
      </c>
      <c r="Z989" t="s">
        <v>49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 hidden="1">
      <c r="A990">
        <v>989</v>
      </c>
      <c r="B990" t="s">
        <v>1835</v>
      </c>
      <c r="C990" t="s">
        <v>1689</v>
      </c>
      <c r="D990" t="s">
        <v>1836</v>
      </c>
      <c r="E990">
        <v>0</v>
      </c>
      <c r="F990" s="3">
        <v>46203</v>
      </c>
      <c r="G990" s="3">
        <v>46231</v>
      </c>
      <c r="H990" t="s">
        <v>74</v>
      </c>
      <c r="I990" t="s">
        <v>224</v>
      </c>
      <c r="J990" t="s">
        <v>117</v>
      </c>
      <c r="K990" s="3">
        <v>46196</v>
      </c>
      <c r="L990" s="3">
        <v>46224</v>
      </c>
      <c r="M990" s="3">
        <v>46224</v>
      </c>
      <c r="O990" t="s">
        <v>713</v>
      </c>
      <c r="Q990" t="s">
        <v>1691</v>
      </c>
      <c r="R990" t="s">
        <v>1837</v>
      </c>
      <c r="U990" t="s">
        <v>1702</v>
      </c>
      <c r="V990" t="s">
        <v>134</v>
      </c>
      <c r="W990" t="s">
        <v>135</v>
      </c>
      <c r="X990" t="s">
        <v>213</v>
      </c>
      <c r="Y990">
        <v>1</v>
      </c>
      <c r="Z990" t="s">
        <v>49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</row>
    <row r="991" spans="1:39" hidden="1">
      <c r="A991">
        <v>990</v>
      </c>
      <c r="B991" t="s">
        <v>1838</v>
      </c>
      <c r="C991" t="s">
        <v>1839</v>
      </c>
      <c r="D991" t="s">
        <v>139</v>
      </c>
      <c r="E991">
        <v>0</v>
      </c>
      <c r="F991" s="3">
        <v>46203</v>
      </c>
      <c r="G991" s="3">
        <v>46217</v>
      </c>
      <c r="H991" t="s">
        <v>74</v>
      </c>
      <c r="I991" t="s">
        <v>216</v>
      </c>
      <c r="J991" t="s">
        <v>117</v>
      </c>
      <c r="L991" s="3">
        <v>46210</v>
      </c>
      <c r="M991" s="3">
        <v>46210</v>
      </c>
      <c r="N991" t="s">
        <v>1823</v>
      </c>
      <c r="P991">
        <v>991</v>
      </c>
      <c r="Q991" t="s">
        <v>1691</v>
      </c>
      <c r="Z991" t="s">
        <v>49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 hidden="1">
      <c r="A992">
        <v>991</v>
      </c>
      <c r="B992" t="s">
        <v>1840</v>
      </c>
      <c r="C992" t="s">
        <v>1839</v>
      </c>
      <c r="D992" t="s">
        <v>143</v>
      </c>
      <c r="E992">
        <v>0</v>
      </c>
      <c r="F992" s="3">
        <v>46217</v>
      </c>
      <c r="G992" s="3">
        <v>46224</v>
      </c>
      <c r="H992" t="s">
        <v>74</v>
      </c>
      <c r="I992" t="s">
        <v>140</v>
      </c>
      <c r="J992" t="s">
        <v>75</v>
      </c>
      <c r="L992" s="3">
        <v>46217</v>
      </c>
      <c r="M992" s="3">
        <v>46217</v>
      </c>
      <c r="N992">
        <v>990</v>
      </c>
      <c r="P992">
        <v>992</v>
      </c>
      <c r="Q992" t="s">
        <v>1691</v>
      </c>
      <c r="Z992" t="s">
        <v>49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 spans="1:39" hidden="1">
      <c r="A993">
        <v>992</v>
      </c>
      <c r="B993" t="s">
        <v>1841</v>
      </c>
      <c r="C993" t="s">
        <v>1839</v>
      </c>
      <c r="D993" t="s">
        <v>146</v>
      </c>
      <c r="E993">
        <v>0</v>
      </c>
      <c r="F993" s="3">
        <v>46224</v>
      </c>
      <c r="G993" s="3">
        <v>46227</v>
      </c>
      <c r="H993" t="s">
        <v>74</v>
      </c>
      <c r="I993" t="s">
        <v>147</v>
      </c>
      <c r="J993" t="s">
        <v>219</v>
      </c>
      <c r="L993" s="3">
        <v>46220</v>
      </c>
      <c r="M993" s="3">
        <v>46220</v>
      </c>
      <c r="N993">
        <v>991</v>
      </c>
      <c r="P993">
        <v>993</v>
      </c>
      <c r="Q993" t="s">
        <v>1691</v>
      </c>
      <c r="Z993" t="s">
        <v>49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 hidden="1">
      <c r="A994">
        <v>993</v>
      </c>
      <c r="B994" t="s">
        <v>1842</v>
      </c>
      <c r="C994" t="s">
        <v>1839</v>
      </c>
      <c r="D994" t="s">
        <v>150</v>
      </c>
      <c r="E994">
        <v>0</v>
      </c>
      <c r="F994" s="3">
        <v>46227</v>
      </c>
      <c r="G994" s="3">
        <v>46231</v>
      </c>
      <c r="H994" t="s">
        <v>74</v>
      </c>
      <c r="I994" t="s">
        <v>151</v>
      </c>
      <c r="J994" t="s">
        <v>179</v>
      </c>
      <c r="L994" s="3">
        <v>46224</v>
      </c>
      <c r="M994" s="3">
        <v>46224</v>
      </c>
      <c r="N994">
        <v>992</v>
      </c>
      <c r="Q994" t="s">
        <v>1691</v>
      </c>
      <c r="Z994" t="s">
        <v>49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 hidden="1">
      <c r="A995">
        <v>994</v>
      </c>
      <c r="B995" t="s">
        <v>1843</v>
      </c>
      <c r="C995" t="s">
        <v>1689</v>
      </c>
      <c r="D995" t="s">
        <v>1844</v>
      </c>
      <c r="E995">
        <v>0</v>
      </c>
      <c r="F995" s="3">
        <v>46203</v>
      </c>
      <c r="G995" s="3">
        <v>46231</v>
      </c>
      <c r="H995" t="s">
        <v>74</v>
      </c>
      <c r="I995" t="s">
        <v>224</v>
      </c>
      <c r="J995" t="s">
        <v>117</v>
      </c>
      <c r="K995" s="3">
        <v>46196</v>
      </c>
      <c r="L995" s="3">
        <v>46224</v>
      </c>
      <c r="M995" s="3">
        <v>46224</v>
      </c>
      <c r="O995" t="s">
        <v>713</v>
      </c>
      <c r="Q995" t="s">
        <v>1691</v>
      </c>
      <c r="R995" t="s">
        <v>1845</v>
      </c>
      <c r="U995" t="s">
        <v>1702</v>
      </c>
      <c r="V995" t="s">
        <v>134</v>
      </c>
      <c r="W995" t="s">
        <v>135</v>
      </c>
      <c r="X995" t="s">
        <v>213</v>
      </c>
      <c r="Y995">
        <v>1</v>
      </c>
      <c r="Z995" t="s">
        <v>49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 hidden="1">
      <c r="A996">
        <v>995</v>
      </c>
      <c r="B996" t="s">
        <v>1846</v>
      </c>
      <c r="C996" t="s">
        <v>1847</v>
      </c>
      <c r="D996" t="s">
        <v>139</v>
      </c>
      <c r="E996">
        <v>0</v>
      </c>
      <c r="F996" s="3">
        <v>46203</v>
      </c>
      <c r="G996" s="3">
        <v>46217</v>
      </c>
      <c r="H996" t="s">
        <v>74</v>
      </c>
      <c r="I996" t="s">
        <v>216</v>
      </c>
      <c r="J996" t="s">
        <v>117</v>
      </c>
      <c r="L996" s="3">
        <v>46210</v>
      </c>
      <c r="M996" s="3">
        <v>46210</v>
      </c>
      <c r="N996" t="s">
        <v>1823</v>
      </c>
      <c r="P996">
        <v>996</v>
      </c>
      <c r="Q996" t="s">
        <v>1691</v>
      </c>
      <c r="Z996" t="s">
        <v>49</v>
      </c>
      <c r="AB996">
        <v>0</v>
      </c>
      <c r="AC996">
        <v>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hidden="1">
      <c r="A997">
        <v>996</v>
      </c>
      <c r="B997" t="s">
        <v>1848</v>
      </c>
      <c r="C997" t="s">
        <v>1847</v>
      </c>
      <c r="D997" t="s">
        <v>143</v>
      </c>
      <c r="E997">
        <v>0</v>
      </c>
      <c r="F997" s="3">
        <v>46217</v>
      </c>
      <c r="G997" s="3">
        <v>46224</v>
      </c>
      <c r="H997" t="s">
        <v>74</v>
      </c>
      <c r="I997" t="s">
        <v>140</v>
      </c>
      <c r="J997" t="s">
        <v>75</v>
      </c>
      <c r="L997" s="3">
        <v>46217</v>
      </c>
      <c r="M997" s="3">
        <v>46217</v>
      </c>
      <c r="N997">
        <v>995</v>
      </c>
      <c r="P997">
        <v>997</v>
      </c>
      <c r="Q997" t="s">
        <v>1691</v>
      </c>
      <c r="Z997" t="s">
        <v>49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 spans="1:39" hidden="1">
      <c r="A998">
        <v>997</v>
      </c>
      <c r="B998" t="s">
        <v>1849</v>
      </c>
      <c r="C998" t="s">
        <v>1847</v>
      </c>
      <c r="D998" t="s">
        <v>146</v>
      </c>
      <c r="E998">
        <v>0</v>
      </c>
      <c r="F998" s="3">
        <v>46224</v>
      </c>
      <c r="G998" s="3">
        <v>46227</v>
      </c>
      <c r="H998" t="s">
        <v>74</v>
      </c>
      <c r="I998" t="s">
        <v>147</v>
      </c>
      <c r="J998" t="s">
        <v>219</v>
      </c>
      <c r="L998" s="3">
        <v>46220</v>
      </c>
      <c r="M998" s="3">
        <v>46220</v>
      </c>
      <c r="N998">
        <v>996</v>
      </c>
      <c r="P998">
        <v>998</v>
      </c>
      <c r="Q998" t="s">
        <v>1691</v>
      </c>
      <c r="Z998" t="s">
        <v>49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39" hidden="1">
      <c r="A999">
        <v>998</v>
      </c>
      <c r="B999" t="s">
        <v>1850</v>
      </c>
      <c r="C999" t="s">
        <v>1847</v>
      </c>
      <c r="D999" t="s">
        <v>150</v>
      </c>
      <c r="E999">
        <v>0</v>
      </c>
      <c r="F999" s="3">
        <v>46227</v>
      </c>
      <c r="G999" s="3">
        <v>46231</v>
      </c>
      <c r="H999" t="s">
        <v>74</v>
      </c>
      <c r="I999" t="s">
        <v>151</v>
      </c>
      <c r="J999" t="s">
        <v>179</v>
      </c>
      <c r="L999" s="3">
        <v>46224</v>
      </c>
      <c r="M999" s="3">
        <v>46224</v>
      </c>
      <c r="N999">
        <v>997</v>
      </c>
      <c r="Q999" t="s">
        <v>1691</v>
      </c>
      <c r="Z999" t="s">
        <v>49</v>
      </c>
      <c r="AB999">
        <v>0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 hidden="1">
      <c r="A1000">
        <v>999</v>
      </c>
      <c r="B1000" t="s">
        <v>1851</v>
      </c>
      <c r="C1000" t="s">
        <v>1689</v>
      </c>
      <c r="D1000" t="s">
        <v>1852</v>
      </c>
      <c r="E1000">
        <v>0</v>
      </c>
      <c r="F1000" s="3">
        <v>46203</v>
      </c>
      <c r="G1000" s="3">
        <v>46231</v>
      </c>
      <c r="H1000" t="s">
        <v>74</v>
      </c>
      <c r="I1000" t="s">
        <v>224</v>
      </c>
      <c r="J1000" t="s">
        <v>117</v>
      </c>
      <c r="K1000" s="3">
        <v>46196</v>
      </c>
      <c r="L1000" s="3">
        <v>46224</v>
      </c>
      <c r="M1000" s="3">
        <v>46224</v>
      </c>
      <c r="O1000" t="s">
        <v>713</v>
      </c>
      <c r="Q1000" t="s">
        <v>1691</v>
      </c>
      <c r="R1000" t="s">
        <v>1853</v>
      </c>
      <c r="U1000" t="s">
        <v>1702</v>
      </c>
      <c r="V1000" t="s">
        <v>134</v>
      </c>
      <c r="W1000" t="s">
        <v>135</v>
      </c>
      <c r="X1000" t="s">
        <v>213</v>
      </c>
      <c r="Y1000">
        <v>1</v>
      </c>
      <c r="Z1000" t="s">
        <v>43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 hidden="1">
      <c r="A1001">
        <v>1000</v>
      </c>
      <c r="B1001" t="s">
        <v>1854</v>
      </c>
      <c r="C1001" t="s">
        <v>1855</v>
      </c>
      <c r="D1001" t="s">
        <v>139</v>
      </c>
      <c r="E1001">
        <v>0</v>
      </c>
      <c r="F1001" s="3">
        <v>46203</v>
      </c>
      <c r="G1001" s="3">
        <v>46217</v>
      </c>
      <c r="H1001" t="s">
        <v>74</v>
      </c>
      <c r="I1001" t="s">
        <v>216</v>
      </c>
      <c r="J1001" t="s">
        <v>117</v>
      </c>
      <c r="L1001" s="3">
        <v>46210</v>
      </c>
      <c r="M1001" s="3">
        <v>46210</v>
      </c>
      <c r="N1001" t="s">
        <v>1823</v>
      </c>
      <c r="P1001" t="s">
        <v>1856</v>
      </c>
      <c r="Q1001" t="s">
        <v>1691</v>
      </c>
      <c r="Z1001" t="s">
        <v>43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 hidden="1">
      <c r="A1002">
        <v>1001</v>
      </c>
      <c r="B1002" t="s">
        <v>1857</v>
      </c>
      <c r="C1002" t="s">
        <v>1855</v>
      </c>
      <c r="D1002" t="s">
        <v>143</v>
      </c>
      <c r="E1002">
        <v>0</v>
      </c>
      <c r="F1002" s="3">
        <v>46217</v>
      </c>
      <c r="G1002" s="3">
        <v>46224</v>
      </c>
      <c r="H1002" t="s">
        <v>74</v>
      </c>
      <c r="I1002" t="s">
        <v>140</v>
      </c>
      <c r="J1002" t="s">
        <v>75</v>
      </c>
      <c r="L1002" s="3">
        <v>46217</v>
      </c>
      <c r="M1002" s="3">
        <v>46217</v>
      </c>
      <c r="N1002">
        <v>1000</v>
      </c>
      <c r="P1002">
        <v>1002</v>
      </c>
      <c r="Q1002" t="s">
        <v>1691</v>
      </c>
      <c r="Z1002" t="s">
        <v>49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 hidden="1">
      <c r="A1003">
        <v>1002</v>
      </c>
      <c r="B1003" t="s">
        <v>1858</v>
      </c>
      <c r="C1003" t="s">
        <v>1855</v>
      </c>
      <c r="D1003" t="s">
        <v>146</v>
      </c>
      <c r="E1003">
        <v>0</v>
      </c>
      <c r="F1003" s="3">
        <v>46224</v>
      </c>
      <c r="G1003" s="3">
        <v>46227</v>
      </c>
      <c r="H1003" t="s">
        <v>74</v>
      </c>
      <c r="I1003" t="s">
        <v>147</v>
      </c>
      <c r="J1003" t="s">
        <v>219</v>
      </c>
      <c r="L1003" s="3">
        <v>46220</v>
      </c>
      <c r="M1003" s="3">
        <v>46220</v>
      </c>
      <c r="N1003">
        <v>1001</v>
      </c>
      <c r="P1003">
        <v>1003</v>
      </c>
      <c r="Q1003" t="s">
        <v>1691</v>
      </c>
      <c r="Z1003" t="s">
        <v>49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 hidden="1">
      <c r="A1004">
        <v>1003</v>
      </c>
      <c r="B1004" t="s">
        <v>1859</v>
      </c>
      <c r="C1004" t="s">
        <v>1855</v>
      </c>
      <c r="D1004" t="s">
        <v>150</v>
      </c>
      <c r="E1004">
        <v>0</v>
      </c>
      <c r="F1004" s="3">
        <v>46227</v>
      </c>
      <c r="G1004" s="3">
        <v>46231</v>
      </c>
      <c r="H1004" t="s">
        <v>74</v>
      </c>
      <c r="I1004" t="s">
        <v>151</v>
      </c>
      <c r="J1004" t="s">
        <v>179</v>
      </c>
      <c r="L1004" s="3">
        <v>46224</v>
      </c>
      <c r="M1004" s="3">
        <v>46224</v>
      </c>
      <c r="N1004">
        <v>1002</v>
      </c>
      <c r="Q1004" t="s">
        <v>1691</v>
      </c>
      <c r="Z1004" t="s">
        <v>49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 hidden="1">
      <c r="A1005">
        <v>1004</v>
      </c>
      <c r="B1005" t="s">
        <v>1860</v>
      </c>
      <c r="C1005" t="s">
        <v>1689</v>
      </c>
      <c r="D1005" t="s">
        <v>1861</v>
      </c>
      <c r="E1005">
        <v>0</v>
      </c>
      <c r="F1005" s="3">
        <v>46217</v>
      </c>
      <c r="G1005" s="3">
        <v>46245</v>
      </c>
      <c r="H1005" t="s">
        <v>74</v>
      </c>
      <c r="I1005" t="s">
        <v>224</v>
      </c>
      <c r="J1005" t="s">
        <v>75</v>
      </c>
      <c r="K1005" s="3">
        <v>46210</v>
      </c>
      <c r="L1005" s="3">
        <v>46238</v>
      </c>
      <c r="M1005" s="3">
        <v>46238</v>
      </c>
      <c r="O1005" t="s">
        <v>713</v>
      </c>
      <c r="Q1005" t="s">
        <v>1691</v>
      </c>
      <c r="R1005" t="s">
        <v>1862</v>
      </c>
      <c r="U1005" t="s">
        <v>1702</v>
      </c>
      <c r="V1005" t="s">
        <v>134</v>
      </c>
      <c r="W1005" t="s">
        <v>135</v>
      </c>
      <c r="X1005" t="s">
        <v>213</v>
      </c>
      <c r="Y1005">
        <v>1</v>
      </c>
      <c r="Z1005" t="s">
        <v>43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</row>
    <row r="1006" spans="1:39" hidden="1">
      <c r="A1006">
        <v>1005</v>
      </c>
      <c r="B1006" t="s">
        <v>1863</v>
      </c>
      <c r="C1006" t="s">
        <v>1864</v>
      </c>
      <c r="D1006" t="s">
        <v>139</v>
      </c>
      <c r="E1006">
        <v>0</v>
      </c>
      <c r="F1006" s="3">
        <v>46217</v>
      </c>
      <c r="G1006" s="3">
        <v>46231</v>
      </c>
      <c r="H1006" t="s">
        <v>74</v>
      </c>
      <c r="I1006" t="s">
        <v>216</v>
      </c>
      <c r="J1006" t="s">
        <v>75</v>
      </c>
      <c r="L1006" s="3">
        <v>46224</v>
      </c>
      <c r="M1006" s="3">
        <v>46224</v>
      </c>
      <c r="N1006">
        <v>1000</v>
      </c>
      <c r="P1006">
        <v>1006</v>
      </c>
      <c r="Q1006" t="s">
        <v>1691</v>
      </c>
      <c r="Z1006" t="s">
        <v>43</v>
      </c>
      <c r="AB1006">
        <v>0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 hidden="1">
      <c r="A1007">
        <v>1006</v>
      </c>
      <c r="B1007" t="s">
        <v>1865</v>
      </c>
      <c r="C1007" t="s">
        <v>1864</v>
      </c>
      <c r="D1007" t="s">
        <v>143</v>
      </c>
      <c r="E1007">
        <v>0</v>
      </c>
      <c r="F1007" s="3">
        <v>46231</v>
      </c>
      <c r="G1007" s="3">
        <v>46238</v>
      </c>
      <c r="H1007" t="s">
        <v>74</v>
      </c>
      <c r="I1007" t="s">
        <v>140</v>
      </c>
      <c r="J1007" t="s">
        <v>179</v>
      </c>
      <c r="L1007" s="3">
        <v>46231</v>
      </c>
      <c r="M1007" s="3">
        <v>46231</v>
      </c>
      <c r="N1007">
        <v>1005</v>
      </c>
      <c r="P1007" t="s">
        <v>1866</v>
      </c>
      <c r="Q1007" t="s">
        <v>1691</v>
      </c>
      <c r="Z1007" t="s">
        <v>43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</row>
    <row r="1008" spans="1:39" hidden="1">
      <c r="A1008">
        <v>1007</v>
      </c>
      <c r="B1008" t="s">
        <v>1867</v>
      </c>
      <c r="C1008" t="s">
        <v>1864</v>
      </c>
      <c r="D1008" t="s">
        <v>146</v>
      </c>
      <c r="E1008">
        <v>0</v>
      </c>
      <c r="F1008" s="3">
        <v>46238</v>
      </c>
      <c r="G1008" s="3">
        <v>46241</v>
      </c>
      <c r="H1008" t="s">
        <v>74</v>
      </c>
      <c r="I1008" t="s">
        <v>147</v>
      </c>
      <c r="J1008" t="s">
        <v>181</v>
      </c>
      <c r="L1008" s="3">
        <v>46234</v>
      </c>
      <c r="M1008" s="3">
        <v>46234</v>
      </c>
      <c r="N1008">
        <v>1006</v>
      </c>
      <c r="P1008">
        <v>1008</v>
      </c>
      <c r="Q1008" t="s">
        <v>1691</v>
      </c>
      <c r="Z1008" t="s">
        <v>49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</row>
    <row r="1009" spans="1:39" hidden="1">
      <c r="A1009">
        <v>1008</v>
      </c>
      <c r="B1009" t="s">
        <v>1868</v>
      </c>
      <c r="C1009" t="s">
        <v>1864</v>
      </c>
      <c r="D1009" t="s">
        <v>150</v>
      </c>
      <c r="E1009">
        <v>0</v>
      </c>
      <c r="F1009" s="3">
        <v>46241</v>
      </c>
      <c r="G1009" s="3">
        <v>46245</v>
      </c>
      <c r="H1009" t="s">
        <v>74</v>
      </c>
      <c r="I1009" t="s">
        <v>151</v>
      </c>
      <c r="J1009" t="s">
        <v>79</v>
      </c>
      <c r="L1009" s="3">
        <v>46238</v>
      </c>
      <c r="M1009" s="3">
        <v>46238</v>
      </c>
      <c r="N1009">
        <v>1007</v>
      </c>
      <c r="Q1009" t="s">
        <v>1691</v>
      </c>
      <c r="Z1009" t="s">
        <v>49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 spans="1:39" hidden="1">
      <c r="A1010">
        <v>1009</v>
      </c>
      <c r="B1010" t="s">
        <v>1869</v>
      </c>
      <c r="C1010" t="s">
        <v>1689</v>
      </c>
      <c r="D1010" t="s">
        <v>1870</v>
      </c>
      <c r="E1010">
        <v>0</v>
      </c>
      <c r="F1010" s="3">
        <v>46217</v>
      </c>
      <c r="G1010" s="3">
        <v>46245</v>
      </c>
      <c r="H1010" t="s">
        <v>74</v>
      </c>
      <c r="I1010" t="s">
        <v>224</v>
      </c>
      <c r="J1010" t="s">
        <v>75</v>
      </c>
      <c r="K1010" s="3">
        <v>46210</v>
      </c>
      <c r="L1010" s="3">
        <v>46238</v>
      </c>
      <c r="M1010" s="3">
        <v>46238</v>
      </c>
      <c r="O1010" t="s">
        <v>713</v>
      </c>
      <c r="Q1010" t="s">
        <v>1691</v>
      </c>
      <c r="R1010" t="s">
        <v>1871</v>
      </c>
      <c r="U1010" t="s">
        <v>1702</v>
      </c>
      <c r="V1010" t="s">
        <v>134</v>
      </c>
      <c r="W1010" t="s">
        <v>135</v>
      </c>
      <c r="X1010" t="s">
        <v>213</v>
      </c>
      <c r="Y1010">
        <v>1</v>
      </c>
      <c r="Z1010" t="s">
        <v>49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 hidden="1">
      <c r="A1011">
        <v>1010</v>
      </c>
      <c r="B1011" t="s">
        <v>1872</v>
      </c>
      <c r="C1011" t="s">
        <v>1873</v>
      </c>
      <c r="D1011" t="s">
        <v>139</v>
      </c>
      <c r="E1011">
        <v>0</v>
      </c>
      <c r="F1011" s="3">
        <v>46217</v>
      </c>
      <c r="G1011" s="3">
        <v>46231</v>
      </c>
      <c r="H1011" t="s">
        <v>74</v>
      </c>
      <c r="I1011" t="s">
        <v>216</v>
      </c>
      <c r="J1011" t="s">
        <v>75</v>
      </c>
      <c r="L1011" s="3">
        <v>46224</v>
      </c>
      <c r="M1011" s="3">
        <v>46224</v>
      </c>
      <c r="N1011" t="s">
        <v>1874</v>
      </c>
      <c r="P1011">
        <v>1011</v>
      </c>
      <c r="Q1011" t="s">
        <v>1691</v>
      </c>
      <c r="Z1011" t="s">
        <v>49</v>
      </c>
      <c r="AB1011">
        <v>0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 hidden="1">
      <c r="A1012">
        <v>1011</v>
      </c>
      <c r="B1012" t="s">
        <v>1875</v>
      </c>
      <c r="C1012" t="s">
        <v>1873</v>
      </c>
      <c r="D1012" t="s">
        <v>143</v>
      </c>
      <c r="E1012">
        <v>0</v>
      </c>
      <c r="F1012" s="3">
        <v>46231</v>
      </c>
      <c r="G1012" s="3">
        <v>46238</v>
      </c>
      <c r="H1012" t="s">
        <v>74</v>
      </c>
      <c r="I1012" t="s">
        <v>140</v>
      </c>
      <c r="J1012" t="s">
        <v>179</v>
      </c>
      <c r="L1012" s="3">
        <v>46231</v>
      </c>
      <c r="M1012" s="3">
        <v>46231</v>
      </c>
      <c r="N1012">
        <v>1010</v>
      </c>
      <c r="P1012">
        <v>1012</v>
      </c>
      <c r="Q1012" t="s">
        <v>1691</v>
      </c>
      <c r="Z1012" t="s">
        <v>49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 spans="1:39" hidden="1">
      <c r="A1013">
        <v>1012</v>
      </c>
      <c r="B1013" t="s">
        <v>1876</v>
      </c>
      <c r="C1013" t="s">
        <v>1873</v>
      </c>
      <c r="D1013" t="s">
        <v>146</v>
      </c>
      <c r="E1013">
        <v>0</v>
      </c>
      <c r="F1013" s="3">
        <v>46238</v>
      </c>
      <c r="G1013" s="3">
        <v>46241</v>
      </c>
      <c r="H1013" t="s">
        <v>74</v>
      </c>
      <c r="I1013" t="s">
        <v>147</v>
      </c>
      <c r="J1013" t="s">
        <v>181</v>
      </c>
      <c r="L1013" s="3">
        <v>46234</v>
      </c>
      <c r="M1013" s="3">
        <v>46234</v>
      </c>
      <c r="N1013">
        <v>1011</v>
      </c>
      <c r="P1013">
        <v>1013</v>
      </c>
      <c r="Q1013" t="s">
        <v>1691</v>
      </c>
      <c r="Z1013" t="s">
        <v>49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 hidden="1">
      <c r="A1014">
        <v>1013</v>
      </c>
      <c r="B1014" t="s">
        <v>1877</v>
      </c>
      <c r="C1014" t="s">
        <v>1873</v>
      </c>
      <c r="D1014" t="s">
        <v>150</v>
      </c>
      <c r="E1014">
        <v>0</v>
      </c>
      <c r="F1014" s="3">
        <v>46241</v>
      </c>
      <c r="G1014" s="3">
        <v>46245</v>
      </c>
      <c r="H1014" t="s">
        <v>74</v>
      </c>
      <c r="I1014" t="s">
        <v>151</v>
      </c>
      <c r="J1014" t="s">
        <v>79</v>
      </c>
      <c r="L1014" s="3">
        <v>46238</v>
      </c>
      <c r="M1014" s="3">
        <v>46238</v>
      </c>
      <c r="N1014">
        <v>1012</v>
      </c>
      <c r="Q1014" t="s">
        <v>1691</v>
      </c>
      <c r="Z1014" t="s">
        <v>49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 hidden="1">
      <c r="A1015">
        <v>1014</v>
      </c>
      <c r="B1015" t="s">
        <v>1878</v>
      </c>
      <c r="C1015" t="s">
        <v>1689</v>
      </c>
      <c r="D1015" t="s">
        <v>1879</v>
      </c>
      <c r="E1015">
        <v>0</v>
      </c>
      <c r="F1015" s="3">
        <v>46217</v>
      </c>
      <c r="G1015" s="3">
        <v>46245</v>
      </c>
      <c r="H1015" t="s">
        <v>74</v>
      </c>
      <c r="I1015" t="s">
        <v>224</v>
      </c>
      <c r="J1015" t="s">
        <v>75</v>
      </c>
      <c r="K1015" s="3">
        <v>46210</v>
      </c>
      <c r="L1015" s="3">
        <v>46238</v>
      </c>
      <c r="M1015" s="3">
        <v>46238</v>
      </c>
      <c r="O1015" t="s">
        <v>713</v>
      </c>
      <c r="Q1015" t="s">
        <v>1691</v>
      </c>
      <c r="R1015" t="s">
        <v>1880</v>
      </c>
      <c r="U1015" t="s">
        <v>1702</v>
      </c>
      <c r="V1015" t="s">
        <v>134</v>
      </c>
      <c r="W1015" t="s">
        <v>135</v>
      </c>
      <c r="X1015" t="s">
        <v>213</v>
      </c>
      <c r="Y1015">
        <v>1</v>
      </c>
      <c r="Z1015" t="s">
        <v>49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 spans="1:39" hidden="1">
      <c r="A1016">
        <v>1015</v>
      </c>
      <c r="B1016" t="s">
        <v>1881</v>
      </c>
      <c r="C1016" t="s">
        <v>1882</v>
      </c>
      <c r="D1016" t="s">
        <v>139</v>
      </c>
      <c r="E1016">
        <v>0</v>
      </c>
      <c r="F1016" s="3">
        <v>46217</v>
      </c>
      <c r="G1016" s="3">
        <v>46231</v>
      </c>
      <c r="H1016" t="s">
        <v>74</v>
      </c>
      <c r="I1016" t="s">
        <v>216</v>
      </c>
      <c r="J1016" t="s">
        <v>75</v>
      </c>
      <c r="L1016" s="3">
        <v>46224</v>
      </c>
      <c r="M1016" s="3">
        <v>46224</v>
      </c>
      <c r="N1016" t="s">
        <v>1874</v>
      </c>
      <c r="P1016">
        <v>1016</v>
      </c>
      <c r="Q1016" t="s">
        <v>1691</v>
      </c>
      <c r="Z1016" t="s">
        <v>49</v>
      </c>
      <c r="AB1016">
        <v>0</v>
      </c>
      <c r="AC1016">
        <v>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 hidden="1">
      <c r="A1017">
        <v>1016</v>
      </c>
      <c r="B1017" t="s">
        <v>1883</v>
      </c>
      <c r="C1017" t="s">
        <v>1882</v>
      </c>
      <c r="D1017" t="s">
        <v>143</v>
      </c>
      <c r="E1017">
        <v>0</v>
      </c>
      <c r="F1017" s="3">
        <v>46231</v>
      </c>
      <c r="G1017" s="3">
        <v>46238</v>
      </c>
      <c r="H1017" t="s">
        <v>74</v>
      </c>
      <c r="I1017" t="s">
        <v>140</v>
      </c>
      <c r="J1017" t="s">
        <v>179</v>
      </c>
      <c r="L1017" s="3">
        <v>46231</v>
      </c>
      <c r="M1017" s="3">
        <v>46231</v>
      </c>
      <c r="N1017">
        <v>1015</v>
      </c>
      <c r="P1017">
        <v>1017</v>
      </c>
      <c r="Q1017" t="s">
        <v>1691</v>
      </c>
      <c r="Z1017" t="s">
        <v>49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 hidden="1">
      <c r="A1018">
        <v>1017</v>
      </c>
      <c r="B1018" t="s">
        <v>1884</v>
      </c>
      <c r="C1018" t="s">
        <v>1882</v>
      </c>
      <c r="D1018" t="s">
        <v>146</v>
      </c>
      <c r="E1018">
        <v>0</v>
      </c>
      <c r="F1018" s="3">
        <v>46238</v>
      </c>
      <c r="G1018" s="3">
        <v>46241</v>
      </c>
      <c r="H1018" t="s">
        <v>74</v>
      </c>
      <c r="I1018" t="s">
        <v>147</v>
      </c>
      <c r="J1018" t="s">
        <v>181</v>
      </c>
      <c r="L1018" s="3">
        <v>46234</v>
      </c>
      <c r="M1018" s="3">
        <v>46234</v>
      </c>
      <c r="N1018">
        <v>1016</v>
      </c>
      <c r="P1018">
        <v>1018</v>
      </c>
      <c r="Q1018" t="s">
        <v>1691</v>
      </c>
      <c r="Z1018" t="s">
        <v>49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 hidden="1">
      <c r="A1019">
        <v>1018</v>
      </c>
      <c r="B1019" t="s">
        <v>1885</v>
      </c>
      <c r="C1019" t="s">
        <v>1882</v>
      </c>
      <c r="D1019" t="s">
        <v>150</v>
      </c>
      <c r="E1019">
        <v>0</v>
      </c>
      <c r="F1019" s="3">
        <v>46241</v>
      </c>
      <c r="G1019" s="3">
        <v>46245</v>
      </c>
      <c r="H1019" t="s">
        <v>74</v>
      </c>
      <c r="I1019" t="s">
        <v>151</v>
      </c>
      <c r="J1019" t="s">
        <v>79</v>
      </c>
      <c r="L1019" s="3">
        <v>46238</v>
      </c>
      <c r="M1019" s="3">
        <v>46238</v>
      </c>
      <c r="N1019">
        <v>1017</v>
      </c>
      <c r="Q1019" t="s">
        <v>1691</v>
      </c>
      <c r="Z1019" t="s">
        <v>49</v>
      </c>
      <c r="AB1019">
        <v>0</v>
      </c>
      <c r="AC1019">
        <v>0</v>
      </c>
      <c r="AD1019">
        <v>0</v>
      </c>
      <c r="AE1019">
        <v>0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 hidden="1">
      <c r="A1020">
        <v>1019</v>
      </c>
      <c r="B1020" t="s">
        <v>1886</v>
      </c>
      <c r="C1020" t="s">
        <v>1689</v>
      </c>
      <c r="D1020" t="s">
        <v>1887</v>
      </c>
      <c r="E1020">
        <v>0</v>
      </c>
      <c r="F1020" s="3">
        <v>46217</v>
      </c>
      <c r="G1020" s="3">
        <v>46245</v>
      </c>
      <c r="H1020" t="s">
        <v>74</v>
      </c>
      <c r="I1020" t="s">
        <v>224</v>
      </c>
      <c r="J1020" t="s">
        <v>75</v>
      </c>
      <c r="K1020" s="3">
        <v>46210</v>
      </c>
      <c r="L1020" s="3">
        <v>46238</v>
      </c>
      <c r="M1020" s="3">
        <v>46238</v>
      </c>
      <c r="O1020" t="s">
        <v>713</v>
      </c>
      <c r="Q1020" t="s">
        <v>1691</v>
      </c>
      <c r="R1020" t="s">
        <v>1888</v>
      </c>
      <c r="U1020" t="s">
        <v>1702</v>
      </c>
      <c r="V1020" t="s">
        <v>134</v>
      </c>
      <c r="W1020" t="s">
        <v>135</v>
      </c>
      <c r="X1020" t="s">
        <v>213</v>
      </c>
      <c r="Y1020">
        <v>1</v>
      </c>
      <c r="Z1020" t="s">
        <v>49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 hidden="1">
      <c r="A1021">
        <v>1020</v>
      </c>
      <c r="B1021" t="s">
        <v>1889</v>
      </c>
      <c r="C1021" t="s">
        <v>1890</v>
      </c>
      <c r="D1021" t="s">
        <v>139</v>
      </c>
      <c r="E1021">
        <v>0</v>
      </c>
      <c r="F1021" s="3">
        <v>46217</v>
      </c>
      <c r="G1021" s="3">
        <v>46231</v>
      </c>
      <c r="H1021" t="s">
        <v>74</v>
      </c>
      <c r="I1021" t="s">
        <v>216</v>
      </c>
      <c r="J1021" t="s">
        <v>75</v>
      </c>
      <c r="L1021" s="3">
        <v>46224</v>
      </c>
      <c r="M1021" s="3">
        <v>46224</v>
      </c>
      <c r="N1021" t="s">
        <v>1874</v>
      </c>
      <c r="P1021" t="s">
        <v>1891</v>
      </c>
      <c r="Q1021" t="s">
        <v>1691</v>
      </c>
      <c r="Z1021" t="s">
        <v>49</v>
      </c>
      <c r="AB1021">
        <v>0</v>
      </c>
      <c r="AC1021">
        <v>1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 hidden="1">
      <c r="A1022">
        <v>1021</v>
      </c>
      <c r="B1022" t="s">
        <v>1892</v>
      </c>
      <c r="C1022" t="s">
        <v>1890</v>
      </c>
      <c r="D1022" t="s">
        <v>143</v>
      </c>
      <c r="E1022">
        <v>0</v>
      </c>
      <c r="F1022" s="3">
        <v>46231</v>
      </c>
      <c r="G1022" s="3">
        <v>46238</v>
      </c>
      <c r="H1022" t="s">
        <v>74</v>
      </c>
      <c r="I1022" t="s">
        <v>140</v>
      </c>
      <c r="J1022" t="s">
        <v>179</v>
      </c>
      <c r="L1022" s="3">
        <v>46231</v>
      </c>
      <c r="M1022" s="3">
        <v>46231</v>
      </c>
      <c r="N1022">
        <v>1020</v>
      </c>
      <c r="P1022">
        <v>1022</v>
      </c>
      <c r="Q1022" t="s">
        <v>1691</v>
      </c>
      <c r="Z1022" t="s">
        <v>49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 hidden="1">
      <c r="A1023">
        <v>1022</v>
      </c>
      <c r="B1023" t="s">
        <v>1893</v>
      </c>
      <c r="C1023" t="s">
        <v>1890</v>
      </c>
      <c r="D1023" t="s">
        <v>146</v>
      </c>
      <c r="E1023">
        <v>0</v>
      </c>
      <c r="F1023" s="3">
        <v>46238</v>
      </c>
      <c r="G1023" s="3">
        <v>46241</v>
      </c>
      <c r="H1023" t="s">
        <v>74</v>
      </c>
      <c r="I1023" t="s">
        <v>147</v>
      </c>
      <c r="J1023" t="s">
        <v>181</v>
      </c>
      <c r="L1023" s="3">
        <v>46234</v>
      </c>
      <c r="M1023" s="3">
        <v>46234</v>
      </c>
      <c r="N1023">
        <v>1021</v>
      </c>
      <c r="P1023">
        <v>1023</v>
      </c>
      <c r="Q1023" t="s">
        <v>1691</v>
      </c>
      <c r="Z1023" t="s">
        <v>49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 hidden="1">
      <c r="A1024">
        <v>1023</v>
      </c>
      <c r="B1024" t="s">
        <v>1894</v>
      </c>
      <c r="C1024" t="s">
        <v>1890</v>
      </c>
      <c r="D1024" t="s">
        <v>150</v>
      </c>
      <c r="E1024">
        <v>0</v>
      </c>
      <c r="F1024" s="3">
        <v>46241</v>
      </c>
      <c r="G1024" s="3">
        <v>46245</v>
      </c>
      <c r="H1024" t="s">
        <v>74</v>
      </c>
      <c r="I1024" t="s">
        <v>151</v>
      </c>
      <c r="J1024" t="s">
        <v>79</v>
      </c>
      <c r="L1024" s="3">
        <v>46238</v>
      </c>
      <c r="M1024" s="3">
        <v>46238</v>
      </c>
      <c r="N1024">
        <v>1022</v>
      </c>
      <c r="Q1024" t="s">
        <v>1691</v>
      </c>
      <c r="Z1024" t="s">
        <v>49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 hidden="1">
      <c r="A1025">
        <v>1024</v>
      </c>
      <c r="B1025" t="s">
        <v>1895</v>
      </c>
      <c r="C1025" t="s">
        <v>1689</v>
      </c>
      <c r="D1025" t="s">
        <v>1896</v>
      </c>
      <c r="E1025">
        <v>0</v>
      </c>
      <c r="F1025" s="3">
        <v>46217</v>
      </c>
      <c r="G1025" s="3">
        <v>46245</v>
      </c>
      <c r="H1025" t="s">
        <v>74</v>
      </c>
      <c r="I1025" t="s">
        <v>224</v>
      </c>
      <c r="J1025" t="s">
        <v>75</v>
      </c>
      <c r="K1025" s="3">
        <v>46210</v>
      </c>
      <c r="L1025" s="3">
        <v>46238</v>
      </c>
      <c r="M1025" s="3">
        <v>46238</v>
      </c>
      <c r="O1025" t="s">
        <v>713</v>
      </c>
      <c r="Q1025" t="s">
        <v>1691</v>
      </c>
      <c r="R1025" t="s">
        <v>1897</v>
      </c>
      <c r="U1025" t="s">
        <v>1702</v>
      </c>
      <c r="V1025" t="s">
        <v>134</v>
      </c>
      <c r="W1025" t="s">
        <v>135</v>
      </c>
      <c r="X1025" t="s">
        <v>213</v>
      </c>
      <c r="Y1025">
        <v>1</v>
      </c>
      <c r="Z1025" t="s">
        <v>49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 hidden="1">
      <c r="A1026">
        <v>1025</v>
      </c>
      <c r="B1026" t="s">
        <v>1898</v>
      </c>
      <c r="C1026" t="s">
        <v>1899</v>
      </c>
      <c r="D1026" t="s">
        <v>139</v>
      </c>
      <c r="E1026">
        <v>0</v>
      </c>
      <c r="F1026" s="3">
        <v>46217</v>
      </c>
      <c r="G1026" s="3">
        <v>46231</v>
      </c>
      <c r="H1026" t="s">
        <v>74</v>
      </c>
      <c r="I1026" t="s">
        <v>216</v>
      </c>
      <c r="J1026" t="s">
        <v>75</v>
      </c>
      <c r="L1026" s="3">
        <v>46224</v>
      </c>
      <c r="M1026" s="3">
        <v>46224</v>
      </c>
      <c r="N1026" t="s">
        <v>1874</v>
      </c>
      <c r="P1026">
        <v>1026</v>
      </c>
      <c r="Q1026" t="s">
        <v>1691</v>
      </c>
      <c r="Z1026" t="s">
        <v>49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 hidden="1">
      <c r="A1027">
        <v>1026</v>
      </c>
      <c r="B1027" t="s">
        <v>1900</v>
      </c>
      <c r="C1027" t="s">
        <v>1899</v>
      </c>
      <c r="D1027" t="s">
        <v>143</v>
      </c>
      <c r="E1027">
        <v>0</v>
      </c>
      <c r="F1027" s="3">
        <v>46231</v>
      </c>
      <c r="G1027" s="3">
        <v>46238</v>
      </c>
      <c r="H1027" t="s">
        <v>74</v>
      </c>
      <c r="I1027" t="s">
        <v>140</v>
      </c>
      <c r="J1027" t="s">
        <v>179</v>
      </c>
      <c r="L1027" s="3">
        <v>46231</v>
      </c>
      <c r="M1027" s="3">
        <v>46231</v>
      </c>
      <c r="N1027">
        <v>1025</v>
      </c>
      <c r="P1027">
        <v>1027</v>
      </c>
      <c r="Q1027" t="s">
        <v>1691</v>
      </c>
      <c r="Z1027" t="s">
        <v>49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 hidden="1">
      <c r="A1028">
        <v>1027</v>
      </c>
      <c r="B1028" t="s">
        <v>1901</v>
      </c>
      <c r="C1028" t="s">
        <v>1899</v>
      </c>
      <c r="D1028" t="s">
        <v>146</v>
      </c>
      <c r="E1028">
        <v>0</v>
      </c>
      <c r="F1028" s="3">
        <v>46238</v>
      </c>
      <c r="G1028" s="3">
        <v>46241</v>
      </c>
      <c r="H1028" t="s">
        <v>74</v>
      </c>
      <c r="I1028" t="s">
        <v>147</v>
      </c>
      <c r="J1028" t="s">
        <v>181</v>
      </c>
      <c r="L1028" s="3">
        <v>46234</v>
      </c>
      <c r="M1028" s="3">
        <v>46234</v>
      </c>
      <c r="N1028">
        <v>1026</v>
      </c>
      <c r="P1028">
        <v>1028</v>
      </c>
      <c r="Q1028" t="s">
        <v>1691</v>
      </c>
      <c r="Z1028" t="s">
        <v>49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 hidden="1">
      <c r="A1029">
        <v>1028</v>
      </c>
      <c r="B1029" t="s">
        <v>1902</v>
      </c>
      <c r="C1029" t="s">
        <v>1899</v>
      </c>
      <c r="D1029" t="s">
        <v>150</v>
      </c>
      <c r="E1029">
        <v>0</v>
      </c>
      <c r="F1029" s="3">
        <v>46241</v>
      </c>
      <c r="G1029" s="3">
        <v>46245</v>
      </c>
      <c r="H1029" t="s">
        <v>74</v>
      </c>
      <c r="I1029" t="s">
        <v>151</v>
      </c>
      <c r="J1029" t="s">
        <v>79</v>
      </c>
      <c r="L1029" s="3">
        <v>46238</v>
      </c>
      <c r="M1029" s="3">
        <v>46238</v>
      </c>
      <c r="N1029">
        <v>1027</v>
      </c>
      <c r="Q1029" t="s">
        <v>1691</v>
      </c>
      <c r="Z1029" t="s">
        <v>49</v>
      </c>
      <c r="AB1029">
        <v>0</v>
      </c>
      <c r="AC1029">
        <v>0</v>
      </c>
      <c r="AD1029">
        <v>0</v>
      </c>
      <c r="AE1029">
        <v>0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</row>
    <row r="1030" spans="1:39" hidden="1">
      <c r="A1030">
        <v>1029</v>
      </c>
      <c r="B1030" t="s">
        <v>1903</v>
      </c>
      <c r="C1030" t="s">
        <v>1689</v>
      </c>
      <c r="D1030" t="s">
        <v>1904</v>
      </c>
      <c r="E1030">
        <v>0</v>
      </c>
      <c r="F1030" s="3">
        <v>46217</v>
      </c>
      <c r="G1030" s="3">
        <v>46245</v>
      </c>
      <c r="H1030" t="s">
        <v>74</v>
      </c>
      <c r="I1030" t="s">
        <v>224</v>
      </c>
      <c r="J1030" t="s">
        <v>75</v>
      </c>
      <c r="K1030" s="3">
        <v>46210</v>
      </c>
      <c r="L1030" s="3">
        <v>46238</v>
      </c>
      <c r="M1030" s="3">
        <v>46238</v>
      </c>
      <c r="O1030" t="s">
        <v>1700</v>
      </c>
      <c r="P1030">
        <v>452</v>
      </c>
      <c r="Q1030" t="s">
        <v>1691</v>
      </c>
      <c r="R1030" t="s">
        <v>1905</v>
      </c>
      <c r="U1030" t="s">
        <v>1702</v>
      </c>
      <c r="V1030" t="s">
        <v>134</v>
      </c>
      <c r="W1030" t="s">
        <v>135</v>
      </c>
      <c r="X1030" t="s">
        <v>213</v>
      </c>
      <c r="Y1030">
        <v>1</v>
      </c>
      <c r="Z1030" t="s">
        <v>43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 hidden="1">
      <c r="A1031">
        <v>1030</v>
      </c>
      <c r="B1031" t="s">
        <v>1906</v>
      </c>
      <c r="C1031" t="s">
        <v>1907</v>
      </c>
      <c r="D1031" t="s">
        <v>139</v>
      </c>
      <c r="E1031">
        <v>0</v>
      </c>
      <c r="F1031" s="3">
        <v>46217</v>
      </c>
      <c r="G1031" s="3">
        <v>46231</v>
      </c>
      <c r="H1031" t="s">
        <v>74</v>
      </c>
      <c r="I1031" t="s">
        <v>216</v>
      </c>
      <c r="J1031" t="s">
        <v>75</v>
      </c>
      <c r="L1031" s="3">
        <v>46224</v>
      </c>
      <c r="M1031" s="3">
        <v>46224</v>
      </c>
      <c r="N1031" t="s">
        <v>1874</v>
      </c>
      <c r="P1031" t="s">
        <v>1908</v>
      </c>
      <c r="Q1031" t="s">
        <v>1691</v>
      </c>
      <c r="Z1031" t="s">
        <v>43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 hidden="1">
      <c r="A1032">
        <v>1031</v>
      </c>
      <c r="B1032" t="s">
        <v>1909</v>
      </c>
      <c r="C1032" t="s">
        <v>1907</v>
      </c>
      <c r="D1032" t="s">
        <v>143</v>
      </c>
      <c r="E1032">
        <v>0</v>
      </c>
      <c r="F1032" s="3">
        <v>46231</v>
      </c>
      <c r="G1032" s="3">
        <v>46238</v>
      </c>
      <c r="H1032" t="s">
        <v>74</v>
      </c>
      <c r="I1032" t="s">
        <v>140</v>
      </c>
      <c r="J1032" t="s">
        <v>179</v>
      </c>
      <c r="L1032" s="3">
        <v>46231</v>
      </c>
      <c r="M1032" s="3">
        <v>46231</v>
      </c>
      <c r="N1032">
        <v>1030</v>
      </c>
      <c r="P1032">
        <v>1032</v>
      </c>
      <c r="Q1032" t="s">
        <v>1691</v>
      </c>
      <c r="Z1032" t="s">
        <v>49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 hidden="1">
      <c r="A1033">
        <v>1032</v>
      </c>
      <c r="B1033" t="s">
        <v>1910</v>
      </c>
      <c r="C1033" t="s">
        <v>1907</v>
      </c>
      <c r="D1033" t="s">
        <v>146</v>
      </c>
      <c r="E1033">
        <v>0</v>
      </c>
      <c r="F1033" s="3">
        <v>46238</v>
      </c>
      <c r="G1033" s="3">
        <v>46241</v>
      </c>
      <c r="H1033" t="s">
        <v>74</v>
      </c>
      <c r="I1033" t="s">
        <v>147</v>
      </c>
      <c r="J1033" t="s">
        <v>181</v>
      </c>
      <c r="L1033" s="3">
        <v>46234</v>
      </c>
      <c r="M1033" s="3">
        <v>46234</v>
      </c>
      <c r="N1033">
        <v>1031</v>
      </c>
      <c r="P1033">
        <v>1033</v>
      </c>
      <c r="Q1033" t="s">
        <v>1691</v>
      </c>
      <c r="Z1033" t="s">
        <v>49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 hidden="1">
      <c r="A1034">
        <v>1033</v>
      </c>
      <c r="B1034" t="s">
        <v>1911</v>
      </c>
      <c r="C1034" t="s">
        <v>1907</v>
      </c>
      <c r="D1034" t="s">
        <v>150</v>
      </c>
      <c r="E1034">
        <v>0</v>
      </c>
      <c r="F1034" s="3">
        <v>46241</v>
      </c>
      <c r="G1034" s="3">
        <v>46245</v>
      </c>
      <c r="H1034" t="s">
        <v>74</v>
      </c>
      <c r="I1034" t="s">
        <v>151</v>
      </c>
      <c r="J1034" t="s">
        <v>79</v>
      </c>
      <c r="L1034" s="3">
        <v>46238</v>
      </c>
      <c r="M1034" s="3">
        <v>46238</v>
      </c>
      <c r="N1034">
        <v>1032</v>
      </c>
      <c r="Q1034" t="s">
        <v>1691</v>
      </c>
      <c r="Z1034" t="s">
        <v>49</v>
      </c>
      <c r="AB1034">
        <v>0</v>
      </c>
      <c r="AC1034">
        <v>0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 hidden="1">
      <c r="A1035">
        <v>1034</v>
      </c>
      <c r="B1035" t="s">
        <v>1912</v>
      </c>
      <c r="C1035" t="s">
        <v>1689</v>
      </c>
      <c r="D1035" t="s">
        <v>1913</v>
      </c>
      <c r="E1035">
        <v>0</v>
      </c>
      <c r="F1035" s="3">
        <v>46231</v>
      </c>
      <c r="G1035" s="3">
        <v>46266</v>
      </c>
      <c r="H1035" t="s">
        <v>74</v>
      </c>
      <c r="I1035" t="s">
        <v>382</v>
      </c>
      <c r="J1035" t="s">
        <v>179</v>
      </c>
      <c r="K1035" s="3">
        <v>46224</v>
      </c>
      <c r="L1035" s="3">
        <v>46259</v>
      </c>
      <c r="M1035" s="3">
        <v>46259</v>
      </c>
      <c r="O1035" t="s">
        <v>940</v>
      </c>
      <c r="Q1035" t="s">
        <v>1691</v>
      </c>
      <c r="R1035" t="s">
        <v>1914</v>
      </c>
      <c r="U1035" t="s">
        <v>1915</v>
      </c>
      <c r="V1035" t="s">
        <v>134</v>
      </c>
      <c r="W1035" t="s">
        <v>135</v>
      </c>
      <c r="X1035" t="s">
        <v>844</v>
      </c>
      <c r="Y1035">
        <v>10</v>
      </c>
      <c r="Z1035" t="s">
        <v>49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 spans="1:39" hidden="1">
      <c r="A1036">
        <v>1035</v>
      </c>
      <c r="B1036" t="s">
        <v>1916</v>
      </c>
      <c r="C1036" t="s">
        <v>1917</v>
      </c>
      <c r="D1036" t="s">
        <v>139</v>
      </c>
      <c r="E1036">
        <v>0</v>
      </c>
      <c r="F1036" s="3">
        <v>46231</v>
      </c>
      <c r="G1036" s="3">
        <v>46252</v>
      </c>
      <c r="H1036" t="s">
        <v>74</v>
      </c>
      <c r="I1036" t="s">
        <v>129</v>
      </c>
      <c r="J1036" t="s">
        <v>179</v>
      </c>
      <c r="L1036" s="3">
        <v>46245</v>
      </c>
      <c r="M1036" s="3">
        <v>46245</v>
      </c>
      <c r="N1036">
        <v>1030</v>
      </c>
      <c r="P1036" t="s">
        <v>1918</v>
      </c>
      <c r="Q1036" t="s">
        <v>1691</v>
      </c>
      <c r="Z1036" t="s">
        <v>49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 hidden="1">
      <c r="A1037">
        <v>1036</v>
      </c>
      <c r="B1037" t="s">
        <v>1919</v>
      </c>
      <c r="C1037" t="s">
        <v>1917</v>
      </c>
      <c r="D1037" t="s">
        <v>143</v>
      </c>
      <c r="E1037">
        <v>0</v>
      </c>
      <c r="F1037" s="3">
        <v>46252</v>
      </c>
      <c r="G1037" s="3">
        <v>46259</v>
      </c>
      <c r="H1037" t="s">
        <v>74</v>
      </c>
      <c r="I1037" t="s">
        <v>140</v>
      </c>
      <c r="J1037" t="s">
        <v>353</v>
      </c>
      <c r="L1037" s="3">
        <v>46252</v>
      </c>
      <c r="M1037" s="3">
        <v>46252</v>
      </c>
      <c r="N1037">
        <v>1035</v>
      </c>
      <c r="P1037">
        <v>1037</v>
      </c>
      <c r="Q1037" t="s">
        <v>1691</v>
      </c>
      <c r="Z1037" t="s">
        <v>49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</row>
    <row r="1038" spans="1:39" hidden="1">
      <c r="A1038">
        <v>1037</v>
      </c>
      <c r="B1038" t="s">
        <v>1920</v>
      </c>
      <c r="C1038" t="s">
        <v>1917</v>
      </c>
      <c r="D1038" t="s">
        <v>146</v>
      </c>
      <c r="E1038">
        <v>0</v>
      </c>
      <c r="F1038" s="3">
        <v>46259</v>
      </c>
      <c r="G1038" s="3">
        <v>46262</v>
      </c>
      <c r="H1038" t="s">
        <v>74</v>
      </c>
      <c r="I1038" t="s">
        <v>147</v>
      </c>
      <c r="J1038" t="s">
        <v>185</v>
      </c>
      <c r="L1038" s="3">
        <v>46255</v>
      </c>
      <c r="M1038" s="3">
        <v>46255</v>
      </c>
      <c r="N1038">
        <v>1036</v>
      </c>
      <c r="P1038">
        <v>1038</v>
      </c>
      <c r="Q1038" t="s">
        <v>1691</v>
      </c>
      <c r="Z1038" t="s">
        <v>49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</row>
    <row r="1039" spans="1:39" hidden="1">
      <c r="A1039">
        <v>1038</v>
      </c>
      <c r="B1039" t="s">
        <v>1921</v>
      </c>
      <c r="C1039" t="s">
        <v>1917</v>
      </c>
      <c r="D1039" t="s">
        <v>150</v>
      </c>
      <c r="E1039">
        <v>0</v>
      </c>
      <c r="F1039" s="3">
        <v>46262</v>
      </c>
      <c r="G1039" s="3">
        <v>46266</v>
      </c>
      <c r="H1039" t="s">
        <v>74</v>
      </c>
      <c r="I1039" t="s">
        <v>151</v>
      </c>
      <c r="J1039" t="s">
        <v>185</v>
      </c>
      <c r="L1039" s="3">
        <v>46259</v>
      </c>
      <c r="M1039" s="3">
        <v>46259</v>
      </c>
      <c r="N1039">
        <v>1037</v>
      </c>
      <c r="Q1039" t="s">
        <v>1691</v>
      </c>
      <c r="Z1039" t="s">
        <v>49</v>
      </c>
      <c r="AB1039">
        <v>0</v>
      </c>
      <c r="AC1039">
        <v>0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 hidden="1">
      <c r="A1040">
        <v>1039</v>
      </c>
      <c r="B1040" t="s">
        <v>1922</v>
      </c>
      <c r="C1040" t="s">
        <v>1689</v>
      </c>
      <c r="D1040" t="s">
        <v>1923</v>
      </c>
      <c r="E1040">
        <v>0</v>
      </c>
      <c r="F1040" s="3">
        <v>46231</v>
      </c>
      <c r="G1040" s="3">
        <v>46266</v>
      </c>
      <c r="H1040" t="s">
        <v>74</v>
      </c>
      <c r="I1040" t="s">
        <v>382</v>
      </c>
      <c r="J1040" t="s">
        <v>179</v>
      </c>
      <c r="K1040" s="3">
        <v>46224</v>
      </c>
      <c r="L1040" s="3">
        <v>46259</v>
      </c>
      <c r="M1040" s="3">
        <v>46259</v>
      </c>
      <c r="O1040" t="s">
        <v>840</v>
      </c>
      <c r="Q1040" t="s">
        <v>1691</v>
      </c>
      <c r="R1040" t="s">
        <v>1924</v>
      </c>
      <c r="U1040" t="s">
        <v>1925</v>
      </c>
      <c r="V1040" t="s">
        <v>134</v>
      </c>
      <c r="W1040" t="s">
        <v>212</v>
      </c>
      <c r="X1040" t="s">
        <v>844</v>
      </c>
      <c r="Y1040">
        <v>10</v>
      </c>
      <c r="Z1040" t="s">
        <v>49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</row>
    <row r="1041" spans="1:39" hidden="1">
      <c r="A1041">
        <v>1040</v>
      </c>
      <c r="B1041" t="s">
        <v>1926</v>
      </c>
      <c r="C1041" t="s">
        <v>1927</v>
      </c>
      <c r="D1041" t="s">
        <v>139</v>
      </c>
      <c r="E1041">
        <v>0</v>
      </c>
      <c r="F1041" s="3">
        <v>46231</v>
      </c>
      <c r="G1041" s="3">
        <v>46252</v>
      </c>
      <c r="H1041" t="s">
        <v>74</v>
      </c>
      <c r="I1041" t="s">
        <v>129</v>
      </c>
      <c r="J1041" t="s">
        <v>179</v>
      </c>
      <c r="L1041" s="3">
        <v>46245</v>
      </c>
      <c r="M1041" s="3">
        <v>46245</v>
      </c>
      <c r="N1041">
        <v>1030</v>
      </c>
      <c r="P1041">
        <v>1041</v>
      </c>
      <c r="Q1041" t="s">
        <v>1691</v>
      </c>
      <c r="Z1041" t="s">
        <v>49</v>
      </c>
      <c r="AB1041">
        <v>0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 hidden="1">
      <c r="A1042">
        <v>1041</v>
      </c>
      <c r="B1042" t="s">
        <v>1928</v>
      </c>
      <c r="C1042" t="s">
        <v>1927</v>
      </c>
      <c r="D1042" t="s">
        <v>143</v>
      </c>
      <c r="E1042">
        <v>0</v>
      </c>
      <c r="F1042" s="3">
        <v>46252</v>
      </c>
      <c r="G1042" s="3">
        <v>46259</v>
      </c>
      <c r="H1042" t="s">
        <v>74</v>
      </c>
      <c r="I1042" t="s">
        <v>140</v>
      </c>
      <c r="J1042" t="s">
        <v>353</v>
      </c>
      <c r="L1042" s="3">
        <v>46252</v>
      </c>
      <c r="M1042" s="3">
        <v>46252</v>
      </c>
      <c r="N1042">
        <v>1040</v>
      </c>
      <c r="P1042">
        <v>1042</v>
      </c>
      <c r="Q1042" t="s">
        <v>1691</v>
      </c>
      <c r="Z1042" t="s">
        <v>49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 hidden="1">
      <c r="A1043">
        <v>1042</v>
      </c>
      <c r="B1043" t="s">
        <v>1929</v>
      </c>
      <c r="C1043" t="s">
        <v>1927</v>
      </c>
      <c r="D1043" t="s">
        <v>146</v>
      </c>
      <c r="E1043">
        <v>0</v>
      </c>
      <c r="F1043" s="3">
        <v>46259</v>
      </c>
      <c r="G1043" s="3">
        <v>46262</v>
      </c>
      <c r="H1043" t="s">
        <v>74</v>
      </c>
      <c r="I1043" t="s">
        <v>147</v>
      </c>
      <c r="J1043" t="s">
        <v>185</v>
      </c>
      <c r="L1043" s="3">
        <v>46255</v>
      </c>
      <c r="M1043" s="3">
        <v>46255</v>
      </c>
      <c r="N1043">
        <v>1041</v>
      </c>
      <c r="P1043">
        <v>1043</v>
      </c>
      <c r="Q1043" t="s">
        <v>1691</v>
      </c>
      <c r="Z1043" t="s">
        <v>49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</row>
    <row r="1044" spans="1:39" hidden="1">
      <c r="A1044">
        <v>1043</v>
      </c>
      <c r="B1044" t="s">
        <v>1930</v>
      </c>
      <c r="C1044" t="s">
        <v>1927</v>
      </c>
      <c r="D1044" t="s">
        <v>150</v>
      </c>
      <c r="E1044">
        <v>0</v>
      </c>
      <c r="F1044" s="3">
        <v>46262</v>
      </c>
      <c r="G1044" s="3">
        <v>46266</v>
      </c>
      <c r="H1044" t="s">
        <v>74</v>
      </c>
      <c r="I1044" t="s">
        <v>151</v>
      </c>
      <c r="J1044" t="s">
        <v>185</v>
      </c>
      <c r="L1044" s="3">
        <v>46259</v>
      </c>
      <c r="M1044" s="3">
        <v>46259</v>
      </c>
      <c r="N1044">
        <v>1042</v>
      </c>
      <c r="Q1044" t="s">
        <v>1691</v>
      </c>
      <c r="Z1044" t="s">
        <v>49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 hidden="1">
      <c r="A1045">
        <v>1044</v>
      </c>
      <c r="B1045" t="s">
        <v>1931</v>
      </c>
      <c r="C1045" t="s">
        <v>1689</v>
      </c>
      <c r="D1045" t="s">
        <v>1932</v>
      </c>
      <c r="E1045">
        <v>0</v>
      </c>
      <c r="F1045" s="3">
        <v>46231</v>
      </c>
      <c r="G1045" s="3">
        <v>46269</v>
      </c>
      <c r="H1045" t="s">
        <v>74</v>
      </c>
      <c r="I1045" t="s">
        <v>1933</v>
      </c>
      <c r="J1045" t="s">
        <v>179</v>
      </c>
      <c r="K1045" s="3">
        <v>46224</v>
      </c>
      <c r="L1045" s="3">
        <v>46262</v>
      </c>
      <c r="M1045" s="3">
        <v>46262</v>
      </c>
      <c r="O1045" t="s">
        <v>840</v>
      </c>
      <c r="Q1045" t="s">
        <v>1691</v>
      </c>
      <c r="R1045" t="s">
        <v>1934</v>
      </c>
      <c r="U1045" t="s">
        <v>1925</v>
      </c>
      <c r="V1045" t="s">
        <v>134</v>
      </c>
      <c r="W1045" t="s">
        <v>135</v>
      </c>
      <c r="X1045" t="s">
        <v>844</v>
      </c>
      <c r="Y1045">
        <v>10</v>
      </c>
      <c r="Z1045" t="s">
        <v>49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 spans="1:39" hidden="1">
      <c r="A1046">
        <v>1045</v>
      </c>
      <c r="B1046" t="s">
        <v>1935</v>
      </c>
      <c r="C1046" t="s">
        <v>1936</v>
      </c>
      <c r="D1046" t="s">
        <v>139</v>
      </c>
      <c r="E1046">
        <v>0</v>
      </c>
      <c r="F1046" s="3">
        <v>46231</v>
      </c>
      <c r="G1046" s="3">
        <v>46252</v>
      </c>
      <c r="H1046" t="s">
        <v>74</v>
      </c>
      <c r="I1046" t="s">
        <v>129</v>
      </c>
      <c r="J1046" t="s">
        <v>179</v>
      </c>
      <c r="L1046" s="3">
        <v>46245</v>
      </c>
      <c r="M1046" s="3">
        <v>46245</v>
      </c>
      <c r="N1046">
        <v>1030</v>
      </c>
      <c r="P1046">
        <v>1046</v>
      </c>
      <c r="Q1046" t="s">
        <v>1691</v>
      </c>
      <c r="Z1046" t="s">
        <v>49</v>
      </c>
      <c r="AB1046">
        <v>0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 hidden="1">
      <c r="A1047">
        <v>1046</v>
      </c>
      <c r="B1047" t="s">
        <v>1937</v>
      </c>
      <c r="C1047" t="s">
        <v>1936</v>
      </c>
      <c r="D1047" t="s">
        <v>143</v>
      </c>
      <c r="E1047">
        <v>0</v>
      </c>
      <c r="F1047" s="3">
        <v>46252</v>
      </c>
      <c r="G1047" s="3">
        <v>46259</v>
      </c>
      <c r="H1047" t="s">
        <v>74</v>
      </c>
      <c r="I1047" t="s">
        <v>140</v>
      </c>
      <c r="J1047" t="s">
        <v>353</v>
      </c>
      <c r="L1047" s="3">
        <v>46252</v>
      </c>
      <c r="M1047" s="3">
        <v>46252</v>
      </c>
      <c r="N1047">
        <v>1045</v>
      </c>
      <c r="P1047">
        <v>1047</v>
      </c>
      <c r="Q1047" t="s">
        <v>1691</v>
      </c>
      <c r="Z1047" t="s">
        <v>49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</row>
    <row r="1048" spans="1:39" hidden="1">
      <c r="A1048">
        <v>1047</v>
      </c>
      <c r="B1048" t="s">
        <v>1938</v>
      </c>
      <c r="C1048" t="s">
        <v>1936</v>
      </c>
      <c r="D1048" t="s">
        <v>146</v>
      </c>
      <c r="E1048">
        <v>0</v>
      </c>
      <c r="F1048" s="3">
        <v>46259</v>
      </c>
      <c r="G1048" s="3">
        <v>46262</v>
      </c>
      <c r="H1048" t="s">
        <v>74</v>
      </c>
      <c r="I1048" t="s">
        <v>147</v>
      </c>
      <c r="J1048" t="s">
        <v>185</v>
      </c>
      <c r="L1048" s="3">
        <v>46255</v>
      </c>
      <c r="M1048" s="3">
        <v>46255</v>
      </c>
      <c r="N1048">
        <v>1046</v>
      </c>
      <c r="P1048">
        <v>1048</v>
      </c>
      <c r="Q1048" t="s">
        <v>1691</v>
      </c>
      <c r="Z1048" t="s">
        <v>49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 hidden="1">
      <c r="A1049">
        <v>1048</v>
      </c>
      <c r="B1049" t="s">
        <v>1939</v>
      </c>
      <c r="C1049" t="s">
        <v>1936</v>
      </c>
      <c r="D1049" t="s">
        <v>150</v>
      </c>
      <c r="E1049">
        <v>0</v>
      </c>
      <c r="F1049" s="3">
        <v>46262</v>
      </c>
      <c r="G1049" s="3">
        <v>46269</v>
      </c>
      <c r="H1049" t="s">
        <v>74</v>
      </c>
      <c r="I1049" t="s">
        <v>140</v>
      </c>
      <c r="J1049" t="s">
        <v>185</v>
      </c>
      <c r="L1049" s="3">
        <v>46262</v>
      </c>
      <c r="M1049" s="3">
        <v>46262</v>
      </c>
      <c r="N1049">
        <v>1047</v>
      </c>
      <c r="Q1049" t="s">
        <v>1691</v>
      </c>
      <c r="Z1049" t="s">
        <v>49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 hidden="1">
      <c r="A1050">
        <v>1049</v>
      </c>
      <c r="B1050" t="s">
        <v>1940</v>
      </c>
      <c r="C1050" t="s">
        <v>1689</v>
      </c>
      <c r="D1050" t="s">
        <v>1941</v>
      </c>
      <c r="E1050">
        <v>0</v>
      </c>
      <c r="F1050" s="3">
        <v>46231</v>
      </c>
      <c r="G1050" s="3">
        <v>46266</v>
      </c>
      <c r="H1050" t="s">
        <v>74</v>
      </c>
      <c r="I1050" t="s">
        <v>382</v>
      </c>
      <c r="J1050" t="s">
        <v>179</v>
      </c>
      <c r="K1050" s="3">
        <v>46224</v>
      </c>
      <c r="L1050" s="3">
        <v>46259</v>
      </c>
      <c r="M1050" s="3">
        <v>46259</v>
      </c>
      <c r="O1050" t="s">
        <v>840</v>
      </c>
      <c r="Q1050" t="s">
        <v>1691</v>
      </c>
      <c r="R1050" t="s">
        <v>1942</v>
      </c>
      <c r="U1050" t="s">
        <v>1925</v>
      </c>
      <c r="V1050" t="s">
        <v>134</v>
      </c>
      <c r="W1050" t="s">
        <v>135</v>
      </c>
      <c r="X1050" t="s">
        <v>844</v>
      </c>
      <c r="Y1050">
        <v>10</v>
      </c>
      <c r="Z1050" t="s">
        <v>49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 hidden="1">
      <c r="A1051">
        <v>1050</v>
      </c>
      <c r="B1051" t="s">
        <v>1943</v>
      </c>
      <c r="C1051" t="s">
        <v>1944</v>
      </c>
      <c r="D1051" t="s">
        <v>139</v>
      </c>
      <c r="E1051">
        <v>0</v>
      </c>
      <c r="F1051" s="3">
        <v>46231</v>
      </c>
      <c r="G1051" s="3">
        <v>46252</v>
      </c>
      <c r="H1051" t="s">
        <v>74</v>
      </c>
      <c r="I1051" t="s">
        <v>129</v>
      </c>
      <c r="J1051" t="s">
        <v>179</v>
      </c>
      <c r="L1051" s="3">
        <v>46245</v>
      </c>
      <c r="M1051" s="3">
        <v>46245</v>
      </c>
      <c r="N1051">
        <v>1030</v>
      </c>
      <c r="P1051">
        <v>1051</v>
      </c>
      <c r="Q1051" t="s">
        <v>1691</v>
      </c>
      <c r="Z1051" t="s">
        <v>49</v>
      </c>
      <c r="AB1051">
        <v>0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 hidden="1">
      <c r="A1052">
        <v>1051</v>
      </c>
      <c r="B1052" t="s">
        <v>1945</v>
      </c>
      <c r="C1052" t="s">
        <v>1944</v>
      </c>
      <c r="D1052" t="s">
        <v>143</v>
      </c>
      <c r="E1052">
        <v>0</v>
      </c>
      <c r="F1052" s="3">
        <v>46252</v>
      </c>
      <c r="G1052" s="3">
        <v>46259</v>
      </c>
      <c r="H1052" t="s">
        <v>74</v>
      </c>
      <c r="I1052" t="s">
        <v>140</v>
      </c>
      <c r="J1052" t="s">
        <v>353</v>
      </c>
      <c r="L1052" s="3">
        <v>46252</v>
      </c>
      <c r="M1052" s="3">
        <v>46252</v>
      </c>
      <c r="N1052">
        <v>1050</v>
      </c>
      <c r="P1052">
        <v>1052</v>
      </c>
      <c r="Q1052" t="s">
        <v>1691</v>
      </c>
      <c r="Z1052" t="s">
        <v>49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 hidden="1">
      <c r="A1053">
        <v>1052</v>
      </c>
      <c r="B1053" t="s">
        <v>1946</v>
      </c>
      <c r="C1053" t="s">
        <v>1944</v>
      </c>
      <c r="D1053" t="s">
        <v>146</v>
      </c>
      <c r="E1053">
        <v>0</v>
      </c>
      <c r="F1053" s="3">
        <v>46259</v>
      </c>
      <c r="G1053" s="3">
        <v>46262</v>
      </c>
      <c r="H1053" t="s">
        <v>74</v>
      </c>
      <c r="I1053" t="s">
        <v>147</v>
      </c>
      <c r="J1053" t="s">
        <v>185</v>
      </c>
      <c r="L1053" s="3">
        <v>46255</v>
      </c>
      <c r="M1053" s="3">
        <v>46255</v>
      </c>
      <c r="N1053">
        <v>1051</v>
      </c>
      <c r="P1053">
        <v>1053</v>
      </c>
      <c r="Q1053" t="s">
        <v>1691</v>
      </c>
      <c r="Z1053" t="s">
        <v>49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</row>
    <row r="1054" spans="1:39" hidden="1">
      <c r="A1054">
        <v>1053</v>
      </c>
      <c r="B1054" t="s">
        <v>1947</v>
      </c>
      <c r="C1054" t="s">
        <v>1944</v>
      </c>
      <c r="D1054" t="s">
        <v>150</v>
      </c>
      <c r="E1054">
        <v>0</v>
      </c>
      <c r="F1054" s="3">
        <v>46262</v>
      </c>
      <c r="G1054" s="3">
        <v>46266</v>
      </c>
      <c r="H1054" t="s">
        <v>74</v>
      </c>
      <c r="I1054" t="s">
        <v>151</v>
      </c>
      <c r="J1054" t="s">
        <v>185</v>
      </c>
      <c r="L1054" s="3">
        <v>46259</v>
      </c>
      <c r="M1054" s="3">
        <v>46259</v>
      </c>
      <c r="N1054">
        <v>1052</v>
      </c>
      <c r="Q1054" t="s">
        <v>1691</v>
      </c>
      <c r="Z1054" t="s">
        <v>49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 hidden="1">
      <c r="A1055">
        <v>1054</v>
      </c>
      <c r="B1055" t="s">
        <v>1948</v>
      </c>
      <c r="C1055" t="s">
        <v>1689</v>
      </c>
      <c r="D1055" t="s">
        <v>1949</v>
      </c>
      <c r="E1055">
        <v>0</v>
      </c>
      <c r="F1055" s="3">
        <v>46231</v>
      </c>
      <c r="G1055" s="3">
        <v>46266</v>
      </c>
      <c r="H1055" t="s">
        <v>74</v>
      </c>
      <c r="I1055" t="s">
        <v>382</v>
      </c>
      <c r="J1055" t="s">
        <v>179</v>
      </c>
      <c r="K1055" s="3">
        <v>46224</v>
      </c>
      <c r="L1055" s="3">
        <v>46259</v>
      </c>
      <c r="M1055" s="3">
        <v>46259</v>
      </c>
      <c r="O1055" t="s">
        <v>840</v>
      </c>
      <c r="Q1055" t="s">
        <v>1691</v>
      </c>
      <c r="R1055" t="s">
        <v>1950</v>
      </c>
      <c r="U1055" t="s">
        <v>1925</v>
      </c>
      <c r="V1055" t="s">
        <v>134</v>
      </c>
      <c r="W1055" t="s">
        <v>135</v>
      </c>
      <c r="X1055" t="s">
        <v>844</v>
      </c>
      <c r="Y1055">
        <v>10</v>
      </c>
      <c r="Z1055" t="s">
        <v>49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 hidden="1">
      <c r="A1056">
        <v>1055</v>
      </c>
      <c r="B1056" t="s">
        <v>1951</v>
      </c>
      <c r="C1056" t="s">
        <v>1952</v>
      </c>
      <c r="D1056" t="s">
        <v>139</v>
      </c>
      <c r="E1056">
        <v>0</v>
      </c>
      <c r="F1056" s="3">
        <v>46231</v>
      </c>
      <c r="G1056" s="3">
        <v>46252</v>
      </c>
      <c r="H1056" t="s">
        <v>74</v>
      </c>
      <c r="I1056" t="s">
        <v>129</v>
      </c>
      <c r="J1056" t="s">
        <v>179</v>
      </c>
      <c r="L1056" s="3">
        <v>46245</v>
      </c>
      <c r="M1056" s="3">
        <v>46245</v>
      </c>
      <c r="N1056">
        <v>1030</v>
      </c>
      <c r="P1056">
        <v>1056</v>
      </c>
      <c r="Q1056" t="s">
        <v>1691</v>
      </c>
      <c r="Z1056" t="s">
        <v>49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 hidden="1">
      <c r="A1057">
        <v>1056</v>
      </c>
      <c r="B1057" t="s">
        <v>1953</v>
      </c>
      <c r="C1057" t="s">
        <v>1952</v>
      </c>
      <c r="D1057" t="s">
        <v>143</v>
      </c>
      <c r="E1057">
        <v>0</v>
      </c>
      <c r="F1057" s="3">
        <v>46252</v>
      </c>
      <c r="G1057" s="3">
        <v>46259</v>
      </c>
      <c r="H1057" t="s">
        <v>74</v>
      </c>
      <c r="I1057" t="s">
        <v>140</v>
      </c>
      <c r="J1057" t="s">
        <v>353</v>
      </c>
      <c r="L1057" s="3">
        <v>46252</v>
      </c>
      <c r="M1057" s="3">
        <v>46252</v>
      </c>
      <c r="N1057">
        <v>1055</v>
      </c>
      <c r="P1057">
        <v>1057</v>
      </c>
      <c r="Q1057" t="s">
        <v>1691</v>
      </c>
      <c r="Z1057" t="s">
        <v>49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</row>
    <row r="1058" spans="1:39" hidden="1">
      <c r="A1058">
        <v>1057</v>
      </c>
      <c r="B1058" t="s">
        <v>1954</v>
      </c>
      <c r="C1058" t="s">
        <v>1952</v>
      </c>
      <c r="D1058" t="s">
        <v>146</v>
      </c>
      <c r="E1058">
        <v>0</v>
      </c>
      <c r="F1058" s="3">
        <v>46259</v>
      </c>
      <c r="G1058" s="3">
        <v>46262</v>
      </c>
      <c r="H1058" t="s">
        <v>74</v>
      </c>
      <c r="I1058" t="s">
        <v>147</v>
      </c>
      <c r="J1058" t="s">
        <v>185</v>
      </c>
      <c r="L1058" s="3">
        <v>46255</v>
      </c>
      <c r="M1058" s="3">
        <v>46255</v>
      </c>
      <c r="N1058">
        <v>1056</v>
      </c>
      <c r="P1058">
        <v>1058</v>
      </c>
      <c r="Q1058" t="s">
        <v>1691</v>
      </c>
      <c r="Z1058" t="s">
        <v>49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 hidden="1">
      <c r="A1059">
        <v>1058</v>
      </c>
      <c r="B1059" t="s">
        <v>1955</v>
      </c>
      <c r="C1059" t="s">
        <v>1952</v>
      </c>
      <c r="D1059" t="s">
        <v>150</v>
      </c>
      <c r="E1059">
        <v>0</v>
      </c>
      <c r="F1059" s="3">
        <v>46262</v>
      </c>
      <c r="G1059" s="3">
        <v>46266</v>
      </c>
      <c r="H1059" t="s">
        <v>74</v>
      </c>
      <c r="I1059" t="s">
        <v>151</v>
      </c>
      <c r="J1059" t="s">
        <v>185</v>
      </c>
      <c r="L1059" s="3">
        <v>46259</v>
      </c>
      <c r="M1059" s="3">
        <v>46259</v>
      </c>
      <c r="N1059">
        <v>1057</v>
      </c>
      <c r="Q1059" t="s">
        <v>1691</v>
      </c>
      <c r="Z1059" t="s">
        <v>49</v>
      </c>
      <c r="AB1059">
        <v>0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 hidden="1">
      <c r="A1060">
        <v>1059</v>
      </c>
      <c r="B1060" t="s">
        <v>1956</v>
      </c>
      <c r="C1060" t="s">
        <v>1689</v>
      </c>
      <c r="D1060" t="s">
        <v>1957</v>
      </c>
      <c r="E1060">
        <v>0</v>
      </c>
      <c r="F1060" s="3">
        <v>46231</v>
      </c>
      <c r="G1060" s="3">
        <v>46266</v>
      </c>
      <c r="H1060" t="s">
        <v>74</v>
      </c>
      <c r="I1060" t="s">
        <v>382</v>
      </c>
      <c r="J1060" t="s">
        <v>179</v>
      </c>
      <c r="K1060" s="3">
        <v>46224</v>
      </c>
      <c r="L1060" s="3">
        <v>46259</v>
      </c>
      <c r="M1060" s="3">
        <v>46259</v>
      </c>
      <c r="O1060" t="s">
        <v>840</v>
      </c>
      <c r="Q1060" t="s">
        <v>1691</v>
      </c>
      <c r="R1060" t="s">
        <v>1958</v>
      </c>
      <c r="U1060" t="s">
        <v>1925</v>
      </c>
      <c r="V1060" t="s">
        <v>134</v>
      </c>
      <c r="W1060" t="s">
        <v>135</v>
      </c>
      <c r="X1060" t="s">
        <v>844</v>
      </c>
      <c r="Y1060">
        <v>10</v>
      </c>
      <c r="Z1060" t="s">
        <v>43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 hidden="1">
      <c r="A1061">
        <v>1060</v>
      </c>
      <c r="B1061" t="s">
        <v>1959</v>
      </c>
      <c r="C1061" t="s">
        <v>1960</v>
      </c>
      <c r="D1061" t="s">
        <v>139</v>
      </c>
      <c r="E1061">
        <v>0</v>
      </c>
      <c r="F1061" s="3">
        <v>46231</v>
      </c>
      <c r="G1061" s="3">
        <v>46252</v>
      </c>
      <c r="H1061" t="s">
        <v>74</v>
      </c>
      <c r="I1061" t="s">
        <v>129</v>
      </c>
      <c r="J1061" t="s">
        <v>179</v>
      </c>
      <c r="L1061" s="3">
        <v>46245</v>
      </c>
      <c r="M1061" s="3">
        <v>46245</v>
      </c>
      <c r="N1061">
        <v>1030</v>
      </c>
      <c r="P1061" t="s">
        <v>1961</v>
      </c>
      <c r="Q1061" t="s">
        <v>1691</v>
      </c>
      <c r="Z1061" t="s">
        <v>43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 hidden="1">
      <c r="A1062">
        <v>1061</v>
      </c>
      <c r="B1062" t="s">
        <v>1962</v>
      </c>
      <c r="C1062" t="s">
        <v>1960</v>
      </c>
      <c r="D1062" t="s">
        <v>143</v>
      </c>
      <c r="E1062">
        <v>0</v>
      </c>
      <c r="F1062" s="3">
        <v>46252</v>
      </c>
      <c r="G1062" s="3">
        <v>46259</v>
      </c>
      <c r="H1062" t="s">
        <v>74</v>
      </c>
      <c r="I1062" t="s">
        <v>140</v>
      </c>
      <c r="J1062" t="s">
        <v>353</v>
      </c>
      <c r="L1062" s="3">
        <v>46252</v>
      </c>
      <c r="M1062" s="3">
        <v>46252</v>
      </c>
      <c r="N1062">
        <v>1060</v>
      </c>
      <c r="P1062">
        <v>1062</v>
      </c>
      <c r="Q1062" t="s">
        <v>1691</v>
      </c>
      <c r="Z1062" t="s">
        <v>49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 hidden="1">
      <c r="A1063">
        <v>1062</v>
      </c>
      <c r="B1063" t="s">
        <v>1963</v>
      </c>
      <c r="C1063" t="s">
        <v>1960</v>
      </c>
      <c r="D1063" t="s">
        <v>146</v>
      </c>
      <c r="E1063">
        <v>0</v>
      </c>
      <c r="F1063" s="3">
        <v>46259</v>
      </c>
      <c r="G1063" s="3">
        <v>46262</v>
      </c>
      <c r="H1063" t="s">
        <v>74</v>
      </c>
      <c r="I1063" t="s">
        <v>147</v>
      </c>
      <c r="J1063" t="s">
        <v>185</v>
      </c>
      <c r="L1063" s="3">
        <v>46255</v>
      </c>
      <c r="M1063" s="3">
        <v>46255</v>
      </c>
      <c r="N1063">
        <v>1061</v>
      </c>
      <c r="P1063">
        <v>1063</v>
      </c>
      <c r="Q1063" t="s">
        <v>1691</v>
      </c>
      <c r="Z1063" t="s">
        <v>49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 hidden="1">
      <c r="A1064">
        <v>1063</v>
      </c>
      <c r="B1064" t="s">
        <v>1964</v>
      </c>
      <c r="C1064" t="s">
        <v>1960</v>
      </c>
      <c r="D1064" t="s">
        <v>150</v>
      </c>
      <c r="E1064">
        <v>0</v>
      </c>
      <c r="F1064" s="3">
        <v>46262</v>
      </c>
      <c r="G1064" s="3">
        <v>46266</v>
      </c>
      <c r="H1064" t="s">
        <v>74</v>
      </c>
      <c r="I1064" t="s">
        <v>151</v>
      </c>
      <c r="J1064" t="s">
        <v>185</v>
      </c>
      <c r="L1064" s="3">
        <v>46259</v>
      </c>
      <c r="M1064" s="3">
        <v>46259</v>
      </c>
      <c r="N1064">
        <v>1062</v>
      </c>
      <c r="Q1064" t="s">
        <v>1691</v>
      </c>
      <c r="Z1064" t="s">
        <v>49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 hidden="1">
      <c r="A1065">
        <v>1064</v>
      </c>
      <c r="B1065" t="s">
        <v>1965</v>
      </c>
      <c r="C1065" t="s">
        <v>1689</v>
      </c>
      <c r="D1065" t="s">
        <v>1966</v>
      </c>
      <c r="E1065">
        <v>0</v>
      </c>
      <c r="F1065" s="3">
        <v>46252</v>
      </c>
      <c r="G1065" s="3">
        <v>46287</v>
      </c>
      <c r="H1065" t="s">
        <v>74</v>
      </c>
      <c r="I1065" t="s">
        <v>382</v>
      </c>
      <c r="J1065" t="s">
        <v>353</v>
      </c>
      <c r="K1065" s="3">
        <v>46245</v>
      </c>
      <c r="L1065" s="3">
        <v>46280</v>
      </c>
      <c r="M1065" s="3">
        <v>46280</v>
      </c>
      <c r="O1065" t="s">
        <v>840</v>
      </c>
      <c r="Q1065" t="s">
        <v>1691</v>
      </c>
      <c r="R1065" t="s">
        <v>1967</v>
      </c>
      <c r="U1065" t="s">
        <v>1925</v>
      </c>
      <c r="V1065" t="s">
        <v>134</v>
      </c>
      <c r="W1065" t="s">
        <v>135</v>
      </c>
      <c r="X1065" t="s">
        <v>844</v>
      </c>
      <c r="Y1065">
        <v>10</v>
      </c>
      <c r="Z1065" t="s">
        <v>49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 hidden="1">
      <c r="A1066">
        <v>1065</v>
      </c>
      <c r="B1066" t="s">
        <v>1968</v>
      </c>
      <c r="C1066" t="s">
        <v>1969</v>
      </c>
      <c r="D1066" t="s">
        <v>139</v>
      </c>
      <c r="E1066">
        <v>0</v>
      </c>
      <c r="F1066" s="3">
        <v>46252</v>
      </c>
      <c r="G1066" s="3">
        <v>46273</v>
      </c>
      <c r="H1066" t="s">
        <v>74</v>
      </c>
      <c r="I1066" t="s">
        <v>129</v>
      </c>
      <c r="J1066" t="s">
        <v>353</v>
      </c>
      <c r="L1066" s="3">
        <v>46266</v>
      </c>
      <c r="M1066" s="3">
        <v>46266</v>
      </c>
      <c r="N1066">
        <v>1060</v>
      </c>
      <c r="P1066">
        <v>1066</v>
      </c>
      <c r="Q1066" t="s">
        <v>1691</v>
      </c>
      <c r="Z1066" t="s">
        <v>49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 hidden="1">
      <c r="A1067">
        <v>1066</v>
      </c>
      <c r="B1067" t="s">
        <v>1970</v>
      </c>
      <c r="C1067" t="s">
        <v>1969</v>
      </c>
      <c r="D1067" t="s">
        <v>143</v>
      </c>
      <c r="E1067">
        <v>0</v>
      </c>
      <c r="F1067" s="3">
        <v>46273</v>
      </c>
      <c r="G1067" s="3">
        <v>46280</v>
      </c>
      <c r="H1067" t="s">
        <v>74</v>
      </c>
      <c r="I1067" t="s">
        <v>140</v>
      </c>
      <c r="J1067" t="s">
        <v>398</v>
      </c>
      <c r="L1067" s="3">
        <v>46273</v>
      </c>
      <c r="M1067" s="3">
        <v>46273</v>
      </c>
      <c r="N1067">
        <v>1065</v>
      </c>
      <c r="P1067">
        <v>1067</v>
      </c>
      <c r="Q1067" t="s">
        <v>1691</v>
      </c>
      <c r="Z1067" t="s">
        <v>49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 hidden="1">
      <c r="A1068">
        <v>1067</v>
      </c>
      <c r="B1068" t="s">
        <v>1971</v>
      </c>
      <c r="C1068" t="s">
        <v>1969</v>
      </c>
      <c r="D1068" t="s">
        <v>146</v>
      </c>
      <c r="E1068">
        <v>0</v>
      </c>
      <c r="F1068" s="3">
        <v>46280</v>
      </c>
      <c r="G1068" s="3">
        <v>46283</v>
      </c>
      <c r="H1068" t="s">
        <v>74</v>
      </c>
      <c r="I1068" t="s">
        <v>147</v>
      </c>
      <c r="J1068" t="s">
        <v>83</v>
      </c>
      <c r="L1068" s="3">
        <v>46276</v>
      </c>
      <c r="M1068" s="3">
        <v>46276</v>
      </c>
      <c r="N1068">
        <v>1066</v>
      </c>
      <c r="P1068">
        <v>1068</v>
      </c>
      <c r="Q1068" t="s">
        <v>1691</v>
      </c>
      <c r="Z1068" t="s">
        <v>49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 hidden="1">
      <c r="A1069">
        <v>1068</v>
      </c>
      <c r="B1069" t="s">
        <v>1972</v>
      </c>
      <c r="C1069" t="s">
        <v>1969</v>
      </c>
      <c r="D1069" t="s">
        <v>150</v>
      </c>
      <c r="E1069">
        <v>0</v>
      </c>
      <c r="F1069" s="3">
        <v>46283</v>
      </c>
      <c r="G1069" s="3">
        <v>46287</v>
      </c>
      <c r="H1069" t="s">
        <v>74</v>
      </c>
      <c r="I1069" t="s">
        <v>151</v>
      </c>
      <c r="J1069" t="s">
        <v>144</v>
      </c>
      <c r="L1069" s="3">
        <v>46280</v>
      </c>
      <c r="M1069" s="3">
        <v>46280</v>
      </c>
      <c r="N1069">
        <v>1067</v>
      </c>
      <c r="Q1069" t="s">
        <v>1691</v>
      </c>
      <c r="Z1069" t="s">
        <v>49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39" hidden="1">
      <c r="A1070">
        <v>1069</v>
      </c>
      <c r="B1070" t="s">
        <v>1973</v>
      </c>
      <c r="C1070" t="s">
        <v>1689</v>
      </c>
      <c r="D1070" t="s">
        <v>1974</v>
      </c>
      <c r="E1070">
        <v>0</v>
      </c>
      <c r="F1070" s="3">
        <v>46252</v>
      </c>
      <c r="G1070" s="3">
        <v>46287</v>
      </c>
      <c r="H1070" t="s">
        <v>74</v>
      </c>
      <c r="I1070" t="s">
        <v>382</v>
      </c>
      <c r="J1070" t="s">
        <v>353</v>
      </c>
      <c r="K1070" s="3">
        <v>46245</v>
      </c>
      <c r="L1070" s="3">
        <v>46280</v>
      </c>
      <c r="M1070" s="3">
        <v>46280</v>
      </c>
      <c r="O1070" t="s">
        <v>840</v>
      </c>
      <c r="Q1070" t="s">
        <v>1691</v>
      </c>
      <c r="R1070" t="s">
        <v>1975</v>
      </c>
      <c r="U1070" t="s">
        <v>1925</v>
      </c>
      <c r="V1070" t="s">
        <v>134</v>
      </c>
      <c r="W1070" t="s">
        <v>135</v>
      </c>
      <c r="X1070" t="s">
        <v>844</v>
      </c>
      <c r="Y1070">
        <v>10</v>
      </c>
      <c r="Z1070" t="s">
        <v>49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 hidden="1">
      <c r="A1071">
        <v>1070</v>
      </c>
      <c r="B1071" t="s">
        <v>1976</v>
      </c>
      <c r="C1071" t="s">
        <v>1977</v>
      </c>
      <c r="D1071" t="s">
        <v>139</v>
      </c>
      <c r="E1071">
        <v>0</v>
      </c>
      <c r="F1071" s="3">
        <v>46252</v>
      </c>
      <c r="G1071" s="3">
        <v>46273</v>
      </c>
      <c r="H1071" t="s">
        <v>74</v>
      </c>
      <c r="I1071" t="s">
        <v>129</v>
      </c>
      <c r="J1071" t="s">
        <v>353</v>
      </c>
      <c r="L1071" s="3">
        <v>46266</v>
      </c>
      <c r="M1071" s="3">
        <v>46266</v>
      </c>
      <c r="N1071">
        <v>1060</v>
      </c>
      <c r="P1071">
        <v>1071</v>
      </c>
      <c r="Q1071" t="s">
        <v>1691</v>
      </c>
      <c r="Z1071" t="s">
        <v>49</v>
      </c>
      <c r="AB1071">
        <v>0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 spans="1:39" hidden="1">
      <c r="A1072">
        <v>1071</v>
      </c>
      <c r="B1072" t="s">
        <v>1978</v>
      </c>
      <c r="C1072" t="s">
        <v>1977</v>
      </c>
      <c r="D1072" t="s">
        <v>143</v>
      </c>
      <c r="E1072">
        <v>0</v>
      </c>
      <c r="F1072" s="3">
        <v>46273</v>
      </c>
      <c r="G1072" s="3">
        <v>46280</v>
      </c>
      <c r="H1072" t="s">
        <v>74</v>
      </c>
      <c r="I1072" t="s">
        <v>140</v>
      </c>
      <c r="J1072" t="s">
        <v>398</v>
      </c>
      <c r="L1072" s="3">
        <v>46273</v>
      </c>
      <c r="M1072" s="3">
        <v>46273</v>
      </c>
      <c r="N1072">
        <v>1070</v>
      </c>
      <c r="P1072">
        <v>1072</v>
      </c>
      <c r="Q1072" t="s">
        <v>1691</v>
      </c>
      <c r="Z1072" t="s">
        <v>49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 hidden="1">
      <c r="A1073">
        <v>1072</v>
      </c>
      <c r="B1073" t="s">
        <v>1979</v>
      </c>
      <c r="C1073" t="s">
        <v>1977</v>
      </c>
      <c r="D1073" t="s">
        <v>146</v>
      </c>
      <c r="E1073">
        <v>0</v>
      </c>
      <c r="F1073" s="3">
        <v>46280</v>
      </c>
      <c r="G1073" s="3">
        <v>46283</v>
      </c>
      <c r="H1073" t="s">
        <v>74</v>
      </c>
      <c r="I1073" t="s">
        <v>147</v>
      </c>
      <c r="J1073" t="s">
        <v>83</v>
      </c>
      <c r="L1073" s="3">
        <v>46276</v>
      </c>
      <c r="M1073" s="3">
        <v>46276</v>
      </c>
      <c r="N1073">
        <v>1071</v>
      </c>
      <c r="P1073">
        <v>1073</v>
      </c>
      <c r="Q1073" t="s">
        <v>1691</v>
      </c>
      <c r="Z1073" t="s">
        <v>49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 hidden="1">
      <c r="A1074">
        <v>1073</v>
      </c>
      <c r="B1074" t="s">
        <v>1980</v>
      </c>
      <c r="C1074" t="s">
        <v>1977</v>
      </c>
      <c r="D1074" t="s">
        <v>150</v>
      </c>
      <c r="E1074">
        <v>0</v>
      </c>
      <c r="F1074" s="3">
        <v>46283</v>
      </c>
      <c r="G1074" s="3">
        <v>46287</v>
      </c>
      <c r="H1074" t="s">
        <v>74</v>
      </c>
      <c r="I1074" t="s">
        <v>151</v>
      </c>
      <c r="J1074" t="s">
        <v>144</v>
      </c>
      <c r="L1074" s="3">
        <v>46280</v>
      </c>
      <c r="M1074" s="3">
        <v>46280</v>
      </c>
      <c r="N1074">
        <v>1072</v>
      </c>
      <c r="Q1074" t="s">
        <v>1691</v>
      </c>
      <c r="Z1074" t="s">
        <v>49</v>
      </c>
      <c r="AB1074">
        <v>0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39" hidden="1">
      <c r="A1075">
        <v>1074</v>
      </c>
      <c r="B1075" t="s">
        <v>1981</v>
      </c>
      <c r="C1075" t="s">
        <v>1689</v>
      </c>
      <c r="D1075" t="s">
        <v>1982</v>
      </c>
      <c r="E1075">
        <v>0</v>
      </c>
      <c r="F1075" s="3">
        <v>46252</v>
      </c>
      <c r="G1075" s="3">
        <v>46290</v>
      </c>
      <c r="H1075" t="s">
        <v>74</v>
      </c>
      <c r="I1075" t="s">
        <v>1933</v>
      </c>
      <c r="J1075" t="s">
        <v>353</v>
      </c>
      <c r="K1075" s="3">
        <v>46245</v>
      </c>
      <c r="L1075" s="3">
        <v>46283</v>
      </c>
      <c r="M1075" s="3">
        <v>46283</v>
      </c>
      <c r="O1075" t="s">
        <v>840</v>
      </c>
      <c r="Q1075" t="s">
        <v>1691</v>
      </c>
      <c r="R1075" t="s">
        <v>1983</v>
      </c>
      <c r="U1075" t="s">
        <v>1925</v>
      </c>
      <c r="V1075" t="s">
        <v>134</v>
      </c>
      <c r="W1075" t="s">
        <v>135</v>
      </c>
      <c r="X1075" t="s">
        <v>844</v>
      </c>
      <c r="Y1075">
        <v>10</v>
      </c>
      <c r="Z1075" t="s">
        <v>43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 hidden="1">
      <c r="A1076">
        <v>1075</v>
      </c>
      <c r="B1076" t="s">
        <v>1984</v>
      </c>
      <c r="C1076" t="s">
        <v>1985</v>
      </c>
      <c r="D1076" t="s">
        <v>139</v>
      </c>
      <c r="E1076">
        <v>0</v>
      </c>
      <c r="F1076" s="3">
        <v>46252</v>
      </c>
      <c r="G1076" s="3">
        <v>46273</v>
      </c>
      <c r="H1076" t="s">
        <v>74</v>
      </c>
      <c r="I1076" t="s">
        <v>129</v>
      </c>
      <c r="J1076" t="s">
        <v>353</v>
      </c>
      <c r="L1076" s="3">
        <v>46266</v>
      </c>
      <c r="M1076" s="3">
        <v>46266</v>
      </c>
      <c r="N1076">
        <v>1060</v>
      </c>
      <c r="P1076" t="s">
        <v>1986</v>
      </c>
      <c r="Q1076" t="s">
        <v>1691</v>
      </c>
      <c r="Z1076" t="s">
        <v>43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 hidden="1">
      <c r="A1077">
        <v>1076</v>
      </c>
      <c r="B1077" t="s">
        <v>1987</v>
      </c>
      <c r="C1077" t="s">
        <v>1985</v>
      </c>
      <c r="D1077" t="s">
        <v>143</v>
      </c>
      <c r="E1077">
        <v>0</v>
      </c>
      <c r="F1077" s="3">
        <v>46273</v>
      </c>
      <c r="G1077" s="3">
        <v>46280</v>
      </c>
      <c r="H1077" t="s">
        <v>74</v>
      </c>
      <c r="I1077" t="s">
        <v>140</v>
      </c>
      <c r="J1077" t="s">
        <v>398</v>
      </c>
      <c r="L1077" s="3">
        <v>46273</v>
      </c>
      <c r="M1077" s="3">
        <v>46273</v>
      </c>
      <c r="N1077">
        <v>1075</v>
      </c>
      <c r="P1077">
        <v>1077</v>
      </c>
      <c r="Q1077" t="s">
        <v>1691</v>
      </c>
      <c r="Z1077" t="s">
        <v>49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hidden="1">
      <c r="A1078">
        <v>1077</v>
      </c>
      <c r="B1078" t="s">
        <v>1988</v>
      </c>
      <c r="C1078" t="s">
        <v>1985</v>
      </c>
      <c r="D1078" t="s">
        <v>146</v>
      </c>
      <c r="E1078">
        <v>0</v>
      </c>
      <c r="F1078" s="3">
        <v>46280</v>
      </c>
      <c r="G1078" s="3">
        <v>46283</v>
      </c>
      <c r="H1078" t="s">
        <v>74</v>
      </c>
      <c r="I1078" t="s">
        <v>147</v>
      </c>
      <c r="J1078" t="s">
        <v>83</v>
      </c>
      <c r="L1078" s="3">
        <v>46276</v>
      </c>
      <c r="M1078" s="3">
        <v>46276</v>
      </c>
      <c r="N1078">
        <v>1076</v>
      </c>
      <c r="P1078">
        <v>1078</v>
      </c>
      <c r="Q1078" t="s">
        <v>1691</v>
      </c>
      <c r="Z1078" t="s">
        <v>49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hidden="1">
      <c r="A1079">
        <v>1078</v>
      </c>
      <c r="B1079" t="s">
        <v>1989</v>
      </c>
      <c r="C1079" t="s">
        <v>1985</v>
      </c>
      <c r="D1079" t="s">
        <v>150</v>
      </c>
      <c r="E1079">
        <v>0</v>
      </c>
      <c r="F1079" s="3">
        <v>46283</v>
      </c>
      <c r="G1079" s="3">
        <v>46290</v>
      </c>
      <c r="H1079" t="s">
        <v>74</v>
      </c>
      <c r="I1079" t="s">
        <v>140</v>
      </c>
      <c r="J1079" t="s">
        <v>144</v>
      </c>
      <c r="L1079" s="3">
        <v>46283</v>
      </c>
      <c r="M1079" s="3">
        <v>46283</v>
      </c>
      <c r="N1079">
        <v>1077</v>
      </c>
      <c r="Q1079" t="s">
        <v>1691</v>
      </c>
      <c r="Z1079" t="s">
        <v>49</v>
      </c>
      <c r="AB1079">
        <v>0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</row>
    <row r="1080" spans="1:39" hidden="1">
      <c r="A1080">
        <v>1079</v>
      </c>
      <c r="B1080" t="s">
        <v>1990</v>
      </c>
      <c r="C1080" t="s">
        <v>1689</v>
      </c>
      <c r="D1080" t="s">
        <v>1991</v>
      </c>
      <c r="E1080">
        <v>0</v>
      </c>
      <c r="F1080" s="3">
        <v>46259</v>
      </c>
      <c r="G1080" s="3">
        <v>46294</v>
      </c>
      <c r="H1080" t="s">
        <v>74</v>
      </c>
      <c r="I1080" t="s">
        <v>382</v>
      </c>
      <c r="J1080" t="s">
        <v>185</v>
      </c>
      <c r="K1080" s="3">
        <v>46253</v>
      </c>
      <c r="L1080" s="3">
        <v>46287</v>
      </c>
      <c r="M1080" s="3">
        <v>46287</v>
      </c>
      <c r="O1080" t="s">
        <v>154</v>
      </c>
      <c r="Q1080" t="s">
        <v>1691</v>
      </c>
      <c r="R1080" t="s">
        <v>1992</v>
      </c>
      <c r="U1080" t="s">
        <v>1122</v>
      </c>
      <c r="V1080" t="s">
        <v>134</v>
      </c>
      <c r="W1080" t="s">
        <v>212</v>
      </c>
      <c r="X1080" t="s">
        <v>844</v>
      </c>
      <c r="Y1080">
        <v>10</v>
      </c>
      <c r="Z1080" t="s">
        <v>49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 hidden="1">
      <c r="A1081">
        <v>1080</v>
      </c>
      <c r="B1081" t="s">
        <v>1993</v>
      </c>
      <c r="C1081" t="s">
        <v>1994</v>
      </c>
      <c r="D1081" t="s">
        <v>139</v>
      </c>
      <c r="E1081">
        <v>0</v>
      </c>
      <c r="F1081" s="3">
        <v>46259</v>
      </c>
      <c r="G1081" s="3">
        <v>46280</v>
      </c>
      <c r="H1081" t="s">
        <v>74</v>
      </c>
      <c r="I1081" t="s">
        <v>129</v>
      </c>
      <c r="J1081" t="s">
        <v>185</v>
      </c>
      <c r="L1081" s="3">
        <v>46273</v>
      </c>
      <c r="M1081" s="3">
        <v>46273</v>
      </c>
      <c r="N1081">
        <v>159</v>
      </c>
      <c r="P1081">
        <v>1081</v>
      </c>
      <c r="Q1081" t="s">
        <v>1691</v>
      </c>
      <c r="Z1081" t="s">
        <v>49</v>
      </c>
      <c r="AB1081">
        <v>0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</row>
    <row r="1082" spans="1:39" hidden="1">
      <c r="A1082">
        <v>1081</v>
      </c>
      <c r="B1082" t="s">
        <v>1995</v>
      </c>
      <c r="C1082" t="s">
        <v>1994</v>
      </c>
      <c r="D1082" t="s">
        <v>143</v>
      </c>
      <c r="E1082">
        <v>0</v>
      </c>
      <c r="F1082" s="3">
        <v>46280</v>
      </c>
      <c r="G1082" s="3">
        <v>46287</v>
      </c>
      <c r="H1082" t="s">
        <v>74</v>
      </c>
      <c r="I1082" t="s">
        <v>140</v>
      </c>
      <c r="J1082" t="s">
        <v>83</v>
      </c>
      <c r="L1082" s="3">
        <v>46280</v>
      </c>
      <c r="M1082" s="3">
        <v>46280</v>
      </c>
      <c r="N1082">
        <v>1080</v>
      </c>
      <c r="P1082">
        <v>1082</v>
      </c>
      <c r="Q1082" t="s">
        <v>1691</v>
      </c>
      <c r="Z1082" t="s">
        <v>49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 hidden="1">
      <c r="A1083">
        <v>1082</v>
      </c>
      <c r="B1083" t="s">
        <v>1996</v>
      </c>
      <c r="C1083" t="s">
        <v>1994</v>
      </c>
      <c r="D1083" t="s">
        <v>146</v>
      </c>
      <c r="E1083">
        <v>0</v>
      </c>
      <c r="F1083" s="3">
        <v>46287</v>
      </c>
      <c r="G1083" s="3">
        <v>46290</v>
      </c>
      <c r="H1083" t="s">
        <v>74</v>
      </c>
      <c r="I1083" t="s">
        <v>147</v>
      </c>
      <c r="J1083" t="s">
        <v>148</v>
      </c>
      <c r="L1083" s="3">
        <v>46283</v>
      </c>
      <c r="M1083" s="3">
        <v>46283</v>
      </c>
      <c r="N1083">
        <v>1081</v>
      </c>
      <c r="P1083">
        <v>1083</v>
      </c>
      <c r="Q1083" t="s">
        <v>1691</v>
      </c>
      <c r="Z1083" t="s">
        <v>49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 spans="1:39" hidden="1">
      <c r="A1084">
        <v>1083</v>
      </c>
      <c r="B1084" t="s">
        <v>1997</v>
      </c>
      <c r="C1084" t="s">
        <v>1994</v>
      </c>
      <c r="D1084" t="s">
        <v>150</v>
      </c>
      <c r="E1084">
        <v>0</v>
      </c>
      <c r="F1084" s="3">
        <v>46290</v>
      </c>
      <c r="G1084" s="3">
        <v>46294</v>
      </c>
      <c r="H1084" t="s">
        <v>74</v>
      </c>
      <c r="I1084" t="s">
        <v>151</v>
      </c>
      <c r="J1084" t="s">
        <v>148</v>
      </c>
      <c r="L1084" s="3">
        <v>46287</v>
      </c>
      <c r="M1084" s="3">
        <v>46287</v>
      </c>
      <c r="N1084">
        <v>1082</v>
      </c>
      <c r="Q1084" t="s">
        <v>1691</v>
      </c>
      <c r="Z1084" t="s">
        <v>49</v>
      </c>
      <c r="AB1084">
        <v>0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 hidden="1">
      <c r="A1085">
        <v>1084</v>
      </c>
      <c r="B1085" t="s">
        <v>1998</v>
      </c>
      <c r="C1085" t="s">
        <v>1689</v>
      </c>
      <c r="D1085" t="s">
        <v>1999</v>
      </c>
      <c r="E1085">
        <v>0</v>
      </c>
      <c r="F1085" s="3">
        <v>46259</v>
      </c>
      <c r="G1085" s="3">
        <v>46294</v>
      </c>
      <c r="H1085" t="s">
        <v>74</v>
      </c>
      <c r="I1085" t="s">
        <v>382</v>
      </c>
      <c r="J1085" t="s">
        <v>185</v>
      </c>
      <c r="K1085" s="3">
        <v>46253</v>
      </c>
      <c r="L1085" s="3">
        <v>46287</v>
      </c>
      <c r="M1085" s="3">
        <v>46287</v>
      </c>
      <c r="O1085" t="s">
        <v>1700</v>
      </c>
      <c r="Q1085" t="s">
        <v>1691</v>
      </c>
      <c r="R1085" t="s">
        <v>2000</v>
      </c>
      <c r="U1085" t="s">
        <v>1122</v>
      </c>
      <c r="V1085" t="s">
        <v>134</v>
      </c>
      <c r="W1085" t="s">
        <v>135</v>
      </c>
      <c r="X1085" t="s">
        <v>844</v>
      </c>
      <c r="Y1085">
        <v>10</v>
      </c>
      <c r="Z1085" t="s">
        <v>49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 hidden="1">
      <c r="A1086">
        <v>1085</v>
      </c>
      <c r="B1086" t="s">
        <v>2001</v>
      </c>
      <c r="C1086" t="s">
        <v>2002</v>
      </c>
      <c r="D1086" t="s">
        <v>139</v>
      </c>
      <c r="E1086">
        <v>0</v>
      </c>
      <c r="F1086" s="3">
        <v>46259</v>
      </c>
      <c r="G1086" s="3">
        <v>46280</v>
      </c>
      <c r="H1086" t="s">
        <v>74</v>
      </c>
      <c r="I1086" t="s">
        <v>129</v>
      </c>
      <c r="J1086" t="s">
        <v>185</v>
      </c>
      <c r="L1086" s="3">
        <v>46273</v>
      </c>
      <c r="M1086" s="3">
        <v>46273</v>
      </c>
      <c r="N1086">
        <v>159</v>
      </c>
      <c r="P1086">
        <v>1086</v>
      </c>
      <c r="Q1086" t="s">
        <v>1691</v>
      </c>
      <c r="Z1086" t="s">
        <v>49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 hidden="1">
      <c r="A1087">
        <v>1086</v>
      </c>
      <c r="B1087" t="s">
        <v>2003</v>
      </c>
      <c r="C1087" t="s">
        <v>2002</v>
      </c>
      <c r="D1087" t="s">
        <v>143</v>
      </c>
      <c r="E1087">
        <v>0</v>
      </c>
      <c r="F1087" s="3">
        <v>46280</v>
      </c>
      <c r="G1087" s="3">
        <v>46287</v>
      </c>
      <c r="H1087" t="s">
        <v>74</v>
      </c>
      <c r="I1087" t="s">
        <v>140</v>
      </c>
      <c r="J1087" t="s">
        <v>83</v>
      </c>
      <c r="L1087" s="3">
        <v>46280</v>
      </c>
      <c r="M1087" s="3">
        <v>46280</v>
      </c>
      <c r="N1087">
        <v>1085</v>
      </c>
      <c r="P1087">
        <v>1087</v>
      </c>
      <c r="Q1087" t="s">
        <v>1691</v>
      </c>
      <c r="Z1087" t="s">
        <v>49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 hidden="1">
      <c r="A1088">
        <v>1087</v>
      </c>
      <c r="B1088" t="s">
        <v>2004</v>
      </c>
      <c r="C1088" t="s">
        <v>2002</v>
      </c>
      <c r="D1088" t="s">
        <v>146</v>
      </c>
      <c r="E1088">
        <v>0</v>
      </c>
      <c r="F1088" s="3">
        <v>46287</v>
      </c>
      <c r="G1088" s="3">
        <v>46290</v>
      </c>
      <c r="H1088" t="s">
        <v>74</v>
      </c>
      <c r="I1088" t="s">
        <v>147</v>
      </c>
      <c r="J1088" t="s">
        <v>148</v>
      </c>
      <c r="L1088" s="3">
        <v>46283</v>
      </c>
      <c r="M1088" s="3">
        <v>46283</v>
      </c>
      <c r="N1088">
        <v>1086</v>
      </c>
      <c r="P1088">
        <v>1088</v>
      </c>
      <c r="Q1088" t="s">
        <v>1691</v>
      </c>
      <c r="Z1088" t="s">
        <v>49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 hidden="1">
      <c r="A1089">
        <v>1088</v>
      </c>
      <c r="B1089" t="s">
        <v>2005</v>
      </c>
      <c r="C1089" t="s">
        <v>2002</v>
      </c>
      <c r="D1089" t="s">
        <v>150</v>
      </c>
      <c r="E1089">
        <v>0</v>
      </c>
      <c r="F1089" s="3">
        <v>46290</v>
      </c>
      <c r="G1089" s="3">
        <v>46294</v>
      </c>
      <c r="H1089" t="s">
        <v>74</v>
      </c>
      <c r="I1089" t="s">
        <v>151</v>
      </c>
      <c r="J1089" t="s">
        <v>148</v>
      </c>
      <c r="L1089" s="3">
        <v>46287</v>
      </c>
      <c r="M1089" s="3">
        <v>46287</v>
      </c>
      <c r="N1089">
        <v>1087</v>
      </c>
      <c r="Q1089" t="s">
        <v>1691</v>
      </c>
      <c r="Z1089" t="s">
        <v>49</v>
      </c>
      <c r="AB1089">
        <v>0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 hidden="1">
      <c r="A1090">
        <v>1089</v>
      </c>
      <c r="B1090" t="s">
        <v>2006</v>
      </c>
      <c r="C1090" t="s">
        <v>1689</v>
      </c>
      <c r="D1090" t="s">
        <v>2007</v>
      </c>
      <c r="E1090">
        <v>0</v>
      </c>
      <c r="F1090" s="3">
        <v>46259</v>
      </c>
      <c r="G1090" s="3">
        <v>46294</v>
      </c>
      <c r="H1090" t="s">
        <v>74</v>
      </c>
      <c r="I1090" t="s">
        <v>382</v>
      </c>
      <c r="J1090" t="s">
        <v>185</v>
      </c>
      <c r="K1090" s="3">
        <v>46253</v>
      </c>
      <c r="L1090" s="3">
        <v>46287</v>
      </c>
      <c r="M1090" s="3">
        <v>46287</v>
      </c>
      <c r="O1090" t="s">
        <v>1700</v>
      </c>
      <c r="Q1090" t="s">
        <v>1691</v>
      </c>
      <c r="R1090" t="s">
        <v>2008</v>
      </c>
      <c r="U1090" t="s">
        <v>1122</v>
      </c>
      <c r="V1090" t="s">
        <v>134</v>
      </c>
      <c r="W1090" t="s">
        <v>135</v>
      </c>
      <c r="X1090" t="s">
        <v>844</v>
      </c>
      <c r="Y1090">
        <v>10</v>
      </c>
      <c r="Z1090" t="s">
        <v>49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hidden="1">
      <c r="A1091">
        <v>1090</v>
      </c>
      <c r="B1091" t="s">
        <v>2009</v>
      </c>
      <c r="C1091" t="s">
        <v>2010</v>
      </c>
      <c r="D1091" t="s">
        <v>139</v>
      </c>
      <c r="E1091">
        <v>0</v>
      </c>
      <c r="F1091" s="3">
        <v>46259</v>
      </c>
      <c r="G1091" s="3">
        <v>46280</v>
      </c>
      <c r="H1091" t="s">
        <v>74</v>
      </c>
      <c r="I1091" t="s">
        <v>129</v>
      </c>
      <c r="J1091" t="s">
        <v>185</v>
      </c>
      <c r="L1091" s="3">
        <v>46273</v>
      </c>
      <c r="M1091" s="3">
        <v>46273</v>
      </c>
      <c r="N1091">
        <v>159</v>
      </c>
      <c r="P1091">
        <v>1091</v>
      </c>
      <c r="Q1091" t="s">
        <v>1691</v>
      </c>
      <c r="Z1091" t="s">
        <v>49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 hidden="1">
      <c r="A1092">
        <v>1091</v>
      </c>
      <c r="B1092" t="s">
        <v>2011</v>
      </c>
      <c r="C1092" t="s">
        <v>2010</v>
      </c>
      <c r="D1092" t="s">
        <v>143</v>
      </c>
      <c r="E1092">
        <v>0</v>
      </c>
      <c r="F1092" s="3">
        <v>46280</v>
      </c>
      <c r="G1092" s="3">
        <v>46287</v>
      </c>
      <c r="H1092" t="s">
        <v>74</v>
      </c>
      <c r="I1092" t="s">
        <v>140</v>
      </c>
      <c r="J1092" t="s">
        <v>83</v>
      </c>
      <c r="L1092" s="3">
        <v>46280</v>
      </c>
      <c r="M1092" s="3">
        <v>46280</v>
      </c>
      <c r="N1092">
        <v>1090</v>
      </c>
      <c r="P1092">
        <v>1092</v>
      </c>
      <c r="Q1092" t="s">
        <v>1691</v>
      </c>
      <c r="Z1092" t="s">
        <v>49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 hidden="1">
      <c r="A1093">
        <v>1092</v>
      </c>
      <c r="B1093" t="s">
        <v>2012</v>
      </c>
      <c r="C1093" t="s">
        <v>2010</v>
      </c>
      <c r="D1093" t="s">
        <v>146</v>
      </c>
      <c r="E1093">
        <v>0</v>
      </c>
      <c r="F1093" s="3">
        <v>46287</v>
      </c>
      <c r="G1093" s="3">
        <v>46290</v>
      </c>
      <c r="H1093" t="s">
        <v>74</v>
      </c>
      <c r="I1093" t="s">
        <v>147</v>
      </c>
      <c r="J1093" t="s">
        <v>144</v>
      </c>
      <c r="L1093" s="3">
        <v>46283</v>
      </c>
      <c r="M1093" s="3">
        <v>46283</v>
      </c>
      <c r="N1093">
        <v>1091</v>
      </c>
      <c r="P1093">
        <v>1093</v>
      </c>
      <c r="Q1093" t="s">
        <v>1691</v>
      </c>
      <c r="Z1093" t="s">
        <v>49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 hidden="1">
      <c r="A1094">
        <v>1093</v>
      </c>
      <c r="B1094" t="s">
        <v>2013</v>
      </c>
      <c r="C1094" t="s">
        <v>2010</v>
      </c>
      <c r="D1094" t="s">
        <v>150</v>
      </c>
      <c r="E1094">
        <v>0</v>
      </c>
      <c r="F1094" s="3">
        <v>46290</v>
      </c>
      <c r="G1094" s="3">
        <v>46294</v>
      </c>
      <c r="H1094" t="s">
        <v>74</v>
      </c>
      <c r="I1094" t="s">
        <v>151</v>
      </c>
      <c r="J1094" t="s">
        <v>148</v>
      </c>
      <c r="L1094" s="3">
        <v>46287</v>
      </c>
      <c r="M1094" s="3">
        <v>46287</v>
      </c>
      <c r="N1094">
        <v>1092</v>
      </c>
      <c r="Q1094" t="s">
        <v>1691</v>
      </c>
      <c r="Z1094" t="s">
        <v>49</v>
      </c>
      <c r="AB1094">
        <v>0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</row>
    <row r="1095" spans="1:39" hidden="1">
      <c r="A1095">
        <v>1094</v>
      </c>
      <c r="B1095" t="s">
        <v>2014</v>
      </c>
      <c r="C1095" t="s">
        <v>1689</v>
      </c>
      <c r="D1095" t="s">
        <v>2015</v>
      </c>
      <c r="E1095">
        <v>0</v>
      </c>
      <c r="F1095" s="3">
        <v>46259</v>
      </c>
      <c r="G1095" s="3">
        <v>46287</v>
      </c>
      <c r="H1095" t="s">
        <v>74</v>
      </c>
      <c r="I1095" t="s">
        <v>224</v>
      </c>
      <c r="J1095" t="s">
        <v>185</v>
      </c>
      <c r="K1095" s="3">
        <v>46253</v>
      </c>
      <c r="L1095" s="3">
        <v>46280</v>
      </c>
      <c r="M1095" s="3">
        <v>46280</v>
      </c>
      <c r="N1095">
        <v>904</v>
      </c>
      <c r="O1095" t="s">
        <v>130</v>
      </c>
      <c r="Q1095" t="s">
        <v>1691</v>
      </c>
      <c r="R1095" t="s">
        <v>2016</v>
      </c>
      <c r="U1095" t="s">
        <v>824</v>
      </c>
      <c r="V1095" t="s">
        <v>134</v>
      </c>
      <c r="W1095" t="s">
        <v>135</v>
      </c>
      <c r="X1095" t="s">
        <v>844</v>
      </c>
      <c r="Y1095">
        <v>15</v>
      </c>
      <c r="Z1095" t="s">
        <v>49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 hidden="1">
      <c r="A1096">
        <v>1095</v>
      </c>
      <c r="B1096" t="s">
        <v>2017</v>
      </c>
      <c r="C1096" t="s">
        <v>2018</v>
      </c>
      <c r="D1096" t="s">
        <v>139</v>
      </c>
      <c r="E1096">
        <v>0</v>
      </c>
      <c r="F1096" s="3">
        <v>46259</v>
      </c>
      <c r="G1096" s="3">
        <v>46273</v>
      </c>
      <c r="H1096" t="s">
        <v>74</v>
      </c>
      <c r="I1096" t="s">
        <v>216</v>
      </c>
      <c r="J1096" t="s">
        <v>185</v>
      </c>
      <c r="L1096" s="3">
        <v>46266</v>
      </c>
      <c r="M1096" s="3">
        <v>46266</v>
      </c>
      <c r="N1096">
        <v>159</v>
      </c>
      <c r="P1096">
        <v>1096</v>
      </c>
      <c r="Q1096" t="s">
        <v>1691</v>
      </c>
      <c r="Z1096" t="s">
        <v>49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 hidden="1">
      <c r="A1097">
        <v>1096</v>
      </c>
      <c r="B1097" t="s">
        <v>2019</v>
      </c>
      <c r="C1097" t="s">
        <v>2018</v>
      </c>
      <c r="D1097" t="s">
        <v>143</v>
      </c>
      <c r="E1097">
        <v>0</v>
      </c>
      <c r="F1097" s="3">
        <v>46273</v>
      </c>
      <c r="G1097" s="3">
        <v>46280</v>
      </c>
      <c r="H1097" t="s">
        <v>74</v>
      </c>
      <c r="I1097" t="s">
        <v>140</v>
      </c>
      <c r="J1097" t="s">
        <v>83</v>
      </c>
      <c r="L1097" s="3">
        <v>46273</v>
      </c>
      <c r="M1097" s="3">
        <v>46273</v>
      </c>
      <c r="N1097">
        <v>1095</v>
      </c>
      <c r="P1097">
        <v>1097</v>
      </c>
      <c r="Q1097" t="s">
        <v>1691</v>
      </c>
      <c r="Z1097" t="s">
        <v>49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 hidden="1">
      <c r="A1098">
        <v>1097</v>
      </c>
      <c r="B1098" t="s">
        <v>2020</v>
      </c>
      <c r="C1098" t="s">
        <v>2018</v>
      </c>
      <c r="D1098" t="s">
        <v>146</v>
      </c>
      <c r="E1098">
        <v>0</v>
      </c>
      <c r="F1098" s="3">
        <v>46280</v>
      </c>
      <c r="G1098" s="3">
        <v>46283</v>
      </c>
      <c r="H1098" t="s">
        <v>74</v>
      </c>
      <c r="I1098" t="s">
        <v>147</v>
      </c>
      <c r="J1098" t="s">
        <v>83</v>
      </c>
      <c r="L1098" s="3">
        <v>46276</v>
      </c>
      <c r="M1098" s="3">
        <v>46276</v>
      </c>
      <c r="N1098">
        <v>1096</v>
      </c>
      <c r="P1098">
        <v>1098</v>
      </c>
      <c r="Q1098" t="s">
        <v>1691</v>
      </c>
      <c r="Z1098" t="s">
        <v>49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 hidden="1">
      <c r="A1099">
        <v>1098</v>
      </c>
      <c r="B1099" t="s">
        <v>2021</v>
      </c>
      <c r="C1099" t="s">
        <v>2018</v>
      </c>
      <c r="D1099" t="s">
        <v>150</v>
      </c>
      <c r="E1099">
        <v>0</v>
      </c>
      <c r="F1099" s="3">
        <v>46283</v>
      </c>
      <c r="G1099" s="3">
        <v>46287</v>
      </c>
      <c r="H1099" t="s">
        <v>74</v>
      </c>
      <c r="I1099" t="s">
        <v>151</v>
      </c>
      <c r="J1099" t="s">
        <v>144</v>
      </c>
      <c r="L1099" s="3">
        <v>46280</v>
      </c>
      <c r="M1099" s="3">
        <v>46280</v>
      </c>
      <c r="N1099">
        <v>1097</v>
      </c>
      <c r="Q1099" t="s">
        <v>1691</v>
      </c>
      <c r="Z1099" t="s">
        <v>49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>
      <c r="A1100">
        <v>1099</v>
      </c>
      <c r="B1100" t="s">
        <v>2022</v>
      </c>
      <c r="C1100" t="s">
        <v>45</v>
      </c>
      <c r="D1100" t="s">
        <v>2023</v>
      </c>
      <c r="E1100">
        <v>1</v>
      </c>
      <c r="F1100" s="3">
        <v>46135</v>
      </c>
      <c r="G1100" s="5">
        <v>46135</v>
      </c>
      <c r="I1100" t="s">
        <v>64</v>
      </c>
      <c r="J1100" t="s">
        <v>42</v>
      </c>
      <c r="N1100" t="s">
        <v>2024</v>
      </c>
      <c r="Z1100" t="s">
        <v>49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>
      <c r="A1101">
        <v>1100</v>
      </c>
      <c r="B1101" t="s">
        <v>2025</v>
      </c>
      <c r="C1101" t="s">
        <v>45</v>
      </c>
      <c r="D1101" t="s">
        <v>2023</v>
      </c>
      <c r="E1101">
        <v>0</v>
      </c>
      <c r="F1101" s="3">
        <v>46135</v>
      </c>
      <c r="G1101" s="5">
        <v>46135</v>
      </c>
      <c r="I1101" t="s">
        <v>64</v>
      </c>
      <c r="J1101" t="s">
        <v>42</v>
      </c>
      <c r="N1101" t="s">
        <v>2024</v>
      </c>
      <c r="Z1101" t="s">
        <v>49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 spans="1:39">
      <c r="A1102">
        <v>1101</v>
      </c>
      <c r="B1102" t="s">
        <v>2026</v>
      </c>
      <c r="C1102" t="s">
        <v>45</v>
      </c>
      <c r="D1102" t="s">
        <v>2023</v>
      </c>
      <c r="E1102">
        <v>1</v>
      </c>
      <c r="F1102" s="3">
        <v>46135</v>
      </c>
      <c r="G1102" s="5">
        <v>46135</v>
      </c>
      <c r="H1102" t="s">
        <v>58</v>
      </c>
      <c r="I1102" t="s">
        <v>64</v>
      </c>
      <c r="J1102" t="s">
        <v>42</v>
      </c>
      <c r="K1102" s="3">
        <v>46135</v>
      </c>
      <c r="L1102" s="3">
        <v>46135</v>
      </c>
      <c r="M1102" s="3">
        <v>46135</v>
      </c>
      <c r="P1102" t="s">
        <v>2027</v>
      </c>
      <c r="Z1102" t="s">
        <v>49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>
      <c r="A1103">
        <v>1102</v>
      </c>
      <c r="B1103" t="s">
        <v>2028</v>
      </c>
      <c r="C1103" t="s">
        <v>2029</v>
      </c>
      <c r="D1103" t="s">
        <v>2030</v>
      </c>
      <c r="E1103">
        <v>1</v>
      </c>
      <c r="F1103" s="3">
        <v>46135</v>
      </c>
      <c r="G1103" s="5">
        <v>46135</v>
      </c>
      <c r="H1103" t="s">
        <v>58</v>
      </c>
      <c r="I1103" t="s">
        <v>64</v>
      </c>
      <c r="J1103" t="s">
        <v>42</v>
      </c>
      <c r="L1103" s="3">
        <v>46135</v>
      </c>
      <c r="M1103" s="3">
        <v>46135</v>
      </c>
      <c r="Q1103" t="s">
        <v>2031</v>
      </c>
      <c r="R1103" t="s">
        <v>2032</v>
      </c>
      <c r="Z1103" t="s">
        <v>49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</row>
    <row r="1104" spans="1:39">
      <c r="A1104">
        <v>1103</v>
      </c>
      <c r="B1104" t="s">
        <v>2033</v>
      </c>
      <c r="C1104" t="s">
        <v>2029</v>
      </c>
      <c r="D1104" t="s">
        <v>2034</v>
      </c>
      <c r="E1104">
        <v>1</v>
      </c>
      <c r="F1104" s="3">
        <v>46135</v>
      </c>
      <c r="G1104" s="5">
        <v>46135</v>
      </c>
      <c r="H1104" t="s">
        <v>58</v>
      </c>
      <c r="I1104" t="s">
        <v>64</v>
      </c>
      <c r="J1104" t="s">
        <v>42</v>
      </c>
      <c r="L1104" s="3">
        <v>46135</v>
      </c>
      <c r="M1104" s="3">
        <v>46135</v>
      </c>
      <c r="Q1104" t="s">
        <v>2031</v>
      </c>
      <c r="R1104" t="s">
        <v>2035</v>
      </c>
      <c r="Z1104" t="s">
        <v>49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</row>
    <row r="1105" spans="1:39">
      <c r="A1105">
        <v>1104</v>
      </c>
      <c r="B1105" t="s">
        <v>2036</v>
      </c>
      <c r="C1105" t="s">
        <v>2029</v>
      </c>
      <c r="D1105" t="s">
        <v>2037</v>
      </c>
      <c r="E1105">
        <v>1</v>
      </c>
      <c r="F1105" s="3">
        <v>46135</v>
      </c>
      <c r="G1105" s="5">
        <v>46135</v>
      </c>
      <c r="H1105" t="s">
        <v>58</v>
      </c>
      <c r="I1105" t="s">
        <v>64</v>
      </c>
      <c r="J1105" t="s">
        <v>42</v>
      </c>
      <c r="L1105" s="3">
        <v>46135</v>
      </c>
      <c r="M1105" s="3">
        <v>46135</v>
      </c>
      <c r="Z1105" t="s">
        <v>49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>
      <c r="A1106">
        <v>1105</v>
      </c>
      <c r="B1106" t="s">
        <v>2038</v>
      </c>
      <c r="C1106" t="s">
        <v>2029</v>
      </c>
      <c r="D1106" t="s">
        <v>2039</v>
      </c>
      <c r="E1106">
        <v>1</v>
      </c>
      <c r="F1106" s="3">
        <v>46135</v>
      </c>
      <c r="G1106" s="5">
        <v>46135</v>
      </c>
      <c r="H1106" t="s">
        <v>58</v>
      </c>
      <c r="I1106" t="s">
        <v>64</v>
      </c>
      <c r="J1106" t="s">
        <v>42</v>
      </c>
      <c r="L1106" s="3">
        <v>46135</v>
      </c>
      <c r="M1106" s="3">
        <v>46135</v>
      </c>
      <c r="Q1106" t="s">
        <v>2031</v>
      </c>
      <c r="R1106" t="s">
        <v>2040</v>
      </c>
      <c r="Z1106" t="s">
        <v>49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 spans="1:39">
      <c r="A1107">
        <v>1106</v>
      </c>
      <c r="B1107" t="s">
        <v>2041</v>
      </c>
      <c r="C1107" t="s">
        <v>2029</v>
      </c>
      <c r="D1107" t="s">
        <v>2042</v>
      </c>
      <c r="E1107">
        <v>1</v>
      </c>
      <c r="F1107" s="3">
        <v>46135</v>
      </c>
      <c r="G1107" s="5">
        <v>46135</v>
      </c>
      <c r="H1107" t="s">
        <v>58</v>
      </c>
      <c r="I1107" t="s">
        <v>64</v>
      </c>
      <c r="J1107" t="s">
        <v>42</v>
      </c>
      <c r="L1107" s="3">
        <v>46135</v>
      </c>
      <c r="M1107" s="3">
        <v>46135</v>
      </c>
      <c r="Q1107" t="s">
        <v>2031</v>
      </c>
      <c r="R1107" t="s">
        <v>2043</v>
      </c>
      <c r="Z1107" t="s">
        <v>49</v>
      </c>
      <c r="AB1107">
        <v>1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>
      <c r="A1108">
        <v>1107</v>
      </c>
      <c r="B1108" t="s">
        <v>2044</v>
      </c>
      <c r="C1108" t="s">
        <v>2029</v>
      </c>
      <c r="D1108" t="s">
        <v>2045</v>
      </c>
      <c r="E1108">
        <v>1</v>
      </c>
      <c r="F1108" s="3">
        <v>46135</v>
      </c>
      <c r="G1108" s="5">
        <v>46135</v>
      </c>
      <c r="H1108" t="s">
        <v>58</v>
      </c>
      <c r="I1108" t="s">
        <v>64</v>
      </c>
      <c r="J1108" t="s">
        <v>42</v>
      </c>
      <c r="L1108" s="3">
        <v>46135</v>
      </c>
      <c r="M1108" s="3">
        <v>46135</v>
      </c>
      <c r="Q1108" t="s">
        <v>2031</v>
      </c>
      <c r="R1108" t="s">
        <v>2046</v>
      </c>
      <c r="Z1108" t="s">
        <v>49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 spans="1:39">
      <c r="A1109">
        <v>1108</v>
      </c>
      <c r="B1109" t="s">
        <v>2047</v>
      </c>
      <c r="C1109" t="s">
        <v>2029</v>
      </c>
      <c r="D1109" t="s">
        <v>2048</v>
      </c>
      <c r="E1109">
        <v>1</v>
      </c>
      <c r="F1109" s="3">
        <v>46135</v>
      </c>
      <c r="G1109" s="5">
        <v>46135</v>
      </c>
      <c r="H1109" t="s">
        <v>58</v>
      </c>
      <c r="I1109" t="s">
        <v>64</v>
      </c>
      <c r="J1109" t="s">
        <v>42</v>
      </c>
      <c r="L1109" s="3">
        <v>46135</v>
      </c>
      <c r="M1109" s="3">
        <v>46135</v>
      </c>
      <c r="Q1109" t="s">
        <v>2031</v>
      </c>
      <c r="R1109" t="s">
        <v>2049</v>
      </c>
      <c r="Z1109" t="s">
        <v>49</v>
      </c>
      <c r="AB1109">
        <v>1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>
      <c r="A1110">
        <v>1109</v>
      </c>
      <c r="B1110" t="s">
        <v>2050</v>
      </c>
      <c r="C1110" t="s">
        <v>2029</v>
      </c>
      <c r="D1110" t="s">
        <v>2051</v>
      </c>
      <c r="E1110">
        <v>1</v>
      </c>
      <c r="F1110" s="3">
        <v>46135</v>
      </c>
      <c r="G1110" s="5">
        <v>46135</v>
      </c>
      <c r="H1110" t="s">
        <v>58</v>
      </c>
      <c r="I1110" t="s">
        <v>64</v>
      </c>
      <c r="J1110" t="s">
        <v>42</v>
      </c>
      <c r="L1110" s="3">
        <v>46135</v>
      </c>
      <c r="M1110" s="3">
        <v>46135</v>
      </c>
      <c r="Q1110" t="s">
        <v>2031</v>
      </c>
      <c r="R1110" t="s">
        <v>2052</v>
      </c>
      <c r="Z1110" t="s">
        <v>49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>
      <c r="A1111">
        <v>1110</v>
      </c>
      <c r="B1111" t="s">
        <v>2053</v>
      </c>
      <c r="C1111" t="s">
        <v>2029</v>
      </c>
      <c r="D1111" t="s">
        <v>2054</v>
      </c>
      <c r="E1111">
        <v>1</v>
      </c>
      <c r="F1111" s="3">
        <v>46135</v>
      </c>
      <c r="G1111" s="5">
        <v>46135</v>
      </c>
      <c r="H1111" t="s">
        <v>58</v>
      </c>
      <c r="I1111" t="s">
        <v>64</v>
      </c>
      <c r="J1111" t="s">
        <v>42</v>
      </c>
      <c r="L1111" s="3">
        <v>46135</v>
      </c>
      <c r="M1111" s="3">
        <v>46135</v>
      </c>
      <c r="Q1111" t="s">
        <v>2031</v>
      </c>
      <c r="R1111" t="s">
        <v>2055</v>
      </c>
      <c r="Z1111" t="s">
        <v>49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>
      <c r="A1112">
        <v>1111</v>
      </c>
      <c r="B1112" t="s">
        <v>2056</v>
      </c>
      <c r="C1112" t="s">
        <v>2029</v>
      </c>
      <c r="D1112" t="s">
        <v>2057</v>
      </c>
      <c r="E1112">
        <v>1</v>
      </c>
      <c r="F1112" s="3">
        <v>46135</v>
      </c>
      <c r="G1112" s="5">
        <v>46135</v>
      </c>
      <c r="H1112" t="s">
        <v>58</v>
      </c>
      <c r="I1112" t="s">
        <v>64</v>
      </c>
      <c r="J1112" t="s">
        <v>42</v>
      </c>
      <c r="L1112" s="3">
        <v>46135</v>
      </c>
      <c r="M1112" s="3">
        <v>46135</v>
      </c>
      <c r="Q1112" t="s">
        <v>2031</v>
      </c>
      <c r="R1112" t="s">
        <v>2058</v>
      </c>
      <c r="Z1112" t="s">
        <v>49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</row>
    <row r="1113" spans="1:39">
      <c r="A1113">
        <v>1112</v>
      </c>
      <c r="B1113" t="s">
        <v>2059</v>
      </c>
      <c r="C1113" t="s">
        <v>2029</v>
      </c>
      <c r="D1113" t="s">
        <v>2060</v>
      </c>
      <c r="E1113">
        <v>1</v>
      </c>
      <c r="F1113" s="3">
        <v>46135</v>
      </c>
      <c r="G1113" s="5">
        <v>46135</v>
      </c>
      <c r="H1113" t="s">
        <v>58</v>
      </c>
      <c r="I1113" t="s">
        <v>64</v>
      </c>
      <c r="J1113" t="s">
        <v>42</v>
      </c>
      <c r="L1113" s="3">
        <v>46135</v>
      </c>
      <c r="M1113" s="3">
        <v>46135</v>
      </c>
      <c r="Q1113" t="s">
        <v>2031</v>
      </c>
      <c r="R1113" t="s">
        <v>2061</v>
      </c>
      <c r="Z1113" t="s">
        <v>49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</row>
    <row r="1114" spans="1:39">
      <c r="A1114">
        <v>1113</v>
      </c>
      <c r="B1114" t="s">
        <v>2062</v>
      </c>
      <c r="C1114" t="s">
        <v>2029</v>
      </c>
      <c r="D1114" t="s">
        <v>2063</v>
      </c>
      <c r="E1114">
        <v>1</v>
      </c>
      <c r="F1114" s="3">
        <v>46135</v>
      </c>
      <c r="G1114" s="5">
        <v>46135</v>
      </c>
      <c r="H1114" t="s">
        <v>58</v>
      </c>
      <c r="I1114" t="s">
        <v>64</v>
      </c>
      <c r="J1114" t="s">
        <v>42</v>
      </c>
      <c r="L1114" s="3">
        <v>46135</v>
      </c>
      <c r="M1114" s="3">
        <v>46135</v>
      </c>
      <c r="Q1114" t="s">
        <v>2031</v>
      </c>
      <c r="R1114" t="s">
        <v>2064</v>
      </c>
      <c r="Z1114" t="s">
        <v>49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39">
      <c r="A1115">
        <v>1114</v>
      </c>
      <c r="B1115" t="s">
        <v>2065</v>
      </c>
      <c r="C1115" t="s">
        <v>2029</v>
      </c>
      <c r="D1115" t="s">
        <v>2066</v>
      </c>
      <c r="E1115">
        <v>1</v>
      </c>
      <c r="F1115" s="3">
        <v>46135</v>
      </c>
      <c r="G1115" s="5">
        <v>46135</v>
      </c>
      <c r="H1115" t="s">
        <v>58</v>
      </c>
      <c r="I1115" t="s">
        <v>64</v>
      </c>
      <c r="J1115" t="s">
        <v>42</v>
      </c>
      <c r="L1115" s="3">
        <v>46135</v>
      </c>
      <c r="M1115" s="3">
        <v>46135</v>
      </c>
      <c r="Q1115" t="s">
        <v>2031</v>
      </c>
      <c r="R1115" t="s">
        <v>2067</v>
      </c>
      <c r="Z1115" t="s">
        <v>49</v>
      </c>
      <c r="AB1115">
        <v>1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>
      <c r="A1116">
        <v>1115</v>
      </c>
      <c r="B1116" t="s">
        <v>2068</v>
      </c>
      <c r="C1116" t="s">
        <v>2029</v>
      </c>
      <c r="D1116" t="s">
        <v>2069</v>
      </c>
      <c r="E1116">
        <v>1</v>
      </c>
      <c r="F1116" s="3">
        <v>46135</v>
      </c>
      <c r="G1116" s="5">
        <v>46135</v>
      </c>
      <c r="H1116" t="s">
        <v>58</v>
      </c>
      <c r="I1116" t="s">
        <v>64</v>
      </c>
      <c r="J1116" t="s">
        <v>42</v>
      </c>
      <c r="L1116" s="3">
        <v>46135</v>
      </c>
      <c r="M1116" s="3">
        <v>46135</v>
      </c>
      <c r="Q1116" t="s">
        <v>2031</v>
      </c>
      <c r="R1116" t="s">
        <v>2070</v>
      </c>
      <c r="Z1116" t="s">
        <v>49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 spans="1:39">
      <c r="A1117">
        <v>1116</v>
      </c>
      <c r="B1117" t="s">
        <v>2071</v>
      </c>
      <c r="C1117" t="s">
        <v>2029</v>
      </c>
      <c r="D1117" t="s">
        <v>2072</v>
      </c>
      <c r="E1117">
        <v>1</v>
      </c>
      <c r="F1117" s="3">
        <v>46135</v>
      </c>
      <c r="G1117" s="5">
        <v>46135</v>
      </c>
      <c r="H1117" t="s">
        <v>58</v>
      </c>
      <c r="I1117" t="s">
        <v>64</v>
      </c>
      <c r="J1117" t="s">
        <v>42</v>
      </c>
      <c r="L1117" s="3">
        <v>46135</v>
      </c>
      <c r="M1117" s="3">
        <v>46135</v>
      </c>
      <c r="Q1117" t="s">
        <v>2031</v>
      </c>
      <c r="R1117" t="s">
        <v>2073</v>
      </c>
      <c r="Z1117" t="s">
        <v>49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 spans="1:39">
      <c r="A1118">
        <v>1117</v>
      </c>
      <c r="B1118" t="s">
        <v>2074</v>
      </c>
      <c r="C1118" t="s">
        <v>2029</v>
      </c>
      <c r="D1118" t="s">
        <v>2075</v>
      </c>
      <c r="E1118">
        <v>1</v>
      </c>
      <c r="F1118" s="3">
        <v>46135</v>
      </c>
      <c r="G1118" s="5">
        <v>46135</v>
      </c>
      <c r="H1118" t="s">
        <v>58</v>
      </c>
      <c r="I1118" t="s">
        <v>64</v>
      </c>
      <c r="J1118" t="s">
        <v>42</v>
      </c>
      <c r="L1118" s="3">
        <v>46135</v>
      </c>
      <c r="M1118" s="3">
        <v>46135</v>
      </c>
      <c r="Q1118" t="s">
        <v>2031</v>
      </c>
      <c r="R1118" t="s">
        <v>2076</v>
      </c>
      <c r="Z1118" t="s">
        <v>49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</row>
    <row r="1119" spans="1:39">
      <c r="A1119">
        <v>1118</v>
      </c>
      <c r="B1119" t="s">
        <v>2077</v>
      </c>
      <c r="C1119" t="s">
        <v>2029</v>
      </c>
      <c r="D1119" t="s">
        <v>2078</v>
      </c>
      <c r="E1119">
        <v>1</v>
      </c>
      <c r="F1119" s="3">
        <v>46135</v>
      </c>
      <c r="G1119" s="5">
        <v>46135</v>
      </c>
      <c r="H1119" t="s">
        <v>58</v>
      </c>
      <c r="I1119" t="s">
        <v>64</v>
      </c>
      <c r="J1119" t="s">
        <v>42</v>
      </c>
      <c r="L1119" s="3">
        <v>46135</v>
      </c>
      <c r="M1119" s="3">
        <v>46135</v>
      </c>
      <c r="Q1119" t="s">
        <v>2031</v>
      </c>
      <c r="R1119" t="s">
        <v>2079</v>
      </c>
      <c r="Z1119" t="s">
        <v>49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>
      <c r="A1120">
        <v>1119</v>
      </c>
      <c r="B1120" t="s">
        <v>2080</v>
      </c>
      <c r="C1120" t="s">
        <v>2029</v>
      </c>
      <c r="D1120" t="s">
        <v>2081</v>
      </c>
      <c r="E1120">
        <v>1</v>
      </c>
      <c r="F1120" s="3">
        <v>46135</v>
      </c>
      <c r="G1120" s="5">
        <v>46135</v>
      </c>
      <c r="H1120" t="s">
        <v>58</v>
      </c>
      <c r="I1120" t="s">
        <v>64</v>
      </c>
      <c r="J1120" t="s">
        <v>42</v>
      </c>
      <c r="L1120" s="3">
        <v>46135</v>
      </c>
      <c r="M1120" s="3">
        <v>46135</v>
      </c>
      <c r="Q1120" t="s">
        <v>2031</v>
      </c>
      <c r="R1120" t="s">
        <v>2082</v>
      </c>
      <c r="Z1120" t="s">
        <v>49</v>
      </c>
      <c r="AB1120">
        <v>1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</row>
    <row r="1121" spans="1:39">
      <c r="A1121">
        <v>1120</v>
      </c>
      <c r="B1121" t="s">
        <v>2083</v>
      </c>
      <c r="C1121" t="s">
        <v>2029</v>
      </c>
      <c r="D1121" t="s">
        <v>2084</v>
      </c>
      <c r="E1121">
        <v>1</v>
      </c>
      <c r="F1121" s="3">
        <v>46135</v>
      </c>
      <c r="G1121" s="5">
        <v>46135</v>
      </c>
      <c r="H1121" t="s">
        <v>58</v>
      </c>
      <c r="I1121" t="s">
        <v>64</v>
      </c>
      <c r="J1121" t="s">
        <v>42</v>
      </c>
      <c r="L1121" s="3">
        <v>46135</v>
      </c>
      <c r="M1121" s="3">
        <v>46135</v>
      </c>
      <c r="Q1121" t="s">
        <v>2031</v>
      </c>
      <c r="R1121" t="s">
        <v>2085</v>
      </c>
      <c r="Z1121" t="s">
        <v>49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</row>
    <row r="1122" spans="1:39">
      <c r="A1122">
        <v>1121</v>
      </c>
      <c r="B1122" t="s">
        <v>2086</v>
      </c>
      <c r="C1122" t="s">
        <v>2029</v>
      </c>
      <c r="D1122" t="s">
        <v>2087</v>
      </c>
      <c r="E1122">
        <v>1</v>
      </c>
      <c r="F1122" s="3">
        <v>46135</v>
      </c>
      <c r="G1122" s="5">
        <v>46135</v>
      </c>
      <c r="H1122" t="s">
        <v>58</v>
      </c>
      <c r="I1122" t="s">
        <v>64</v>
      </c>
      <c r="J1122" t="s">
        <v>42</v>
      </c>
      <c r="L1122" s="3">
        <v>46135</v>
      </c>
      <c r="M1122" s="3">
        <v>46135</v>
      </c>
      <c r="Q1122" t="s">
        <v>2031</v>
      </c>
      <c r="R1122" t="s">
        <v>2088</v>
      </c>
      <c r="Z1122" t="s">
        <v>49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 spans="1:39">
      <c r="A1123">
        <v>1122</v>
      </c>
      <c r="B1123" t="s">
        <v>2089</v>
      </c>
      <c r="C1123" t="s">
        <v>2029</v>
      </c>
      <c r="D1123" t="s">
        <v>2090</v>
      </c>
      <c r="E1123">
        <v>1</v>
      </c>
      <c r="F1123" s="3">
        <v>46135</v>
      </c>
      <c r="G1123" s="5">
        <v>46135</v>
      </c>
      <c r="H1123" t="s">
        <v>58</v>
      </c>
      <c r="I1123" t="s">
        <v>64</v>
      </c>
      <c r="J1123" t="s">
        <v>42</v>
      </c>
      <c r="L1123" s="3">
        <v>46135</v>
      </c>
      <c r="M1123" s="3">
        <v>46135</v>
      </c>
      <c r="Q1123" t="s">
        <v>2031</v>
      </c>
      <c r="R1123" t="s">
        <v>2091</v>
      </c>
      <c r="Z1123" t="s">
        <v>49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</row>
    <row r="1124" spans="1:39">
      <c r="A1124">
        <v>1123</v>
      </c>
      <c r="B1124" t="s">
        <v>2092</v>
      </c>
      <c r="C1124" t="s">
        <v>2029</v>
      </c>
      <c r="D1124" t="s">
        <v>2093</v>
      </c>
      <c r="E1124">
        <v>1</v>
      </c>
      <c r="F1124" s="3">
        <v>46135</v>
      </c>
      <c r="G1124" s="5">
        <v>46135</v>
      </c>
      <c r="H1124" t="s">
        <v>58</v>
      </c>
      <c r="I1124" t="s">
        <v>64</v>
      </c>
      <c r="J1124" t="s">
        <v>42</v>
      </c>
      <c r="L1124" s="3">
        <v>46135</v>
      </c>
      <c r="M1124" s="3">
        <v>46135</v>
      </c>
      <c r="Q1124" t="s">
        <v>2031</v>
      </c>
      <c r="R1124" t="s">
        <v>2094</v>
      </c>
      <c r="Z1124" t="s">
        <v>49</v>
      </c>
      <c r="AB1124">
        <v>1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 spans="1:39">
      <c r="A1125">
        <v>1124</v>
      </c>
      <c r="B1125" t="s">
        <v>2095</v>
      </c>
      <c r="C1125" t="s">
        <v>2029</v>
      </c>
      <c r="D1125" t="s">
        <v>2096</v>
      </c>
      <c r="E1125">
        <v>1</v>
      </c>
      <c r="F1125" s="3">
        <v>46135</v>
      </c>
      <c r="G1125" s="5">
        <v>46135</v>
      </c>
      <c r="H1125" t="s">
        <v>58</v>
      </c>
      <c r="I1125" t="s">
        <v>64</v>
      </c>
      <c r="J1125" t="s">
        <v>42</v>
      </c>
      <c r="L1125" s="3">
        <v>46135</v>
      </c>
      <c r="M1125" s="3">
        <v>46135</v>
      </c>
      <c r="Q1125" t="s">
        <v>2031</v>
      </c>
      <c r="R1125" t="s">
        <v>2097</v>
      </c>
      <c r="Z1125" t="s">
        <v>49</v>
      </c>
      <c r="AB1125">
        <v>1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>
      <c r="A1126">
        <v>1125</v>
      </c>
      <c r="B1126" t="s">
        <v>2098</v>
      </c>
      <c r="C1126" t="s">
        <v>2029</v>
      </c>
      <c r="D1126" t="s">
        <v>2099</v>
      </c>
      <c r="E1126">
        <v>1</v>
      </c>
      <c r="F1126" s="3">
        <v>46135</v>
      </c>
      <c r="G1126" s="5">
        <v>46135</v>
      </c>
      <c r="H1126" t="s">
        <v>58</v>
      </c>
      <c r="I1126" t="s">
        <v>64</v>
      </c>
      <c r="J1126" t="s">
        <v>42</v>
      </c>
      <c r="L1126" s="3">
        <v>46135</v>
      </c>
      <c r="M1126" s="3">
        <v>46135</v>
      </c>
      <c r="Q1126" t="s">
        <v>2031</v>
      </c>
      <c r="R1126" t="s">
        <v>2100</v>
      </c>
      <c r="Z1126" t="s">
        <v>49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 spans="1:39">
      <c r="A1127">
        <v>1126</v>
      </c>
      <c r="B1127" t="s">
        <v>2101</v>
      </c>
      <c r="C1127" t="s">
        <v>2029</v>
      </c>
      <c r="D1127" t="s">
        <v>2102</v>
      </c>
      <c r="E1127">
        <v>1</v>
      </c>
      <c r="F1127" s="3">
        <v>46135</v>
      </c>
      <c r="G1127" s="5">
        <v>46135</v>
      </c>
      <c r="H1127" t="s">
        <v>58</v>
      </c>
      <c r="I1127" t="s">
        <v>64</v>
      </c>
      <c r="J1127" t="s">
        <v>42</v>
      </c>
      <c r="L1127" s="3">
        <v>46135</v>
      </c>
      <c r="M1127" s="3">
        <v>46135</v>
      </c>
      <c r="Q1127" t="s">
        <v>2031</v>
      </c>
      <c r="R1127" t="s">
        <v>2103</v>
      </c>
      <c r="Z1127" t="s">
        <v>49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 spans="1:39">
      <c r="A1128">
        <v>1127</v>
      </c>
      <c r="B1128" t="s">
        <v>2104</v>
      </c>
      <c r="C1128" t="s">
        <v>2029</v>
      </c>
      <c r="D1128" t="s">
        <v>2105</v>
      </c>
      <c r="E1128">
        <v>1</v>
      </c>
      <c r="F1128" s="3">
        <v>46135</v>
      </c>
      <c r="G1128" s="5">
        <v>46135</v>
      </c>
      <c r="H1128" t="s">
        <v>58</v>
      </c>
      <c r="I1128" t="s">
        <v>64</v>
      </c>
      <c r="J1128" t="s">
        <v>42</v>
      </c>
      <c r="L1128" s="3">
        <v>46135</v>
      </c>
      <c r="M1128" s="3">
        <v>46135</v>
      </c>
      <c r="Q1128" t="s">
        <v>2031</v>
      </c>
      <c r="R1128" t="s">
        <v>2106</v>
      </c>
      <c r="Z1128" t="s">
        <v>49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39">
      <c r="A1129">
        <v>1128</v>
      </c>
      <c r="B1129" t="s">
        <v>2107</v>
      </c>
      <c r="C1129" t="s">
        <v>2029</v>
      </c>
      <c r="D1129" t="s">
        <v>2108</v>
      </c>
      <c r="E1129">
        <v>1</v>
      </c>
      <c r="F1129" s="3">
        <v>46135</v>
      </c>
      <c r="G1129" s="5">
        <v>46135</v>
      </c>
      <c r="H1129" t="s">
        <v>58</v>
      </c>
      <c r="I1129" t="s">
        <v>64</v>
      </c>
      <c r="J1129" t="s">
        <v>42</v>
      </c>
      <c r="L1129" s="3">
        <v>46135</v>
      </c>
      <c r="M1129" s="3">
        <v>46135</v>
      </c>
      <c r="Q1129" t="s">
        <v>2031</v>
      </c>
      <c r="R1129" t="s">
        <v>2109</v>
      </c>
      <c r="Z1129" t="s">
        <v>49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>
      <c r="A1130">
        <v>1129</v>
      </c>
      <c r="B1130" t="s">
        <v>2110</v>
      </c>
      <c r="C1130" t="s">
        <v>2029</v>
      </c>
      <c r="D1130" t="s">
        <v>2111</v>
      </c>
      <c r="E1130">
        <v>1</v>
      </c>
      <c r="F1130" s="3">
        <v>46135</v>
      </c>
      <c r="G1130" s="5">
        <v>46135</v>
      </c>
      <c r="H1130" t="s">
        <v>58</v>
      </c>
      <c r="I1130" t="s">
        <v>64</v>
      </c>
      <c r="J1130" t="s">
        <v>42</v>
      </c>
      <c r="L1130" s="3">
        <v>46135</v>
      </c>
      <c r="M1130" s="3">
        <v>46135</v>
      </c>
      <c r="Q1130" t="s">
        <v>2031</v>
      </c>
      <c r="R1130" t="s">
        <v>2112</v>
      </c>
      <c r="Z1130" t="s">
        <v>49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>
      <c r="A1131">
        <v>1130</v>
      </c>
      <c r="B1131" t="s">
        <v>2113</v>
      </c>
      <c r="C1131" t="s">
        <v>2029</v>
      </c>
      <c r="D1131" t="s">
        <v>2114</v>
      </c>
      <c r="E1131">
        <v>1</v>
      </c>
      <c r="F1131" s="3">
        <v>46135</v>
      </c>
      <c r="G1131" s="5">
        <v>46135</v>
      </c>
      <c r="H1131" t="s">
        <v>58</v>
      </c>
      <c r="I1131" t="s">
        <v>64</v>
      </c>
      <c r="J1131" t="s">
        <v>42</v>
      </c>
      <c r="L1131" s="3">
        <v>46135</v>
      </c>
      <c r="M1131" s="3">
        <v>46135</v>
      </c>
      <c r="Q1131" t="s">
        <v>2031</v>
      </c>
      <c r="R1131" t="s">
        <v>2115</v>
      </c>
      <c r="Z1131" t="s">
        <v>49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>
      <c r="A1132">
        <v>1131</v>
      </c>
      <c r="B1132" t="s">
        <v>2116</v>
      </c>
      <c r="C1132" t="s">
        <v>2029</v>
      </c>
      <c r="D1132" t="s">
        <v>2117</v>
      </c>
      <c r="E1132">
        <v>1</v>
      </c>
      <c r="F1132" s="3">
        <v>46135</v>
      </c>
      <c r="G1132" s="5">
        <v>46135</v>
      </c>
      <c r="H1132" t="s">
        <v>58</v>
      </c>
      <c r="I1132" t="s">
        <v>64</v>
      </c>
      <c r="J1132" t="s">
        <v>42</v>
      </c>
      <c r="L1132" s="3">
        <v>46135</v>
      </c>
      <c r="M1132" s="3">
        <v>46135</v>
      </c>
      <c r="Q1132" t="s">
        <v>2031</v>
      </c>
      <c r="R1132" t="s">
        <v>2118</v>
      </c>
      <c r="Z1132" t="s">
        <v>49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>
      <c r="A1133">
        <v>1132</v>
      </c>
      <c r="B1133" t="s">
        <v>2119</v>
      </c>
      <c r="C1133" t="s">
        <v>2029</v>
      </c>
      <c r="D1133" t="s">
        <v>2120</v>
      </c>
      <c r="E1133">
        <v>1</v>
      </c>
      <c r="F1133" s="3">
        <v>46135</v>
      </c>
      <c r="G1133" s="5">
        <v>46135</v>
      </c>
      <c r="H1133" t="s">
        <v>58</v>
      </c>
      <c r="I1133" t="s">
        <v>64</v>
      </c>
      <c r="J1133" t="s">
        <v>42</v>
      </c>
      <c r="L1133" s="3">
        <v>46135</v>
      </c>
      <c r="M1133" s="3">
        <v>46135</v>
      </c>
      <c r="Q1133" t="s">
        <v>2031</v>
      </c>
      <c r="R1133" t="s">
        <v>2121</v>
      </c>
      <c r="Z1133" t="s">
        <v>49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</row>
    <row r="1134" spans="1:39">
      <c r="A1134">
        <v>1133</v>
      </c>
      <c r="B1134" t="s">
        <v>2122</v>
      </c>
      <c r="C1134" t="s">
        <v>2029</v>
      </c>
      <c r="D1134" t="s">
        <v>2123</v>
      </c>
      <c r="E1134">
        <v>1</v>
      </c>
      <c r="F1134" s="3">
        <v>46135</v>
      </c>
      <c r="G1134" s="5">
        <v>46135</v>
      </c>
      <c r="H1134" t="s">
        <v>58</v>
      </c>
      <c r="I1134" t="s">
        <v>64</v>
      </c>
      <c r="J1134" t="s">
        <v>42</v>
      </c>
      <c r="L1134" s="3">
        <v>46135</v>
      </c>
      <c r="M1134" s="3">
        <v>46135</v>
      </c>
      <c r="Q1134" t="s">
        <v>2031</v>
      </c>
      <c r="R1134" t="s">
        <v>2124</v>
      </c>
      <c r="Z1134" t="s">
        <v>49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>
      <c r="A1135">
        <v>1134</v>
      </c>
      <c r="B1135" t="s">
        <v>2125</v>
      </c>
      <c r="C1135" t="s">
        <v>2029</v>
      </c>
      <c r="D1135" t="s">
        <v>2126</v>
      </c>
      <c r="E1135">
        <v>1</v>
      </c>
      <c r="F1135" s="3">
        <v>46135</v>
      </c>
      <c r="G1135" s="5">
        <v>46135</v>
      </c>
      <c r="H1135" t="s">
        <v>58</v>
      </c>
      <c r="I1135" t="s">
        <v>64</v>
      </c>
      <c r="J1135" t="s">
        <v>42</v>
      </c>
      <c r="L1135" s="3">
        <v>46135</v>
      </c>
      <c r="M1135" s="3">
        <v>46135</v>
      </c>
      <c r="Q1135" t="s">
        <v>2031</v>
      </c>
      <c r="R1135" t="s">
        <v>2127</v>
      </c>
      <c r="Z1135" t="s">
        <v>49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>
      <c r="A1136">
        <v>1135</v>
      </c>
      <c r="B1136" t="s">
        <v>2128</v>
      </c>
      <c r="C1136" t="s">
        <v>2029</v>
      </c>
      <c r="D1136" t="s">
        <v>2129</v>
      </c>
      <c r="E1136">
        <v>1</v>
      </c>
      <c r="F1136" s="3">
        <v>46135</v>
      </c>
      <c r="G1136" s="5">
        <v>46135</v>
      </c>
      <c r="H1136" t="s">
        <v>58</v>
      </c>
      <c r="I1136" t="s">
        <v>64</v>
      </c>
      <c r="J1136" t="s">
        <v>42</v>
      </c>
      <c r="L1136" s="3">
        <v>46135</v>
      </c>
      <c r="M1136" s="3">
        <v>46135</v>
      </c>
      <c r="Q1136" t="s">
        <v>2031</v>
      </c>
      <c r="R1136" t="s">
        <v>2130</v>
      </c>
      <c r="Z1136" t="s">
        <v>49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>
      <c r="A1137">
        <v>1136</v>
      </c>
      <c r="B1137" t="s">
        <v>2131</v>
      </c>
      <c r="C1137" t="s">
        <v>2029</v>
      </c>
      <c r="D1137" t="s">
        <v>2132</v>
      </c>
      <c r="E1137">
        <v>1</v>
      </c>
      <c r="F1137" s="3">
        <v>46135</v>
      </c>
      <c r="G1137" s="5">
        <v>46135</v>
      </c>
      <c r="H1137" t="s">
        <v>58</v>
      </c>
      <c r="I1137" t="s">
        <v>64</v>
      </c>
      <c r="J1137" t="s">
        <v>42</v>
      </c>
      <c r="L1137" s="3">
        <v>46135</v>
      </c>
      <c r="M1137" s="3">
        <v>46135</v>
      </c>
      <c r="Q1137" t="s">
        <v>2031</v>
      </c>
      <c r="R1137" t="s">
        <v>2133</v>
      </c>
      <c r="Z1137" t="s">
        <v>49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>
      <c r="A1138">
        <v>1137</v>
      </c>
      <c r="B1138" t="s">
        <v>2134</v>
      </c>
      <c r="C1138" t="s">
        <v>2029</v>
      </c>
      <c r="D1138" t="s">
        <v>2135</v>
      </c>
      <c r="E1138">
        <v>1</v>
      </c>
      <c r="F1138" s="3">
        <v>46135</v>
      </c>
      <c r="G1138" s="5">
        <v>46135</v>
      </c>
      <c r="H1138" t="s">
        <v>58</v>
      </c>
      <c r="I1138" t="s">
        <v>64</v>
      </c>
      <c r="J1138" t="s">
        <v>42</v>
      </c>
      <c r="L1138" s="3">
        <v>46135</v>
      </c>
      <c r="M1138" s="3">
        <v>46135</v>
      </c>
      <c r="Q1138" t="s">
        <v>2031</v>
      </c>
      <c r="R1138" t="s">
        <v>2136</v>
      </c>
      <c r="Z1138" t="s">
        <v>49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>
      <c r="A1139">
        <v>1138</v>
      </c>
      <c r="B1139" t="s">
        <v>2137</v>
      </c>
      <c r="C1139" t="s">
        <v>2029</v>
      </c>
      <c r="D1139" t="s">
        <v>2138</v>
      </c>
      <c r="E1139">
        <v>1</v>
      </c>
      <c r="F1139" s="3">
        <v>46135</v>
      </c>
      <c r="G1139" s="5">
        <v>46135</v>
      </c>
      <c r="H1139" t="s">
        <v>58</v>
      </c>
      <c r="I1139" t="s">
        <v>64</v>
      </c>
      <c r="J1139" t="s">
        <v>42</v>
      </c>
      <c r="L1139" s="3">
        <v>46135</v>
      </c>
      <c r="M1139" s="3">
        <v>46135</v>
      </c>
      <c r="Q1139" t="s">
        <v>2031</v>
      </c>
      <c r="R1139" t="s">
        <v>2139</v>
      </c>
      <c r="Z1139" t="s">
        <v>49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>
      <c r="A1140">
        <v>1139</v>
      </c>
      <c r="B1140" t="s">
        <v>2140</v>
      </c>
      <c r="C1140" t="s">
        <v>2029</v>
      </c>
      <c r="D1140" t="s">
        <v>2141</v>
      </c>
      <c r="E1140">
        <v>1</v>
      </c>
      <c r="F1140" s="3">
        <v>46135</v>
      </c>
      <c r="G1140" s="5">
        <v>46135</v>
      </c>
      <c r="H1140" t="s">
        <v>58</v>
      </c>
      <c r="I1140" t="s">
        <v>64</v>
      </c>
      <c r="J1140" t="s">
        <v>42</v>
      </c>
      <c r="L1140" s="3">
        <v>46135</v>
      </c>
      <c r="M1140" s="3">
        <v>46135</v>
      </c>
      <c r="Q1140" t="s">
        <v>2031</v>
      </c>
      <c r="R1140" t="s">
        <v>2142</v>
      </c>
      <c r="Z1140" t="s">
        <v>49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>
      <c r="A1141">
        <v>1140</v>
      </c>
      <c r="B1141" t="s">
        <v>2143</v>
      </c>
      <c r="C1141" t="s">
        <v>2029</v>
      </c>
      <c r="D1141" t="s">
        <v>2144</v>
      </c>
      <c r="E1141">
        <v>1</v>
      </c>
      <c r="F1141" s="3">
        <v>46135</v>
      </c>
      <c r="G1141" s="5">
        <v>46135</v>
      </c>
      <c r="H1141" t="s">
        <v>58</v>
      </c>
      <c r="I1141" t="s">
        <v>64</v>
      </c>
      <c r="J1141" t="s">
        <v>42</v>
      </c>
      <c r="L1141" s="3">
        <v>46135</v>
      </c>
      <c r="M1141" s="3">
        <v>46135</v>
      </c>
      <c r="Q1141" t="s">
        <v>2031</v>
      </c>
      <c r="R1141" t="s">
        <v>2145</v>
      </c>
      <c r="Z1141" t="s">
        <v>49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>
      <c r="A1142">
        <v>1141</v>
      </c>
      <c r="B1142" t="s">
        <v>2146</v>
      </c>
      <c r="C1142" t="s">
        <v>2029</v>
      </c>
      <c r="D1142" t="s">
        <v>2147</v>
      </c>
      <c r="E1142">
        <v>1</v>
      </c>
      <c r="F1142" s="3">
        <v>46135</v>
      </c>
      <c r="G1142" s="5">
        <v>46135</v>
      </c>
      <c r="H1142" t="s">
        <v>58</v>
      </c>
      <c r="I1142" t="s">
        <v>64</v>
      </c>
      <c r="J1142" t="s">
        <v>42</v>
      </c>
      <c r="L1142" s="3">
        <v>46135</v>
      </c>
      <c r="M1142" s="3">
        <v>46135</v>
      </c>
      <c r="Q1142" t="s">
        <v>2031</v>
      </c>
      <c r="R1142" t="s">
        <v>2148</v>
      </c>
      <c r="Z1142" t="s">
        <v>49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>
      <c r="A1143">
        <v>1142</v>
      </c>
      <c r="B1143" t="s">
        <v>2149</v>
      </c>
      <c r="C1143" t="s">
        <v>2029</v>
      </c>
      <c r="D1143" t="s">
        <v>2150</v>
      </c>
      <c r="E1143">
        <v>1</v>
      </c>
      <c r="F1143" s="3">
        <v>46135</v>
      </c>
      <c r="G1143" s="5">
        <v>46135</v>
      </c>
      <c r="H1143" t="s">
        <v>58</v>
      </c>
      <c r="I1143" t="s">
        <v>64</v>
      </c>
      <c r="J1143" t="s">
        <v>42</v>
      </c>
      <c r="L1143" s="3">
        <v>46135</v>
      </c>
      <c r="M1143" s="3">
        <v>46135</v>
      </c>
      <c r="Q1143" t="s">
        <v>2031</v>
      </c>
      <c r="R1143" t="s">
        <v>2151</v>
      </c>
      <c r="Z1143" t="s">
        <v>49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>
      <c r="A1144">
        <v>1143</v>
      </c>
      <c r="B1144" t="s">
        <v>2152</v>
      </c>
      <c r="C1144" t="s">
        <v>2029</v>
      </c>
      <c r="D1144" t="s">
        <v>2153</v>
      </c>
      <c r="E1144">
        <v>1</v>
      </c>
      <c r="F1144" s="3">
        <v>46135</v>
      </c>
      <c r="G1144" s="5">
        <v>46135</v>
      </c>
      <c r="H1144" t="s">
        <v>58</v>
      </c>
      <c r="I1144" t="s">
        <v>64</v>
      </c>
      <c r="J1144" t="s">
        <v>42</v>
      </c>
      <c r="L1144" s="3">
        <v>46135</v>
      </c>
      <c r="M1144" s="3">
        <v>46135</v>
      </c>
      <c r="Q1144" t="s">
        <v>2031</v>
      </c>
      <c r="R1144" t="s">
        <v>2154</v>
      </c>
      <c r="Z1144" t="s">
        <v>49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>
      <c r="A1145">
        <v>1144</v>
      </c>
      <c r="B1145" t="s">
        <v>2155</v>
      </c>
      <c r="C1145" t="s">
        <v>2029</v>
      </c>
      <c r="D1145" t="s">
        <v>2156</v>
      </c>
      <c r="E1145">
        <v>1</v>
      </c>
      <c r="F1145" s="3">
        <v>46135</v>
      </c>
      <c r="G1145" s="5">
        <v>46135</v>
      </c>
      <c r="H1145" t="s">
        <v>58</v>
      </c>
      <c r="I1145" t="s">
        <v>64</v>
      </c>
      <c r="J1145" t="s">
        <v>42</v>
      </c>
      <c r="L1145" s="3">
        <v>46135</v>
      </c>
      <c r="M1145" s="3">
        <v>46135</v>
      </c>
      <c r="Q1145" t="s">
        <v>2031</v>
      </c>
      <c r="R1145" t="s">
        <v>2157</v>
      </c>
      <c r="Z1145" t="s">
        <v>49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>
      <c r="A1146">
        <v>1145</v>
      </c>
      <c r="B1146" t="s">
        <v>2158</v>
      </c>
      <c r="C1146" t="s">
        <v>2029</v>
      </c>
      <c r="D1146" t="s">
        <v>2159</v>
      </c>
      <c r="E1146">
        <v>1</v>
      </c>
      <c r="F1146" s="3">
        <v>46135</v>
      </c>
      <c r="G1146" s="5">
        <v>46135</v>
      </c>
      <c r="H1146" t="s">
        <v>58</v>
      </c>
      <c r="I1146" t="s">
        <v>64</v>
      </c>
      <c r="J1146" t="s">
        <v>42</v>
      </c>
      <c r="L1146" s="3">
        <v>46135</v>
      </c>
      <c r="M1146" s="3">
        <v>46135</v>
      </c>
      <c r="Q1146" t="s">
        <v>2031</v>
      </c>
      <c r="R1146" t="s">
        <v>2160</v>
      </c>
      <c r="Z1146" t="s">
        <v>49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>
      <c r="A1147">
        <v>1146</v>
      </c>
      <c r="B1147" t="s">
        <v>2161</v>
      </c>
      <c r="C1147" t="s">
        <v>2029</v>
      </c>
      <c r="D1147" t="s">
        <v>2162</v>
      </c>
      <c r="E1147">
        <v>1</v>
      </c>
      <c r="F1147" s="3">
        <v>46135</v>
      </c>
      <c r="G1147" s="5">
        <v>46135</v>
      </c>
      <c r="H1147" t="s">
        <v>58</v>
      </c>
      <c r="I1147" t="s">
        <v>64</v>
      </c>
      <c r="J1147" t="s">
        <v>42</v>
      </c>
      <c r="L1147" s="3">
        <v>46135</v>
      </c>
      <c r="M1147" s="3">
        <v>46135</v>
      </c>
      <c r="Q1147" t="s">
        <v>2031</v>
      </c>
      <c r="R1147" t="s">
        <v>2163</v>
      </c>
      <c r="Z1147" t="s">
        <v>49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>
      <c r="A1148">
        <v>1147</v>
      </c>
      <c r="B1148" t="s">
        <v>2164</v>
      </c>
      <c r="C1148" t="s">
        <v>2029</v>
      </c>
      <c r="D1148" t="s">
        <v>2165</v>
      </c>
      <c r="E1148">
        <v>1</v>
      </c>
      <c r="F1148" s="3">
        <v>46135</v>
      </c>
      <c r="G1148" s="5">
        <v>46135</v>
      </c>
      <c r="H1148" t="s">
        <v>58</v>
      </c>
      <c r="I1148" t="s">
        <v>64</v>
      </c>
      <c r="J1148" t="s">
        <v>42</v>
      </c>
      <c r="L1148" s="3">
        <v>46135</v>
      </c>
      <c r="M1148" s="3">
        <v>46135</v>
      </c>
      <c r="Q1148" t="s">
        <v>2031</v>
      </c>
      <c r="R1148" t="s">
        <v>2166</v>
      </c>
      <c r="Z1148" t="s">
        <v>49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</row>
    <row r="1149" spans="1:39">
      <c r="A1149">
        <v>1148</v>
      </c>
      <c r="B1149" t="s">
        <v>2167</v>
      </c>
      <c r="C1149" t="s">
        <v>2029</v>
      </c>
      <c r="D1149" t="s">
        <v>2168</v>
      </c>
      <c r="E1149">
        <v>1</v>
      </c>
      <c r="F1149" s="3">
        <v>46135</v>
      </c>
      <c r="G1149" s="5">
        <v>46135</v>
      </c>
      <c r="H1149" t="s">
        <v>58</v>
      </c>
      <c r="I1149" t="s">
        <v>64</v>
      </c>
      <c r="J1149" t="s">
        <v>42</v>
      </c>
      <c r="L1149" s="3">
        <v>46135</v>
      </c>
      <c r="M1149" s="3">
        <v>46135</v>
      </c>
      <c r="Q1149" t="s">
        <v>2031</v>
      </c>
      <c r="R1149" t="s">
        <v>2169</v>
      </c>
      <c r="Z1149" t="s">
        <v>49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>
      <c r="A1150">
        <v>1149</v>
      </c>
      <c r="B1150" t="s">
        <v>2170</v>
      </c>
      <c r="C1150" t="s">
        <v>2029</v>
      </c>
      <c r="D1150" t="s">
        <v>2171</v>
      </c>
      <c r="E1150">
        <v>1</v>
      </c>
      <c r="F1150" s="3">
        <v>46135</v>
      </c>
      <c r="G1150" s="5">
        <v>46135</v>
      </c>
      <c r="H1150" t="s">
        <v>58</v>
      </c>
      <c r="I1150" t="s">
        <v>64</v>
      </c>
      <c r="J1150" t="s">
        <v>42</v>
      </c>
      <c r="L1150" s="3">
        <v>46135</v>
      </c>
      <c r="M1150" s="3">
        <v>46135</v>
      </c>
      <c r="Q1150" t="s">
        <v>2031</v>
      </c>
      <c r="R1150" t="s">
        <v>2172</v>
      </c>
      <c r="Z1150" t="s">
        <v>49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>
      <c r="A1151">
        <v>1150</v>
      </c>
      <c r="B1151" t="s">
        <v>2173</v>
      </c>
      <c r="C1151" t="s">
        <v>2029</v>
      </c>
      <c r="D1151" t="s">
        <v>2174</v>
      </c>
      <c r="E1151">
        <v>1</v>
      </c>
      <c r="F1151" s="3">
        <v>46135</v>
      </c>
      <c r="G1151" s="5">
        <v>46135</v>
      </c>
      <c r="H1151" t="s">
        <v>58</v>
      </c>
      <c r="I1151" t="s">
        <v>64</v>
      </c>
      <c r="J1151" t="s">
        <v>42</v>
      </c>
      <c r="L1151" s="3">
        <v>46135</v>
      </c>
      <c r="M1151" s="3">
        <v>46135</v>
      </c>
      <c r="Q1151" t="s">
        <v>2031</v>
      </c>
      <c r="R1151" t="s">
        <v>2175</v>
      </c>
      <c r="Z1151" t="s">
        <v>49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>
      <c r="A1152">
        <v>1151</v>
      </c>
      <c r="B1152" t="s">
        <v>2176</v>
      </c>
      <c r="C1152" t="s">
        <v>2029</v>
      </c>
      <c r="D1152" t="s">
        <v>2177</v>
      </c>
      <c r="E1152">
        <v>1</v>
      </c>
      <c r="F1152" s="3">
        <v>46135</v>
      </c>
      <c r="G1152" s="5">
        <v>46135</v>
      </c>
      <c r="H1152" t="s">
        <v>58</v>
      </c>
      <c r="I1152" t="s">
        <v>64</v>
      </c>
      <c r="J1152" t="s">
        <v>42</v>
      </c>
      <c r="L1152" s="3">
        <v>46135</v>
      </c>
      <c r="M1152" s="3">
        <v>46135</v>
      </c>
      <c r="Q1152" t="s">
        <v>2031</v>
      </c>
      <c r="R1152" t="s">
        <v>2178</v>
      </c>
      <c r="Z1152" t="s">
        <v>49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>
      <c r="A1153">
        <v>1152</v>
      </c>
      <c r="B1153" t="s">
        <v>2179</v>
      </c>
      <c r="C1153" t="s">
        <v>2029</v>
      </c>
      <c r="D1153" t="s">
        <v>2180</v>
      </c>
      <c r="E1153">
        <v>1</v>
      </c>
      <c r="F1153" s="3">
        <v>46135</v>
      </c>
      <c r="G1153" s="5">
        <v>46135</v>
      </c>
      <c r="H1153" t="s">
        <v>58</v>
      </c>
      <c r="I1153" t="s">
        <v>64</v>
      </c>
      <c r="J1153" t="s">
        <v>42</v>
      </c>
      <c r="L1153" s="3">
        <v>46135</v>
      </c>
      <c r="M1153" s="3">
        <v>46135</v>
      </c>
      <c r="Q1153" t="s">
        <v>2031</v>
      </c>
      <c r="R1153" t="s">
        <v>2178</v>
      </c>
      <c r="Z1153" t="s">
        <v>49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>
      <c r="A1154">
        <v>1153</v>
      </c>
      <c r="B1154" t="s">
        <v>2181</v>
      </c>
      <c r="C1154" t="s">
        <v>2029</v>
      </c>
      <c r="D1154" t="s">
        <v>2182</v>
      </c>
      <c r="E1154">
        <v>1</v>
      </c>
      <c r="F1154" s="3">
        <v>46135</v>
      </c>
      <c r="G1154" s="5">
        <v>46135</v>
      </c>
      <c r="H1154" t="s">
        <v>58</v>
      </c>
      <c r="I1154" t="s">
        <v>64</v>
      </c>
      <c r="J1154" t="s">
        <v>42</v>
      </c>
      <c r="L1154" s="3">
        <v>46135</v>
      </c>
      <c r="M1154" s="3">
        <v>46135</v>
      </c>
      <c r="Q1154" t="s">
        <v>2031</v>
      </c>
      <c r="R1154" t="s">
        <v>2178</v>
      </c>
      <c r="Z1154" t="s">
        <v>49</v>
      </c>
      <c r="AB1154">
        <v>1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</row>
    <row r="1155" spans="1:39">
      <c r="A1155">
        <v>1154</v>
      </c>
      <c r="B1155" t="s">
        <v>2183</v>
      </c>
      <c r="C1155" t="s">
        <v>2029</v>
      </c>
      <c r="D1155" t="s">
        <v>2184</v>
      </c>
      <c r="E1155">
        <v>1</v>
      </c>
      <c r="F1155" s="3">
        <v>46135</v>
      </c>
      <c r="G1155" s="5">
        <v>46135</v>
      </c>
      <c r="H1155" t="s">
        <v>58</v>
      </c>
      <c r="I1155" t="s">
        <v>64</v>
      </c>
      <c r="J1155" t="s">
        <v>42</v>
      </c>
      <c r="L1155" s="3">
        <v>46135</v>
      </c>
      <c r="M1155" s="3">
        <v>46135</v>
      </c>
      <c r="Q1155" t="s">
        <v>2031</v>
      </c>
      <c r="R1155" t="s">
        <v>2178</v>
      </c>
      <c r="Z1155" t="s">
        <v>49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 spans="1:39">
      <c r="A1156">
        <v>1155</v>
      </c>
      <c r="B1156" t="s">
        <v>2185</v>
      </c>
      <c r="C1156" t="s">
        <v>2029</v>
      </c>
      <c r="D1156" t="s">
        <v>2186</v>
      </c>
      <c r="E1156">
        <v>1</v>
      </c>
      <c r="F1156" s="3">
        <v>46135</v>
      </c>
      <c r="G1156" s="5">
        <v>46135</v>
      </c>
      <c r="H1156" t="s">
        <v>58</v>
      </c>
      <c r="I1156" t="s">
        <v>64</v>
      </c>
      <c r="J1156" t="s">
        <v>42</v>
      </c>
      <c r="L1156" s="3">
        <v>46135</v>
      </c>
      <c r="M1156" s="3">
        <v>46135</v>
      </c>
      <c r="Q1156" t="s">
        <v>2031</v>
      </c>
      <c r="R1156" t="s">
        <v>2178</v>
      </c>
      <c r="Z1156" t="s">
        <v>49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</row>
    <row r="1157" spans="1:39">
      <c r="A1157">
        <v>1156</v>
      </c>
      <c r="B1157" t="s">
        <v>2187</v>
      </c>
      <c r="C1157" t="s">
        <v>2029</v>
      </c>
      <c r="D1157" t="s">
        <v>2188</v>
      </c>
      <c r="E1157">
        <v>1</v>
      </c>
      <c r="F1157" s="3">
        <v>46135</v>
      </c>
      <c r="G1157" s="5">
        <v>46135</v>
      </c>
      <c r="H1157" t="s">
        <v>58</v>
      </c>
      <c r="I1157" t="s">
        <v>64</v>
      </c>
      <c r="J1157" t="s">
        <v>42</v>
      </c>
      <c r="L1157" s="3">
        <v>46135</v>
      </c>
      <c r="M1157" s="3">
        <v>46135</v>
      </c>
      <c r="Q1157" t="s">
        <v>2031</v>
      </c>
      <c r="R1157" t="s">
        <v>2178</v>
      </c>
      <c r="Z1157" t="s">
        <v>49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>
      <c r="A1158">
        <v>1157</v>
      </c>
      <c r="B1158" t="s">
        <v>2189</v>
      </c>
      <c r="C1158" t="s">
        <v>2029</v>
      </c>
      <c r="D1158" t="s">
        <v>2190</v>
      </c>
      <c r="E1158">
        <v>1</v>
      </c>
      <c r="F1158" s="3">
        <v>46135</v>
      </c>
      <c r="G1158" s="5">
        <v>46135</v>
      </c>
      <c r="H1158" t="s">
        <v>58</v>
      </c>
      <c r="I1158" t="s">
        <v>64</v>
      </c>
      <c r="J1158" t="s">
        <v>42</v>
      </c>
      <c r="L1158" s="3">
        <v>46135</v>
      </c>
      <c r="M1158" s="3">
        <v>46135</v>
      </c>
      <c r="Q1158" t="s">
        <v>2031</v>
      </c>
      <c r="R1158" t="s">
        <v>2178</v>
      </c>
      <c r="Z1158" t="s">
        <v>49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</row>
    <row r="1159" spans="1:39">
      <c r="A1159">
        <v>1158</v>
      </c>
      <c r="B1159" t="s">
        <v>2191</v>
      </c>
      <c r="C1159" t="s">
        <v>2029</v>
      </c>
      <c r="D1159" t="s">
        <v>2192</v>
      </c>
      <c r="E1159">
        <v>1</v>
      </c>
      <c r="F1159" s="3">
        <v>46135</v>
      </c>
      <c r="G1159" s="5">
        <v>46135</v>
      </c>
      <c r="H1159" t="s">
        <v>58</v>
      </c>
      <c r="I1159" t="s">
        <v>64</v>
      </c>
      <c r="J1159" t="s">
        <v>42</v>
      </c>
      <c r="L1159" s="3">
        <v>46135</v>
      </c>
      <c r="M1159" s="3">
        <v>46135</v>
      </c>
      <c r="Q1159" t="s">
        <v>2031</v>
      </c>
      <c r="R1159" t="s">
        <v>2178</v>
      </c>
      <c r="Z1159" t="s">
        <v>49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 spans="1:39">
      <c r="A1160">
        <v>1159</v>
      </c>
      <c r="B1160" t="s">
        <v>2193</v>
      </c>
      <c r="C1160" t="s">
        <v>2029</v>
      </c>
      <c r="D1160" t="s">
        <v>2194</v>
      </c>
      <c r="E1160">
        <v>1</v>
      </c>
      <c r="F1160" s="3">
        <v>46135</v>
      </c>
      <c r="G1160" s="5">
        <v>46135</v>
      </c>
      <c r="H1160" t="s">
        <v>58</v>
      </c>
      <c r="I1160" t="s">
        <v>64</v>
      </c>
      <c r="J1160" t="s">
        <v>42</v>
      </c>
      <c r="L1160" s="3">
        <v>46135</v>
      </c>
      <c r="M1160" s="3">
        <v>46135</v>
      </c>
      <c r="Q1160" t="s">
        <v>2031</v>
      </c>
      <c r="R1160" t="s">
        <v>2178</v>
      </c>
      <c r="Z1160" t="s">
        <v>49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>
      <c r="A1161">
        <v>1160</v>
      </c>
      <c r="B1161" t="s">
        <v>2195</v>
      </c>
      <c r="C1161" t="s">
        <v>2029</v>
      </c>
      <c r="D1161" t="s">
        <v>1675</v>
      </c>
      <c r="E1161">
        <v>1</v>
      </c>
      <c r="F1161" s="3">
        <v>46135</v>
      </c>
      <c r="G1161" s="5">
        <v>46135</v>
      </c>
      <c r="H1161" t="s">
        <v>58</v>
      </c>
      <c r="I1161" t="s">
        <v>64</v>
      </c>
      <c r="J1161" t="s">
        <v>42</v>
      </c>
      <c r="L1161" s="3">
        <v>46135</v>
      </c>
      <c r="M1161" s="3">
        <v>46135</v>
      </c>
      <c r="Z1161" t="s">
        <v>49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>
      <c r="A1162">
        <v>1161</v>
      </c>
      <c r="B1162" t="s">
        <v>2196</v>
      </c>
      <c r="C1162" t="s">
        <v>2029</v>
      </c>
      <c r="D1162" t="s">
        <v>2197</v>
      </c>
      <c r="E1162">
        <v>1</v>
      </c>
      <c r="F1162" s="3">
        <v>46135</v>
      </c>
      <c r="G1162" s="5">
        <v>46135</v>
      </c>
      <c r="H1162" t="s">
        <v>58</v>
      </c>
      <c r="I1162" t="s">
        <v>64</v>
      </c>
      <c r="J1162" t="s">
        <v>42</v>
      </c>
      <c r="L1162" s="3">
        <v>46135</v>
      </c>
      <c r="M1162" s="3">
        <v>46135</v>
      </c>
      <c r="Q1162" t="s">
        <v>2031</v>
      </c>
      <c r="R1162" t="s">
        <v>2154</v>
      </c>
      <c r="Z1162" t="s">
        <v>49</v>
      </c>
      <c r="AB1162">
        <v>1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>
      <c r="A1163">
        <v>1162</v>
      </c>
      <c r="B1163" t="s">
        <v>2198</v>
      </c>
      <c r="C1163" t="s">
        <v>2029</v>
      </c>
      <c r="D1163" t="s">
        <v>2199</v>
      </c>
      <c r="E1163">
        <v>1</v>
      </c>
      <c r="F1163" s="3">
        <v>46135</v>
      </c>
      <c r="G1163" s="5">
        <v>46135</v>
      </c>
      <c r="H1163" t="s">
        <v>58</v>
      </c>
      <c r="I1163" t="s">
        <v>64</v>
      </c>
      <c r="J1163" t="s">
        <v>42</v>
      </c>
      <c r="L1163" s="3">
        <v>46135</v>
      </c>
      <c r="M1163" s="3">
        <v>46135</v>
      </c>
      <c r="Q1163" t="s">
        <v>2031</v>
      </c>
      <c r="R1163" t="s">
        <v>2154</v>
      </c>
      <c r="Z1163" t="s">
        <v>49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77" spans="4:4">
      <c r="D1177" s="4"/>
    </row>
  </sheetData>
  <conditionalFormatting sqref="G1:G1048576">
    <cfRule type="top10" dxfId="14" priority="1" bottom="1" rank="100"/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selection activeCell="E32" sqref="B32:E32"/>
    </sheetView>
  </sheetViews>
  <sheetFormatPr defaultRowHeight="15"/>
  <cols>
    <col min="1" max="1" width="32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</cols>
  <sheetData>
    <row r="1" spans="1:8">
      <c r="A1" t="s">
        <v>2200</v>
      </c>
      <c r="B1">
        <v>210</v>
      </c>
    </row>
    <row r="2" spans="1:8">
      <c r="A2" t="s">
        <v>2201</v>
      </c>
      <c r="B2" s="2">
        <v>0</v>
      </c>
    </row>
    <row r="3" spans="1:8">
      <c r="A3" t="s">
        <v>16</v>
      </c>
      <c r="B3" t="s">
        <v>28</v>
      </c>
      <c r="C3" t="s">
        <v>29</v>
      </c>
      <c r="D3" t="s">
        <v>2202</v>
      </c>
      <c r="E3" t="s">
        <v>32</v>
      </c>
      <c r="F3" t="s">
        <v>34</v>
      </c>
      <c r="G3" t="s">
        <v>36</v>
      </c>
      <c r="H3" t="s">
        <v>2203</v>
      </c>
    </row>
    <row r="4" spans="1:8">
      <c r="A4" t="s">
        <v>1146</v>
      </c>
      <c r="B4">
        <v>6</v>
      </c>
      <c r="C4">
        <v>0</v>
      </c>
      <c r="D4" s="2">
        <v>0</v>
      </c>
      <c r="E4">
        <v>0</v>
      </c>
      <c r="F4">
        <v>0</v>
      </c>
      <c r="G4">
        <v>0</v>
      </c>
      <c r="H4" s="2">
        <v>0</v>
      </c>
    </row>
    <row r="5" spans="1:8">
      <c r="A5" t="s">
        <v>1401</v>
      </c>
      <c r="B5">
        <v>33</v>
      </c>
      <c r="C5">
        <v>0</v>
      </c>
      <c r="D5" s="2">
        <v>0</v>
      </c>
      <c r="E5">
        <v>0</v>
      </c>
      <c r="F5">
        <v>0</v>
      </c>
      <c r="G5">
        <v>0</v>
      </c>
      <c r="H5" s="2">
        <v>0</v>
      </c>
    </row>
    <row r="6" spans="1:8">
      <c r="A6" t="s">
        <v>1207</v>
      </c>
      <c r="B6">
        <v>1</v>
      </c>
      <c r="C6">
        <v>0</v>
      </c>
      <c r="D6" s="2">
        <v>0</v>
      </c>
      <c r="E6">
        <v>0</v>
      </c>
      <c r="F6">
        <v>0</v>
      </c>
      <c r="G6">
        <v>0</v>
      </c>
      <c r="H6" s="2">
        <v>0</v>
      </c>
    </row>
    <row r="7" spans="1:8">
      <c r="A7" t="s">
        <v>131</v>
      </c>
      <c r="B7">
        <v>5</v>
      </c>
      <c r="C7">
        <v>0</v>
      </c>
      <c r="D7" s="2">
        <v>0</v>
      </c>
      <c r="E7">
        <v>0</v>
      </c>
      <c r="F7">
        <v>0</v>
      </c>
      <c r="G7">
        <v>0</v>
      </c>
      <c r="H7" s="2">
        <v>0</v>
      </c>
    </row>
    <row r="8" spans="1:8">
      <c r="A8" t="s">
        <v>1226</v>
      </c>
      <c r="B8">
        <v>19</v>
      </c>
      <c r="C8">
        <v>0</v>
      </c>
      <c r="D8" s="2">
        <v>0</v>
      </c>
      <c r="E8">
        <v>0</v>
      </c>
      <c r="F8">
        <v>0</v>
      </c>
      <c r="G8">
        <v>0</v>
      </c>
      <c r="H8" s="2">
        <v>0</v>
      </c>
    </row>
    <row r="9" spans="1:8">
      <c r="A9" t="s">
        <v>54</v>
      </c>
      <c r="B9">
        <v>0</v>
      </c>
      <c r="C9">
        <v>0</v>
      </c>
      <c r="D9" s="2">
        <v>0</v>
      </c>
      <c r="E9">
        <v>0</v>
      </c>
      <c r="F9">
        <v>0</v>
      </c>
      <c r="G9">
        <v>0</v>
      </c>
      <c r="H9" s="2">
        <v>0</v>
      </c>
    </row>
    <row r="10" spans="1:8">
      <c r="A10" t="s">
        <v>209</v>
      </c>
      <c r="B10">
        <v>97</v>
      </c>
      <c r="C10">
        <v>0</v>
      </c>
      <c r="D10" s="2">
        <v>0</v>
      </c>
      <c r="E10">
        <v>0</v>
      </c>
      <c r="F10">
        <v>0</v>
      </c>
      <c r="G10">
        <v>0</v>
      </c>
      <c r="H10" s="2">
        <v>0</v>
      </c>
    </row>
    <row r="11" spans="1:8">
      <c r="A11" t="s">
        <v>2031</v>
      </c>
      <c r="B11">
        <v>0</v>
      </c>
      <c r="C11">
        <v>0</v>
      </c>
      <c r="D11" s="2">
        <v>0</v>
      </c>
      <c r="E11">
        <v>0</v>
      </c>
      <c r="F11">
        <v>0</v>
      </c>
      <c r="G11">
        <v>0</v>
      </c>
      <c r="H11" s="2">
        <v>0</v>
      </c>
    </row>
    <row r="12" spans="1:8">
      <c r="A12" t="s">
        <v>93</v>
      </c>
      <c r="B12">
        <v>0</v>
      </c>
      <c r="C12">
        <v>0</v>
      </c>
      <c r="D12" s="2">
        <v>0</v>
      </c>
      <c r="E12">
        <v>0</v>
      </c>
      <c r="F12">
        <v>0</v>
      </c>
      <c r="G12">
        <v>0</v>
      </c>
      <c r="H12" s="2">
        <v>0</v>
      </c>
    </row>
    <row r="13" spans="1:8">
      <c r="A13" t="s">
        <v>1691</v>
      </c>
      <c r="B13">
        <v>39</v>
      </c>
      <c r="C13">
        <v>0</v>
      </c>
      <c r="D13" s="2">
        <v>0</v>
      </c>
      <c r="E13">
        <v>0</v>
      </c>
      <c r="F13">
        <v>0</v>
      </c>
      <c r="G13">
        <v>0</v>
      </c>
      <c r="H13" s="2">
        <v>0</v>
      </c>
    </row>
    <row r="14" spans="1:8">
      <c r="A14" t="s">
        <v>1051</v>
      </c>
      <c r="B14">
        <v>10</v>
      </c>
      <c r="C14">
        <v>0</v>
      </c>
      <c r="D14" s="2">
        <v>0</v>
      </c>
      <c r="E14">
        <v>0</v>
      </c>
      <c r="F14">
        <v>0</v>
      </c>
      <c r="G14">
        <v>0</v>
      </c>
      <c r="H14" s="2">
        <v>0</v>
      </c>
    </row>
    <row r="15" spans="1:8">
      <c r="A15" t="s">
        <v>2204</v>
      </c>
      <c r="B15">
        <f>SUBTOTAL(109,Tabela1[Emissão inicial total])</f>
        <v>210</v>
      </c>
      <c r="C15">
        <f>SUBTOTAL(109,Tabela1[Emissão inicial concluída])</f>
        <v>0</v>
      </c>
      <c r="D15">
        <f>SUBTOTAL(109,Tabela1[%EI])</f>
        <v>0</v>
      </c>
      <c r="E15">
        <f>SUBTOTAL(109,Tabela1[Avaliação do cliente concluída])</f>
        <v>0</v>
      </c>
      <c r="F15">
        <f>SUBTOTAL(109,Tabela1[Atendimento de comentário concluído])</f>
        <v>0</v>
      </c>
      <c r="G15">
        <f>SUBTOTAL(109,Tabela1[Aprovação concluída])</f>
        <v>0</v>
      </c>
      <c r="H15">
        <f>SUBTOTAL(109,Tabela1[%AP])</f>
        <v>0</v>
      </c>
    </row>
    <row r="20" spans="1:5">
      <c r="A20" t="s">
        <v>16</v>
      </c>
      <c r="B20" t="s">
        <v>30</v>
      </c>
      <c r="C20" t="s">
        <v>33</v>
      </c>
      <c r="D20" t="s">
        <v>35</v>
      </c>
      <c r="E20" t="s">
        <v>37</v>
      </c>
    </row>
    <row r="21" spans="1:5">
      <c r="A21" t="s">
        <v>1146</v>
      </c>
      <c r="B21">
        <v>0</v>
      </c>
      <c r="C21">
        <v>0</v>
      </c>
      <c r="D21">
        <v>0</v>
      </c>
      <c r="E21">
        <v>0</v>
      </c>
    </row>
    <row r="22" spans="1:5">
      <c r="A22" t="s">
        <v>1401</v>
      </c>
      <c r="B22">
        <v>0</v>
      </c>
      <c r="C22">
        <v>0</v>
      </c>
      <c r="D22">
        <v>0</v>
      </c>
      <c r="E22">
        <v>0</v>
      </c>
    </row>
    <row r="23" spans="1:5">
      <c r="A23" t="s">
        <v>1207</v>
      </c>
      <c r="B23">
        <v>0</v>
      </c>
      <c r="C23">
        <v>0</v>
      </c>
      <c r="D23">
        <v>0</v>
      </c>
      <c r="E23">
        <v>0</v>
      </c>
    </row>
    <row r="24" spans="1:5">
      <c r="A24" t="s">
        <v>131</v>
      </c>
      <c r="B24">
        <v>0</v>
      </c>
      <c r="C24">
        <v>0</v>
      </c>
      <c r="D24">
        <v>0</v>
      </c>
      <c r="E24">
        <v>0</v>
      </c>
    </row>
    <row r="25" spans="1:5">
      <c r="A25" t="s">
        <v>1226</v>
      </c>
      <c r="B25">
        <v>0</v>
      </c>
      <c r="C25">
        <v>0</v>
      </c>
      <c r="D25">
        <v>0</v>
      </c>
      <c r="E25">
        <v>0</v>
      </c>
    </row>
    <row r="26" spans="1:5">
      <c r="A26" t="s">
        <v>54</v>
      </c>
      <c r="B26">
        <v>0</v>
      </c>
      <c r="C26">
        <v>0</v>
      </c>
      <c r="D26">
        <v>0</v>
      </c>
      <c r="E26">
        <v>0</v>
      </c>
    </row>
    <row r="27" spans="1:5">
      <c r="A27" t="s">
        <v>209</v>
      </c>
      <c r="B27">
        <v>0</v>
      </c>
      <c r="C27">
        <v>0</v>
      </c>
      <c r="D27">
        <v>0</v>
      </c>
      <c r="E27">
        <v>0</v>
      </c>
    </row>
    <row r="28" spans="1:5">
      <c r="A28" t="s">
        <v>2031</v>
      </c>
      <c r="B28">
        <v>0</v>
      </c>
      <c r="C28">
        <v>0</v>
      </c>
      <c r="D28">
        <v>0</v>
      </c>
      <c r="E28">
        <v>0</v>
      </c>
    </row>
    <row r="29" spans="1:5">
      <c r="A29" t="s">
        <v>93</v>
      </c>
      <c r="B29">
        <v>0</v>
      </c>
      <c r="C29">
        <v>0</v>
      </c>
      <c r="D29">
        <v>0</v>
      </c>
      <c r="E29">
        <v>0</v>
      </c>
    </row>
    <row r="30" spans="1:5">
      <c r="A30" t="s">
        <v>1691</v>
      </c>
      <c r="B30">
        <v>0</v>
      </c>
      <c r="C30">
        <v>0</v>
      </c>
      <c r="D30">
        <v>0</v>
      </c>
      <c r="E30">
        <v>0</v>
      </c>
    </row>
    <row r="31" spans="1:5">
      <c r="A31" t="s">
        <v>1051</v>
      </c>
      <c r="B31">
        <v>0</v>
      </c>
      <c r="C31">
        <v>0</v>
      </c>
      <c r="D31">
        <v>0</v>
      </c>
      <c r="E31">
        <v>0</v>
      </c>
    </row>
    <row r="32" spans="1:5">
      <c r="A32" t="s">
        <v>2204</v>
      </c>
      <c r="B32">
        <f>SUBTOTAL(109,Tabela2[Emissão Inicial Atrasada])</f>
        <v>0</v>
      </c>
      <c r="C32">
        <f>SUBTOTAL(109,Tabela2[Avaliação Cliente Atrasada])</f>
        <v>0</v>
      </c>
      <c r="D32">
        <f>SUBTOTAL(109,Tabela2[Atendimento Atrasado])</f>
        <v>0</v>
      </c>
      <c r="E32">
        <f>SUBTOTAL(109,Tabela2[Aprovação Atrasada])</f>
        <v>0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5"/>
  <sheetViews>
    <sheetView workbookViewId="0"/>
  </sheetViews>
  <sheetFormatPr defaultRowHeight="15"/>
  <sheetData>
    <row r="1" spans="1:15">
      <c r="A1" t="s">
        <v>2205</v>
      </c>
      <c r="B1" t="s">
        <v>2206</v>
      </c>
      <c r="C1" t="s">
        <v>2207</v>
      </c>
      <c r="D1" t="s">
        <v>2208</v>
      </c>
      <c r="E1" t="s">
        <v>2209</v>
      </c>
      <c r="F1" t="s">
        <v>2210</v>
      </c>
      <c r="G1" t="s">
        <v>2211</v>
      </c>
      <c r="H1" t="s">
        <v>2212</v>
      </c>
      <c r="I1" t="s">
        <v>2213</v>
      </c>
      <c r="J1" t="s">
        <v>2214</v>
      </c>
      <c r="K1" t="s">
        <v>2215</v>
      </c>
      <c r="L1" t="s">
        <v>2216</v>
      </c>
      <c r="M1" t="s">
        <v>2217</v>
      </c>
      <c r="N1" t="s">
        <v>2218</v>
      </c>
      <c r="O1" t="s">
        <v>2219</v>
      </c>
    </row>
    <row r="2" spans="1:15">
      <c r="A2" s="1">
        <v>46101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46102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46103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46104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46105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46106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46107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46108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46109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46110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46111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46112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46113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46114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46115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46116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s="1">
        <v>46117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s="1">
        <v>46118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s="1">
        <v>46119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s="1">
        <v>46120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s="1">
        <v>46121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s="1">
        <v>46122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s="1">
        <v>46123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s="1">
        <v>46124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s="1">
        <v>46125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s="1">
        <v>46126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s="1">
        <v>46127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s="1">
        <v>46128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s="1">
        <v>46129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s="1">
        <v>46130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s="1">
        <v>46131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s="1">
        <v>46132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s="1">
        <v>46133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s="1">
        <v>46134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s="1">
        <v>46135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s="1">
        <v>46136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s="1">
        <v>46137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s="1">
        <v>46138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s="1">
        <v>46139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s="1">
        <v>46140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s="1">
        <v>46141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s="1">
        <v>46142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s="1">
        <v>46143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s="1">
        <v>46144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s="1">
        <v>46145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s="1">
        <v>46146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s="1">
        <v>46147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s="1">
        <v>46148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s="1">
        <v>46149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s="1">
        <v>46150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s="1">
        <v>46151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s="1">
        <v>46152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s="1">
        <v>46153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s="1">
        <v>46154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s="1">
        <v>46155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s="1">
        <v>46156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s="1">
        <v>46157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s="1">
        <v>46158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s="1">
        <v>46159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s="1">
        <v>46160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s="1">
        <v>46161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s="1">
        <v>46162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s="1">
        <v>46163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s="1">
        <v>46164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s="1">
        <v>46165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s="1">
        <v>46166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s="1">
        <v>46167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s="1">
        <v>46168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s="1">
        <v>46169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s="1">
        <v>46170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s="1">
        <v>46171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s="1">
        <v>46172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s="1">
        <v>46173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s="1">
        <v>46174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s="1">
        <v>46175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s="1">
        <v>46176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s="1">
        <v>46177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s="1">
        <v>46178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s="1">
        <v>46179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s="1">
        <v>46180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s="1">
        <v>46181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s="1">
        <v>46182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s="1">
        <v>46183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s="1">
        <v>46184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s="1">
        <v>46185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s="1">
        <v>46186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s="1">
        <v>46187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s="1">
        <v>46188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s="1">
        <v>46189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s="1">
        <v>46190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s="1">
        <v>46191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s="1">
        <v>46192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s="1">
        <v>46193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s="1">
        <v>46194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s="1">
        <v>46195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s="1">
        <v>46196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s="1">
        <v>46197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s="1">
        <v>46198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s="1">
        <v>46199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s="1">
        <v>46200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s="1">
        <v>46201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s="1">
        <v>46202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s="1">
        <v>46203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4.7619047619047623E-3</v>
      </c>
      <c r="K104">
        <v>0</v>
      </c>
      <c r="L104">
        <v>-1</v>
      </c>
      <c r="M104">
        <v>0</v>
      </c>
      <c r="N104">
        <v>0</v>
      </c>
      <c r="O104">
        <v>0</v>
      </c>
    </row>
    <row r="105" spans="1:15">
      <c r="A105" s="1">
        <v>46204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4.7619047619047623E-3</v>
      </c>
      <c r="K105">
        <v>0</v>
      </c>
      <c r="L105">
        <v>-1</v>
      </c>
      <c r="M105">
        <v>0</v>
      </c>
      <c r="N105">
        <v>0</v>
      </c>
      <c r="O105">
        <v>0</v>
      </c>
    </row>
    <row r="106" spans="1:15">
      <c r="A106" s="1">
        <v>46205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4.7619047619047623E-3</v>
      </c>
      <c r="K106">
        <v>0</v>
      </c>
      <c r="L106">
        <v>-1</v>
      </c>
      <c r="M106">
        <v>0</v>
      </c>
      <c r="N106">
        <v>0</v>
      </c>
      <c r="O106">
        <v>0</v>
      </c>
    </row>
    <row r="107" spans="1:15">
      <c r="A107" s="1">
        <v>46206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4.7619047619047623E-3</v>
      </c>
      <c r="K107">
        <v>0</v>
      </c>
      <c r="L107">
        <v>-1</v>
      </c>
      <c r="M107">
        <v>0</v>
      </c>
      <c r="N107">
        <v>0</v>
      </c>
      <c r="O107">
        <v>0</v>
      </c>
    </row>
    <row r="108" spans="1:15">
      <c r="A108" s="1">
        <v>46207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4.7619047619047623E-3</v>
      </c>
      <c r="K108">
        <v>0</v>
      </c>
      <c r="L108">
        <v>-1</v>
      </c>
      <c r="M108">
        <v>0</v>
      </c>
      <c r="N108">
        <v>0</v>
      </c>
      <c r="O108">
        <v>0</v>
      </c>
    </row>
    <row r="109" spans="1:15">
      <c r="A109" s="1">
        <v>46208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4.7619047619047623E-3</v>
      </c>
      <c r="K109">
        <v>0</v>
      </c>
      <c r="L109">
        <v>-1</v>
      </c>
      <c r="M109">
        <v>0</v>
      </c>
      <c r="N109">
        <v>0</v>
      </c>
      <c r="O109">
        <v>0</v>
      </c>
    </row>
    <row r="110" spans="1:15">
      <c r="A110" s="1">
        <v>46209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4.7619047619047623E-3</v>
      </c>
      <c r="K110">
        <v>0</v>
      </c>
      <c r="L110">
        <v>-1</v>
      </c>
      <c r="M110">
        <v>0</v>
      </c>
      <c r="N110">
        <v>0</v>
      </c>
      <c r="O110">
        <v>0</v>
      </c>
    </row>
    <row r="111" spans="1:15">
      <c r="A111" s="1">
        <v>46210</v>
      </c>
      <c r="B111">
        <v>12</v>
      </c>
      <c r="C111">
        <v>13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6.1904761904761907E-2</v>
      </c>
      <c r="K111">
        <v>0</v>
      </c>
      <c r="L111">
        <v>-1</v>
      </c>
      <c r="M111">
        <v>0</v>
      </c>
      <c r="N111">
        <v>0</v>
      </c>
      <c r="O111">
        <v>0</v>
      </c>
    </row>
    <row r="112" spans="1:15">
      <c r="A112" s="1">
        <v>46211</v>
      </c>
      <c r="B112">
        <v>0</v>
      </c>
      <c r="C112">
        <v>13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6.1904761904761907E-2</v>
      </c>
      <c r="K112">
        <v>0</v>
      </c>
      <c r="L112">
        <v>-1</v>
      </c>
      <c r="M112">
        <v>0</v>
      </c>
      <c r="N112">
        <v>0</v>
      </c>
      <c r="O112">
        <v>0</v>
      </c>
    </row>
    <row r="113" spans="1:15">
      <c r="A113" s="1">
        <v>46212</v>
      </c>
      <c r="B113">
        <v>0</v>
      </c>
      <c r="C113">
        <v>13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6.1904761904761907E-2</v>
      </c>
      <c r="K113">
        <v>0</v>
      </c>
      <c r="L113">
        <v>-1</v>
      </c>
      <c r="M113">
        <v>0</v>
      </c>
      <c r="N113">
        <v>0</v>
      </c>
      <c r="O113">
        <v>0</v>
      </c>
    </row>
    <row r="114" spans="1:15">
      <c r="A114" s="1">
        <v>46213</v>
      </c>
      <c r="B114">
        <v>0</v>
      </c>
      <c r="C114">
        <v>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6.1904761904761907E-2</v>
      </c>
      <c r="K114">
        <v>0</v>
      </c>
      <c r="L114">
        <v>-1</v>
      </c>
      <c r="M114">
        <v>0</v>
      </c>
      <c r="N114">
        <v>0</v>
      </c>
      <c r="O114">
        <v>0</v>
      </c>
    </row>
    <row r="115" spans="1:15">
      <c r="A115" s="1">
        <v>46214</v>
      </c>
      <c r="B115">
        <v>0</v>
      </c>
      <c r="C115">
        <v>13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6.1904761904761907E-2</v>
      </c>
      <c r="K115">
        <v>0</v>
      </c>
      <c r="L115">
        <v>-1</v>
      </c>
      <c r="M115">
        <v>0</v>
      </c>
      <c r="N115">
        <v>0</v>
      </c>
      <c r="O115">
        <v>0</v>
      </c>
    </row>
    <row r="116" spans="1:15">
      <c r="A116" s="1">
        <v>46215</v>
      </c>
      <c r="B116">
        <v>0</v>
      </c>
      <c r="C116">
        <v>13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6.1904761904761907E-2</v>
      </c>
      <c r="K116">
        <v>0</v>
      </c>
      <c r="L116">
        <v>-1</v>
      </c>
      <c r="M116">
        <v>0</v>
      </c>
      <c r="N116">
        <v>0</v>
      </c>
      <c r="O116">
        <v>0</v>
      </c>
    </row>
    <row r="117" spans="1:15">
      <c r="A117" s="1">
        <v>46216</v>
      </c>
      <c r="B117">
        <v>0</v>
      </c>
      <c r="C117">
        <v>13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6.1904761904761907E-2</v>
      </c>
      <c r="K117">
        <v>0</v>
      </c>
      <c r="L117">
        <v>-1</v>
      </c>
      <c r="M117">
        <v>0</v>
      </c>
      <c r="N117">
        <v>0</v>
      </c>
      <c r="O117">
        <v>0</v>
      </c>
    </row>
    <row r="118" spans="1:15">
      <c r="A118" s="1">
        <v>46217</v>
      </c>
      <c r="B118">
        <v>3</v>
      </c>
      <c r="C118">
        <v>16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</v>
      </c>
      <c r="J118">
        <v>7.6190476190476197E-2</v>
      </c>
      <c r="K118">
        <v>0</v>
      </c>
      <c r="L118">
        <v>-1</v>
      </c>
      <c r="M118">
        <v>4.7619047619047623E-3</v>
      </c>
      <c r="N118">
        <v>0</v>
      </c>
      <c r="O118">
        <v>-1</v>
      </c>
    </row>
    <row r="119" spans="1:15">
      <c r="A119" s="1">
        <v>46218</v>
      </c>
      <c r="B119">
        <v>1</v>
      </c>
      <c r="C119">
        <v>17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8.0952380952380956E-2</v>
      </c>
      <c r="K119">
        <v>0</v>
      </c>
      <c r="L119">
        <v>-1</v>
      </c>
      <c r="M119">
        <v>4.7619047619047623E-3</v>
      </c>
      <c r="N119">
        <v>0</v>
      </c>
      <c r="O119">
        <v>-1</v>
      </c>
    </row>
    <row r="120" spans="1:15">
      <c r="A120" s="1">
        <v>46219</v>
      </c>
      <c r="B120">
        <v>0</v>
      </c>
      <c r="C120">
        <v>17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8.0952380952380956E-2</v>
      </c>
      <c r="K120">
        <v>0</v>
      </c>
      <c r="L120">
        <v>-1</v>
      </c>
      <c r="M120">
        <v>4.7619047619047623E-3</v>
      </c>
      <c r="N120">
        <v>0</v>
      </c>
      <c r="O120">
        <v>-1</v>
      </c>
    </row>
    <row r="121" spans="1:15">
      <c r="A121" s="1">
        <v>46220</v>
      </c>
      <c r="B121">
        <v>0</v>
      </c>
      <c r="C121">
        <v>17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8.0952380952380956E-2</v>
      </c>
      <c r="K121">
        <v>0</v>
      </c>
      <c r="L121">
        <v>-1</v>
      </c>
      <c r="M121">
        <v>4.7619047619047623E-3</v>
      </c>
      <c r="N121">
        <v>0</v>
      </c>
      <c r="O121">
        <v>-1</v>
      </c>
    </row>
    <row r="122" spans="1:15">
      <c r="A122" s="1">
        <v>46221</v>
      </c>
      <c r="B122">
        <v>0</v>
      </c>
      <c r="C122">
        <v>17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8.0952380952380956E-2</v>
      </c>
      <c r="K122">
        <v>0</v>
      </c>
      <c r="L122">
        <v>-1</v>
      </c>
      <c r="M122">
        <v>4.7619047619047623E-3</v>
      </c>
      <c r="N122">
        <v>0</v>
      </c>
      <c r="O122">
        <v>-1</v>
      </c>
    </row>
    <row r="123" spans="1:15">
      <c r="A123" s="1">
        <v>46222</v>
      </c>
      <c r="B123">
        <v>0</v>
      </c>
      <c r="C123">
        <v>17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8.0952380952380956E-2</v>
      </c>
      <c r="K123">
        <v>0</v>
      </c>
      <c r="L123">
        <v>-1</v>
      </c>
      <c r="M123">
        <v>4.7619047619047623E-3</v>
      </c>
      <c r="N123">
        <v>0</v>
      </c>
      <c r="O123">
        <v>-1</v>
      </c>
    </row>
    <row r="124" spans="1:15">
      <c r="A124" s="1">
        <v>46223</v>
      </c>
      <c r="B124">
        <v>0</v>
      </c>
      <c r="C124">
        <v>17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8.0952380952380956E-2</v>
      </c>
      <c r="K124">
        <v>0</v>
      </c>
      <c r="L124">
        <v>-1</v>
      </c>
      <c r="M124">
        <v>4.7619047619047623E-3</v>
      </c>
      <c r="N124">
        <v>0</v>
      </c>
      <c r="O124">
        <v>-1</v>
      </c>
    </row>
    <row r="125" spans="1:15">
      <c r="A125" s="1">
        <v>46224</v>
      </c>
      <c r="B125">
        <v>25</v>
      </c>
      <c r="C125">
        <v>42</v>
      </c>
      <c r="D125">
        <v>0</v>
      </c>
      <c r="E125">
        <v>0</v>
      </c>
      <c r="F125">
        <v>9</v>
      </c>
      <c r="G125">
        <v>0</v>
      </c>
      <c r="H125">
        <v>10</v>
      </c>
      <c r="I125">
        <v>0</v>
      </c>
      <c r="J125">
        <v>0.2</v>
      </c>
      <c r="K125">
        <v>0</v>
      </c>
      <c r="L125">
        <v>-1</v>
      </c>
      <c r="M125">
        <v>4.7619047619047623E-2</v>
      </c>
      <c r="N125">
        <v>0</v>
      </c>
      <c r="O125">
        <v>-1</v>
      </c>
    </row>
    <row r="126" spans="1:15">
      <c r="A126" s="1">
        <v>46225</v>
      </c>
      <c r="B126">
        <v>0</v>
      </c>
      <c r="C126">
        <v>42</v>
      </c>
      <c r="D126">
        <v>0</v>
      </c>
      <c r="E126">
        <v>0</v>
      </c>
      <c r="F126">
        <v>0</v>
      </c>
      <c r="G126">
        <v>0</v>
      </c>
      <c r="H126">
        <v>10</v>
      </c>
      <c r="I126">
        <v>0</v>
      </c>
      <c r="J126">
        <v>0.2</v>
      </c>
      <c r="K126">
        <v>0</v>
      </c>
      <c r="L126">
        <v>-1</v>
      </c>
      <c r="M126">
        <v>4.7619047619047623E-2</v>
      </c>
      <c r="N126">
        <v>0</v>
      </c>
      <c r="O126">
        <v>-1</v>
      </c>
    </row>
    <row r="127" spans="1:15">
      <c r="A127" s="1">
        <v>46226</v>
      </c>
      <c r="B127">
        <v>10</v>
      </c>
      <c r="C127">
        <v>52</v>
      </c>
      <c r="D127">
        <v>0</v>
      </c>
      <c r="E127">
        <v>0</v>
      </c>
      <c r="F127">
        <v>2</v>
      </c>
      <c r="G127">
        <v>0</v>
      </c>
      <c r="H127">
        <v>12</v>
      </c>
      <c r="I127">
        <v>0</v>
      </c>
      <c r="J127">
        <v>0.2476190476190476</v>
      </c>
      <c r="K127">
        <v>0</v>
      </c>
      <c r="L127">
        <v>-1</v>
      </c>
      <c r="M127">
        <v>5.7142857142857141E-2</v>
      </c>
      <c r="N127">
        <v>0</v>
      </c>
      <c r="O127">
        <v>-1</v>
      </c>
    </row>
    <row r="128" spans="1:15">
      <c r="A128" s="1">
        <v>46227</v>
      </c>
      <c r="B128">
        <v>0</v>
      </c>
      <c r="C128">
        <v>52</v>
      </c>
      <c r="D128">
        <v>0</v>
      </c>
      <c r="E128">
        <v>0</v>
      </c>
      <c r="F128">
        <v>1</v>
      </c>
      <c r="G128">
        <v>0</v>
      </c>
      <c r="H128">
        <v>13</v>
      </c>
      <c r="I128">
        <v>0</v>
      </c>
      <c r="J128">
        <v>0.2476190476190476</v>
      </c>
      <c r="K128">
        <v>0</v>
      </c>
      <c r="L128">
        <v>-1</v>
      </c>
      <c r="M128">
        <v>6.1904761904761907E-2</v>
      </c>
      <c r="N128">
        <v>0</v>
      </c>
      <c r="O128">
        <v>-1</v>
      </c>
    </row>
    <row r="129" spans="1:15">
      <c r="A129" s="1">
        <v>46228</v>
      </c>
      <c r="B129">
        <v>0</v>
      </c>
      <c r="C129">
        <v>52</v>
      </c>
      <c r="D129">
        <v>0</v>
      </c>
      <c r="E129">
        <v>0</v>
      </c>
      <c r="F129">
        <v>0</v>
      </c>
      <c r="G129">
        <v>0</v>
      </c>
      <c r="H129">
        <v>13</v>
      </c>
      <c r="I129">
        <v>0</v>
      </c>
      <c r="J129">
        <v>0.2476190476190476</v>
      </c>
      <c r="K129">
        <v>0</v>
      </c>
      <c r="L129">
        <v>-1</v>
      </c>
      <c r="M129">
        <v>6.1904761904761907E-2</v>
      </c>
      <c r="N129">
        <v>0</v>
      </c>
      <c r="O129">
        <v>-1</v>
      </c>
    </row>
    <row r="130" spans="1:15">
      <c r="A130" s="1">
        <v>46229</v>
      </c>
      <c r="B130">
        <v>0</v>
      </c>
      <c r="C130">
        <v>52</v>
      </c>
      <c r="D130">
        <v>0</v>
      </c>
      <c r="E130">
        <v>0</v>
      </c>
      <c r="F130">
        <v>0</v>
      </c>
      <c r="G130">
        <v>0</v>
      </c>
      <c r="H130">
        <v>13</v>
      </c>
      <c r="I130">
        <v>0</v>
      </c>
      <c r="J130">
        <v>0.2476190476190476</v>
      </c>
      <c r="K130">
        <v>0</v>
      </c>
      <c r="L130">
        <v>-1</v>
      </c>
      <c r="M130">
        <v>6.1904761904761907E-2</v>
      </c>
      <c r="N130">
        <v>0</v>
      </c>
      <c r="O130">
        <v>-1</v>
      </c>
    </row>
    <row r="131" spans="1:15">
      <c r="A131" s="1">
        <v>46230</v>
      </c>
      <c r="B131">
        <v>0</v>
      </c>
      <c r="C131">
        <v>52</v>
      </c>
      <c r="D131">
        <v>0</v>
      </c>
      <c r="E131">
        <v>0</v>
      </c>
      <c r="F131">
        <v>0</v>
      </c>
      <c r="G131">
        <v>0</v>
      </c>
      <c r="H131">
        <v>13</v>
      </c>
      <c r="I131">
        <v>0</v>
      </c>
      <c r="J131">
        <v>0.2476190476190476</v>
      </c>
      <c r="K131">
        <v>0</v>
      </c>
      <c r="L131">
        <v>-1</v>
      </c>
      <c r="M131">
        <v>6.1904761904761907E-2</v>
      </c>
      <c r="N131">
        <v>0</v>
      </c>
      <c r="O131">
        <v>-1</v>
      </c>
    </row>
    <row r="132" spans="1:15">
      <c r="A132" s="1">
        <v>46231</v>
      </c>
      <c r="B132">
        <v>0</v>
      </c>
      <c r="C132">
        <v>52</v>
      </c>
      <c r="D132">
        <v>0</v>
      </c>
      <c r="E132">
        <v>0</v>
      </c>
      <c r="F132">
        <v>3</v>
      </c>
      <c r="G132">
        <v>0</v>
      </c>
      <c r="H132">
        <v>16</v>
      </c>
      <c r="I132">
        <v>0</v>
      </c>
      <c r="J132">
        <v>0.2476190476190476</v>
      </c>
      <c r="K132">
        <v>0</v>
      </c>
      <c r="L132">
        <v>-1</v>
      </c>
      <c r="M132">
        <v>7.6190476190476197E-2</v>
      </c>
      <c r="N132">
        <v>0</v>
      </c>
      <c r="O132">
        <v>-1</v>
      </c>
    </row>
    <row r="133" spans="1:15">
      <c r="A133" s="1">
        <v>46232</v>
      </c>
      <c r="B133">
        <v>0</v>
      </c>
      <c r="C133">
        <v>52</v>
      </c>
      <c r="D133">
        <v>0</v>
      </c>
      <c r="E133">
        <v>0</v>
      </c>
      <c r="F133">
        <v>1</v>
      </c>
      <c r="G133">
        <v>0</v>
      </c>
      <c r="H133">
        <v>17</v>
      </c>
      <c r="I133">
        <v>0</v>
      </c>
      <c r="J133">
        <v>0.2476190476190476</v>
      </c>
      <c r="K133">
        <v>0</v>
      </c>
      <c r="L133">
        <v>-1</v>
      </c>
      <c r="M133">
        <v>8.0952380952380956E-2</v>
      </c>
      <c r="N133">
        <v>0</v>
      </c>
      <c r="O133">
        <v>-1</v>
      </c>
    </row>
    <row r="134" spans="1:15">
      <c r="A134" s="1">
        <v>46233</v>
      </c>
      <c r="B134">
        <v>0</v>
      </c>
      <c r="C134">
        <v>52</v>
      </c>
      <c r="D134">
        <v>0</v>
      </c>
      <c r="E134">
        <v>0</v>
      </c>
      <c r="F134">
        <v>0</v>
      </c>
      <c r="G134">
        <v>0</v>
      </c>
      <c r="H134">
        <v>17</v>
      </c>
      <c r="I134">
        <v>0</v>
      </c>
      <c r="J134">
        <v>0.2476190476190476</v>
      </c>
      <c r="K134">
        <v>0</v>
      </c>
      <c r="L134">
        <v>-1</v>
      </c>
      <c r="M134">
        <v>8.0952380952380956E-2</v>
      </c>
      <c r="N134">
        <v>0</v>
      </c>
      <c r="O134">
        <v>-1</v>
      </c>
    </row>
    <row r="135" spans="1:15">
      <c r="A135" s="1">
        <v>46234</v>
      </c>
      <c r="B135">
        <v>0</v>
      </c>
      <c r="C135">
        <v>52</v>
      </c>
      <c r="D135">
        <v>0</v>
      </c>
      <c r="E135">
        <v>0</v>
      </c>
      <c r="F135">
        <v>0</v>
      </c>
      <c r="G135">
        <v>0</v>
      </c>
      <c r="H135">
        <v>17</v>
      </c>
      <c r="I135">
        <v>0</v>
      </c>
      <c r="J135">
        <v>0.2476190476190476</v>
      </c>
      <c r="K135">
        <v>0</v>
      </c>
      <c r="L135">
        <v>-1</v>
      </c>
      <c r="M135">
        <v>8.0952380952380956E-2</v>
      </c>
      <c r="N135">
        <v>0</v>
      </c>
      <c r="O135">
        <v>-1</v>
      </c>
    </row>
    <row r="136" spans="1:15">
      <c r="A136" s="1">
        <v>46235</v>
      </c>
      <c r="B136">
        <v>0</v>
      </c>
      <c r="C136">
        <v>52</v>
      </c>
      <c r="D136">
        <v>0</v>
      </c>
      <c r="E136">
        <v>0</v>
      </c>
      <c r="F136">
        <v>0</v>
      </c>
      <c r="G136">
        <v>0</v>
      </c>
      <c r="H136">
        <v>17</v>
      </c>
      <c r="I136">
        <v>0</v>
      </c>
      <c r="J136">
        <v>0.2476190476190476</v>
      </c>
      <c r="K136">
        <v>0</v>
      </c>
      <c r="L136">
        <v>-1</v>
      </c>
      <c r="M136">
        <v>8.0952380952380956E-2</v>
      </c>
      <c r="N136">
        <v>0</v>
      </c>
      <c r="O136">
        <v>-1</v>
      </c>
    </row>
    <row r="137" spans="1:15">
      <c r="A137" s="1">
        <v>46236</v>
      </c>
      <c r="B137">
        <v>0</v>
      </c>
      <c r="C137">
        <v>52</v>
      </c>
      <c r="D137">
        <v>0</v>
      </c>
      <c r="E137">
        <v>0</v>
      </c>
      <c r="F137">
        <v>0</v>
      </c>
      <c r="G137">
        <v>0</v>
      </c>
      <c r="H137">
        <v>17</v>
      </c>
      <c r="I137">
        <v>0</v>
      </c>
      <c r="J137">
        <v>0.2476190476190476</v>
      </c>
      <c r="K137">
        <v>0</v>
      </c>
      <c r="L137">
        <v>-1</v>
      </c>
      <c r="M137">
        <v>8.0952380952380956E-2</v>
      </c>
      <c r="N137">
        <v>0</v>
      </c>
      <c r="O137">
        <v>-1</v>
      </c>
    </row>
    <row r="138" spans="1:15">
      <c r="A138" s="1">
        <v>46237</v>
      </c>
      <c r="B138">
        <v>0</v>
      </c>
      <c r="C138">
        <v>52</v>
      </c>
      <c r="D138">
        <v>0</v>
      </c>
      <c r="E138">
        <v>0</v>
      </c>
      <c r="F138">
        <v>0</v>
      </c>
      <c r="G138">
        <v>0</v>
      </c>
      <c r="H138">
        <v>17</v>
      </c>
      <c r="I138">
        <v>0</v>
      </c>
      <c r="J138">
        <v>0.2476190476190476</v>
      </c>
      <c r="K138">
        <v>0</v>
      </c>
      <c r="L138">
        <v>-1</v>
      </c>
      <c r="M138">
        <v>8.0952380952380956E-2</v>
      </c>
      <c r="N138">
        <v>0</v>
      </c>
      <c r="O138">
        <v>-1</v>
      </c>
    </row>
    <row r="139" spans="1:15">
      <c r="A139" s="1">
        <v>46238</v>
      </c>
      <c r="B139">
        <v>10</v>
      </c>
      <c r="C139">
        <v>62</v>
      </c>
      <c r="D139">
        <v>0</v>
      </c>
      <c r="E139">
        <v>0</v>
      </c>
      <c r="F139">
        <v>21</v>
      </c>
      <c r="G139">
        <v>0</v>
      </c>
      <c r="H139">
        <v>38</v>
      </c>
      <c r="I139">
        <v>0</v>
      </c>
      <c r="J139">
        <v>0.29523809523809519</v>
      </c>
      <c r="K139">
        <v>0</v>
      </c>
      <c r="L139">
        <v>-1</v>
      </c>
      <c r="M139">
        <v>0.18095238095238089</v>
      </c>
      <c r="N139">
        <v>0</v>
      </c>
      <c r="O139">
        <v>-1</v>
      </c>
    </row>
    <row r="140" spans="1:15">
      <c r="A140" s="1">
        <v>46239</v>
      </c>
      <c r="B140">
        <v>0</v>
      </c>
      <c r="C140">
        <v>62</v>
      </c>
      <c r="D140">
        <v>0</v>
      </c>
      <c r="E140">
        <v>0</v>
      </c>
      <c r="F140">
        <v>1</v>
      </c>
      <c r="G140">
        <v>0</v>
      </c>
      <c r="H140">
        <v>39</v>
      </c>
      <c r="I140">
        <v>0</v>
      </c>
      <c r="J140">
        <v>0.29523809523809519</v>
      </c>
      <c r="K140">
        <v>0</v>
      </c>
      <c r="L140">
        <v>-1</v>
      </c>
      <c r="M140">
        <v>0.18571428571428569</v>
      </c>
      <c r="N140">
        <v>0</v>
      </c>
      <c r="O140">
        <v>-1</v>
      </c>
    </row>
    <row r="141" spans="1:15">
      <c r="A141" s="1">
        <v>46240</v>
      </c>
      <c r="B141">
        <v>19</v>
      </c>
      <c r="C141">
        <v>81</v>
      </c>
      <c r="D141">
        <v>0</v>
      </c>
      <c r="E141">
        <v>0</v>
      </c>
      <c r="F141">
        <v>11</v>
      </c>
      <c r="G141">
        <v>0</v>
      </c>
      <c r="H141">
        <v>50</v>
      </c>
      <c r="I141">
        <v>0</v>
      </c>
      <c r="J141">
        <v>0.38571428571428568</v>
      </c>
      <c r="K141">
        <v>0</v>
      </c>
      <c r="L141">
        <v>-1</v>
      </c>
      <c r="M141">
        <v>0.23809523809523811</v>
      </c>
      <c r="N141">
        <v>0</v>
      </c>
      <c r="O141">
        <v>-1</v>
      </c>
    </row>
    <row r="142" spans="1:15">
      <c r="A142" s="1">
        <v>46241</v>
      </c>
      <c r="B142">
        <v>0</v>
      </c>
      <c r="C142">
        <v>81</v>
      </c>
      <c r="D142">
        <v>0</v>
      </c>
      <c r="E142">
        <v>0</v>
      </c>
      <c r="F142">
        <v>1</v>
      </c>
      <c r="G142">
        <v>0</v>
      </c>
      <c r="H142">
        <v>51</v>
      </c>
      <c r="I142">
        <v>0</v>
      </c>
      <c r="J142">
        <v>0.38571428571428568</v>
      </c>
      <c r="K142">
        <v>0</v>
      </c>
      <c r="L142">
        <v>-1</v>
      </c>
      <c r="M142">
        <v>0.24285714285714291</v>
      </c>
      <c r="N142">
        <v>0</v>
      </c>
      <c r="O142">
        <v>-1</v>
      </c>
    </row>
    <row r="143" spans="1:15">
      <c r="A143" s="1">
        <v>46242</v>
      </c>
      <c r="B143">
        <v>0</v>
      </c>
      <c r="C143">
        <v>81</v>
      </c>
      <c r="D143">
        <v>0</v>
      </c>
      <c r="E143">
        <v>0</v>
      </c>
      <c r="F143">
        <v>0</v>
      </c>
      <c r="G143">
        <v>0</v>
      </c>
      <c r="H143">
        <v>51</v>
      </c>
      <c r="I143">
        <v>0</v>
      </c>
      <c r="J143">
        <v>0.38571428571428568</v>
      </c>
      <c r="K143">
        <v>0</v>
      </c>
      <c r="L143">
        <v>-1</v>
      </c>
      <c r="M143">
        <v>0.24285714285714291</v>
      </c>
      <c r="N143">
        <v>0</v>
      </c>
      <c r="O143">
        <v>-1</v>
      </c>
    </row>
    <row r="144" spans="1:15">
      <c r="A144" s="1">
        <v>46243</v>
      </c>
      <c r="B144">
        <v>0</v>
      </c>
      <c r="C144">
        <v>81</v>
      </c>
      <c r="D144">
        <v>0</v>
      </c>
      <c r="E144">
        <v>0</v>
      </c>
      <c r="F144">
        <v>0</v>
      </c>
      <c r="G144">
        <v>0</v>
      </c>
      <c r="H144">
        <v>51</v>
      </c>
      <c r="I144">
        <v>0</v>
      </c>
      <c r="J144">
        <v>0.38571428571428568</v>
      </c>
      <c r="K144">
        <v>0</v>
      </c>
      <c r="L144">
        <v>-1</v>
      </c>
      <c r="M144">
        <v>0.24285714285714291</v>
      </c>
      <c r="N144">
        <v>0</v>
      </c>
      <c r="O144">
        <v>-1</v>
      </c>
    </row>
    <row r="145" spans="1:15">
      <c r="A145" s="1">
        <v>46244</v>
      </c>
      <c r="B145">
        <v>0</v>
      </c>
      <c r="C145">
        <v>81</v>
      </c>
      <c r="D145">
        <v>0</v>
      </c>
      <c r="E145">
        <v>0</v>
      </c>
      <c r="F145">
        <v>0</v>
      </c>
      <c r="G145">
        <v>0</v>
      </c>
      <c r="H145">
        <v>51</v>
      </c>
      <c r="I145">
        <v>0</v>
      </c>
      <c r="J145">
        <v>0.38571428571428568</v>
      </c>
      <c r="K145">
        <v>0</v>
      </c>
      <c r="L145">
        <v>-1</v>
      </c>
      <c r="M145">
        <v>0.24285714285714291</v>
      </c>
      <c r="N145">
        <v>0</v>
      </c>
      <c r="O145">
        <v>-1</v>
      </c>
    </row>
    <row r="146" spans="1:15">
      <c r="A146" s="1">
        <v>46245</v>
      </c>
      <c r="B146">
        <v>8</v>
      </c>
      <c r="C146">
        <v>89</v>
      </c>
      <c r="D146">
        <v>0</v>
      </c>
      <c r="E146">
        <v>0</v>
      </c>
      <c r="F146">
        <v>1</v>
      </c>
      <c r="G146">
        <v>0</v>
      </c>
      <c r="H146">
        <v>52</v>
      </c>
      <c r="I146">
        <v>0</v>
      </c>
      <c r="J146">
        <v>0.4238095238095238</v>
      </c>
      <c r="K146">
        <v>0</v>
      </c>
      <c r="L146">
        <v>-1</v>
      </c>
      <c r="M146">
        <v>0.2476190476190476</v>
      </c>
      <c r="N146">
        <v>0</v>
      </c>
      <c r="O146">
        <v>-1</v>
      </c>
    </row>
    <row r="147" spans="1:15">
      <c r="A147" s="1">
        <v>46246</v>
      </c>
      <c r="B147">
        <v>0</v>
      </c>
      <c r="C147">
        <v>89</v>
      </c>
      <c r="D147">
        <v>0</v>
      </c>
      <c r="E147">
        <v>0</v>
      </c>
      <c r="F147">
        <v>0</v>
      </c>
      <c r="G147">
        <v>0</v>
      </c>
      <c r="H147">
        <v>52</v>
      </c>
      <c r="I147">
        <v>0</v>
      </c>
      <c r="J147">
        <v>0.4238095238095238</v>
      </c>
      <c r="K147">
        <v>0</v>
      </c>
      <c r="L147">
        <v>-1</v>
      </c>
      <c r="M147">
        <v>0.2476190476190476</v>
      </c>
      <c r="N147">
        <v>0</v>
      </c>
      <c r="O147">
        <v>-1</v>
      </c>
    </row>
    <row r="148" spans="1:15">
      <c r="A148" s="1">
        <v>46247</v>
      </c>
      <c r="B148">
        <v>0</v>
      </c>
      <c r="C148">
        <v>89</v>
      </c>
      <c r="D148">
        <v>0</v>
      </c>
      <c r="E148">
        <v>0</v>
      </c>
      <c r="F148">
        <v>0</v>
      </c>
      <c r="G148">
        <v>0</v>
      </c>
      <c r="H148">
        <v>52</v>
      </c>
      <c r="I148">
        <v>0</v>
      </c>
      <c r="J148">
        <v>0.4238095238095238</v>
      </c>
      <c r="K148">
        <v>0</v>
      </c>
      <c r="L148">
        <v>-1</v>
      </c>
      <c r="M148">
        <v>0.2476190476190476</v>
      </c>
      <c r="N148">
        <v>0</v>
      </c>
      <c r="O148">
        <v>-1</v>
      </c>
    </row>
    <row r="149" spans="1:15">
      <c r="A149" s="1">
        <v>46248</v>
      </c>
      <c r="B149">
        <v>0</v>
      </c>
      <c r="C149">
        <v>89</v>
      </c>
      <c r="D149">
        <v>0</v>
      </c>
      <c r="E149">
        <v>0</v>
      </c>
      <c r="F149">
        <v>1</v>
      </c>
      <c r="G149">
        <v>0</v>
      </c>
      <c r="H149">
        <v>53</v>
      </c>
      <c r="I149">
        <v>0</v>
      </c>
      <c r="J149">
        <v>0.4238095238095238</v>
      </c>
      <c r="K149">
        <v>0</v>
      </c>
      <c r="L149">
        <v>-1</v>
      </c>
      <c r="M149">
        <v>0.25238095238095237</v>
      </c>
      <c r="N149">
        <v>0</v>
      </c>
      <c r="O149">
        <v>-1</v>
      </c>
    </row>
    <row r="150" spans="1:15">
      <c r="A150" s="1">
        <v>46249</v>
      </c>
      <c r="B150">
        <v>0</v>
      </c>
      <c r="C150">
        <v>89</v>
      </c>
      <c r="D150">
        <v>0</v>
      </c>
      <c r="E150">
        <v>0</v>
      </c>
      <c r="F150">
        <v>0</v>
      </c>
      <c r="G150">
        <v>0</v>
      </c>
      <c r="H150">
        <v>53</v>
      </c>
      <c r="I150">
        <v>0</v>
      </c>
      <c r="J150">
        <v>0.4238095238095238</v>
      </c>
      <c r="K150">
        <v>0</v>
      </c>
      <c r="L150">
        <v>-1</v>
      </c>
      <c r="M150">
        <v>0.25238095238095237</v>
      </c>
      <c r="N150">
        <v>0</v>
      </c>
      <c r="O150">
        <v>-1</v>
      </c>
    </row>
    <row r="151" spans="1:15">
      <c r="A151" s="1">
        <v>46250</v>
      </c>
      <c r="B151">
        <v>0</v>
      </c>
      <c r="C151">
        <v>89</v>
      </c>
      <c r="D151">
        <v>0</v>
      </c>
      <c r="E151">
        <v>0</v>
      </c>
      <c r="F151">
        <v>0</v>
      </c>
      <c r="G151">
        <v>0</v>
      </c>
      <c r="H151">
        <v>53</v>
      </c>
      <c r="I151">
        <v>0</v>
      </c>
      <c r="J151">
        <v>0.4238095238095238</v>
      </c>
      <c r="K151">
        <v>0</v>
      </c>
      <c r="L151">
        <v>-1</v>
      </c>
      <c r="M151">
        <v>0.25238095238095237</v>
      </c>
      <c r="N151">
        <v>0</v>
      </c>
      <c r="O151">
        <v>-1</v>
      </c>
    </row>
    <row r="152" spans="1:15">
      <c r="A152" s="1">
        <v>46251</v>
      </c>
      <c r="B152">
        <v>0</v>
      </c>
      <c r="C152">
        <v>89</v>
      </c>
      <c r="D152">
        <v>0</v>
      </c>
      <c r="E152">
        <v>0</v>
      </c>
      <c r="F152">
        <v>0</v>
      </c>
      <c r="G152">
        <v>0</v>
      </c>
      <c r="H152">
        <v>53</v>
      </c>
      <c r="I152">
        <v>0</v>
      </c>
      <c r="J152">
        <v>0.4238095238095238</v>
      </c>
      <c r="K152">
        <v>0</v>
      </c>
      <c r="L152">
        <v>-1</v>
      </c>
      <c r="M152">
        <v>0.25238095238095237</v>
      </c>
      <c r="N152">
        <v>0</v>
      </c>
      <c r="O152">
        <v>-1</v>
      </c>
    </row>
    <row r="153" spans="1:15">
      <c r="A153" s="1">
        <v>46252</v>
      </c>
      <c r="B153">
        <v>10</v>
      </c>
      <c r="C153">
        <v>99</v>
      </c>
      <c r="D153">
        <v>0</v>
      </c>
      <c r="E153">
        <v>0</v>
      </c>
      <c r="F153">
        <v>8</v>
      </c>
      <c r="G153">
        <v>0</v>
      </c>
      <c r="H153">
        <v>61</v>
      </c>
      <c r="I153">
        <v>0</v>
      </c>
      <c r="J153">
        <v>0.47142857142857142</v>
      </c>
      <c r="K153">
        <v>0</v>
      </c>
      <c r="L153">
        <v>-1</v>
      </c>
      <c r="M153">
        <v>0.2904761904761905</v>
      </c>
      <c r="N153">
        <v>0</v>
      </c>
      <c r="O153">
        <v>-1</v>
      </c>
    </row>
    <row r="154" spans="1:15">
      <c r="A154" s="1">
        <v>46253</v>
      </c>
      <c r="B154">
        <v>0</v>
      </c>
      <c r="C154">
        <v>99</v>
      </c>
      <c r="D154">
        <v>0</v>
      </c>
      <c r="E154">
        <v>0</v>
      </c>
      <c r="F154">
        <v>0</v>
      </c>
      <c r="G154">
        <v>0</v>
      </c>
      <c r="H154">
        <v>61</v>
      </c>
      <c r="I154">
        <v>0</v>
      </c>
      <c r="J154">
        <v>0.47142857142857142</v>
      </c>
      <c r="K154">
        <v>0</v>
      </c>
      <c r="L154">
        <v>-1</v>
      </c>
      <c r="M154">
        <v>0.2904761904761905</v>
      </c>
      <c r="N154">
        <v>0</v>
      </c>
      <c r="O154">
        <v>-1</v>
      </c>
    </row>
    <row r="155" spans="1:15">
      <c r="A155" s="1">
        <v>46254</v>
      </c>
      <c r="B155">
        <v>11</v>
      </c>
      <c r="C155">
        <v>110</v>
      </c>
      <c r="D155">
        <v>0</v>
      </c>
      <c r="E155">
        <v>0</v>
      </c>
      <c r="F155">
        <v>16</v>
      </c>
      <c r="G155">
        <v>0</v>
      </c>
      <c r="H155">
        <v>77</v>
      </c>
      <c r="I155">
        <v>0</v>
      </c>
      <c r="J155">
        <v>0.52380952380952384</v>
      </c>
      <c r="K155">
        <v>0</v>
      </c>
      <c r="L155">
        <v>-1</v>
      </c>
      <c r="M155">
        <v>0.36666666666666659</v>
      </c>
      <c r="N155">
        <v>0</v>
      </c>
      <c r="O155">
        <v>-1</v>
      </c>
    </row>
    <row r="156" spans="1:15">
      <c r="A156" s="1">
        <v>46255</v>
      </c>
      <c r="B156">
        <v>0</v>
      </c>
      <c r="C156">
        <v>110</v>
      </c>
      <c r="D156">
        <v>0</v>
      </c>
      <c r="E156">
        <v>0</v>
      </c>
      <c r="F156">
        <v>0</v>
      </c>
      <c r="G156">
        <v>0</v>
      </c>
      <c r="H156">
        <v>77</v>
      </c>
      <c r="I156">
        <v>0</v>
      </c>
      <c r="J156">
        <v>0.52380952380952384</v>
      </c>
      <c r="K156">
        <v>0</v>
      </c>
      <c r="L156">
        <v>-1</v>
      </c>
      <c r="M156">
        <v>0.36666666666666659</v>
      </c>
      <c r="N156">
        <v>0</v>
      </c>
      <c r="O156">
        <v>-1</v>
      </c>
    </row>
    <row r="157" spans="1:15">
      <c r="A157" s="1">
        <v>46256</v>
      </c>
      <c r="B157">
        <v>0</v>
      </c>
      <c r="C157">
        <v>110</v>
      </c>
      <c r="D157">
        <v>0</v>
      </c>
      <c r="E157">
        <v>0</v>
      </c>
      <c r="F157">
        <v>0</v>
      </c>
      <c r="G157">
        <v>0</v>
      </c>
      <c r="H157">
        <v>77</v>
      </c>
      <c r="I157">
        <v>0</v>
      </c>
      <c r="J157">
        <v>0.52380952380952384</v>
      </c>
      <c r="K157">
        <v>0</v>
      </c>
      <c r="L157">
        <v>-1</v>
      </c>
      <c r="M157">
        <v>0.36666666666666659</v>
      </c>
      <c r="N157">
        <v>0</v>
      </c>
      <c r="O157">
        <v>-1</v>
      </c>
    </row>
    <row r="158" spans="1:15">
      <c r="A158" s="1">
        <v>46257</v>
      </c>
      <c r="B158">
        <v>0</v>
      </c>
      <c r="C158">
        <v>110</v>
      </c>
      <c r="D158">
        <v>0</v>
      </c>
      <c r="E158">
        <v>0</v>
      </c>
      <c r="F158">
        <v>0</v>
      </c>
      <c r="G158">
        <v>0</v>
      </c>
      <c r="H158">
        <v>77</v>
      </c>
      <c r="I158">
        <v>0</v>
      </c>
      <c r="J158">
        <v>0.52380952380952384</v>
      </c>
      <c r="K158">
        <v>0</v>
      </c>
      <c r="L158">
        <v>-1</v>
      </c>
      <c r="M158">
        <v>0.36666666666666659</v>
      </c>
      <c r="N158">
        <v>0</v>
      </c>
      <c r="O158">
        <v>-1</v>
      </c>
    </row>
    <row r="159" spans="1:15">
      <c r="A159" s="1">
        <v>46258</v>
      </c>
      <c r="B159">
        <v>0</v>
      </c>
      <c r="C159">
        <v>110</v>
      </c>
      <c r="D159">
        <v>0</v>
      </c>
      <c r="E159">
        <v>0</v>
      </c>
      <c r="F159">
        <v>3</v>
      </c>
      <c r="G159">
        <v>0</v>
      </c>
      <c r="H159">
        <v>80</v>
      </c>
      <c r="I159">
        <v>0</v>
      </c>
      <c r="J159">
        <v>0.52380952380952384</v>
      </c>
      <c r="K159">
        <v>0</v>
      </c>
      <c r="L159">
        <v>-1</v>
      </c>
      <c r="M159">
        <v>0.38095238095238088</v>
      </c>
      <c r="N159">
        <v>0</v>
      </c>
      <c r="O159">
        <v>-1</v>
      </c>
    </row>
    <row r="160" spans="1:15">
      <c r="A160" s="1">
        <v>46259</v>
      </c>
      <c r="B160">
        <v>12</v>
      </c>
      <c r="C160">
        <v>122</v>
      </c>
      <c r="D160">
        <v>0</v>
      </c>
      <c r="E160">
        <v>0</v>
      </c>
      <c r="F160">
        <v>6</v>
      </c>
      <c r="G160">
        <v>0</v>
      </c>
      <c r="H160">
        <v>86</v>
      </c>
      <c r="I160">
        <v>0</v>
      </c>
      <c r="J160">
        <v>0.580952380952381</v>
      </c>
      <c r="K160">
        <v>0</v>
      </c>
      <c r="L160">
        <v>-1</v>
      </c>
      <c r="M160">
        <v>0.40952380952380951</v>
      </c>
      <c r="N160">
        <v>0</v>
      </c>
      <c r="O160">
        <v>-1</v>
      </c>
    </row>
    <row r="161" spans="1:15">
      <c r="A161" s="1">
        <v>46260</v>
      </c>
      <c r="B161">
        <v>4</v>
      </c>
      <c r="C161">
        <v>126</v>
      </c>
      <c r="D161">
        <v>0</v>
      </c>
      <c r="E161">
        <v>0</v>
      </c>
      <c r="F161">
        <v>0</v>
      </c>
      <c r="G161">
        <v>0</v>
      </c>
      <c r="H161">
        <v>86</v>
      </c>
      <c r="I161">
        <v>0</v>
      </c>
      <c r="J161">
        <v>0.6</v>
      </c>
      <c r="K161">
        <v>0</v>
      </c>
      <c r="L161">
        <v>-1</v>
      </c>
      <c r="M161">
        <v>0.40952380952380951</v>
      </c>
      <c r="N161">
        <v>0</v>
      </c>
      <c r="O161">
        <v>-1</v>
      </c>
    </row>
    <row r="162" spans="1:15">
      <c r="A162" s="1">
        <v>46261</v>
      </c>
      <c r="B162">
        <v>24</v>
      </c>
      <c r="C162">
        <v>150</v>
      </c>
      <c r="D162">
        <v>0</v>
      </c>
      <c r="E162">
        <v>0</v>
      </c>
      <c r="F162">
        <v>0</v>
      </c>
      <c r="G162">
        <v>0</v>
      </c>
      <c r="H162">
        <v>86</v>
      </c>
      <c r="I162">
        <v>0</v>
      </c>
      <c r="J162">
        <v>0.7142857142857143</v>
      </c>
      <c r="K162">
        <v>0</v>
      </c>
      <c r="L162">
        <v>-1</v>
      </c>
      <c r="M162">
        <v>0.40952380952380951</v>
      </c>
      <c r="N162">
        <v>0</v>
      </c>
      <c r="O162">
        <v>-1</v>
      </c>
    </row>
    <row r="163" spans="1:15">
      <c r="A163" s="1">
        <v>46262</v>
      </c>
      <c r="B163">
        <v>0</v>
      </c>
      <c r="C163">
        <v>150</v>
      </c>
      <c r="D163">
        <v>0</v>
      </c>
      <c r="E163">
        <v>0</v>
      </c>
      <c r="F163">
        <v>1</v>
      </c>
      <c r="G163">
        <v>0</v>
      </c>
      <c r="H163">
        <v>87</v>
      </c>
      <c r="I163">
        <v>0</v>
      </c>
      <c r="J163">
        <v>0.7142857142857143</v>
      </c>
      <c r="K163">
        <v>0</v>
      </c>
      <c r="L163">
        <v>-1</v>
      </c>
      <c r="M163">
        <v>0.41428571428571431</v>
      </c>
      <c r="N163">
        <v>0</v>
      </c>
      <c r="O163">
        <v>-1</v>
      </c>
    </row>
    <row r="164" spans="1:15">
      <c r="A164" s="1">
        <v>46263</v>
      </c>
      <c r="B164">
        <v>0</v>
      </c>
      <c r="C164">
        <v>150</v>
      </c>
      <c r="D164">
        <v>0</v>
      </c>
      <c r="E164">
        <v>0</v>
      </c>
      <c r="F164">
        <v>0</v>
      </c>
      <c r="G164">
        <v>0</v>
      </c>
      <c r="H164">
        <v>87</v>
      </c>
      <c r="I164">
        <v>0</v>
      </c>
      <c r="J164">
        <v>0.7142857142857143</v>
      </c>
      <c r="K164">
        <v>0</v>
      </c>
      <c r="L164">
        <v>-1</v>
      </c>
      <c r="M164">
        <v>0.41428571428571431</v>
      </c>
      <c r="N164">
        <v>0</v>
      </c>
      <c r="O164">
        <v>-1</v>
      </c>
    </row>
    <row r="165" spans="1:15">
      <c r="A165" s="1">
        <v>46264</v>
      </c>
      <c r="B165">
        <v>0</v>
      </c>
      <c r="C165">
        <v>150</v>
      </c>
      <c r="D165">
        <v>0</v>
      </c>
      <c r="E165">
        <v>0</v>
      </c>
      <c r="F165">
        <v>0</v>
      </c>
      <c r="G165">
        <v>0</v>
      </c>
      <c r="H165">
        <v>87</v>
      </c>
      <c r="I165">
        <v>0</v>
      </c>
      <c r="J165">
        <v>0.7142857142857143</v>
      </c>
      <c r="K165">
        <v>0</v>
      </c>
      <c r="L165">
        <v>-1</v>
      </c>
      <c r="M165">
        <v>0.41428571428571431</v>
      </c>
      <c r="N165">
        <v>0</v>
      </c>
      <c r="O165">
        <v>-1</v>
      </c>
    </row>
    <row r="166" spans="1:15">
      <c r="A166" s="1">
        <v>46265</v>
      </c>
      <c r="B166">
        <v>5</v>
      </c>
      <c r="C166">
        <v>155</v>
      </c>
      <c r="D166">
        <v>0</v>
      </c>
      <c r="E166">
        <v>0</v>
      </c>
      <c r="F166">
        <v>0</v>
      </c>
      <c r="G166">
        <v>0</v>
      </c>
      <c r="H166">
        <v>87</v>
      </c>
      <c r="I166">
        <v>0</v>
      </c>
      <c r="J166">
        <v>0.73809523809523814</v>
      </c>
      <c r="K166">
        <v>0</v>
      </c>
      <c r="L166">
        <v>-1</v>
      </c>
      <c r="M166">
        <v>0.41428571428571431</v>
      </c>
      <c r="N166">
        <v>0</v>
      </c>
      <c r="O166">
        <v>-1</v>
      </c>
    </row>
    <row r="167" spans="1:15">
      <c r="A167" s="1">
        <v>46266</v>
      </c>
      <c r="B167">
        <v>30</v>
      </c>
      <c r="C167">
        <v>185</v>
      </c>
      <c r="D167">
        <v>0</v>
      </c>
      <c r="E167">
        <v>0</v>
      </c>
      <c r="F167">
        <v>12</v>
      </c>
      <c r="G167">
        <v>0</v>
      </c>
      <c r="H167">
        <v>99</v>
      </c>
      <c r="I167">
        <v>0</v>
      </c>
      <c r="J167">
        <v>0.88095238095238093</v>
      </c>
      <c r="K167">
        <v>0</v>
      </c>
      <c r="L167">
        <v>-1</v>
      </c>
      <c r="M167">
        <v>0.47142857142857142</v>
      </c>
      <c r="N167">
        <v>0</v>
      </c>
      <c r="O167">
        <v>-1</v>
      </c>
    </row>
    <row r="168" spans="1:15">
      <c r="A168" s="1">
        <v>46267</v>
      </c>
      <c r="B168">
        <v>0</v>
      </c>
      <c r="C168">
        <v>185</v>
      </c>
      <c r="D168">
        <v>0</v>
      </c>
      <c r="E168">
        <v>0</v>
      </c>
      <c r="F168">
        <v>0</v>
      </c>
      <c r="G168">
        <v>0</v>
      </c>
      <c r="H168">
        <v>99</v>
      </c>
      <c r="I168">
        <v>0</v>
      </c>
      <c r="J168">
        <v>0.88095238095238093</v>
      </c>
      <c r="K168">
        <v>0</v>
      </c>
      <c r="L168">
        <v>-1</v>
      </c>
      <c r="M168">
        <v>0.47142857142857142</v>
      </c>
      <c r="N168">
        <v>0</v>
      </c>
      <c r="O168">
        <v>-1</v>
      </c>
    </row>
    <row r="169" spans="1:15">
      <c r="A169" s="1">
        <v>46268</v>
      </c>
      <c r="B169">
        <v>10</v>
      </c>
      <c r="C169">
        <v>195</v>
      </c>
      <c r="D169">
        <v>0</v>
      </c>
      <c r="E169">
        <v>0</v>
      </c>
      <c r="F169">
        <v>11</v>
      </c>
      <c r="G169">
        <v>0</v>
      </c>
      <c r="H169">
        <v>110</v>
      </c>
      <c r="I169">
        <v>0</v>
      </c>
      <c r="J169">
        <v>0.9285714285714286</v>
      </c>
      <c r="K169">
        <v>0</v>
      </c>
      <c r="L169">
        <v>-1</v>
      </c>
      <c r="M169">
        <v>0.52380952380952384</v>
      </c>
      <c r="N169">
        <v>0</v>
      </c>
      <c r="O169">
        <v>-1</v>
      </c>
    </row>
    <row r="170" spans="1:15">
      <c r="A170" s="1">
        <v>46269</v>
      </c>
      <c r="B170">
        <v>0</v>
      </c>
      <c r="C170">
        <v>195</v>
      </c>
      <c r="D170">
        <v>0</v>
      </c>
      <c r="E170">
        <v>0</v>
      </c>
      <c r="F170">
        <v>0</v>
      </c>
      <c r="G170">
        <v>0</v>
      </c>
      <c r="H170">
        <v>110</v>
      </c>
      <c r="I170">
        <v>0</v>
      </c>
      <c r="J170">
        <v>0.9285714285714286</v>
      </c>
      <c r="K170">
        <v>0</v>
      </c>
      <c r="L170">
        <v>-1</v>
      </c>
      <c r="M170">
        <v>0.52380952380952384</v>
      </c>
      <c r="N170">
        <v>0</v>
      </c>
      <c r="O170">
        <v>-1</v>
      </c>
    </row>
    <row r="171" spans="1:15">
      <c r="A171" s="1">
        <v>46270</v>
      </c>
      <c r="B171">
        <v>0</v>
      </c>
      <c r="C171">
        <v>195</v>
      </c>
      <c r="D171">
        <v>0</v>
      </c>
      <c r="E171">
        <v>0</v>
      </c>
      <c r="F171">
        <v>0</v>
      </c>
      <c r="G171">
        <v>0</v>
      </c>
      <c r="H171">
        <v>110</v>
      </c>
      <c r="I171">
        <v>0</v>
      </c>
      <c r="J171">
        <v>0.9285714285714286</v>
      </c>
      <c r="K171">
        <v>0</v>
      </c>
      <c r="L171">
        <v>-1</v>
      </c>
      <c r="M171">
        <v>0.52380952380952384</v>
      </c>
      <c r="N171">
        <v>0</v>
      </c>
      <c r="O171">
        <v>-1</v>
      </c>
    </row>
    <row r="172" spans="1:15">
      <c r="A172" s="1">
        <v>46271</v>
      </c>
      <c r="B172">
        <v>0</v>
      </c>
      <c r="C172">
        <v>195</v>
      </c>
      <c r="D172">
        <v>0</v>
      </c>
      <c r="E172">
        <v>0</v>
      </c>
      <c r="F172">
        <v>0</v>
      </c>
      <c r="G172">
        <v>0</v>
      </c>
      <c r="H172">
        <v>110</v>
      </c>
      <c r="I172">
        <v>0</v>
      </c>
      <c r="J172">
        <v>0.9285714285714286</v>
      </c>
      <c r="K172">
        <v>0</v>
      </c>
      <c r="L172">
        <v>-1</v>
      </c>
      <c r="M172">
        <v>0.52380952380952384</v>
      </c>
      <c r="N172">
        <v>0</v>
      </c>
      <c r="O172">
        <v>-1</v>
      </c>
    </row>
    <row r="173" spans="1:15">
      <c r="A173" s="1">
        <v>46272</v>
      </c>
      <c r="B173">
        <v>0</v>
      </c>
      <c r="C173">
        <v>195</v>
      </c>
      <c r="D173">
        <v>0</v>
      </c>
      <c r="E173">
        <v>0</v>
      </c>
      <c r="F173">
        <v>0</v>
      </c>
      <c r="G173">
        <v>0</v>
      </c>
      <c r="H173">
        <v>110</v>
      </c>
      <c r="I173">
        <v>0</v>
      </c>
      <c r="J173">
        <v>0.9285714285714286</v>
      </c>
      <c r="K173">
        <v>0</v>
      </c>
      <c r="L173">
        <v>-1</v>
      </c>
      <c r="M173">
        <v>0.52380952380952384</v>
      </c>
      <c r="N173">
        <v>0</v>
      </c>
      <c r="O173">
        <v>-1</v>
      </c>
    </row>
    <row r="174" spans="1:15">
      <c r="A174" s="1">
        <v>46273</v>
      </c>
      <c r="B174">
        <v>3</v>
      </c>
      <c r="C174">
        <v>198</v>
      </c>
      <c r="D174">
        <v>0</v>
      </c>
      <c r="E174">
        <v>0</v>
      </c>
      <c r="F174">
        <v>0</v>
      </c>
      <c r="G174">
        <v>0</v>
      </c>
      <c r="H174">
        <v>110</v>
      </c>
      <c r="I174">
        <v>0</v>
      </c>
      <c r="J174">
        <v>0.94285714285714284</v>
      </c>
      <c r="K174">
        <v>0</v>
      </c>
      <c r="L174">
        <v>-1</v>
      </c>
      <c r="M174">
        <v>0.52380952380952384</v>
      </c>
      <c r="N174">
        <v>0</v>
      </c>
      <c r="O174">
        <v>-1</v>
      </c>
    </row>
    <row r="175" spans="1:15">
      <c r="A175" s="1">
        <v>46274</v>
      </c>
      <c r="B175">
        <v>0</v>
      </c>
      <c r="C175">
        <v>198</v>
      </c>
      <c r="D175">
        <v>0</v>
      </c>
      <c r="E175">
        <v>0</v>
      </c>
      <c r="F175">
        <v>0</v>
      </c>
      <c r="G175">
        <v>0</v>
      </c>
      <c r="H175">
        <v>110</v>
      </c>
      <c r="I175">
        <v>0</v>
      </c>
      <c r="J175">
        <v>0.94285714285714284</v>
      </c>
      <c r="K175">
        <v>0</v>
      </c>
      <c r="L175">
        <v>-1</v>
      </c>
      <c r="M175">
        <v>0.52380952380952384</v>
      </c>
      <c r="N175">
        <v>0</v>
      </c>
      <c r="O175">
        <v>-1</v>
      </c>
    </row>
    <row r="176" spans="1:15">
      <c r="A176" s="1">
        <v>46275</v>
      </c>
      <c r="B176">
        <v>3</v>
      </c>
      <c r="C176">
        <v>201</v>
      </c>
      <c r="D176">
        <v>0</v>
      </c>
      <c r="E176">
        <v>0</v>
      </c>
      <c r="F176">
        <v>18</v>
      </c>
      <c r="G176">
        <v>0</v>
      </c>
      <c r="H176">
        <v>128</v>
      </c>
      <c r="I176">
        <v>0</v>
      </c>
      <c r="J176">
        <v>0.95714285714285718</v>
      </c>
      <c r="K176">
        <v>0</v>
      </c>
      <c r="L176">
        <v>-1</v>
      </c>
      <c r="M176">
        <v>0.60952380952380958</v>
      </c>
      <c r="N176">
        <v>0</v>
      </c>
      <c r="O176">
        <v>-1</v>
      </c>
    </row>
    <row r="177" spans="1:15">
      <c r="A177" s="1">
        <v>46276</v>
      </c>
      <c r="B177">
        <v>1</v>
      </c>
      <c r="C177">
        <v>202</v>
      </c>
      <c r="D177">
        <v>0</v>
      </c>
      <c r="E177">
        <v>0</v>
      </c>
      <c r="F177">
        <v>0</v>
      </c>
      <c r="G177">
        <v>0</v>
      </c>
      <c r="H177">
        <v>128</v>
      </c>
      <c r="I177">
        <v>0</v>
      </c>
      <c r="J177">
        <v>0.96190476190476193</v>
      </c>
      <c r="K177">
        <v>0</v>
      </c>
      <c r="L177">
        <v>-1</v>
      </c>
      <c r="M177">
        <v>0.60952380952380958</v>
      </c>
      <c r="N177">
        <v>0</v>
      </c>
      <c r="O177">
        <v>-1</v>
      </c>
    </row>
    <row r="178" spans="1:15">
      <c r="A178" s="1">
        <v>46277</v>
      </c>
      <c r="B178">
        <v>0</v>
      </c>
      <c r="C178">
        <v>202</v>
      </c>
      <c r="D178">
        <v>0</v>
      </c>
      <c r="E178">
        <v>0</v>
      </c>
      <c r="F178">
        <v>0</v>
      </c>
      <c r="G178">
        <v>0</v>
      </c>
      <c r="H178">
        <v>128</v>
      </c>
      <c r="I178">
        <v>0</v>
      </c>
      <c r="J178">
        <v>0.96190476190476193</v>
      </c>
      <c r="K178">
        <v>0</v>
      </c>
      <c r="L178">
        <v>-1</v>
      </c>
      <c r="M178">
        <v>0.60952380952380958</v>
      </c>
      <c r="N178">
        <v>0</v>
      </c>
      <c r="O178">
        <v>-1</v>
      </c>
    </row>
    <row r="179" spans="1:15">
      <c r="A179" s="1">
        <v>46278</v>
      </c>
      <c r="B179">
        <v>0</v>
      </c>
      <c r="C179">
        <v>202</v>
      </c>
      <c r="D179">
        <v>0</v>
      </c>
      <c r="E179">
        <v>0</v>
      </c>
      <c r="F179">
        <v>0</v>
      </c>
      <c r="G179">
        <v>0</v>
      </c>
      <c r="H179">
        <v>128</v>
      </c>
      <c r="I179">
        <v>0</v>
      </c>
      <c r="J179">
        <v>0.96190476190476193</v>
      </c>
      <c r="K179">
        <v>0</v>
      </c>
      <c r="L179">
        <v>-1</v>
      </c>
      <c r="M179">
        <v>0.60952380952380958</v>
      </c>
      <c r="N179">
        <v>0</v>
      </c>
      <c r="O179">
        <v>-1</v>
      </c>
    </row>
    <row r="180" spans="1:15">
      <c r="A180" s="1">
        <v>46279</v>
      </c>
      <c r="B180">
        <v>4</v>
      </c>
      <c r="C180">
        <v>206</v>
      </c>
      <c r="D180">
        <v>0</v>
      </c>
      <c r="E180">
        <v>0</v>
      </c>
      <c r="F180">
        <v>12</v>
      </c>
      <c r="G180">
        <v>0</v>
      </c>
      <c r="H180">
        <v>140</v>
      </c>
      <c r="I180">
        <v>0</v>
      </c>
      <c r="J180">
        <v>0.98095238095238091</v>
      </c>
      <c r="K180">
        <v>0</v>
      </c>
      <c r="L180">
        <v>-1</v>
      </c>
      <c r="M180">
        <v>0.66666666666666663</v>
      </c>
      <c r="N180">
        <v>0</v>
      </c>
      <c r="O180">
        <v>-1</v>
      </c>
    </row>
    <row r="181" spans="1:15">
      <c r="A181" s="1">
        <v>46280</v>
      </c>
      <c r="B181">
        <v>4</v>
      </c>
      <c r="C181">
        <v>210</v>
      </c>
      <c r="D181">
        <v>0</v>
      </c>
      <c r="E181">
        <v>0</v>
      </c>
      <c r="F181">
        <v>42</v>
      </c>
      <c r="G181">
        <v>0</v>
      </c>
      <c r="H181">
        <v>182</v>
      </c>
      <c r="I181">
        <v>0</v>
      </c>
      <c r="J181">
        <v>1</v>
      </c>
      <c r="K181">
        <v>0</v>
      </c>
      <c r="L181">
        <v>-1</v>
      </c>
      <c r="M181">
        <v>0.8666666666666667</v>
      </c>
      <c r="N181">
        <v>0</v>
      </c>
      <c r="O181">
        <v>-1</v>
      </c>
    </row>
    <row r="182" spans="1:15">
      <c r="A182" s="1">
        <v>46281</v>
      </c>
      <c r="B182">
        <v>0</v>
      </c>
      <c r="C182">
        <v>210</v>
      </c>
      <c r="D182">
        <v>0</v>
      </c>
      <c r="E182">
        <v>0</v>
      </c>
      <c r="F182">
        <v>0</v>
      </c>
      <c r="G182">
        <v>0</v>
      </c>
      <c r="H182">
        <v>182</v>
      </c>
      <c r="I182">
        <v>0</v>
      </c>
      <c r="J182">
        <v>1</v>
      </c>
      <c r="K182">
        <v>0</v>
      </c>
      <c r="L182">
        <v>-1</v>
      </c>
      <c r="M182">
        <v>0.8666666666666667</v>
      </c>
      <c r="N182">
        <v>0</v>
      </c>
      <c r="O182">
        <v>-1</v>
      </c>
    </row>
    <row r="183" spans="1:15">
      <c r="A183" s="1">
        <v>46282</v>
      </c>
      <c r="B183">
        <v>0</v>
      </c>
      <c r="C183">
        <v>210</v>
      </c>
      <c r="D183">
        <v>0</v>
      </c>
      <c r="E183">
        <v>0</v>
      </c>
      <c r="F183">
        <v>11</v>
      </c>
      <c r="G183">
        <v>0</v>
      </c>
      <c r="H183">
        <v>193</v>
      </c>
      <c r="I183">
        <v>0</v>
      </c>
      <c r="J183">
        <v>1</v>
      </c>
      <c r="K183">
        <v>0</v>
      </c>
      <c r="L183">
        <v>-1</v>
      </c>
      <c r="M183">
        <v>0.919047619047619</v>
      </c>
      <c r="N183">
        <v>0</v>
      </c>
      <c r="O183">
        <v>-1</v>
      </c>
    </row>
    <row r="184" spans="1:15">
      <c r="A184" s="1">
        <v>46283</v>
      </c>
      <c r="B184">
        <v>0</v>
      </c>
      <c r="C184">
        <v>210</v>
      </c>
      <c r="D184">
        <v>0</v>
      </c>
      <c r="E184">
        <v>0</v>
      </c>
      <c r="F184">
        <v>1</v>
      </c>
      <c r="G184">
        <v>0</v>
      </c>
      <c r="H184">
        <v>194</v>
      </c>
      <c r="I184">
        <v>0</v>
      </c>
      <c r="J184">
        <v>1</v>
      </c>
      <c r="K184">
        <v>0</v>
      </c>
      <c r="L184">
        <v>-1</v>
      </c>
      <c r="M184">
        <v>0.92380952380952386</v>
      </c>
      <c r="N184">
        <v>0</v>
      </c>
      <c r="O184">
        <v>-1</v>
      </c>
    </row>
    <row r="185" spans="1:15">
      <c r="A185" s="1">
        <v>46284</v>
      </c>
      <c r="B185">
        <v>0</v>
      </c>
      <c r="C185">
        <v>210</v>
      </c>
      <c r="D185">
        <v>0</v>
      </c>
      <c r="E185">
        <v>0</v>
      </c>
      <c r="F185">
        <v>0</v>
      </c>
      <c r="G185">
        <v>0</v>
      </c>
      <c r="H185">
        <v>194</v>
      </c>
      <c r="I185">
        <v>0</v>
      </c>
      <c r="J185">
        <v>1</v>
      </c>
      <c r="K185">
        <v>0</v>
      </c>
      <c r="L185">
        <v>-1</v>
      </c>
      <c r="M185">
        <v>0.92380952380952386</v>
      </c>
      <c r="N185">
        <v>0</v>
      </c>
      <c r="O185">
        <v>-1</v>
      </c>
    </row>
    <row r="186" spans="1:15">
      <c r="A186" s="1">
        <v>46285</v>
      </c>
      <c r="B186">
        <v>0</v>
      </c>
      <c r="C186">
        <v>210</v>
      </c>
      <c r="D186">
        <v>0</v>
      </c>
      <c r="E186">
        <v>0</v>
      </c>
      <c r="F186">
        <v>0</v>
      </c>
      <c r="G186">
        <v>0</v>
      </c>
      <c r="H186">
        <v>194</v>
      </c>
      <c r="I186">
        <v>0</v>
      </c>
      <c r="J186">
        <v>1</v>
      </c>
      <c r="K186">
        <v>0</v>
      </c>
      <c r="L186">
        <v>-1</v>
      </c>
      <c r="M186">
        <v>0.92380952380952386</v>
      </c>
      <c r="N186">
        <v>0</v>
      </c>
      <c r="O186">
        <v>-1</v>
      </c>
    </row>
    <row r="187" spans="1:15">
      <c r="A187" s="1">
        <v>46286</v>
      </c>
      <c r="B187">
        <v>0</v>
      </c>
      <c r="C187">
        <v>210</v>
      </c>
      <c r="D187">
        <v>0</v>
      </c>
      <c r="E187">
        <v>0</v>
      </c>
      <c r="F187">
        <v>0</v>
      </c>
      <c r="G187">
        <v>0</v>
      </c>
      <c r="H187">
        <v>194</v>
      </c>
      <c r="I187">
        <v>0</v>
      </c>
      <c r="J187">
        <v>1</v>
      </c>
      <c r="K187">
        <v>0</v>
      </c>
      <c r="L187">
        <v>-1</v>
      </c>
      <c r="M187">
        <v>0.92380952380952386</v>
      </c>
      <c r="N187">
        <v>0</v>
      </c>
      <c r="O187">
        <v>-1</v>
      </c>
    </row>
    <row r="188" spans="1:15">
      <c r="A188" s="1">
        <v>46287</v>
      </c>
      <c r="B188">
        <v>0</v>
      </c>
      <c r="C188">
        <v>210</v>
      </c>
      <c r="D188">
        <v>0</v>
      </c>
      <c r="E188">
        <v>0</v>
      </c>
      <c r="F188">
        <v>3</v>
      </c>
      <c r="G188">
        <v>0</v>
      </c>
      <c r="H188">
        <v>197</v>
      </c>
      <c r="I188">
        <v>0</v>
      </c>
      <c r="J188">
        <v>1</v>
      </c>
      <c r="K188">
        <v>0</v>
      </c>
      <c r="L188">
        <v>-1</v>
      </c>
      <c r="M188">
        <v>0.93809523809523809</v>
      </c>
      <c r="N188">
        <v>0</v>
      </c>
      <c r="O188">
        <v>-1</v>
      </c>
    </row>
    <row r="189" spans="1:15">
      <c r="A189" s="1">
        <v>46288</v>
      </c>
      <c r="B189">
        <v>0</v>
      </c>
      <c r="C189">
        <v>210</v>
      </c>
      <c r="D189">
        <v>0</v>
      </c>
      <c r="E189">
        <v>0</v>
      </c>
      <c r="F189">
        <v>0</v>
      </c>
      <c r="G189">
        <v>0</v>
      </c>
      <c r="H189">
        <v>197</v>
      </c>
      <c r="I189">
        <v>0</v>
      </c>
      <c r="J189">
        <v>1</v>
      </c>
      <c r="K189">
        <v>0</v>
      </c>
      <c r="L189">
        <v>-1</v>
      </c>
      <c r="M189">
        <v>0.93809523809523809</v>
      </c>
      <c r="N189">
        <v>0</v>
      </c>
      <c r="O189">
        <v>-1</v>
      </c>
    </row>
    <row r="190" spans="1:15">
      <c r="A190" s="1">
        <v>46289</v>
      </c>
      <c r="B190">
        <v>0</v>
      </c>
      <c r="C190">
        <v>210</v>
      </c>
      <c r="D190">
        <v>0</v>
      </c>
      <c r="E190">
        <v>0</v>
      </c>
      <c r="F190">
        <v>4</v>
      </c>
      <c r="G190">
        <v>0</v>
      </c>
      <c r="H190">
        <v>201</v>
      </c>
      <c r="I190">
        <v>0</v>
      </c>
      <c r="J190">
        <v>1</v>
      </c>
      <c r="K190">
        <v>0</v>
      </c>
      <c r="L190">
        <v>-1</v>
      </c>
      <c r="M190">
        <v>0.95714285714285718</v>
      </c>
      <c r="N190">
        <v>0</v>
      </c>
      <c r="O190">
        <v>-1</v>
      </c>
    </row>
    <row r="191" spans="1:15">
      <c r="A191" s="1">
        <v>46290</v>
      </c>
      <c r="B191">
        <v>0</v>
      </c>
      <c r="C191">
        <v>210</v>
      </c>
      <c r="D191">
        <v>0</v>
      </c>
      <c r="E191">
        <v>0</v>
      </c>
      <c r="F191">
        <v>1</v>
      </c>
      <c r="G191">
        <v>0</v>
      </c>
      <c r="H191">
        <v>202</v>
      </c>
      <c r="I191">
        <v>0</v>
      </c>
      <c r="J191">
        <v>1</v>
      </c>
      <c r="K191">
        <v>0</v>
      </c>
      <c r="L191">
        <v>-1</v>
      </c>
      <c r="M191">
        <v>0.96190476190476193</v>
      </c>
      <c r="N191">
        <v>0</v>
      </c>
      <c r="O191">
        <v>-1</v>
      </c>
    </row>
    <row r="192" spans="1:15">
      <c r="A192" s="1">
        <v>46291</v>
      </c>
      <c r="B192">
        <v>0</v>
      </c>
      <c r="C192">
        <v>210</v>
      </c>
      <c r="D192">
        <v>0</v>
      </c>
      <c r="E192">
        <v>0</v>
      </c>
      <c r="F192">
        <v>0</v>
      </c>
      <c r="G192">
        <v>0</v>
      </c>
      <c r="H192">
        <v>202</v>
      </c>
      <c r="I192">
        <v>0</v>
      </c>
      <c r="J192">
        <v>1</v>
      </c>
      <c r="K192">
        <v>0</v>
      </c>
      <c r="L192">
        <v>-1</v>
      </c>
      <c r="M192">
        <v>0.96190476190476193</v>
      </c>
      <c r="N192">
        <v>0</v>
      </c>
      <c r="O192">
        <v>-1</v>
      </c>
    </row>
    <row r="193" spans="1:15">
      <c r="A193" s="1">
        <v>46292</v>
      </c>
      <c r="B193">
        <v>0</v>
      </c>
      <c r="C193">
        <v>210</v>
      </c>
      <c r="D193">
        <v>0</v>
      </c>
      <c r="E193">
        <v>0</v>
      </c>
      <c r="F193">
        <v>0</v>
      </c>
      <c r="G193">
        <v>0</v>
      </c>
      <c r="H193">
        <v>202</v>
      </c>
      <c r="I193">
        <v>0</v>
      </c>
      <c r="J193">
        <v>1</v>
      </c>
      <c r="K193">
        <v>0</v>
      </c>
      <c r="L193">
        <v>-1</v>
      </c>
      <c r="M193">
        <v>0.96190476190476193</v>
      </c>
      <c r="N193">
        <v>0</v>
      </c>
      <c r="O193">
        <v>-1</v>
      </c>
    </row>
    <row r="194" spans="1:15">
      <c r="A194" s="1">
        <v>46293</v>
      </c>
      <c r="B194">
        <v>0</v>
      </c>
      <c r="C194">
        <v>210</v>
      </c>
      <c r="D194">
        <v>0</v>
      </c>
      <c r="E194">
        <v>0</v>
      </c>
      <c r="F194">
        <v>4</v>
      </c>
      <c r="G194">
        <v>0</v>
      </c>
      <c r="H194">
        <v>206</v>
      </c>
      <c r="I194">
        <v>0</v>
      </c>
      <c r="J194">
        <v>1</v>
      </c>
      <c r="K194">
        <v>0</v>
      </c>
      <c r="L194">
        <v>-1</v>
      </c>
      <c r="M194">
        <v>0.98095238095238091</v>
      </c>
      <c r="N194">
        <v>0</v>
      </c>
      <c r="O194">
        <v>-1</v>
      </c>
    </row>
    <row r="195" spans="1:15">
      <c r="A195" s="1">
        <v>46294</v>
      </c>
      <c r="B195">
        <v>0</v>
      </c>
      <c r="C195">
        <v>210</v>
      </c>
      <c r="D195">
        <v>0</v>
      </c>
      <c r="E195">
        <v>0</v>
      </c>
      <c r="F195">
        <v>4</v>
      </c>
      <c r="G195">
        <v>0</v>
      </c>
      <c r="H195">
        <v>210</v>
      </c>
      <c r="I195">
        <v>0</v>
      </c>
      <c r="J195">
        <v>1</v>
      </c>
      <c r="K195">
        <v>0</v>
      </c>
      <c r="L195">
        <v>-1</v>
      </c>
      <c r="M195">
        <v>1</v>
      </c>
      <c r="N195">
        <v>0</v>
      </c>
      <c r="O195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69"/>
  <sheetViews>
    <sheetView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5</v>
      </c>
      <c r="B2" t="s">
        <v>55</v>
      </c>
      <c r="C2" t="s">
        <v>56</v>
      </c>
      <c r="D2" t="s">
        <v>57</v>
      </c>
      <c r="E2">
        <v>1</v>
      </c>
      <c r="F2" s="1">
        <v>46112</v>
      </c>
      <c r="G2" s="1">
        <v>46169</v>
      </c>
      <c r="H2" t="s">
        <v>58</v>
      </c>
      <c r="I2" t="s">
        <v>59</v>
      </c>
      <c r="J2" t="s">
        <v>60</v>
      </c>
      <c r="K2" s="1">
        <v>46112</v>
      </c>
      <c r="L2" s="1">
        <v>46112</v>
      </c>
      <c r="M2" s="1">
        <v>46112</v>
      </c>
      <c r="P2" t="s">
        <v>61</v>
      </c>
      <c r="Q2" t="s">
        <v>54</v>
      </c>
      <c r="Z2" t="s">
        <v>49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>
        <v>6</v>
      </c>
      <c r="B3" t="s">
        <v>62</v>
      </c>
      <c r="C3" t="s">
        <v>56</v>
      </c>
      <c r="D3" t="s">
        <v>63</v>
      </c>
      <c r="E3">
        <v>1</v>
      </c>
      <c r="F3" s="1">
        <v>46143</v>
      </c>
      <c r="G3" s="1">
        <v>46143</v>
      </c>
      <c r="H3" t="s">
        <v>58</v>
      </c>
      <c r="I3" t="s">
        <v>64</v>
      </c>
      <c r="J3" t="s">
        <v>65</v>
      </c>
      <c r="K3" s="1">
        <v>46143</v>
      </c>
      <c r="L3" s="1">
        <v>46143</v>
      </c>
      <c r="M3" s="1">
        <v>46143</v>
      </c>
      <c r="N3" t="s">
        <v>66</v>
      </c>
      <c r="P3" t="s">
        <v>67</v>
      </c>
      <c r="Q3" t="s">
        <v>54</v>
      </c>
      <c r="Z3" t="s">
        <v>49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>
        <v>7</v>
      </c>
      <c r="B4" t="s">
        <v>68</v>
      </c>
      <c r="C4" t="s">
        <v>56</v>
      </c>
      <c r="D4" t="s">
        <v>69</v>
      </c>
      <c r="E4">
        <v>1</v>
      </c>
      <c r="F4" s="1">
        <v>46174</v>
      </c>
      <c r="G4" s="1">
        <v>46174</v>
      </c>
      <c r="H4" t="s">
        <v>58</v>
      </c>
      <c r="I4" t="s">
        <v>64</v>
      </c>
      <c r="J4" t="s">
        <v>70</v>
      </c>
      <c r="K4" s="1">
        <v>46174</v>
      </c>
      <c r="L4" s="1">
        <v>46174</v>
      </c>
      <c r="M4" s="1">
        <v>46174</v>
      </c>
      <c r="N4" t="s">
        <v>61</v>
      </c>
      <c r="P4" t="s">
        <v>71</v>
      </c>
      <c r="Q4" t="s">
        <v>54</v>
      </c>
      <c r="Z4" t="s">
        <v>49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>
      <c r="A5">
        <v>14</v>
      </c>
      <c r="B5" t="s">
        <v>94</v>
      </c>
      <c r="C5" t="s">
        <v>95</v>
      </c>
      <c r="D5" t="s">
        <v>96</v>
      </c>
      <c r="E5">
        <v>1</v>
      </c>
      <c r="F5" s="1">
        <v>46135</v>
      </c>
      <c r="G5" s="1">
        <v>46135</v>
      </c>
      <c r="H5" t="s">
        <v>58</v>
      </c>
      <c r="I5" t="s">
        <v>64</v>
      </c>
      <c r="J5" t="s">
        <v>97</v>
      </c>
      <c r="K5" s="1">
        <v>46135</v>
      </c>
      <c r="L5" s="1">
        <v>46135</v>
      </c>
      <c r="M5" s="1">
        <v>46135</v>
      </c>
      <c r="Q5" t="s">
        <v>93</v>
      </c>
      <c r="Z5" t="s">
        <v>49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>
        <v>15</v>
      </c>
      <c r="B6" t="s">
        <v>98</v>
      </c>
      <c r="C6" t="s">
        <v>95</v>
      </c>
      <c r="D6" t="s">
        <v>99</v>
      </c>
      <c r="E6">
        <v>1</v>
      </c>
      <c r="F6" s="1">
        <v>46135</v>
      </c>
      <c r="G6" s="1">
        <v>46135</v>
      </c>
      <c r="H6" t="s">
        <v>58</v>
      </c>
      <c r="I6" t="s">
        <v>64</v>
      </c>
      <c r="J6" t="s">
        <v>97</v>
      </c>
      <c r="K6" s="1">
        <v>46135</v>
      </c>
      <c r="L6" s="1">
        <v>46135</v>
      </c>
      <c r="M6" s="1">
        <v>46135</v>
      </c>
      <c r="Q6" t="s">
        <v>93</v>
      </c>
      <c r="Z6" t="s">
        <v>49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>
        <v>1099</v>
      </c>
      <c r="B7" t="s">
        <v>2022</v>
      </c>
      <c r="C7" t="s">
        <v>45</v>
      </c>
      <c r="D7" t="s">
        <v>2023</v>
      </c>
      <c r="E7">
        <v>1</v>
      </c>
      <c r="F7" s="1">
        <v>46135</v>
      </c>
      <c r="G7" s="1">
        <v>46135</v>
      </c>
      <c r="I7" t="s">
        <v>64</v>
      </c>
      <c r="J7" t="s">
        <v>42</v>
      </c>
      <c r="N7" t="s">
        <v>2024</v>
      </c>
      <c r="Z7" t="s">
        <v>49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>
      <c r="A8">
        <v>1101</v>
      </c>
      <c r="B8" t="s">
        <v>2026</v>
      </c>
      <c r="C8" t="s">
        <v>45</v>
      </c>
      <c r="D8" t="s">
        <v>2023</v>
      </c>
      <c r="E8">
        <v>1</v>
      </c>
      <c r="F8" s="1">
        <v>46135</v>
      </c>
      <c r="G8" s="1">
        <v>46135</v>
      </c>
      <c r="H8" t="s">
        <v>58</v>
      </c>
      <c r="I8" t="s">
        <v>64</v>
      </c>
      <c r="J8" t="s">
        <v>42</v>
      </c>
      <c r="K8" s="1">
        <v>46135</v>
      </c>
      <c r="L8" s="1">
        <v>46135</v>
      </c>
      <c r="M8" s="1">
        <v>46135</v>
      </c>
      <c r="P8" t="s">
        <v>2027</v>
      </c>
      <c r="Z8" t="s">
        <v>49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>
        <v>1102</v>
      </c>
      <c r="B9" t="s">
        <v>2028</v>
      </c>
      <c r="C9" t="s">
        <v>2029</v>
      </c>
      <c r="D9" t="s">
        <v>2030</v>
      </c>
      <c r="E9">
        <v>1</v>
      </c>
      <c r="F9" s="1">
        <v>46135</v>
      </c>
      <c r="G9" s="1">
        <v>46135</v>
      </c>
      <c r="H9" t="s">
        <v>58</v>
      </c>
      <c r="I9" t="s">
        <v>64</v>
      </c>
      <c r="J9" t="s">
        <v>42</v>
      </c>
      <c r="L9" s="1">
        <v>46135</v>
      </c>
      <c r="M9" s="1">
        <v>46135</v>
      </c>
      <c r="Q9" t="s">
        <v>2031</v>
      </c>
      <c r="R9" t="s">
        <v>2032</v>
      </c>
      <c r="Z9" t="s">
        <v>49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>
      <c r="A10">
        <v>1103</v>
      </c>
      <c r="B10" t="s">
        <v>2033</v>
      </c>
      <c r="C10" t="s">
        <v>2029</v>
      </c>
      <c r="D10" t="s">
        <v>2034</v>
      </c>
      <c r="E10">
        <v>1</v>
      </c>
      <c r="F10" s="1">
        <v>46135</v>
      </c>
      <c r="G10" s="1">
        <v>46135</v>
      </c>
      <c r="H10" t="s">
        <v>58</v>
      </c>
      <c r="I10" t="s">
        <v>64</v>
      </c>
      <c r="J10" t="s">
        <v>42</v>
      </c>
      <c r="L10" s="1">
        <v>46135</v>
      </c>
      <c r="M10" s="1">
        <v>46135</v>
      </c>
      <c r="Q10" t="s">
        <v>2031</v>
      </c>
      <c r="R10" t="s">
        <v>2035</v>
      </c>
      <c r="Z10" t="s">
        <v>49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>
        <v>1104</v>
      </c>
      <c r="B11" t="s">
        <v>2036</v>
      </c>
      <c r="C11" t="s">
        <v>2029</v>
      </c>
      <c r="D11" t="s">
        <v>2037</v>
      </c>
      <c r="E11">
        <v>1</v>
      </c>
      <c r="F11" s="1">
        <v>46135</v>
      </c>
      <c r="G11" s="1">
        <v>46135</v>
      </c>
      <c r="H11" t="s">
        <v>58</v>
      </c>
      <c r="I11" t="s">
        <v>64</v>
      </c>
      <c r="J11" t="s">
        <v>42</v>
      </c>
      <c r="L11" s="1">
        <v>46135</v>
      </c>
      <c r="M11" s="1">
        <v>46135</v>
      </c>
      <c r="Z11" t="s">
        <v>49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>
        <v>1105</v>
      </c>
      <c r="B12" t="s">
        <v>2038</v>
      </c>
      <c r="C12" t="s">
        <v>2029</v>
      </c>
      <c r="D12" t="s">
        <v>2039</v>
      </c>
      <c r="E12">
        <v>1</v>
      </c>
      <c r="F12" s="1">
        <v>46135</v>
      </c>
      <c r="G12" s="1">
        <v>46135</v>
      </c>
      <c r="H12" t="s">
        <v>58</v>
      </c>
      <c r="I12" t="s">
        <v>64</v>
      </c>
      <c r="J12" t="s">
        <v>42</v>
      </c>
      <c r="L12" s="1">
        <v>46135</v>
      </c>
      <c r="M12" s="1">
        <v>46135</v>
      </c>
      <c r="Q12" t="s">
        <v>2031</v>
      </c>
      <c r="R12" t="s">
        <v>2040</v>
      </c>
      <c r="Z12" t="s">
        <v>49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>
      <c r="A13">
        <v>1106</v>
      </c>
      <c r="B13" t="s">
        <v>2041</v>
      </c>
      <c r="C13" t="s">
        <v>2029</v>
      </c>
      <c r="D13" t="s">
        <v>2042</v>
      </c>
      <c r="E13">
        <v>1</v>
      </c>
      <c r="F13" s="1">
        <v>46135</v>
      </c>
      <c r="G13" s="1">
        <v>46135</v>
      </c>
      <c r="H13" t="s">
        <v>58</v>
      </c>
      <c r="I13" t="s">
        <v>64</v>
      </c>
      <c r="J13" t="s">
        <v>42</v>
      </c>
      <c r="L13" s="1">
        <v>46135</v>
      </c>
      <c r="M13" s="1">
        <v>46135</v>
      </c>
      <c r="Q13" t="s">
        <v>2031</v>
      </c>
      <c r="R13" t="s">
        <v>2043</v>
      </c>
      <c r="Z13" t="s">
        <v>49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>
      <c r="A14">
        <v>1107</v>
      </c>
      <c r="B14" t="s">
        <v>2044</v>
      </c>
      <c r="C14" t="s">
        <v>2029</v>
      </c>
      <c r="D14" t="s">
        <v>2045</v>
      </c>
      <c r="E14">
        <v>1</v>
      </c>
      <c r="F14" s="1">
        <v>46135</v>
      </c>
      <c r="G14" s="1">
        <v>46135</v>
      </c>
      <c r="H14" t="s">
        <v>58</v>
      </c>
      <c r="I14" t="s">
        <v>64</v>
      </c>
      <c r="J14" t="s">
        <v>42</v>
      </c>
      <c r="L14" s="1">
        <v>46135</v>
      </c>
      <c r="M14" s="1">
        <v>46135</v>
      </c>
      <c r="Q14" t="s">
        <v>2031</v>
      </c>
      <c r="R14" t="s">
        <v>2046</v>
      </c>
      <c r="Z14" t="s">
        <v>49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>
        <v>1108</v>
      </c>
      <c r="B15" t="s">
        <v>2047</v>
      </c>
      <c r="C15" t="s">
        <v>2029</v>
      </c>
      <c r="D15" t="s">
        <v>2048</v>
      </c>
      <c r="E15">
        <v>1</v>
      </c>
      <c r="F15" s="1">
        <v>46135</v>
      </c>
      <c r="G15" s="1">
        <v>46135</v>
      </c>
      <c r="H15" t="s">
        <v>58</v>
      </c>
      <c r="I15" t="s">
        <v>64</v>
      </c>
      <c r="J15" t="s">
        <v>42</v>
      </c>
      <c r="L15" s="1">
        <v>46135</v>
      </c>
      <c r="M15" s="1">
        <v>46135</v>
      </c>
      <c r="Q15" t="s">
        <v>2031</v>
      </c>
      <c r="R15" t="s">
        <v>2049</v>
      </c>
      <c r="Z15" t="s">
        <v>49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>
        <v>1109</v>
      </c>
      <c r="B16" t="s">
        <v>2050</v>
      </c>
      <c r="C16" t="s">
        <v>2029</v>
      </c>
      <c r="D16" t="s">
        <v>2051</v>
      </c>
      <c r="E16">
        <v>1</v>
      </c>
      <c r="F16" s="1">
        <v>46135</v>
      </c>
      <c r="G16" s="1">
        <v>46135</v>
      </c>
      <c r="H16" t="s">
        <v>58</v>
      </c>
      <c r="I16" t="s">
        <v>64</v>
      </c>
      <c r="J16" t="s">
        <v>42</v>
      </c>
      <c r="L16" s="1">
        <v>46135</v>
      </c>
      <c r="M16" s="1">
        <v>46135</v>
      </c>
      <c r="Q16" t="s">
        <v>2031</v>
      </c>
      <c r="R16" t="s">
        <v>2052</v>
      </c>
      <c r="Z16" t="s">
        <v>49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>
        <v>1110</v>
      </c>
      <c r="B17" t="s">
        <v>2053</v>
      </c>
      <c r="C17" t="s">
        <v>2029</v>
      </c>
      <c r="D17" t="s">
        <v>2054</v>
      </c>
      <c r="E17">
        <v>1</v>
      </c>
      <c r="F17" s="1">
        <v>46135</v>
      </c>
      <c r="G17" s="1">
        <v>46135</v>
      </c>
      <c r="H17" t="s">
        <v>58</v>
      </c>
      <c r="I17" t="s">
        <v>64</v>
      </c>
      <c r="J17" t="s">
        <v>42</v>
      </c>
      <c r="L17" s="1">
        <v>46135</v>
      </c>
      <c r="M17" s="1">
        <v>46135</v>
      </c>
      <c r="Q17" t="s">
        <v>2031</v>
      </c>
      <c r="R17" t="s">
        <v>2055</v>
      </c>
      <c r="Z17" t="s">
        <v>49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>
        <v>1111</v>
      </c>
      <c r="B18" t="s">
        <v>2056</v>
      </c>
      <c r="C18" t="s">
        <v>2029</v>
      </c>
      <c r="D18" t="s">
        <v>2057</v>
      </c>
      <c r="E18">
        <v>1</v>
      </c>
      <c r="F18" s="1">
        <v>46135</v>
      </c>
      <c r="G18" s="1">
        <v>46135</v>
      </c>
      <c r="H18" t="s">
        <v>58</v>
      </c>
      <c r="I18" t="s">
        <v>64</v>
      </c>
      <c r="J18" t="s">
        <v>42</v>
      </c>
      <c r="L18" s="1">
        <v>46135</v>
      </c>
      <c r="M18" s="1">
        <v>46135</v>
      </c>
      <c r="Q18" t="s">
        <v>2031</v>
      </c>
      <c r="R18" t="s">
        <v>2058</v>
      </c>
      <c r="Z18" t="s">
        <v>49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>
        <v>1112</v>
      </c>
      <c r="B19" t="s">
        <v>2059</v>
      </c>
      <c r="C19" t="s">
        <v>2029</v>
      </c>
      <c r="D19" t="s">
        <v>2060</v>
      </c>
      <c r="E19">
        <v>1</v>
      </c>
      <c r="F19" s="1">
        <v>46135</v>
      </c>
      <c r="G19" s="1">
        <v>46135</v>
      </c>
      <c r="H19" t="s">
        <v>58</v>
      </c>
      <c r="I19" t="s">
        <v>64</v>
      </c>
      <c r="J19" t="s">
        <v>42</v>
      </c>
      <c r="L19" s="1">
        <v>46135</v>
      </c>
      <c r="M19" s="1">
        <v>46135</v>
      </c>
      <c r="Q19" t="s">
        <v>2031</v>
      </c>
      <c r="R19" t="s">
        <v>2061</v>
      </c>
      <c r="Z19" t="s">
        <v>49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>
      <c r="A20">
        <v>1113</v>
      </c>
      <c r="B20" t="s">
        <v>2062</v>
      </c>
      <c r="C20" t="s">
        <v>2029</v>
      </c>
      <c r="D20" t="s">
        <v>2063</v>
      </c>
      <c r="E20">
        <v>1</v>
      </c>
      <c r="F20" s="1">
        <v>46135</v>
      </c>
      <c r="G20" s="1">
        <v>46135</v>
      </c>
      <c r="H20" t="s">
        <v>58</v>
      </c>
      <c r="I20" t="s">
        <v>64</v>
      </c>
      <c r="J20" t="s">
        <v>42</v>
      </c>
      <c r="L20" s="1">
        <v>46135</v>
      </c>
      <c r="M20" s="1">
        <v>46135</v>
      </c>
      <c r="Q20" t="s">
        <v>2031</v>
      </c>
      <c r="R20" t="s">
        <v>2064</v>
      </c>
      <c r="Z20" t="s">
        <v>49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>
        <v>1114</v>
      </c>
      <c r="B21" t="s">
        <v>2065</v>
      </c>
      <c r="C21" t="s">
        <v>2029</v>
      </c>
      <c r="D21" t="s">
        <v>2066</v>
      </c>
      <c r="E21">
        <v>1</v>
      </c>
      <c r="F21" s="1">
        <v>46135</v>
      </c>
      <c r="G21" s="1">
        <v>46135</v>
      </c>
      <c r="H21" t="s">
        <v>58</v>
      </c>
      <c r="I21" t="s">
        <v>64</v>
      </c>
      <c r="J21" t="s">
        <v>42</v>
      </c>
      <c r="L21" s="1">
        <v>46135</v>
      </c>
      <c r="M21" s="1">
        <v>46135</v>
      </c>
      <c r="Q21" t="s">
        <v>2031</v>
      </c>
      <c r="R21" t="s">
        <v>2067</v>
      </c>
      <c r="Z21" t="s">
        <v>49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>
        <v>1115</v>
      </c>
      <c r="B22" t="s">
        <v>2068</v>
      </c>
      <c r="C22" t="s">
        <v>2029</v>
      </c>
      <c r="D22" t="s">
        <v>2069</v>
      </c>
      <c r="E22">
        <v>1</v>
      </c>
      <c r="F22" s="1">
        <v>46135</v>
      </c>
      <c r="G22" s="1">
        <v>46135</v>
      </c>
      <c r="H22" t="s">
        <v>58</v>
      </c>
      <c r="I22" t="s">
        <v>64</v>
      </c>
      <c r="J22" t="s">
        <v>42</v>
      </c>
      <c r="L22" s="1">
        <v>46135</v>
      </c>
      <c r="M22" s="1">
        <v>46135</v>
      </c>
      <c r="Q22" t="s">
        <v>2031</v>
      </c>
      <c r="R22" t="s">
        <v>2070</v>
      </c>
      <c r="Z22" t="s">
        <v>49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>
      <c r="A23">
        <v>1116</v>
      </c>
      <c r="B23" t="s">
        <v>2071</v>
      </c>
      <c r="C23" t="s">
        <v>2029</v>
      </c>
      <c r="D23" t="s">
        <v>2072</v>
      </c>
      <c r="E23">
        <v>1</v>
      </c>
      <c r="F23" s="1">
        <v>46135</v>
      </c>
      <c r="G23" s="1">
        <v>46135</v>
      </c>
      <c r="H23" t="s">
        <v>58</v>
      </c>
      <c r="I23" t="s">
        <v>64</v>
      </c>
      <c r="J23" t="s">
        <v>42</v>
      </c>
      <c r="L23" s="1">
        <v>46135</v>
      </c>
      <c r="M23" s="1">
        <v>46135</v>
      </c>
      <c r="Q23" t="s">
        <v>2031</v>
      </c>
      <c r="R23" t="s">
        <v>2073</v>
      </c>
      <c r="Z23" t="s">
        <v>49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>
        <v>1117</v>
      </c>
      <c r="B24" t="s">
        <v>2074</v>
      </c>
      <c r="C24" t="s">
        <v>2029</v>
      </c>
      <c r="D24" t="s">
        <v>2075</v>
      </c>
      <c r="E24">
        <v>1</v>
      </c>
      <c r="F24" s="1">
        <v>46135</v>
      </c>
      <c r="G24" s="1">
        <v>46135</v>
      </c>
      <c r="H24" t="s">
        <v>58</v>
      </c>
      <c r="I24" t="s">
        <v>64</v>
      </c>
      <c r="J24" t="s">
        <v>42</v>
      </c>
      <c r="L24" s="1">
        <v>46135</v>
      </c>
      <c r="M24" s="1">
        <v>46135</v>
      </c>
      <c r="Q24" t="s">
        <v>2031</v>
      </c>
      <c r="R24" t="s">
        <v>2076</v>
      </c>
      <c r="Z24" t="s">
        <v>49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>
      <c r="A25">
        <v>1118</v>
      </c>
      <c r="B25" t="s">
        <v>2077</v>
      </c>
      <c r="C25" t="s">
        <v>2029</v>
      </c>
      <c r="D25" t="s">
        <v>2078</v>
      </c>
      <c r="E25">
        <v>1</v>
      </c>
      <c r="F25" s="1">
        <v>46135</v>
      </c>
      <c r="G25" s="1">
        <v>46135</v>
      </c>
      <c r="H25" t="s">
        <v>58</v>
      </c>
      <c r="I25" t="s">
        <v>64</v>
      </c>
      <c r="J25" t="s">
        <v>42</v>
      </c>
      <c r="L25" s="1">
        <v>46135</v>
      </c>
      <c r="M25" s="1">
        <v>46135</v>
      </c>
      <c r="Q25" t="s">
        <v>2031</v>
      </c>
      <c r="R25" t="s">
        <v>2079</v>
      </c>
      <c r="Z25" t="s">
        <v>49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>
      <c r="A26">
        <v>1119</v>
      </c>
      <c r="B26" t="s">
        <v>2080</v>
      </c>
      <c r="C26" t="s">
        <v>2029</v>
      </c>
      <c r="D26" t="s">
        <v>2081</v>
      </c>
      <c r="E26">
        <v>1</v>
      </c>
      <c r="F26" s="1">
        <v>46135</v>
      </c>
      <c r="G26" s="1">
        <v>46135</v>
      </c>
      <c r="H26" t="s">
        <v>58</v>
      </c>
      <c r="I26" t="s">
        <v>64</v>
      </c>
      <c r="J26" t="s">
        <v>42</v>
      </c>
      <c r="L26" s="1">
        <v>46135</v>
      </c>
      <c r="M26" s="1">
        <v>46135</v>
      </c>
      <c r="Q26" t="s">
        <v>2031</v>
      </c>
      <c r="R26" t="s">
        <v>2082</v>
      </c>
      <c r="Z26" t="s">
        <v>49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>
        <v>1120</v>
      </c>
      <c r="B27" t="s">
        <v>2083</v>
      </c>
      <c r="C27" t="s">
        <v>2029</v>
      </c>
      <c r="D27" t="s">
        <v>2084</v>
      </c>
      <c r="E27">
        <v>1</v>
      </c>
      <c r="F27" s="1">
        <v>46135</v>
      </c>
      <c r="G27" s="1">
        <v>46135</v>
      </c>
      <c r="H27" t="s">
        <v>58</v>
      </c>
      <c r="I27" t="s">
        <v>64</v>
      </c>
      <c r="J27" t="s">
        <v>42</v>
      </c>
      <c r="L27" s="1">
        <v>46135</v>
      </c>
      <c r="M27" s="1">
        <v>46135</v>
      </c>
      <c r="Q27" t="s">
        <v>2031</v>
      </c>
      <c r="R27" t="s">
        <v>2085</v>
      </c>
      <c r="Z27" t="s">
        <v>49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>
      <c r="A28">
        <v>1121</v>
      </c>
      <c r="B28" t="s">
        <v>2086</v>
      </c>
      <c r="C28" t="s">
        <v>2029</v>
      </c>
      <c r="D28" t="s">
        <v>2087</v>
      </c>
      <c r="E28">
        <v>1</v>
      </c>
      <c r="F28" s="1">
        <v>46135</v>
      </c>
      <c r="G28" s="1">
        <v>46135</v>
      </c>
      <c r="H28" t="s">
        <v>58</v>
      </c>
      <c r="I28" t="s">
        <v>64</v>
      </c>
      <c r="J28" t="s">
        <v>42</v>
      </c>
      <c r="L28" s="1">
        <v>46135</v>
      </c>
      <c r="M28" s="1">
        <v>46135</v>
      </c>
      <c r="Q28" t="s">
        <v>2031</v>
      </c>
      <c r="R28" t="s">
        <v>2088</v>
      </c>
      <c r="Z28" t="s">
        <v>49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>
      <c r="A29">
        <v>1122</v>
      </c>
      <c r="B29" t="s">
        <v>2089</v>
      </c>
      <c r="C29" t="s">
        <v>2029</v>
      </c>
      <c r="D29" t="s">
        <v>2090</v>
      </c>
      <c r="E29">
        <v>1</v>
      </c>
      <c r="F29" s="1">
        <v>46135</v>
      </c>
      <c r="G29" s="1">
        <v>46135</v>
      </c>
      <c r="H29" t="s">
        <v>58</v>
      </c>
      <c r="I29" t="s">
        <v>64</v>
      </c>
      <c r="J29" t="s">
        <v>42</v>
      </c>
      <c r="L29" s="1">
        <v>46135</v>
      </c>
      <c r="M29" s="1">
        <v>46135</v>
      </c>
      <c r="Q29" t="s">
        <v>2031</v>
      </c>
      <c r="R29" t="s">
        <v>2091</v>
      </c>
      <c r="Z29" t="s">
        <v>49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>
        <v>1123</v>
      </c>
      <c r="B30" t="s">
        <v>2092</v>
      </c>
      <c r="C30" t="s">
        <v>2029</v>
      </c>
      <c r="D30" t="s">
        <v>2093</v>
      </c>
      <c r="E30">
        <v>1</v>
      </c>
      <c r="F30" s="1">
        <v>46135</v>
      </c>
      <c r="G30" s="1">
        <v>46135</v>
      </c>
      <c r="H30" t="s">
        <v>58</v>
      </c>
      <c r="I30" t="s">
        <v>64</v>
      </c>
      <c r="J30" t="s">
        <v>42</v>
      </c>
      <c r="L30" s="1">
        <v>46135</v>
      </c>
      <c r="M30" s="1">
        <v>46135</v>
      </c>
      <c r="Q30" t="s">
        <v>2031</v>
      </c>
      <c r="R30" t="s">
        <v>2094</v>
      </c>
      <c r="Z30" t="s">
        <v>49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>
      <c r="A31">
        <v>1124</v>
      </c>
      <c r="B31" t="s">
        <v>2095</v>
      </c>
      <c r="C31" t="s">
        <v>2029</v>
      </c>
      <c r="D31" t="s">
        <v>2096</v>
      </c>
      <c r="E31">
        <v>1</v>
      </c>
      <c r="F31" s="1">
        <v>46135</v>
      </c>
      <c r="G31" s="1">
        <v>46135</v>
      </c>
      <c r="H31" t="s">
        <v>58</v>
      </c>
      <c r="I31" t="s">
        <v>64</v>
      </c>
      <c r="J31" t="s">
        <v>42</v>
      </c>
      <c r="L31" s="1">
        <v>46135</v>
      </c>
      <c r="M31" s="1">
        <v>46135</v>
      </c>
      <c r="Q31" t="s">
        <v>2031</v>
      </c>
      <c r="R31" t="s">
        <v>2097</v>
      </c>
      <c r="Z31" t="s">
        <v>49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>
      <c r="A32">
        <v>1125</v>
      </c>
      <c r="B32" t="s">
        <v>2098</v>
      </c>
      <c r="C32" t="s">
        <v>2029</v>
      </c>
      <c r="D32" t="s">
        <v>2099</v>
      </c>
      <c r="E32">
        <v>1</v>
      </c>
      <c r="F32" s="1">
        <v>46135</v>
      </c>
      <c r="G32" s="1">
        <v>46135</v>
      </c>
      <c r="H32" t="s">
        <v>58</v>
      </c>
      <c r="I32" t="s">
        <v>64</v>
      </c>
      <c r="J32" t="s">
        <v>42</v>
      </c>
      <c r="L32" s="1">
        <v>46135</v>
      </c>
      <c r="M32" s="1">
        <v>46135</v>
      </c>
      <c r="Q32" t="s">
        <v>2031</v>
      </c>
      <c r="R32" t="s">
        <v>2100</v>
      </c>
      <c r="Z32" t="s">
        <v>49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>
        <v>1126</v>
      </c>
      <c r="B33" t="s">
        <v>2101</v>
      </c>
      <c r="C33" t="s">
        <v>2029</v>
      </c>
      <c r="D33" t="s">
        <v>2102</v>
      </c>
      <c r="E33">
        <v>1</v>
      </c>
      <c r="F33" s="1">
        <v>46135</v>
      </c>
      <c r="G33" s="1">
        <v>46135</v>
      </c>
      <c r="H33" t="s">
        <v>58</v>
      </c>
      <c r="I33" t="s">
        <v>64</v>
      </c>
      <c r="J33" t="s">
        <v>42</v>
      </c>
      <c r="L33" s="1">
        <v>46135</v>
      </c>
      <c r="M33" s="1">
        <v>46135</v>
      </c>
      <c r="Q33" t="s">
        <v>2031</v>
      </c>
      <c r="R33" t="s">
        <v>2103</v>
      </c>
      <c r="Z33" t="s">
        <v>49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>
      <c r="A34">
        <v>1127</v>
      </c>
      <c r="B34" t="s">
        <v>2104</v>
      </c>
      <c r="C34" t="s">
        <v>2029</v>
      </c>
      <c r="D34" t="s">
        <v>2105</v>
      </c>
      <c r="E34">
        <v>1</v>
      </c>
      <c r="F34" s="1">
        <v>46135</v>
      </c>
      <c r="G34" s="1">
        <v>46135</v>
      </c>
      <c r="H34" t="s">
        <v>58</v>
      </c>
      <c r="I34" t="s">
        <v>64</v>
      </c>
      <c r="J34" t="s">
        <v>42</v>
      </c>
      <c r="L34" s="1">
        <v>46135</v>
      </c>
      <c r="M34" s="1">
        <v>46135</v>
      </c>
      <c r="Q34" t="s">
        <v>2031</v>
      </c>
      <c r="R34" t="s">
        <v>2106</v>
      </c>
      <c r="Z34" t="s">
        <v>49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>
      <c r="A35">
        <v>1128</v>
      </c>
      <c r="B35" t="s">
        <v>2107</v>
      </c>
      <c r="C35" t="s">
        <v>2029</v>
      </c>
      <c r="D35" t="s">
        <v>2108</v>
      </c>
      <c r="E35">
        <v>1</v>
      </c>
      <c r="F35" s="1">
        <v>46135</v>
      </c>
      <c r="G35" s="1">
        <v>46135</v>
      </c>
      <c r="H35" t="s">
        <v>58</v>
      </c>
      <c r="I35" t="s">
        <v>64</v>
      </c>
      <c r="J35" t="s">
        <v>42</v>
      </c>
      <c r="L35" s="1">
        <v>46135</v>
      </c>
      <c r="M35" s="1">
        <v>46135</v>
      </c>
      <c r="Q35" t="s">
        <v>2031</v>
      </c>
      <c r="R35" t="s">
        <v>2109</v>
      </c>
      <c r="Z35" t="s">
        <v>49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>
        <v>1129</v>
      </c>
      <c r="B36" t="s">
        <v>2110</v>
      </c>
      <c r="C36" t="s">
        <v>2029</v>
      </c>
      <c r="D36" t="s">
        <v>2111</v>
      </c>
      <c r="E36">
        <v>1</v>
      </c>
      <c r="F36" s="1">
        <v>46135</v>
      </c>
      <c r="G36" s="1">
        <v>46135</v>
      </c>
      <c r="H36" t="s">
        <v>58</v>
      </c>
      <c r="I36" t="s">
        <v>64</v>
      </c>
      <c r="J36" t="s">
        <v>42</v>
      </c>
      <c r="L36" s="1">
        <v>46135</v>
      </c>
      <c r="M36" s="1">
        <v>46135</v>
      </c>
      <c r="Q36" t="s">
        <v>2031</v>
      </c>
      <c r="R36" t="s">
        <v>2112</v>
      </c>
      <c r="Z36" t="s">
        <v>49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>
      <c r="A37">
        <v>1130</v>
      </c>
      <c r="B37" t="s">
        <v>2113</v>
      </c>
      <c r="C37" t="s">
        <v>2029</v>
      </c>
      <c r="D37" t="s">
        <v>2114</v>
      </c>
      <c r="E37">
        <v>1</v>
      </c>
      <c r="F37" s="1">
        <v>46135</v>
      </c>
      <c r="G37" s="1">
        <v>46135</v>
      </c>
      <c r="H37" t="s">
        <v>58</v>
      </c>
      <c r="I37" t="s">
        <v>64</v>
      </c>
      <c r="J37" t="s">
        <v>42</v>
      </c>
      <c r="L37" s="1">
        <v>46135</v>
      </c>
      <c r="M37" s="1">
        <v>46135</v>
      </c>
      <c r="Q37" t="s">
        <v>2031</v>
      </c>
      <c r="R37" t="s">
        <v>2115</v>
      </c>
      <c r="Z37" t="s">
        <v>49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>
      <c r="A38">
        <v>1131</v>
      </c>
      <c r="B38" t="s">
        <v>2116</v>
      </c>
      <c r="C38" t="s">
        <v>2029</v>
      </c>
      <c r="D38" t="s">
        <v>2117</v>
      </c>
      <c r="E38">
        <v>1</v>
      </c>
      <c r="F38" s="1">
        <v>46135</v>
      </c>
      <c r="G38" s="1">
        <v>46135</v>
      </c>
      <c r="H38" t="s">
        <v>58</v>
      </c>
      <c r="I38" t="s">
        <v>64</v>
      </c>
      <c r="J38" t="s">
        <v>42</v>
      </c>
      <c r="L38" s="1">
        <v>46135</v>
      </c>
      <c r="M38" s="1">
        <v>46135</v>
      </c>
      <c r="Q38" t="s">
        <v>2031</v>
      </c>
      <c r="R38" t="s">
        <v>2118</v>
      </c>
      <c r="Z38" t="s">
        <v>49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>
        <v>1132</v>
      </c>
      <c r="B39" t="s">
        <v>2119</v>
      </c>
      <c r="C39" t="s">
        <v>2029</v>
      </c>
      <c r="D39" t="s">
        <v>2120</v>
      </c>
      <c r="E39">
        <v>1</v>
      </c>
      <c r="F39" s="1">
        <v>46135</v>
      </c>
      <c r="G39" s="1">
        <v>46135</v>
      </c>
      <c r="H39" t="s">
        <v>58</v>
      </c>
      <c r="I39" t="s">
        <v>64</v>
      </c>
      <c r="J39" t="s">
        <v>42</v>
      </c>
      <c r="L39" s="1">
        <v>46135</v>
      </c>
      <c r="M39" s="1">
        <v>46135</v>
      </c>
      <c r="Q39" t="s">
        <v>2031</v>
      </c>
      <c r="R39" t="s">
        <v>2121</v>
      </c>
      <c r="Z39" t="s">
        <v>49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>
      <c r="A40">
        <v>1133</v>
      </c>
      <c r="B40" t="s">
        <v>2122</v>
      </c>
      <c r="C40" t="s">
        <v>2029</v>
      </c>
      <c r="D40" t="s">
        <v>2123</v>
      </c>
      <c r="E40">
        <v>1</v>
      </c>
      <c r="F40" s="1">
        <v>46135</v>
      </c>
      <c r="G40" s="1">
        <v>46135</v>
      </c>
      <c r="H40" t="s">
        <v>58</v>
      </c>
      <c r="I40" t="s">
        <v>64</v>
      </c>
      <c r="J40" t="s">
        <v>42</v>
      </c>
      <c r="L40" s="1">
        <v>46135</v>
      </c>
      <c r="M40" s="1">
        <v>46135</v>
      </c>
      <c r="Q40" t="s">
        <v>2031</v>
      </c>
      <c r="R40" t="s">
        <v>2124</v>
      </c>
      <c r="Z40" t="s">
        <v>49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>
      <c r="A41">
        <v>1134</v>
      </c>
      <c r="B41" t="s">
        <v>2125</v>
      </c>
      <c r="C41" t="s">
        <v>2029</v>
      </c>
      <c r="D41" t="s">
        <v>2126</v>
      </c>
      <c r="E41">
        <v>1</v>
      </c>
      <c r="F41" s="1">
        <v>46135</v>
      </c>
      <c r="G41" s="1">
        <v>46135</v>
      </c>
      <c r="H41" t="s">
        <v>58</v>
      </c>
      <c r="I41" t="s">
        <v>64</v>
      </c>
      <c r="J41" t="s">
        <v>42</v>
      </c>
      <c r="L41" s="1">
        <v>46135</v>
      </c>
      <c r="M41" s="1">
        <v>46135</v>
      </c>
      <c r="Q41" t="s">
        <v>2031</v>
      </c>
      <c r="R41" t="s">
        <v>2127</v>
      </c>
      <c r="Z41" t="s">
        <v>49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>
        <v>1135</v>
      </c>
      <c r="B42" t="s">
        <v>2128</v>
      </c>
      <c r="C42" t="s">
        <v>2029</v>
      </c>
      <c r="D42" t="s">
        <v>2129</v>
      </c>
      <c r="E42">
        <v>1</v>
      </c>
      <c r="F42" s="1">
        <v>46135</v>
      </c>
      <c r="G42" s="1">
        <v>46135</v>
      </c>
      <c r="H42" t="s">
        <v>58</v>
      </c>
      <c r="I42" t="s">
        <v>64</v>
      </c>
      <c r="J42" t="s">
        <v>42</v>
      </c>
      <c r="L42" s="1">
        <v>46135</v>
      </c>
      <c r="M42" s="1">
        <v>46135</v>
      </c>
      <c r="Q42" t="s">
        <v>2031</v>
      </c>
      <c r="R42" t="s">
        <v>2130</v>
      </c>
      <c r="Z42" t="s">
        <v>49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>
      <c r="A43">
        <v>1136</v>
      </c>
      <c r="B43" t="s">
        <v>2131</v>
      </c>
      <c r="C43" t="s">
        <v>2029</v>
      </c>
      <c r="D43" t="s">
        <v>2132</v>
      </c>
      <c r="E43">
        <v>1</v>
      </c>
      <c r="F43" s="1">
        <v>46135</v>
      </c>
      <c r="G43" s="1">
        <v>46135</v>
      </c>
      <c r="H43" t="s">
        <v>58</v>
      </c>
      <c r="I43" t="s">
        <v>64</v>
      </c>
      <c r="J43" t="s">
        <v>42</v>
      </c>
      <c r="L43" s="1">
        <v>46135</v>
      </c>
      <c r="M43" s="1">
        <v>46135</v>
      </c>
      <c r="Q43" t="s">
        <v>2031</v>
      </c>
      <c r="R43" t="s">
        <v>2133</v>
      </c>
      <c r="Z43" t="s">
        <v>49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>
      <c r="A44">
        <v>1137</v>
      </c>
      <c r="B44" t="s">
        <v>2134</v>
      </c>
      <c r="C44" t="s">
        <v>2029</v>
      </c>
      <c r="D44" t="s">
        <v>2135</v>
      </c>
      <c r="E44">
        <v>1</v>
      </c>
      <c r="F44" s="1">
        <v>46135</v>
      </c>
      <c r="G44" s="1">
        <v>46135</v>
      </c>
      <c r="H44" t="s">
        <v>58</v>
      </c>
      <c r="I44" t="s">
        <v>64</v>
      </c>
      <c r="J44" t="s">
        <v>42</v>
      </c>
      <c r="L44" s="1">
        <v>46135</v>
      </c>
      <c r="M44" s="1">
        <v>46135</v>
      </c>
      <c r="Q44" t="s">
        <v>2031</v>
      </c>
      <c r="R44" t="s">
        <v>2136</v>
      </c>
      <c r="Z44" t="s">
        <v>49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>
        <v>1138</v>
      </c>
      <c r="B45" t="s">
        <v>2137</v>
      </c>
      <c r="C45" t="s">
        <v>2029</v>
      </c>
      <c r="D45" t="s">
        <v>2138</v>
      </c>
      <c r="E45">
        <v>1</v>
      </c>
      <c r="F45" s="1">
        <v>46135</v>
      </c>
      <c r="G45" s="1">
        <v>46135</v>
      </c>
      <c r="H45" t="s">
        <v>58</v>
      </c>
      <c r="I45" t="s">
        <v>64</v>
      </c>
      <c r="J45" t="s">
        <v>42</v>
      </c>
      <c r="L45" s="1">
        <v>46135</v>
      </c>
      <c r="M45" s="1">
        <v>46135</v>
      </c>
      <c r="Q45" t="s">
        <v>2031</v>
      </c>
      <c r="R45" t="s">
        <v>2139</v>
      </c>
      <c r="Z45" t="s">
        <v>49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>
      <c r="A46">
        <v>1139</v>
      </c>
      <c r="B46" t="s">
        <v>2140</v>
      </c>
      <c r="C46" t="s">
        <v>2029</v>
      </c>
      <c r="D46" t="s">
        <v>2141</v>
      </c>
      <c r="E46">
        <v>1</v>
      </c>
      <c r="F46" s="1">
        <v>46135</v>
      </c>
      <c r="G46" s="1">
        <v>46135</v>
      </c>
      <c r="H46" t="s">
        <v>58</v>
      </c>
      <c r="I46" t="s">
        <v>64</v>
      </c>
      <c r="J46" t="s">
        <v>42</v>
      </c>
      <c r="L46" s="1">
        <v>46135</v>
      </c>
      <c r="M46" s="1">
        <v>46135</v>
      </c>
      <c r="Q46" t="s">
        <v>2031</v>
      </c>
      <c r="R46" t="s">
        <v>2142</v>
      </c>
      <c r="Z46" t="s">
        <v>49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>
      <c r="A47">
        <v>1140</v>
      </c>
      <c r="B47" t="s">
        <v>2143</v>
      </c>
      <c r="C47" t="s">
        <v>2029</v>
      </c>
      <c r="D47" t="s">
        <v>2144</v>
      </c>
      <c r="E47">
        <v>1</v>
      </c>
      <c r="F47" s="1">
        <v>46135</v>
      </c>
      <c r="G47" s="1">
        <v>46135</v>
      </c>
      <c r="H47" t="s">
        <v>58</v>
      </c>
      <c r="I47" t="s">
        <v>64</v>
      </c>
      <c r="J47" t="s">
        <v>42</v>
      </c>
      <c r="L47" s="1">
        <v>46135</v>
      </c>
      <c r="M47" s="1">
        <v>46135</v>
      </c>
      <c r="Q47" t="s">
        <v>2031</v>
      </c>
      <c r="R47" t="s">
        <v>2145</v>
      </c>
      <c r="Z47" t="s">
        <v>49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>
        <v>1141</v>
      </c>
      <c r="B48" t="s">
        <v>2146</v>
      </c>
      <c r="C48" t="s">
        <v>2029</v>
      </c>
      <c r="D48" t="s">
        <v>2147</v>
      </c>
      <c r="E48">
        <v>1</v>
      </c>
      <c r="F48" s="1">
        <v>46135</v>
      </c>
      <c r="G48" s="1">
        <v>46135</v>
      </c>
      <c r="H48" t="s">
        <v>58</v>
      </c>
      <c r="I48" t="s">
        <v>64</v>
      </c>
      <c r="J48" t="s">
        <v>42</v>
      </c>
      <c r="L48" s="1">
        <v>46135</v>
      </c>
      <c r="M48" s="1">
        <v>46135</v>
      </c>
      <c r="Q48" t="s">
        <v>2031</v>
      </c>
      <c r="R48" t="s">
        <v>2148</v>
      </c>
      <c r="Z48" t="s">
        <v>49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>
      <c r="A49">
        <v>1142</v>
      </c>
      <c r="B49" t="s">
        <v>2149</v>
      </c>
      <c r="C49" t="s">
        <v>2029</v>
      </c>
      <c r="D49" t="s">
        <v>2150</v>
      </c>
      <c r="E49">
        <v>1</v>
      </c>
      <c r="F49" s="1">
        <v>46135</v>
      </c>
      <c r="G49" s="1">
        <v>46135</v>
      </c>
      <c r="H49" t="s">
        <v>58</v>
      </c>
      <c r="I49" t="s">
        <v>64</v>
      </c>
      <c r="J49" t="s">
        <v>42</v>
      </c>
      <c r="L49" s="1">
        <v>46135</v>
      </c>
      <c r="M49" s="1">
        <v>46135</v>
      </c>
      <c r="Q49" t="s">
        <v>2031</v>
      </c>
      <c r="R49" t="s">
        <v>2151</v>
      </c>
      <c r="Z49" t="s">
        <v>49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>
      <c r="A50">
        <v>1143</v>
      </c>
      <c r="B50" t="s">
        <v>2152</v>
      </c>
      <c r="C50" t="s">
        <v>2029</v>
      </c>
      <c r="D50" t="s">
        <v>2153</v>
      </c>
      <c r="E50">
        <v>1</v>
      </c>
      <c r="F50" s="1">
        <v>46135</v>
      </c>
      <c r="G50" s="1">
        <v>46135</v>
      </c>
      <c r="H50" t="s">
        <v>58</v>
      </c>
      <c r="I50" t="s">
        <v>64</v>
      </c>
      <c r="J50" t="s">
        <v>42</v>
      </c>
      <c r="L50" s="1">
        <v>46135</v>
      </c>
      <c r="M50" s="1">
        <v>46135</v>
      </c>
      <c r="Q50" t="s">
        <v>2031</v>
      </c>
      <c r="R50" t="s">
        <v>2154</v>
      </c>
      <c r="Z50" t="s">
        <v>49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>
        <v>1144</v>
      </c>
      <c r="B51" t="s">
        <v>2155</v>
      </c>
      <c r="C51" t="s">
        <v>2029</v>
      </c>
      <c r="D51" t="s">
        <v>2156</v>
      </c>
      <c r="E51">
        <v>1</v>
      </c>
      <c r="F51" s="1">
        <v>46135</v>
      </c>
      <c r="G51" s="1">
        <v>46135</v>
      </c>
      <c r="H51" t="s">
        <v>58</v>
      </c>
      <c r="I51" t="s">
        <v>64</v>
      </c>
      <c r="J51" t="s">
        <v>42</v>
      </c>
      <c r="L51" s="1">
        <v>46135</v>
      </c>
      <c r="M51" s="1">
        <v>46135</v>
      </c>
      <c r="Q51" t="s">
        <v>2031</v>
      </c>
      <c r="R51" t="s">
        <v>2157</v>
      </c>
      <c r="Z51" t="s">
        <v>49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>
      <c r="A52">
        <v>1145</v>
      </c>
      <c r="B52" t="s">
        <v>2158</v>
      </c>
      <c r="C52" t="s">
        <v>2029</v>
      </c>
      <c r="D52" t="s">
        <v>2159</v>
      </c>
      <c r="E52">
        <v>1</v>
      </c>
      <c r="F52" s="1">
        <v>46135</v>
      </c>
      <c r="G52" s="1">
        <v>46135</v>
      </c>
      <c r="H52" t="s">
        <v>58</v>
      </c>
      <c r="I52" t="s">
        <v>64</v>
      </c>
      <c r="J52" t="s">
        <v>42</v>
      </c>
      <c r="L52" s="1">
        <v>46135</v>
      </c>
      <c r="M52" s="1">
        <v>46135</v>
      </c>
      <c r="Q52" t="s">
        <v>2031</v>
      </c>
      <c r="R52" t="s">
        <v>2160</v>
      </c>
      <c r="Z52" t="s">
        <v>49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>
      <c r="A53">
        <v>1146</v>
      </c>
      <c r="B53" t="s">
        <v>2161</v>
      </c>
      <c r="C53" t="s">
        <v>2029</v>
      </c>
      <c r="D53" t="s">
        <v>2162</v>
      </c>
      <c r="E53">
        <v>1</v>
      </c>
      <c r="F53" s="1">
        <v>46135</v>
      </c>
      <c r="G53" s="1">
        <v>46135</v>
      </c>
      <c r="H53" t="s">
        <v>58</v>
      </c>
      <c r="I53" t="s">
        <v>64</v>
      </c>
      <c r="J53" t="s">
        <v>42</v>
      </c>
      <c r="L53" s="1">
        <v>46135</v>
      </c>
      <c r="M53" s="1">
        <v>46135</v>
      </c>
      <c r="Q53" t="s">
        <v>2031</v>
      </c>
      <c r="R53" t="s">
        <v>2163</v>
      </c>
      <c r="Z53" t="s">
        <v>49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>
        <v>1147</v>
      </c>
      <c r="B54" t="s">
        <v>2164</v>
      </c>
      <c r="C54" t="s">
        <v>2029</v>
      </c>
      <c r="D54" t="s">
        <v>2165</v>
      </c>
      <c r="E54">
        <v>1</v>
      </c>
      <c r="F54" s="1">
        <v>46135</v>
      </c>
      <c r="G54" s="1">
        <v>46135</v>
      </c>
      <c r="H54" t="s">
        <v>58</v>
      </c>
      <c r="I54" t="s">
        <v>64</v>
      </c>
      <c r="J54" t="s">
        <v>42</v>
      </c>
      <c r="L54" s="1">
        <v>46135</v>
      </c>
      <c r="M54" s="1">
        <v>46135</v>
      </c>
      <c r="Q54" t="s">
        <v>2031</v>
      </c>
      <c r="R54" t="s">
        <v>2166</v>
      </c>
      <c r="Z54" t="s">
        <v>49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>
      <c r="A55">
        <v>1148</v>
      </c>
      <c r="B55" t="s">
        <v>2167</v>
      </c>
      <c r="C55" t="s">
        <v>2029</v>
      </c>
      <c r="D55" t="s">
        <v>2168</v>
      </c>
      <c r="E55">
        <v>1</v>
      </c>
      <c r="F55" s="1">
        <v>46135</v>
      </c>
      <c r="G55" s="1">
        <v>46135</v>
      </c>
      <c r="H55" t="s">
        <v>58</v>
      </c>
      <c r="I55" t="s">
        <v>64</v>
      </c>
      <c r="J55" t="s">
        <v>42</v>
      </c>
      <c r="L55" s="1">
        <v>46135</v>
      </c>
      <c r="M55" s="1">
        <v>46135</v>
      </c>
      <c r="Q55" t="s">
        <v>2031</v>
      </c>
      <c r="R55" t="s">
        <v>2169</v>
      </c>
      <c r="Z55" t="s">
        <v>49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>
      <c r="A56">
        <v>1149</v>
      </c>
      <c r="B56" t="s">
        <v>2170</v>
      </c>
      <c r="C56" t="s">
        <v>2029</v>
      </c>
      <c r="D56" t="s">
        <v>2171</v>
      </c>
      <c r="E56">
        <v>1</v>
      </c>
      <c r="F56" s="1">
        <v>46135</v>
      </c>
      <c r="G56" s="1">
        <v>46135</v>
      </c>
      <c r="H56" t="s">
        <v>58</v>
      </c>
      <c r="I56" t="s">
        <v>64</v>
      </c>
      <c r="J56" t="s">
        <v>42</v>
      </c>
      <c r="L56" s="1">
        <v>46135</v>
      </c>
      <c r="M56" s="1">
        <v>46135</v>
      </c>
      <c r="Q56" t="s">
        <v>2031</v>
      </c>
      <c r="R56" t="s">
        <v>2172</v>
      </c>
      <c r="Z56" t="s">
        <v>49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>
        <v>1150</v>
      </c>
      <c r="B57" t="s">
        <v>2173</v>
      </c>
      <c r="C57" t="s">
        <v>2029</v>
      </c>
      <c r="D57" t="s">
        <v>2174</v>
      </c>
      <c r="E57">
        <v>1</v>
      </c>
      <c r="F57" s="1">
        <v>46135</v>
      </c>
      <c r="G57" s="1">
        <v>46135</v>
      </c>
      <c r="H57" t="s">
        <v>58</v>
      </c>
      <c r="I57" t="s">
        <v>64</v>
      </c>
      <c r="J57" t="s">
        <v>42</v>
      </c>
      <c r="L57" s="1">
        <v>46135</v>
      </c>
      <c r="M57" s="1">
        <v>46135</v>
      </c>
      <c r="Q57" t="s">
        <v>2031</v>
      </c>
      <c r="R57" t="s">
        <v>2175</v>
      </c>
      <c r="Z57" t="s">
        <v>49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>
      <c r="A58">
        <v>1151</v>
      </c>
      <c r="B58" t="s">
        <v>2176</v>
      </c>
      <c r="C58" t="s">
        <v>2029</v>
      </c>
      <c r="D58" t="s">
        <v>2177</v>
      </c>
      <c r="E58">
        <v>1</v>
      </c>
      <c r="F58" s="1">
        <v>46135</v>
      </c>
      <c r="G58" s="1">
        <v>46135</v>
      </c>
      <c r="H58" t="s">
        <v>58</v>
      </c>
      <c r="I58" t="s">
        <v>64</v>
      </c>
      <c r="J58" t="s">
        <v>42</v>
      </c>
      <c r="L58" s="1">
        <v>46135</v>
      </c>
      <c r="M58" s="1">
        <v>46135</v>
      </c>
      <c r="Q58" t="s">
        <v>2031</v>
      </c>
      <c r="R58" t="s">
        <v>2178</v>
      </c>
      <c r="Z58" t="s">
        <v>49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>
      <c r="A59">
        <v>1152</v>
      </c>
      <c r="B59" t="s">
        <v>2179</v>
      </c>
      <c r="C59" t="s">
        <v>2029</v>
      </c>
      <c r="D59" t="s">
        <v>2180</v>
      </c>
      <c r="E59">
        <v>1</v>
      </c>
      <c r="F59" s="1">
        <v>46135</v>
      </c>
      <c r="G59" s="1">
        <v>46135</v>
      </c>
      <c r="H59" t="s">
        <v>58</v>
      </c>
      <c r="I59" t="s">
        <v>64</v>
      </c>
      <c r="J59" t="s">
        <v>42</v>
      </c>
      <c r="L59" s="1">
        <v>46135</v>
      </c>
      <c r="M59" s="1">
        <v>46135</v>
      </c>
      <c r="Q59" t="s">
        <v>2031</v>
      </c>
      <c r="R59" t="s">
        <v>2178</v>
      </c>
      <c r="Z59" t="s">
        <v>49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>
        <v>1153</v>
      </c>
      <c r="B60" t="s">
        <v>2181</v>
      </c>
      <c r="C60" t="s">
        <v>2029</v>
      </c>
      <c r="D60" t="s">
        <v>2182</v>
      </c>
      <c r="E60">
        <v>1</v>
      </c>
      <c r="F60" s="1">
        <v>46135</v>
      </c>
      <c r="G60" s="1">
        <v>46135</v>
      </c>
      <c r="H60" t="s">
        <v>58</v>
      </c>
      <c r="I60" t="s">
        <v>64</v>
      </c>
      <c r="J60" t="s">
        <v>42</v>
      </c>
      <c r="L60" s="1">
        <v>46135</v>
      </c>
      <c r="M60" s="1">
        <v>46135</v>
      </c>
      <c r="Q60" t="s">
        <v>2031</v>
      </c>
      <c r="R60" t="s">
        <v>2178</v>
      </c>
      <c r="Z60" t="s">
        <v>49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>
      <c r="A61">
        <v>1154</v>
      </c>
      <c r="B61" t="s">
        <v>2183</v>
      </c>
      <c r="C61" t="s">
        <v>2029</v>
      </c>
      <c r="D61" t="s">
        <v>2184</v>
      </c>
      <c r="E61">
        <v>1</v>
      </c>
      <c r="F61" s="1">
        <v>46135</v>
      </c>
      <c r="G61" s="1">
        <v>46135</v>
      </c>
      <c r="H61" t="s">
        <v>58</v>
      </c>
      <c r="I61" t="s">
        <v>64</v>
      </c>
      <c r="J61" t="s">
        <v>42</v>
      </c>
      <c r="L61" s="1">
        <v>46135</v>
      </c>
      <c r="M61" s="1">
        <v>46135</v>
      </c>
      <c r="Q61" t="s">
        <v>2031</v>
      </c>
      <c r="R61" t="s">
        <v>2178</v>
      </c>
      <c r="Z61" t="s">
        <v>49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>
      <c r="A62">
        <v>1155</v>
      </c>
      <c r="B62" t="s">
        <v>2185</v>
      </c>
      <c r="C62" t="s">
        <v>2029</v>
      </c>
      <c r="D62" t="s">
        <v>2186</v>
      </c>
      <c r="E62">
        <v>1</v>
      </c>
      <c r="F62" s="1">
        <v>46135</v>
      </c>
      <c r="G62" s="1">
        <v>46135</v>
      </c>
      <c r="H62" t="s">
        <v>58</v>
      </c>
      <c r="I62" t="s">
        <v>64</v>
      </c>
      <c r="J62" t="s">
        <v>42</v>
      </c>
      <c r="L62" s="1">
        <v>46135</v>
      </c>
      <c r="M62" s="1">
        <v>46135</v>
      </c>
      <c r="Q62" t="s">
        <v>2031</v>
      </c>
      <c r="R62" t="s">
        <v>2178</v>
      </c>
      <c r="Z62" t="s">
        <v>49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>
        <v>1156</v>
      </c>
      <c r="B63" t="s">
        <v>2187</v>
      </c>
      <c r="C63" t="s">
        <v>2029</v>
      </c>
      <c r="D63" t="s">
        <v>2188</v>
      </c>
      <c r="E63">
        <v>1</v>
      </c>
      <c r="F63" s="1">
        <v>46135</v>
      </c>
      <c r="G63" s="1">
        <v>46135</v>
      </c>
      <c r="H63" t="s">
        <v>58</v>
      </c>
      <c r="I63" t="s">
        <v>64</v>
      </c>
      <c r="J63" t="s">
        <v>42</v>
      </c>
      <c r="L63" s="1">
        <v>46135</v>
      </c>
      <c r="M63" s="1">
        <v>46135</v>
      </c>
      <c r="Q63" t="s">
        <v>2031</v>
      </c>
      <c r="R63" t="s">
        <v>2178</v>
      </c>
      <c r="Z63" t="s">
        <v>49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>
      <c r="A64">
        <v>1157</v>
      </c>
      <c r="B64" t="s">
        <v>2189</v>
      </c>
      <c r="C64" t="s">
        <v>2029</v>
      </c>
      <c r="D64" t="s">
        <v>2190</v>
      </c>
      <c r="E64">
        <v>1</v>
      </c>
      <c r="F64" s="1">
        <v>46135</v>
      </c>
      <c r="G64" s="1">
        <v>46135</v>
      </c>
      <c r="H64" t="s">
        <v>58</v>
      </c>
      <c r="I64" t="s">
        <v>64</v>
      </c>
      <c r="J64" t="s">
        <v>42</v>
      </c>
      <c r="L64" s="1">
        <v>46135</v>
      </c>
      <c r="M64" s="1">
        <v>46135</v>
      </c>
      <c r="Q64" t="s">
        <v>2031</v>
      </c>
      <c r="R64" t="s">
        <v>2178</v>
      </c>
      <c r="Z64" t="s">
        <v>49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>
      <c r="A65">
        <v>1158</v>
      </c>
      <c r="B65" t="s">
        <v>2191</v>
      </c>
      <c r="C65" t="s">
        <v>2029</v>
      </c>
      <c r="D65" t="s">
        <v>2192</v>
      </c>
      <c r="E65">
        <v>1</v>
      </c>
      <c r="F65" s="1">
        <v>46135</v>
      </c>
      <c r="G65" s="1">
        <v>46135</v>
      </c>
      <c r="H65" t="s">
        <v>58</v>
      </c>
      <c r="I65" t="s">
        <v>64</v>
      </c>
      <c r="J65" t="s">
        <v>42</v>
      </c>
      <c r="L65" s="1">
        <v>46135</v>
      </c>
      <c r="M65" s="1">
        <v>46135</v>
      </c>
      <c r="Q65" t="s">
        <v>2031</v>
      </c>
      <c r="R65" t="s">
        <v>2178</v>
      </c>
      <c r="Z65" t="s">
        <v>49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>
        <v>1159</v>
      </c>
      <c r="B66" t="s">
        <v>2193</v>
      </c>
      <c r="C66" t="s">
        <v>2029</v>
      </c>
      <c r="D66" t="s">
        <v>2194</v>
      </c>
      <c r="E66">
        <v>1</v>
      </c>
      <c r="F66" s="1">
        <v>46135</v>
      </c>
      <c r="G66" s="1">
        <v>46135</v>
      </c>
      <c r="H66" t="s">
        <v>58</v>
      </c>
      <c r="I66" t="s">
        <v>64</v>
      </c>
      <c r="J66" t="s">
        <v>42</v>
      </c>
      <c r="L66" s="1">
        <v>46135</v>
      </c>
      <c r="M66" s="1">
        <v>46135</v>
      </c>
      <c r="Q66" t="s">
        <v>2031</v>
      </c>
      <c r="R66" t="s">
        <v>2178</v>
      </c>
      <c r="Z66" t="s">
        <v>49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>
      <c r="A67">
        <v>1160</v>
      </c>
      <c r="B67" t="s">
        <v>2195</v>
      </c>
      <c r="C67" t="s">
        <v>2029</v>
      </c>
      <c r="D67" t="s">
        <v>1675</v>
      </c>
      <c r="E67">
        <v>1</v>
      </c>
      <c r="F67" s="1">
        <v>46135</v>
      </c>
      <c r="G67" s="1">
        <v>46135</v>
      </c>
      <c r="H67" t="s">
        <v>58</v>
      </c>
      <c r="I67" t="s">
        <v>64</v>
      </c>
      <c r="J67" t="s">
        <v>42</v>
      </c>
      <c r="L67" s="1">
        <v>46135</v>
      </c>
      <c r="M67" s="1">
        <v>46135</v>
      </c>
      <c r="Z67" t="s">
        <v>49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>
      <c r="A68">
        <v>1161</v>
      </c>
      <c r="B68" t="s">
        <v>2196</v>
      </c>
      <c r="C68" t="s">
        <v>2029</v>
      </c>
      <c r="D68" t="s">
        <v>2197</v>
      </c>
      <c r="E68">
        <v>1</v>
      </c>
      <c r="F68" s="1">
        <v>46135</v>
      </c>
      <c r="G68" s="1">
        <v>46135</v>
      </c>
      <c r="H68" t="s">
        <v>58</v>
      </c>
      <c r="I68" t="s">
        <v>64</v>
      </c>
      <c r="J68" t="s">
        <v>42</v>
      </c>
      <c r="L68" s="1">
        <v>46135</v>
      </c>
      <c r="M68" s="1">
        <v>46135</v>
      </c>
      <c r="Q68" t="s">
        <v>2031</v>
      </c>
      <c r="R68" t="s">
        <v>2154</v>
      </c>
      <c r="Z68" t="s">
        <v>49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>
        <v>1162</v>
      </c>
      <c r="B69" t="s">
        <v>2198</v>
      </c>
      <c r="C69" t="s">
        <v>2029</v>
      </c>
      <c r="D69" t="s">
        <v>2199</v>
      </c>
      <c r="E69">
        <v>1</v>
      </c>
      <c r="F69" s="1">
        <v>46135</v>
      </c>
      <c r="G69" s="1">
        <v>46135</v>
      </c>
      <c r="H69" t="s">
        <v>58</v>
      </c>
      <c r="I69" t="s">
        <v>64</v>
      </c>
      <c r="J69" t="s">
        <v>42</v>
      </c>
      <c r="L69" s="1">
        <v>46135</v>
      </c>
      <c r="M69" s="1">
        <v>46135</v>
      </c>
      <c r="Q69" t="s">
        <v>2031</v>
      </c>
      <c r="R69" t="s">
        <v>2154</v>
      </c>
      <c r="Z69" t="s">
        <v>49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2"/>
  <sheetViews>
    <sheetView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8</v>
      </c>
      <c r="B2" t="s">
        <v>72</v>
      </c>
      <c r="C2" t="s">
        <v>56</v>
      </c>
      <c r="D2" t="s">
        <v>73</v>
      </c>
      <c r="E2">
        <v>0</v>
      </c>
      <c r="F2" s="1">
        <v>46205</v>
      </c>
      <c r="G2" s="1">
        <v>46205</v>
      </c>
      <c r="H2" t="s">
        <v>74</v>
      </c>
      <c r="I2" t="s">
        <v>64</v>
      </c>
      <c r="J2" t="s">
        <v>75</v>
      </c>
      <c r="K2" s="1">
        <v>46205</v>
      </c>
      <c r="L2" s="1">
        <v>46205</v>
      </c>
      <c r="M2" s="1">
        <v>46205</v>
      </c>
      <c r="N2" t="s">
        <v>67</v>
      </c>
      <c r="P2" t="s">
        <v>76</v>
      </c>
      <c r="Q2" t="s">
        <v>54</v>
      </c>
      <c r="Z2" t="s">
        <v>49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>
        <v>11</v>
      </c>
      <c r="B3" t="s">
        <v>84</v>
      </c>
      <c r="C3" t="s">
        <v>45</v>
      </c>
      <c r="D3" t="s">
        <v>85</v>
      </c>
      <c r="E3">
        <v>0.52</v>
      </c>
      <c r="F3" s="1">
        <v>46112</v>
      </c>
      <c r="G3" s="1">
        <v>46196</v>
      </c>
      <c r="I3" t="s">
        <v>86</v>
      </c>
      <c r="J3" t="s">
        <v>42</v>
      </c>
      <c r="N3" t="s">
        <v>87</v>
      </c>
      <c r="Z3" t="s">
        <v>49</v>
      </c>
      <c r="AB3">
        <v>0.52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>
        <v>12</v>
      </c>
      <c r="B4" t="s">
        <v>88</v>
      </c>
      <c r="C4" t="s">
        <v>45</v>
      </c>
      <c r="D4" t="s">
        <v>85</v>
      </c>
      <c r="E4">
        <v>0.74</v>
      </c>
      <c r="F4" s="1">
        <v>46112</v>
      </c>
      <c r="G4" s="1">
        <v>46202</v>
      </c>
      <c r="I4" t="s">
        <v>89</v>
      </c>
      <c r="J4" t="s">
        <v>42</v>
      </c>
      <c r="N4" t="s">
        <v>87</v>
      </c>
      <c r="Z4" t="s">
        <v>49</v>
      </c>
      <c r="AB4">
        <v>0.74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>
      <c r="A5">
        <v>13</v>
      </c>
      <c r="B5" t="s">
        <v>90</v>
      </c>
      <c r="C5" t="s">
        <v>45</v>
      </c>
      <c r="D5" t="s">
        <v>85</v>
      </c>
      <c r="E5">
        <v>0.78</v>
      </c>
      <c r="F5" s="1">
        <v>46112</v>
      </c>
      <c r="G5" s="1">
        <v>46203</v>
      </c>
      <c r="H5" t="s">
        <v>40</v>
      </c>
      <c r="I5" t="s">
        <v>91</v>
      </c>
      <c r="J5" t="s">
        <v>42</v>
      </c>
      <c r="K5" s="1">
        <v>46112</v>
      </c>
      <c r="L5" s="1">
        <v>46196</v>
      </c>
      <c r="M5" s="1">
        <v>46196</v>
      </c>
      <c r="P5" t="s">
        <v>92</v>
      </c>
      <c r="Q5" t="s">
        <v>93</v>
      </c>
      <c r="Z5" t="s">
        <v>49</v>
      </c>
      <c r="AB5">
        <v>0.78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>
        <v>16</v>
      </c>
      <c r="B6" t="s">
        <v>100</v>
      </c>
      <c r="C6" t="s">
        <v>95</v>
      </c>
      <c r="D6" t="s">
        <v>101</v>
      </c>
      <c r="E6">
        <v>0.9</v>
      </c>
      <c r="F6" s="1">
        <v>46112</v>
      </c>
      <c r="G6" s="1">
        <v>46203</v>
      </c>
      <c r="H6" t="s">
        <v>40</v>
      </c>
      <c r="I6" t="s">
        <v>91</v>
      </c>
      <c r="J6" t="s">
        <v>97</v>
      </c>
      <c r="K6" s="1">
        <v>46112</v>
      </c>
      <c r="L6" s="1">
        <v>46175</v>
      </c>
      <c r="M6" s="1">
        <v>46175</v>
      </c>
      <c r="Q6" t="s">
        <v>93</v>
      </c>
      <c r="Z6" t="s">
        <v>49</v>
      </c>
      <c r="AB6">
        <v>0.9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>
        <v>17</v>
      </c>
      <c r="B7" t="s">
        <v>102</v>
      </c>
      <c r="C7" t="s">
        <v>95</v>
      </c>
      <c r="D7" t="s">
        <v>103</v>
      </c>
      <c r="E7">
        <v>0.9</v>
      </c>
      <c r="F7" s="1">
        <v>46134</v>
      </c>
      <c r="G7" s="1">
        <v>46203</v>
      </c>
      <c r="H7" t="s">
        <v>52</v>
      </c>
      <c r="I7" t="s">
        <v>104</v>
      </c>
      <c r="J7" t="s">
        <v>97</v>
      </c>
      <c r="K7" s="1">
        <v>46134</v>
      </c>
      <c r="L7" s="1">
        <v>46175</v>
      </c>
      <c r="M7" s="1">
        <v>46175</v>
      </c>
      <c r="Q7" t="s">
        <v>93</v>
      </c>
      <c r="Z7" t="s">
        <v>49</v>
      </c>
      <c r="AB7">
        <v>0.9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>
      <c r="A8">
        <v>18</v>
      </c>
      <c r="B8" t="s">
        <v>105</v>
      </c>
      <c r="C8" t="s">
        <v>95</v>
      </c>
      <c r="D8" t="s">
        <v>106</v>
      </c>
      <c r="E8">
        <v>0.76</v>
      </c>
      <c r="F8" s="1">
        <v>46146</v>
      </c>
      <c r="G8" s="1">
        <v>46203</v>
      </c>
      <c r="H8" t="s">
        <v>40</v>
      </c>
      <c r="I8" t="s">
        <v>107</v>
      </c>
      <c r="J8" t="s">
        <v>97</v>
      </c>
      <c r="K8" s="1">
        <v>46146</v>
      </c>
      <c r="L8" s="1">
        <v>46175</v>
      </c>
      <c r="M8" s="1">
        <v>46175</v>
      </c>
      <c r="Q8" t="s">
        <v>93</v>
      </c>
      <c r="Z8" t="s">
        <v>49</v>
      </c>
      <c r="AB8">
        <v>0.76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>
        <v>19</v>
      </c>
      <c r="B9" t="s">
        <v>108</v>
      </c>
      <c r="C9" t="s">
        <v>95</v>
      </c>
      <c r="D9" t="s">
        <v>109</v>
      </c>
      <c r="E9">
        <v>0.71</v>
      </c>
      <c r="F9" s="1">
        <v>46155</v>
      </c>
      <c r="G9" s="1">
        <v>46203</v>
      </c>
      <c r="H9" t="s">
        <v>40</v>
      </c>
      <c r="I9" t="s">
        <v>110</v>
      </c>
      <c r="J9" t="s">
        <v>97</v>
      </c>
      <c r="K9" s="1">
        <v>46155</v>
      </c>
      <c r="L9" s="1">
        <v>46182</v>
      </c>
      <c r="M9" s="1">
        <v>46182</v>
      </c>
      <c r="Q9" t="s">
        <v>93</v>
      </c>
      <c r="Z9" t="s">
        <v>49</v>
      </c>
      <c r="AB9">
        <v>0.71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>
      <c r="A10">
        <v>20</v>
      </c>
      <c r="B10" t="s">
        <v>111</v>
      </c>
      <c r="C10" t="s">
        <v>95</v>
      </c>
      <c r="D10" t="s">
        <v>112</v>
      </c>
      <c r="E10">
        <v>0.67</v>
      </c>
      <c r="F10" s="1">
        <v>46162</v>
      </c>
      <c r="G10" s="1">
        <v>46203</v>
      </c>
      <c r="H10" t="s">
        <v>40</v>
      </c>
      <c r="I10" t="s">
        <v>113</v>
      </c>
      <c r="J10" t="s">
        <v>97</v>
      </c>
      <c r="K10" s="1">
        <v>46162</v>
      </c>
      <c r="L10" s="1">
        <v>46189</v>
      </c>
      <c r="M10" s="1">
        <v>46189</v>
      </c>
      <c r="Q10" t="s">
        <v>93</v>
      </c>
      <c r="Z10" t="s">
        <v>49</v>
      </c>
      <c r="AB10">
        <v>0.67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>
        <v>21</v>
      </c>
      <c r="B11" t="s">
        <v>114</v>
      </c>
      <c r="C11" t="s">
        <v>95</v>
      </c>
      <c r="D11" t="s">
        <v>115</v>
      </c>
      <c r="E11">
        <v>0</v>
      </c>
      <c r="F11" s="1">
        <v>46190</v>
      </c>
      <c r="G11" s="1">
        <v>46203</v>
      </c>
      <c r="H11" t="s">
        <v>40</v>
      </c>
      <c r="I11" t="s">
        <v>116</v>
      </c>
      <c r="J11" t="s">
        <v>117</v>
      </c>
      <c r="K11" s="1">
        <v>46190</v>
      </c>
      <c r="L11" s="1">
        <v>46196</v>
      </c>
      <c r="M11" s="1">
        <v>46196</v>
      </c>
      <c r="P11" t="s">
        <v>118</v>
      </c>
      <c r="Q11" t="s">
        <v>93</v>
      </c>
      <c r="Z11" t="s">
        <v>43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>
        <v>1100</v>
      </c>
      <c r="B12" t="s">
        <v>2025</v>
      </c>
      <c r="C12" t="s">
        <v>45</v>
      </c>
      <c r="D12" t="s">
        <v>2023</v>
      </c>
      <c r="E12">
        <v>0</v>
      </c>
      <c r="F12" s="1">
        <v>46135</v>
      </c>
      <c r="G12" s="1">
        <v>46135</v>
      </c>
      <c r="I12" t="s">
        <v>64</v>
      </c>
      <c r="J12" t="s">
        <v>42</v>
      </c>
      <c r="N12" t="s">
        <v>2024</v>
      </c>
      <c r="Z12" t="s">
        <v>49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8"/>
  <sheetViews>
    <sheetView workbookViewId="0"/>
  </sheetViews>
  <sheetFormatPr defaultRowHeight="15"/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7</v>
      </c>
      <c r="G1" t="s">
        <v>4</v>
      </c>
      <c r="H1" t="s">
        <v>19</v>
      </c>
      <c r="I1" t="s">
        <v>16</v>
      </c>
      <c r="J1" t="s">
        <v>25</v>
      </c>
    </row>
    <row r="2" spans="1:10">
      <c r="A2" t="s">
        <v>42</v>
      </c>
      <c r="B2">
        <v>1</v>
      </c>
      <c r="C2">
        <v>1</v>
      </c>
      <c r="E2" t="s">
        <v>39</v>
      </c>
      <c r="F2" t="s">
        <v>40</v>
      </c>
      <c r="G2">
        <v>0.06</v>
      </c>
      <c r="J2" t="s">
        <v>43</v>
      </c>
    </row>
    <row r="3" spans="1:10">
      <c r="A3" t="s">
        <v>42</v>
      </c>
      <c r="B3">
        <v>2</v>
      </c>
      <c r="C3" t="s">
        <v>44</v>
      </c>
      <c r="D3" t="s">
        <v>45</v>
      </c>
      <c r="E3" t="s">
        <v>46</v>
      </c>
      <c r="G3">
        <v>0.33</v>
      </c>
      <c r="J3" t="s">
        <v>49</v>
      </c>
    </row>
    <row r="4" spans="1:10">
      <c r="A4" t="s">
        <v>42</v>
      </c>
      <c r="B4">
        <v>3</v>
      </c>
      <c r="C4" t="s">
        <v>50</v>
      </c>
      <c r="D4" t="s">
        <v>45</v>
      </c>
      <c r="E4" t="s">
        <v>46</v>
      </c>
      <c r="G4">
        <v>0.5</v>
      </c>
      <c r="J4" t="s">
        <v>49</v>
      </c>
    </row>
    <row r="5" spans="1:10">
      <c r="A5" t="s">
        <v>42</v>
      </c>
      <c r="B5">
        <v>4</v>
      </c>
      <c r="C5" t="s">
        <v>51</v>
      </c>
      <c r="D5" t="s">
        <v>45</v>
      </c>
      <c r="E5" t="s">
        <v>46</v>
      </c>
      <c r="F5" t="s">
        <v>52</v>
      </c>
      <c r="G5">
        <v>0.93</v>
      </c>
      <c r="I5" t="s">
        <v>54</v>
      </c>
      <c r="J5" t="s">
        <v>49</v>
      </c>
    </row>
    <row r="6" spans="1:10">
      <c r="A6" t="s">
        <v>75</v>
      </c>
      <c r="B6">
        <v>8</v>
      </c>
      <c r="C6" t="s">
        <v>72</v>
      </c>
      <c r="D6" t="s">
        <v>56</v>
      </c>
      <c r="E6" t="s">
        <v>73</v>
      </c>
      <c r="F6" t="s">
        <v>74</v>
      </c>
      <c r="G6">
        <v>0</v>
      </c>
      <c r="I6" t="s">
        <v>54</v>
      </c>
      <c r="J6" t="s">
        <v>49</v>
      </c>
    </row>
    <row r="7" spans="1:10">
      <c r="A7" t="s">
        <v>42</v>
      </c>
      <c r="B7">
        <v>11</v>
      </c>
      <c r="C7" t="s">
        <v>84</v>
      </c>
      <c r="D7" t="s">
        <v>45</v>
      </c>
      <c r="E7" t="s">
        <v>85</v>
      </c>
      <c r="G7">
        <v>0.52</v>
      </c>
      <c r="J7" t="s">
        <v>49</v>
      </c>
    </row>
    <row r="8" spans="1:10">
      <c r="A8" t="s">
        <v>42</v>
      </c>
      <c r="B8">
        <v>12</v>
      </c>
      <c r="C8" t="s">
        <v>88</v>
      </c>
      <c r="D8" t="s">
        <v>45</v>
      </c>
      <c r="E8" t="s">
        <v>85</v>
      </c>
      <c r="G8">
        <v>0.74</v>
      </c>
      <c r="J8" t="s">
        <v>49</v>
      </c>
    </row>
    <row r="9" spans="1:10">
      <c r="A9" t="s">
        <v>42</v>
      </c>
      <c r="B9">
        <v>13</v>
      </c>
      <c r="C9" t="s">
        <v>90</v>
      </c>
      <c r="D9" t="s">
        <v>45</v>
      </c>
      <c r="E9" t="s">
        <v>85</v>
      </c>
      <c r="F9" t="s">
        <v>40</v>
      </c>
      <c r="G9">
        <v>0.78</v>
      </c>
      <c r="I9" t="s">
        <v>93</v>
      </c>
      <c r="J9" t="s">
        <v>49</v>
      </c>
    </row>
    <row r="10" spans="1:10">
      <c r="A10" t="s">
        <v>97</v>
      </c>
      <c r="B10">
        <v>16</v>
      </c>
      <c r="C10" t="s">
        <v>100</v>
      </c>
      <c r="D10" t="s">
        <v>95</v>
      </c>
      <c r="E10" t="s">
        <v>101</v>
      </c>
      <c r="F10" t="s">
        <v>40</v>
      </c>
      <c r="G10">
        <v>0.9</v>
      </c>
      <c r="I10" t="s">
        <v>93</v>
      </c>
      <c r="J10" t="s">
        <v>49</v>
      </c>
    </row>
    <row r="11" spans="1:10">
      <c r="A11" t="s">
        <v>97</v>
      </c>
      <c r="B11">
        <v>17</v>
      </c>
      <c r="C11" t="s">
        <v>102</v>
      </c>
      <c r="D11" t="s">
        <v>95</v>
      </c>
      <c r="E11" t="s">
        <v>103</v>
      </c>
      <c r="F11" t="s">
        <v>52</v>
      </c>
      <c r="G11">
        <v>0.9</v>
      </c>
      <c r="I11" t="s">
        <v>93</v>
      </c>
      <c r="J11" t="s">
        <v>49</v>
      </c>
    </row>
    <row r="12" spans="1:10">
      <c r="A12" t="s">
        <v>97</v>
      </c>
      <c r="B12">
        <v>18</v>
      </c>
      <c r="C12" t="s">
        <v>105</v>
      </c>
      <c r="D12" t="s">
        <v>95</v>
      </c>
      <c r="E12" t="s">
        <v>106</v>
      </c>
      <c r="F12" t="s">
        <v>40</v>
      </c>
      <c r="G12">
        <v>0.76</v>
      </c>
      <c r="I12" t="s">
        <v>93</v>
      </c>
      <c r="J12" t="s">
        <v>49</v>
      </c>
    </row>
    <row r="13" spans="1:10">
      <c r="A13" t="s">
        <v>97</v>
      </c>
      <c r="B13">
        <v>19</v>
      </c>
      <c r="C13" t="s">
        <v>108</v>
      </c>
      <c r="D13" t="s">
        <v>95</v>
      </c>
      <c r="E13" t="s">
        <v>109</v>
      </c>
      <c r="F13" t="s">
        <v>40</v>
      </c>
      <c r="G13">
        <v>0.71</v>
      </c>
      <c r="I13" t="s">
        <v>93</v>
      </c>
      <c r="J13" t="s">
        <v>49</v>
      </c>
    </row>
    <row r="14" spans="1:10">
      <c r="A14" t="s">
        <v>97</v>
      </c>
      <c r="B14">
        <v>20</v>
      </c>
      <c r="C14" t="s">
        <v>111</v>
      </c>
      <c r="D14" t="s">
        <v>95</v>
      </c>
      <c r="E14" t="s">
        <v>112</v>
      </c>
      <c r="F14" t="s">
        <v>40</v>
      </c>
      <c r="G14">
        <v>0.67</v>
      </c>
      <c r="I14" t="s">
        <v>93</v>
      </c>
      <c r="J14" t="s">
        <v>49</v>
      </c>
    </row>
    <row r="15" spans="1:10">
      <c r="A15" t="s">
        <v>117</v>
      </c>
      <c r="B15">
        <v>21</v>
      </c>
      <c r="C15" t="s">
        <v>114</v>
      </c>
      <c r="D15" t="s">
        <v>95</v>
      </c>
      <c r="E15" t="s">
        <v>115</v>
      </c>
      <c r="F15" t="s">
        <v>40</v>
      </c>
      <c r="G15">
        <v>0</v>
      </c>
      <c r="I15" t="s">
        <v>93</v>
      </c>
      <c r="J15" t="s">
        <v>43</v>
      </c>
    </row>
    <row r="16" spans="1:10">
      <c r="A16" t="s">
        <v>42</v>
      </c>
      <c r="B16">
        <v>22</v>
      </c>
      <c r="C16" t="s">
        <v>119</v>
      </c>
      <c r="D16" t="s">
        <v>45</v>
      </c>
      <c r="E16" t="s">
        <v>120</v>
      </c>
      <c r="G16">
        <v>0</v>
      </c>
      <c r="J16" t="s">
        <v>49</v>
      </c>
    </row>
    <row r="17" spans="1:10">
      <c r="A17" t="s">
        <v>42</v>
      </c>
      <c r="B17">
        <v>23</v>
      </c>
      <c r="C17" t="s">
        <v>123</v>
      </c>
      <c r="D17" t="s">
        <v>45</v>
      </c>
      <c r="E17" t="s">
        <v>120</v>
      </c>
      <c r="F17" t="s">
        <v>74</v>
      </c>
      <c r="G17">
        <v>0</v>
      </c>
      <c r="J17" t="s">
        <v>49</v>
      </c>
    </row>
    <row r="18" spans="1:10">
      <c r="A18" t="s">
        <v>75</v>
      </c>
      <c r="B18">
        <v>39</v>
      </c>
      <c r="C18" t="s">
        <v>170</v>
      </c>
      <c r="D18" t="s">
        <v>127</v>
      </c>
      <c r="E18" t="s">
        <v>171</v>
      </c>
      <c r="F18" t="s">
        <v>74</v>
      </c>
      <c r="G18">
        <v>0</v>
      </c>
      <c r="I18" t="s">
        <v>131</v>
      </c>
      <c r="J18" t="s">
        <v>49</v>
      </c>
    </row>
    <row r="19" spans="1:10">
      <c r="A19" t="s">
        <v>75</v>
      </c>
      <c r="B19">
        <v>40</v>
      </c>
      <c r="C19" t="s">
        <v>176</v>
      </c>
      <c r="D19" t="s">
        <v>177</v>
      </c>
      <c r="E19" t="s">
        <v>139</v>
      </c>
      <c r="F19" t="s">
        <v>74</v>
      </c>
      <c r="G19">
        <v>0</v>
      </c>
      <c r="I19" t="s">
        <v>131</v>
      </c>
      <c r="J19" t="s">
        <v>49</v>
      </c>
    </row>
    <row r="20" spans="1:10">
      <c r="A20" t="s">
        <v>42</v>
      </c>
      <c r="B20">
        <v>49</v>
      </c>
      <c r="C20" t="s">
        <v>195</v>
      </c>
      <c r="D20" t="s">
        <v>45</v>
      </c>
      <c r="E20" t="s">
        <v>196</v>
      </c>
      <c r="G20">
        <v>0</v>
      </c>
      <c r="J20" t="s">
        <v>43</v>
      </c>
    </row>
    <row r="21" spans="1:10">
      <c r="A21" t="s">
        <v>42</v>
      </c>
      <c r="B21">
        <v>50</v>
      </c>
      <c r="C21" t="s">
        <v>199</v>
      </c>
      <c r="D21" t="s">
        <v>45</v>
      </c>
      <c r="E21" t="s">
        <v>120</v>
      </c>
      <c r="G21">
        <v>0</v>
      </c>
      <c r="J21" t="s">
        <v>49</v>
      </c>
    </row>
    <row r="22" spans="1:10">
      <c r="A22" t="s">
        <v>42</v>
      </c>
      <c r="B22">
        <v>51</v>
      </c>
      <c r="C22" t="s">
        <v>201</v>
      </c>
      <c r="D22" t="s">
        <v>45</v>
      </c>
      <c r="E22" t="s">
        <v>196</v>
      </c>
      <c r="G22">
        <v>0</v>
      </c>
      <c r="J22" t="s">
        <v>49</v>
      </c>
    </row>
    <row r="23" spans="1:10">
      <c r="A23" t="s">
        <v>42</v>
      </c>
      <c r="B23">
        <v>52</v>
      </c>
      <c r="C23" t="s">
        <v>202</v>
      </c>
      <c r="D23" t="s">
        <v>45</v>
      </c>
      <c r="E23" t="s">
        <v>196</v>
      </c>
      <c r="F23" t="s">
        <v>74</v>
      </c>
      <c r="G23">
        <v>0</v>
      </c>
      <c r="J23" t="s">
        <v>43</v>
      </c>
    </row>
    <row r="24" spans="1:10">
      <c r="A24" t="s">
        <v>75</v>
      </c>
      <c r="B24">
        <v>53</v>
      </c>
      <c r="C24" t="s">
        <v>205</v>
      </c>
      <c r="D24" t="s">
        <v>206</v>
      </c>
      <c r="E24" t="s">
        <v>207</v>
      </c>
      <c r="F24" t="s">
        <v>74</v>
      </c>
      <c r="G24">
        <v>0</v>
      </c>
      <c r="I24" t="s">
        <v>209</v>
      </c>
      <c r="J24" t="s">
        <v>49</v>
      </c>
    </row>
    <row r="25" spans="1:10">
      <c r="A25" t="s">
        <v>75</v>
      </c>
      <c r="B25">
        <v>54</v>
      </c>
      <c r="C25" t="s">
        <v>214</v>
      </c>
      <c r="D25" t="s">
        <v>215</v>
      </c>
      <c r="E25" t="s">
        <v>139</v>
      </c>
      <c r="F25" t="s">
        <v>74</v>
      </c>
      <c r="G25">
        <v>0</v>
      </c>
      <c r="I25" t="s">
        <v>209</v>
      </c>
      <c r="J25" t="s">
        <v>49</v>
      </c>
    </row>
    <row r="26" spans="1:10">
      <c r="A26" t="s">
        <v>42</v>
      </c>
      <c r="B26">
        <v>423</v>
      </c>
      <c r="C26" t="s">
        <v>831</v>
      </c>
      <c r="D26" t="s">
        <v>45</v>
      </c>
      <c r="E26" t="s">
        <v>832</v>
      </c>
      <c r="G26">
        <v>0</v>
      </c>
      <c r="J26" t="s">
        <v>49</v>
      </c>
    </row>
    <row r="27" spans="1:10">
      <c r="A27" t="s">
        <v>42</v>
      </c>
      <c r="B27">
        <v>424</v>
      </c>
      <c r="C27" t="s">
        <v>834</v>
      </c>
      <c r="D27" t="s">
        <v>45</v>
      </c>
      <c r="E27" t="s">
        <v>832</v>
      </c>
      <c r="G27">
        <v>0</v>
      </c>
      <c r="J27" t="s">
        <v>43</v>
      </c>
    </row>
    <row r="28" spans="1:10">
      <c r="A28" t="s">
        <v>42</v>
      </c>
      <c r="B28">
        <v>425</v>
      </c>
      <c r="C28" t="s">
        <v>835</v>
      </c>
      <c r="D28" t="s">
        <v>45</v>
      </c>
      <c r="E28" t="s">
        <v>832</v>
      </c>
      <c r="F28" t="s">
        <v>74</v>
      </c>
      <c r="G28">
        <v>0</v>
      </c>
      <c r="J28" t="s">
        <v>43</v>
      </c>
    </row>
    <row r="29" spans="1:10">
      <c r="A29" t="s">
        <v>117</v>
      </c>
      <c r="B29">
        <v>426</v>
      </c>
      <c r="C29" t="s">
        <v>837</v>
      </c>
      <c r="D29" t="s">
        <v>838</v>
      </c>
      <c r="E29" t="s">
        <v>839</v>
      </c>
      <c r="F29" t="s">
        <v>74</v>
      </c>
      <c r="G29">
        <v>0</v>
      </c>
      <c r="I29" t="s">
        <v>209</v>
      </c>
      <c r="J29" t="s">
        <v>49</v>
      </c>
    </row>
    <row r="30" spans="1:10">
      <c r="A30" t="s">
        <v>117</v>
      </c>
      <c r="B30">
        <v>427</v>
      </c>
      <c r="C30" t="s">
        <v>845</v>
      </c>
      <c r="D30" t="s">
        <v>846</v>
      </c>
      <c r="E30" t="s">
        <v>139</v>
      </c>
      <c r="F30" t="s">
        <v>74</v>
      </c>
      <c r="G30">
        <v>0</v>
      </c>
      <c r="I30" t="s">
        <v>209</v>
      </c>
      <c r="J30" t="s">
        <v>49</v>
      </c>
    </row>
    <row r="31" spans="1:10">
      <c r="A31" t="s">
        <v>42</v>
      </c>
      <c r="B31">
        <v>635</v>
      </c>
      <c r="C31" t="s">
        <v>1214</v>
      </c>
      <c r="D31" t="s">
        <v>45</v>
      </c>
      <c r="E31" t="s">
        <v>1215</v>
      </c>
      <c r="G31">
        <v>0</v>
      </c>
      <c r="J31" t="s">
        <v>49</v>
      </c>
    </row>
    <row r="32" spans="1:10">
      <c r="A32" t="s">
        <v>42</v>
      </c>
      <c r="B32">
        <v>636</v>
      </c>
      <c r="C32" t="s">
        <v>1218</v>
      </c>
      <c r="D32" t="s">
        <v>45</v>
      </c>
      <c r="E32" t="s">
        <v>1215</v>
      </c>
      <c r="G32">
        <v>0</v>
      </c>
      <c r="J32" t="s">
        <v>49</v>
      </c>
    </row>
    <row r="33" spans="1:10">
      <c r="A33" t="s">
        <v>42</v>
      </c>
      <c r="B33">
        <v>637</v>
      </c>
      <c r="C33" t="s">
        <v>1220</v>
      </c>
      <c r="D33" t="s">
        <v>45</v>
      </c>
      <c r="E33" t="s">
        <v>1215</v>
      </c>
      <c r="F33" t="s">
        <v>74</v>
      </c>
      <c r="G33">
        <v>0</v>
      </c>
      <c r="J33" t="s">
        <v>49</v>
      </c>
    </row>
    <row r="34" spans="1:10">
      <c r="A34" t="s">
        <v>117</v>
      </c>
      <c r="B34">
        <v>638</v>
      </c>
      <c r="C34" t="s">
        <v>1222</v>
      </c>
      <c r="D34" t="s">
        <v>1223</v>
      </c>
      <c r="E34" t="s">
        <v>1224</v>
      </c>
      <c r="F34" t="s">
        <v>74</v>
      </c>
      <c r="G34">
        <v>0</v>
      </c>
      <c r="I34" t="s">
        <v>1226</v>
      </c>
      <c r="J34" t="s">
        <v>49</v>
      </c>
    </row>
    <row r="35" spans="1:10">
      <c r="A35" t="s">
        <v>117</v>
      </c>
      <c r="B35">
        <v>639</v>
      </c>
      <c r="C35" t="s">
        <v>1228</v>
      </c>
      <c r="D35" t="s">
        <v>1229</v>
      </c>
      <c r="E35" t="s">
        <v>139</v>
      </c>
      <c r="F35" t="s">
        <v>74</v>
      </c>
      <c r="G35">
        <v>0</v>
      </c>
      <c r="I35" t="s">
        <v>1226</v>
      </c>
      <c r="J35" t="s">
        <v>49</v>
      </c>
    </row>
    <row r="36" spans="1:10">
      <c r="A36" t="s">
        <v>42</v>
      </c>
      <c r="B36">
        <v>733</v>
      </c>
      <c r="C36" t="s">
        <v>1392</v>
      </c>
      <c r="D36" t="s">
        <v>45</v>
      </c>
      <c r="E36" t="s">
        <v>1393</v>
      </c>
      <c r="G36">
        <v>0</v>
      </c>
      <c r="J36" t="s">
        <v>49</v>
      </c>
    </row>
    <row r="37" spans="1:10">
      <c r="A37" t="s">
        <v>42</v>
      </c>
      <c r="B37">
        <v>734</v>
      </c>
      <c r="C37" t="s">
        <v>1395</v>
      </c>
      <c r="D37" t="s">
        <v>45</v>
      </c>
      <c r="E37" t="s">
        <v>1393</v>
      </c>
      <c r="G37">
        <v>0</v>
      </c>
      <c r="J37" t="s">
        <v>43</v>
      </c>
    </row>
    <row r="38" spans="1:10">
      <c r="A38" t="s">
        <v>42</v>
      </c>
      <c r="B38">
        <v>735</v>
      </c>
      <c r="C38" t="s">
        <v>1396</v>
      </c>
      <c r="D38" t="s">
        <v>45</v>
      </c>
      <c r="E38" t="s">
        <v>1393</v>
      </c>
      <c r="F38" t="s">
        <v>74</v>
      </c>
      <c r="G38">
        <v>0</v>
      </c>
      <c r="J38" t="s">
        <v>43</v>
      </c>
    </row>
    <row r="39" spans="1:10">
      <c r="A39" t="s">
        <v>117</v>
      </c>
      <c r="B39">
        <v>736</v>
      </c>
      <c r="C39" t="s">
        <v>1398</v>
      </c>
      <c r="D39" t="s">
        <v>1399</v>
      </c>
      <c r="E39" t="s">
        <v>1400</v>
      </c>
      <c r="F39" t="s">
        <v>74</v>
      </c>
      <c r="G39">
        <v>0</v>
      </c>
      <c r="I39" t="s">
        <v>1401</v>
      </c>
      <c r="J39" t="s">
        <v>49</v>
      </c>
    </row>
    <row r="40" spans="1:10">
      <c r="A40" t="s">
        <v>117</v>
      </c>
      <c r="B40">
        <v>737</v>
      </c>
      <c r="C40" t="s">
        <v>1403</v>
      </c>
      <c r="D40" t="s">
        <v>1404</v>
      </c>
      <c r="E40" t="s">
        <v>139</v>
      </c>
      <c r="F40" t="s">
        <v>74</v>
      </c>
      <c r="G40">
        <v>0</v>
      </c>
      <c r="I40" t="s">
        <v>1401</v>
      </c>
      <c r="J40" t="s">
        <v>49</v>
      </c>
    </row>
    <row r="41" spans="1:10">
      <c r="A41" t="s">
        <v>117</v>
      </c>
      <c r="B41">
        <v>741</v>
      </c>
      <c r="C41" t="s">
        <v>1408</v>
      </c>
      <c r="D41" t="s">
        <v>1399</v>
      </c>
      <c r="E41" t="s">
        <v>1409</v>
      </c>
      <c r="F41" t="s">
        <v>74</v>
      </c>
      <c r="G41">
        <v>0</v>
      </c>
      <c r="I41" t="s">
        <v>1401</v>
      </c>
      <c r="J41" t="s">
        <v>49</v>
      </c>
    </row>
    <row r="42" spans="1:10">
      <c r="A42" t="s">
        <v>117</v>
      </c>
      <c r="B42">
        <v>742</v>
      </c>
      <c r="C42" t="s">
        <v>1411</v>
      </c>
      <c r="D42" t="s">
        <v>1412</v>
      </c>
      <c r="E42" t="s">
        <v>139</v>
      </c>
      <c r="F42" t="s">
        <v>74</v>
      </c>
      <c r="G42">
        <v>0</v>
      </c>
      <c r="I42" t="s">
        <v>1401</v>
      </c>
      <c r="J42" t="s">
        <v>49</v>
      </c>
    </row>
    <row r="43" spans="1:10">
      <c r="A43" t="s">
        <v>42</v>
      </c>
      <c r="B43">
        <v>901</v>
      </c>
      <c r="C43" t="s">
        <v>1681</v>
      </c>
      <c r="D43" t="s">
        <v>45</v>
      </c>
      <c r="E43" t="s">
        <v>1682</v>
      </c>
      <c r="G43">
        <v>0</v>
      </c>
      <c r="J43" t="s">
        <v>49</v>
      </c>
    </row>
    <row r="44" spans="1:10">
      <c r="A44" t="s">
        <v>42</v>
      </c>
      <c r="B44">
        <v>902</v>
      </c>
      <c r="C44" t="s">
        <v>1685</v>
      </c>
      <c r="D44" t="s">
        <v>45</v>
      </c>
      <c r="E44" t="s">
        <v>1682</v>
      </c>
      <c r="G44">
        <v>0</v>
      </c>
      <c r="J44" t="s">
        <v>49</v>
      </c>
    </row>
    <row r="45" spans="1:10">
      <c r="A45" t="s">
        <v>42</v>
      </c>
      <c r="B45">
        <v>903</v>
      </c>
      <c r="C45" t="s">
        <v>1686</v>
      </c>
      <c r="D45" t="s">
        <v>45</v>
      </c>
      <c r="E45" t="s">
        <v>1682</v>
      </c>
      <c r="F45" t="s">
        <v>74</v>
      </c>
      <c r="G45">
        <v>0</v>
      </c>
      <c r="J45" t="s">
        <v>43</v>
      </c>
    </row>
    <row r="46" spans="1:10">
      <c r="A46" t="s">
        <v>117</v>
      </c>
      <c r="B46">
        <v>904</v>
      </c>
      <c r="C46" t="s">
        <v>1688</v>
      </c>
      <c r="D46" t="s">
        <v>1689</v>
      </c>
      <c r="E46" t="s">
        <v>1690</v>
      </c>
      <c r="F46" t="s">
        <v>74</v>
      </c>
      <c r="G46">
        <v>0</v>
      </c>
      <c r="I46" t="s">
        <v>1691</v>
      </c>
      <c r="J46" t="s">
        <v>49</v>
      </c>
    </row>
    <row r="47" spans="1:10">
      <c r="A47" t="s">
        <v>117</v>
      </c>
      <c r="B47">
        <v>905</v>
      </c>
      <c r="C47" t="s">
        <v>1693</v>
      </c>
      <c r="D47" t="s">
        <v>1694</v>
      </c>
      <c r="E47" t="s">
        <v>139</v>
      </c>
      <c r="F47" t="s">
        <v>74</v>
      </c>
      <c r="G47">
        <v>0</v>
      </c>
      <c r="I47" t="s">
        <v>1691</v>
      </c>
      <c r="J47" t="s">
        <v>49</v>
      </c>
    </row>
    <row r="48" spans="1:10">
      <c r="A48" t="s">
        <v>117</v>
      </c>
      <c r="B48">
        <v>909</v>
      </c>
      <c r="C48" t="s">
        <v>1698</v>
      </c>
      <c r="D48" t="s">
        <v>1689</v>
      </c>
      <c r="E48" t="s">
        <v>1699</v>
      </c>
      <c r="F48" t="s">
        <v>74</v>
      </c>
      <c r="G48">
        <v>0</v>
      </c>
      <c r="I48" t="s">
        <v>1691</v>
      </c>
      <c r="J48" t="s">
        <v>49</v>
      </c>
    </row>
    <row r="49" spans="1:10">
      <c r="A49" t="s">
        <v>117</v>
      </c>
      <c r="B49">
        <v>910</v>
      </c>
      <c r="C49" t="s">
        <v>1703</v>
      </c>
      <c r="D49" t="s">
        <v>1704</v>
      </c>
      <c r="E49" t="s">
        <v>139</v>
      </c>
      <c r="F49" t="s">
        <v>74</v>
      </c>
      <c r="G49">
        <v>0</v>
      </c>
      <c r="I49" t="s">
        <v>1691</v>
      </c>
      <c r="J49" t="s">
        <v>49</v>
      </c>
    </row>
    <row r="50" spans="1:10">
      <c r="A50" t="s">
        <v>117</v>
      </c>
      <c r="B50">
        <v>914</v>
      </c>
      <c r="C50" t="s">
        <v>1710</v>
      </c>
      <c r="D50" t="s">
        <v>1689</v>
      </c>
      <c r="E50" t="s">
        <v>1711</v>
      </c>
      <c r="F50" t="s">
        <v>74</v>
      </c>
      <c r="G50">
        <v>0</v>
      </c>
      <c r="I50" t="s">
        <v>1691</v>
      </c>
      <c r="J50" t="s">
        <v>49</v>
      </c>
    </row>
    <row r="51" spans="1:10">
      <c r="A51" t="s">
        <v>117</v>
      </c>
      <c r="B51">
        <v>915</v>
      </c>
      <c r="C51" t="s">
        <v>1713</v>
      </c>
      <c r="D51" t="s">
        <v>1714</v>
      </c>
      <c r="E51" t="s">
        <v>139</v>
      </c>
      <c r="F51" t="s">
        <v>74</v>
      </c>
      <c r="G51">
        <v>0</v>
      </c>
      <c r="I51" t="s">
        <v>1691</v>
      </c>
      <c r="J51" t="s">
        <v>49</v>
      </c>
    </row>
    <row r="52" spans="1:10">
      <c r="A52" t="s">
        <v>117</v>
      </c>
      <c r="B52">
        <v>919</v>
      </c>
      <c r="C52" t="s">
        <v>1719</v>
      </c>
      <c r="D52" t="s">
        <v>1689</v>
      </c>
      <c r="E52" t="s">
        <v>1720</v>
      </c>
      <c r="F52" t="s">
        <v>74</v>
      </c>
      <c r="G52">
        <v>0</v>
      </c>
      <c r="I52" t="s">
        <v>1691</v>
      </c>
      <c r="J52" t="s">
        <v>49</v>
      </c>
    </row>
    <row r="53" spans="1:10">
      <c r="A53" t="s">
        <v>117</v>
      </c>
      <c r="B53">
        <v>920</v>
      </c>
      <c r="C53" t="s">
        <v>1722</v>
      </c>
      <c r="D53" t="s">
        <v>1723</v>
      </c>
      <c r="E53" t="s">
        <v>139</v>
      </c>
      <c r="F53" t="s">
        <v>74</v>
      </c>
      <c r="G53">
        <v>0</v>
      </c>
      <c r="I53" t="s">
        <v>1691</v>
      </c>
      <c r="J53" t="s">
        <v>49</v>
      </c>
    </row>
    <row r="54" spans="1:10">
      <c r="A54" t="s">
        <v>117</v>
      </c>
      <c r="B54">
        <v>924</v>
      </c>
      <c r="C54" t="s">
        <v>1727</v>
      </c>
      <c r="D54" t="s">
        <v>1689</v>
      </c>
      <c r="E54" t="s">
        <v>1728</v>
      </c>
      <c r="F54" t="s">
        <v>74</v>
      </c>
      <c r="G54">
        <v>0</v>
      </c>
      <c r="I54" t="s">
        <v>1691</v>
      </c>
      <c r="J54" t="s">
        <v>49</v>
      </c>
    </row>
    <row r="55" spans="1:10">
      <c r="A55" t="s">
        <v>117</v>
      </c>
      <c r="B55">
        <v>925</v>
      </c>
      <c r="C55" t="s">
        <v>1730</v>
      </c>
      <c r="D55" t="s">
        <v>1731</v>
      </c>
      <c r="E55" t="s">
        <v>139</v>
      </c>
      <c r="F55" t="s">
        <v>74</v>
      </c>
      <c r="G55">
        <v>0</v>
      </c>
      <c r="I55" t="s">
        <v>1691</v>
      </c>
      <c r="J55" t="s">
        <v>49</v>
      </c>
    </row>
    <row r="56" spans="1:10">
      <c r="A56" t="s">
        <v>117</v>
      </c>
      <c r="B56">
        <v>974</v>
      </c>
      <c r="C56" t="s">
        <v>1809</v>
      </c>
      <c r="D56" t="s">
        <v>1689</v>
      </c>
      <c r="E56" t="s">
        <v>1810</v>
      </c>
      <c r="F56" t="s">
        <v>74</v>
      </c>
      <c r="G56">
        <v>0</v>
      </c>
      <c r="I56" t="s">
        <v>1691</v>
      </c>
      <c r="J56" t="s">
        <v>43</v>
      </c>
    </row>
    <row r="57" spans="1:10">
      <c r="A57" t="s">
        <v>117</v>
      </c>
      <c r="B57">
        <v>975</v>
      </c>
      <c r="C57" t="s">
        <v>1812</v>
      </c>
      <c r="D57" t="s">
        <v>1813</v>
      </c>
      <c r="E57" t="s">
        <v>139</v>
      </c>
      <c r="F57" t="s">
        <v>74</v>
      </c>
      <c r="G57">
        <v>0</v>
      </c>
      <c r="I57" t="s">
        <v>1691</v>
      </c>
      <c r="J57" t="s">
        <v>43</v>
      </c>
    </row>
    <row r="58" spans="1:10">
      <c r="A58" t="s">
        <v>117</v>
      </c>
      <c r="B58">
        <v>979</v>
      </c>
      <c r="C58" t="s">
        <v>1818</v>
      </c>
      <c r="D58" t="s">
        <v>1689</v>
      </c>
      <c r="E58" t="s">
        <v>1819</v>
      </c>
      <c r="F58" t="s">
        <v>74</v>
      </c>
      <c r="G58">
        <v>0</v>
      </c>
      <c r="I58" t="s">
        <v>1691</v>
      </c>
      <c r="J58" t="s">
        <v>49</v>
      </c>
    </row>
    <row r="59" spans="1:10">
      <c r="A59" t="s">
        <v>117</v>
      </c>
      <c r="B59">
        <v>980</v>
      </c>
      <c r="C59" t="s">
        <v>1821</v>
      </c>
      <c r="D59" t="s">
        <v>1822</v>
      </c>
      <c r="E59" t="s">
        <v>139</v>
      </c>
      <c r="F59" t="s">
        <v>74</v>
      </c>
      <c r="G59">
        <v>0</v>
      </c>
      <c r="I59" t="s">
        <v>1691</v>
      </c>
      <c r="J59" t="s">
        <v>49</v>
      </c>
    </row>
    <row r="60" spans="1:10">
      <c r="A60" t="s">
        <v>117</v>
      </c>
      <c r="B60">
        <v>984</v>
      </c>
      <c r="C60" t="s">
        <v>1827</v>
      </c>
      <c r="D60" t="s">
        <v>1689</v>
      </c>
      <c r="E60" t="s">
        <v>1828</v>
      </c>
      <c r="F60" t="s">
        <v>74</v>
      </c>
      <c r="G60">
        <v>0</v>
      </c>
      <c r="I60" t="s">
        <v>1691</v>
      </c>
      <c r="J60" t="s">
        <v>49</v>
      </c>
    </row>
    <row r="61" spans="1:10">
      <c r="A61" t="s">
        <v>117</v>
      </c>
      <c r="B61">
        <v>985</v>
      </c>
      <c r="C61" t="s">
        <v>1830</v>
      </c>
      <c r="D61" t="s">
        <v>1831</v>
      </c>
      <c r="E61" t="s">
        <v>139</v>
      </c>
      <c r="F61" t="s">
        <v>74</v>
      </c>
      <c r="G61">
        <v>0</v>
      </c>
      <c r="I61" t="s">
        <v>1691</v>
      </c>
      <c r="J61" t="s">
        <v>49</v>
      </c>
    </row>
    <row r="62" spans="1:10">
      <c r="A62" t="s">
        <v>117</v>
      </c>
      <c r="B62">
        <v>989</v>
      </c>
      <c r="C62" t="s">
        <v>1835</v>
      </c>
      <c r="D62" t="s">
        <v>1689</v>
      </c>
      <c r="E62" t="s">
        <v>1836</v>
      </c>
      <c r="F62" t="s">
        <v>74</v>
      </c>
      <c r="G62">
        <v>0</v>
      </c>
      <c r="I62" t="s">
        <v>1691</v>
      </c>
      <c r="J62" t="s">
        <v>49</v>
      </c>
    </row>
    <row r="63" spans="1:10">
      <c r="A63" t="s">
        <v>117</v>
      </c>
      <c r="B63">
        <v>990</v>
      </c>
      <c r="C63" t="s">
        <v>1838</v>
      </c>
      <c r="D63" t="s">
        <v>1839</v>
      </c>
      <c r="E63" t="s">
        <v>139</v>
      </c>
      <c r="F63" t="s">
        <v>74</v>
      </c>
      <c r="G63">
        <v>0</v>
      </c>
      <c r="I63" t="s">
        <v>1691</v>
      </c>
      <c r="J63" t="s">
        <v>49</v>
      </c>
    </row>
    <row r="64" spans="1:10">
      <c r="A64" t="s">
        <v>117</v>
      </c>
      <c r="B64">
        <v>994</v>
      </c>
      <c r="C64" t="s">
        <v>1843</v>
      </c>
      <c r="D64" t="s">
        <v>1689</v>
      </c>
      <c r="E64" t="s">
        <v>1844</v>
      </c>
      <c r="F64" t="s">
        <v>74</v>
      </c>
      <c r="G64">
        <v>0</v>
      </c>
      <c r="I64" t="s">
        <v>1691</v>
      </c>
      <c r="J64" t="s">
        <v>49</v>
      </c>
    </row>
    <row r="65" spans="1:10">
      <c r="A65" t="s">
        <v>117</v>
      </c>
      <c r="B65">
        <v>995</v>
      </c>
      <c r="C65" t="s">
        <v>1846</v>
      </c>
      <c r="D65" t="s">
        <v>1847</v>
      </c>
      <c r="E65" t="s">
        <v>139</v>
      </c>
      <c r="F65" t="s">
        <v>74</v>
      </c>
      <c r="G65">
        <v>0</v>
      </c>
      <c r="I65" t="s">
        <v>1691</v>
      </c>
      <c r="J65" t="s">
        <v>49</v>
      </c>
    </row>
    <row r="66" spans="1:10">
      <c r="A66" t="s">
        <v>117</v>
      </c>
      <c r="B66">
        <v>999</v>
      </c>
      <c r="C66" t="s">
        <v>1851</v>
      </c>
      <c r="D66" t="s">
        <v>1689</v>
      </c>
      <c r="E66" t="s">
        <v>1852</v>
      </c>
      <c r="F66" t="s">
        <v>74</v>
      </c>
      <c r="G66">
        <v>0</v>
      </c>
      <c r="I66" t="s">
        <v>1691</v>
      </c>
      <c r="J66" t="s">
        <v>43</v>
      </c>
    </row>
    <row r="67" spans="1:10">
      <c r="A67" t="s">
        <v>117</v>
      </c>
      <c r="B67">
        <v>1000</v>
      </c>
      <c r="C67" t="s">
        <v>1854</v>
      </c>
      <c r="D67" t="s">
        <v>1855</v>
      </c>
      <c r="E67" t="s">
        <v>139</v>
      </c>
      <c r="F67" t="s">
        <v>74</v>
      </c>
      <c r="G67">
        <v>0</v>
      </c>
      <c r="I67" t="s">
        <v>1691</v>
      </c>
      <c r="J67" t="s">
        <v>43</v>
      </c>
    </row>
    <row r="68" spans="1:10">
      <c r="A68" t="s">
        <v>42</v>
      </c>
      <c r="B68">
        <v>1100</v>
      </c>
      <c r="C68" t="s">
        <v>2025</v>
      </c>
      <c r="D68" t="s">
        <v>45</v>
      </c>
      <c r="E68" t="s">
        <v>2023</v>
      </c>
      <c r="G68">
        <v>0</v>
      </c>
      <c r="J68" t="s">
        <v>49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"/>
  <sheetViews>
    <sheetView workbookViewId="0"/>
  </sheetViews>
  <sheetFormatPr defaultRowHeight="15"/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7</v>
      </c>
      <c r="G1" t="s">
        <v>4</v>
      </c>
      <c r="H1" t="s">
        <v>19</v>
      </c>
      <c r="I1" t="s">
        <v>16</v>
      </c>
      <c r="J1" t="s">
        <v>25</v>
      </c>
    </row>
    <row r="2" spans="1:10">
      <c r="A2" t="s">
        <v>75</v>
      </c>
      <c r="B2">
        <v>428</v>
      </c>
      <c r="C2" t="s">
        <v>847</v>
      </c>
      <c r="D2" t="s">
        <v>846</v>
      </c>
      <c r="E2" t="s">
        <v>143</v>
      </c>
      <c r="F2" t="s">
        <v>74</v>
      </c>
      <c r="G2">
        <v>0</v>
      </c>
      <c r="I2" t="s">
        <v>209</v>
      </c>
      <c r="J2" t="s">
        <v>49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F0A16E2C-538E-4709-9DC6-EC8268219E55}"/>
</file>

<file path=customXml/itemProps2.xml><?xml version="1.0" encoding="utf-8"?>
<ds:datastoreItem xmlns:ds="http://schemas.openxmlformats.org/officeDocument/2006/customXml" ds:itemID="{FC4D9CB4-D6F1-41F9-A55F-DB21749A098D}"/>
</file>

<file path=customXml/itemProps3.xml><?xml version="1.0" encoding="utf-8"?>
<ds:datastoreItem xmlns:ds="http://schemas.openxmlformats.org/officeDocument/2006/customXml" ds:itemID="{C215A95A-11CE-4242-89B3-F078ED6433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RENATO NETO</cp:lastModifiedBy>
  <cp:revision/>
  <dcterms:created xsi:type="dcterms:W3CDTF">2026-07-03T14:46:51Z</dcterms:created>
  <dcterms:modified xsi:type="dcterms:W3CDTF">2026-07-03T17:10:07Z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2026-07-03T16:22:10Z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b6563193-5a27-4898-9329-6514c75f4225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