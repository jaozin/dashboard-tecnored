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86" documentId="11_D1338D6598A91666459330380A2580D06104B6AA" xr6:coauthVersionLast="47" xr6:coauthVersionMax="47" xr10:uidLastSave="{722D7C7B-A949-496E-B944-41951F2C629F}"/>
  <bookViews>
    <workbookView xWindow="28680" yWindow="-120" windowWidth="29040" windowHeight="15720" activeTab="6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E16" i="2"/>
  <c r="F16" i="2"/>
  <c r="G16" i="2"/>
  <c r="B34" i="2"/>
  <c r="C34" i="2"/>
  <c r="D34" i="2"/>
  <c r="E34" i="2"/>
</calcChain>
</file>

<file path=xl/sharedStrings.xml><?xml version="1.0" encoding="utf-8"?>
<sst xmlns="http://schemas.openxmlformats.org/spreadsheetml/2006/main" count="10244" uniqueCount="1089">
  <si>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</si>
  <si>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</si>
  <si>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</si>
  <si>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</si>
  <si>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</si>
  <si>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</si>
  <si>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</si>
  <si>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</si>
  <si>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</si>
  <si>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</si>
  <si>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</si>
  <si>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</si>
  <si>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</si>
  <si>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</si>
  <si>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</si>
  <si>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</si>
  <si>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</si>
  <si>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</si>
  <si>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</si>
  <si>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</si>
  <si>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</si>
  <si>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</si>
  <si>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</si>
  <si>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</si>
  <si>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</si>
  <si>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</si>
  <si>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</si>
  <si>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</si>
  <si>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</si>
  <si>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</si>
  <si>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</si>
  <si>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</si>
  <si>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</si>
  <si>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</si>
  <si>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496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</si>
  <si>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</si>
  <si>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</si>
  <si>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</si>
  <si>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</si>
  <si>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</si>
  <si>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</si>
  <si>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</si>
  <si>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</si>
  <si>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</si>
  <si>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</si>
  <si>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</si>
  <si>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</si>
  <si>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</si>
  <si>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</si>
  <si>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</si>
  <si>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</si>
  <si>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</si>
  <si>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</si>
  <si>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</si>
  <si>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</si>
  <si>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</si>
  <si>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</si>
  <si>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</si>
  <si>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</si>
  <si>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</si>
  <si>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</si>
  <si>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</si>
  <si>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</si>
  <si>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</si>
  <si>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</si>
  <si>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</si>
  <si>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</si>
  <si>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</si>
  <si>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</si>
  <si>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</si>
  <si>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</si>
  <si>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</si>
  <si>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</si>
  <si>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</si>
  <si>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</si>
  <si>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</si>
  <si>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</si>
  <si>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</si>
  <si>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</si>
  <si>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</si>
  <si>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</si>
  <si>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</si>
  <si>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</si>
  <si>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</si>
  <si>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</si>
  <si>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</si>
  <si>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</si>
  <si>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</si>
  <si>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</si>
  <si>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</si>
  <si>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</si>
  <si>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</si>
  <si>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</si>
  <si>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</si>
  <si>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</si>
  <si>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</si>
  <si>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</si>
  <si>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</si>
  <si>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</si>
  <si>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</si>
  <si>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</si>
  <si>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</si>
  <si>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</si>
  <si>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</si>
  <si>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</si>
  <si>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</si>
  <si>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</si>
  <si>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</si>
  <si>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</si>
  <si>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</si>
  <si>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</si>
  <si>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</si>
  <si>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</si>
  <si>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</si>
  <si>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</si>
  <si>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</si>
  <si>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</si>
  <si>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</si>
  <si>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</si>
  <si>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</si>
  <si>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</si>
  <si>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</si>
  <si>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</si>
  <si>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</si>
  <si>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</si>
  <si>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</si>
  <si>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</si>
  <si>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</si>
  <si>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</si>
  <si>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1.2.4</t>
  </si>
  <si>
    <t>coordenação</t>
  </si>
  <si>
    <t>No Prazo</t>
  </si>
  <si>
    <t>COORDENAÇÃO</t>
  </si>
  <si>
    <t>1.2.4.1</t>
  </si>
  <si>
    <t>Coordenação</t>
  </si>
  <si>
    <t>rm-f0009-0305-mb-g-00001</t>
  </si>
  <si>
    <t>56 hrs</t>
  </si>
  <si>
    <t>Seg 25/05/26</t>
  </si>
  <si>
    <t>Sprint 8</t>
  </si>
  <si>
    <t>1.2.4.1.1</t>
  </si>
  <si>
    <t>RM-F0009-0305-MB-G-00001</t>
  </si>
  <si>
    <t>11TI+23 dias</t>
  </si>
  <si>
    <t>33;37TI+10 dias</t>
  </si>
  <si>
    <t>1.2.4.1.2</t>
  </si>
  <si>
    <t>Tarefa futura</t>
  </si>
  <si>
    <t>Qui 28/05/26</t>
  </si>
  <si>
    <t>Sprint 9</t>
  </si>
  <si>
    <t>1.2.4.1.3</t>
  </si>
  <si>
    <t>Sex 29/05/26</t>
  </si>
  <si>
    <t>1.2.4.1.4</t>
  </si>
  <si>
    <t>Ter 02/06/26</t>
  </si>
  <si>
    <t>Sprint 10</t>
  </si>
  <si>
    <t>1.2.4.3</t>
  </si>
  <si>
    <t>rl-f0009-0305-mb-g-00001</t>
  </si>
  <si>
    <t>32 hrs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</si>
  <si>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</si>
  <si>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</si>
  <si>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</si>
  <si>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</si>
  <si>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</si>
  <si>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</si>
  <si>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</si>
  <si>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</si>
  <si>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</si>
  <si>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</si>
  <si>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</si>
  <si>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</si>
  <si>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</si>
  <si>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1.2.4.4.2</t>
  </si>
  <si>
    <t>49TI+55 dias</t>
  </si>
  <si>
    <t>1.2.4.4.3</t>
  </si>
  <si>
    <t>48TI+55 dias</t>
  </si>
  <si>
    <t>Sex 12/06/26</t>
  </si>
  <si>
    <t>1.2.4.4.4</t>
  </si>
  <si>
    <t>Ter 16/06/26</t>
  </si>
  <si>
    <t>1.2.5</t>
  </si>
  <si>
    <t>processo</t>
  </si>
  <si>
    <t>128 hrs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</si>
  <si>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</si>
  <si>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</si>
  <si>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</si>
  <si>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</si>
  <si>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</si>
  <si>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</si>
  <si>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</si>
  <si>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</si>
  <si>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</si>
  <si>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</si>
  <si>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</si>
  <si>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</si>
  <si>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</si>
  <si>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</si>
  <si>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</si>
  <si>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</si>
  <si>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</si>
  <si>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</si>
  <si>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</si>
  <si>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</si>
  <si>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</si>
  <si>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</si>
  <si>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</si>
  <si>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48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</si>
  <si>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</si>
  <si>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</si>
  <si>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</si>
  <si>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</si>
  <si>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</si>
  <si>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</si>
  <si>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</si>
  <si>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</si>
  <si>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</si>
  <si>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</si>
  <si>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</si>
  <si>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</si>
  <si>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</si>
  <si>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</si>
  <si>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</si>
  <si>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</si>
  <si>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</si>
  <si>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</si>
  <si>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</si>
  <si>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</si>
  <si>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</si>
  <si>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</si>
  <si>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</si>
  <si>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</si>
  <si>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</si>
  <si>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</si>
  <si>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</si>
  <si>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</si>
  <si>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</si>
  <si>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</si>
  <si>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</si>
  <si>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</si>
  <si>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</si>
  <si>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</si>
  <si>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</si>
  <si>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</si>
  <si>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</si>
  <si>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</si>
  <si>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</si>
  <si>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</si>
  <si>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</si>
  <si>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</si>
  <si>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</si>
  <si>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</si>
  <si>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</si>
  <si>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</si>
  <si>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</si>
  <si>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</si>
  <si>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</si>
  <si>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</si>
  <si>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</si>
  <si>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</si>
  <si>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</si>
  <si>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</si>
  <si>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</si>
  <si>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</si>
  <si>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</si>
  <si>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</si>
  <si>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</si>
  <si>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</si>
  <si>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</si>
  <si>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</si>
  <si>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</si>
  <si>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</si>
  <si>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</si>
  <si>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</si>
  <si>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</si>
  <si>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</si>
  <si>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</si>
  <si>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</si>
  <si>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</si>
  <si>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</si>
  <si>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</si>
  <si>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</si>
  <si>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</si>
  <si>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</si>
  <si>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</si>
  <si>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</si>
  <si>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</si>
  <si>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</si>
  <si>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</si>
  <si>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</si>
  <si>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</si>
  <si>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</si>
  <si>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</si>
  <si>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</si>
  <si>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</si>
  <si>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</si>
  <si>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</si>
  <si>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</si>
  <si>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</si>
  <si>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</si>
  <si>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</si>
  <si>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</si>
  <si>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</si>
  <si>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</si>
  <si>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</si>
  <si>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</si>
  <si>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</si>
  <si>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</si>
  <si>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</si>
  <si>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</si>
  <si>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</si>
  <si>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</si>
  <si>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</si>
  <si>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</si>
  <si>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</si>
  <si>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</si>
  <si>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</si>
  <si>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</si>
  <si>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</si>
  <si>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</si>
  <si>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</si>
  <si>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</si>
  <si>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</si>
  <si>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</si>
  <si>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</si>
  <si>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</si>
  <si>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</si>
  <si>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</si>
  <si>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</si>
  <si>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</si>
  <si>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1.2.6.18.3</t>
  </si>
  <si>
    <t>1.2.6.18.4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</si>
  <si>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</si>
  <si>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</si>
  <si>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</si>
  <si>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</si>
  <si>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</si>
  <si>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</si>
  <si>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</si>
  <si>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</si>
  <si>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</si>
  <si>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112 hrs</t>
  </si>
  <si>
    <t>1.2.6.20.1</t>
  </si>
  <si>
    <t>MC-F0009-0305-MB-M-00001</t>
  </si>
  <si>
    <t>10 dias</t>
  </si>
  <si>
    <t>165;189;194;199;346</t>
  </si>
  <si>
    <t>1.2.6.20.2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</si>
  <si>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</si>
  <si>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</si>
  <si>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</si>
  <si>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</si>
  <si>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</si>
  <si>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</si>
  <si>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</si>
  <si>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</si>
  <si>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1.2.6.21.2</t>
  </si>
  <si>
    <t>1.2.6.21.3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</si>
  <si>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</si>
  <si>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</si>
  <si>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</si>
  <si>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</si>
  <si>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</si>
  <si>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</si>
  <si>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</si>
  <si>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</si>
  <si>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</si>
  <si>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</si>
  <si>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</si>
  <si>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</si>
  <si>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</si>
  <si>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</si>
  <si>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</si>
  <si>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</si>
  <si>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</si>
  <si>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</si>
  <si>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</si>
  <si>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</si>
  <si>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</si>
  <si>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</si>
  <si>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</si>
  <si>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</si>
  <si>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</si>
  <si>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</si>
  <si>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</si>
  <si>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</si>
  <si>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</si>
  <si>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</si>
  <si>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1.2.6.25.1</t>
  </si>
  <si>
    <t>FD-F0009-0305-MB-M-00001</t>
  </si>
  <si>
    <t>164;169;174;179</t>
  </si>
  <si>
    <t>1.2.6.25.2</t>
  </si>
  <si>
    <t>1.2.6.25.3</t>
  </si>
  <si>
    <t>Qui 18/06/26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</si>
  <si>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</si>
  <si>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</si>
  <si>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</si>
  <si>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</si>
  <si>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</si>
  <si>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</si>
  <si>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</si>
  <si>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</si>
  <si>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</si>
  <si>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</si>
  <si>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</si>
  <si>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</si>
  <si>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</si>
  <si>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</si>
  <si>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</si>
  <si>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</si>
  <si>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</si>
  <si>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208 hrs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</si>
  <si>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</si>
  <si>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</si>
  <si>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</si>
  <si>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</si>
  <si>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</si>
  <si>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</si>
  <si>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</si>
  <si>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</si>
  <si>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</si>
  <si>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</si>
  <si>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</si>
  <si>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</si>
  <si>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</si>
  <si>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</si>
  <si>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</si>
  <si>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</si>
  <si>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</si>
  <si>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</si>
  <si>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</si>
  <si>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</si>
  <si>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</si>
  <si>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</si>
  <si>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</si>
  <si>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</si>
  <si>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</si>
  <si>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</si>
  <si>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</si>
  <si>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</si>
  <si>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</si>
  <si>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</si>
  <si>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</si>
  <si>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</si>
  <si>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</si>
  <si>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</si>
  <si>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</si>
  <si>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</si>
  <si>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</si>
  <si>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</si>
  <si>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</si>
  <si>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</si>
  <si>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</si>
  <si>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</si>
  <si>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</si>
  <si>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</si>
  <si>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</si>
  <si>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</si>
  <si>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</si>
  <si>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</si>
  <si>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</si>
  <si>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</si>
  <si>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</si>
  <si>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</si>
  <si>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</si>
  <si>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</si>
  <si>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</si>
  <si>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</si>
  <si>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</si>
  <si>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</si>
  <si>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</si>
  <si>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</si>
  <si>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</si>
  <si>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</si>
  <si>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</si>
  <si>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</si>
  <si>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</si>
  <si>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</si>
  <si>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</si>
  <si>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</si>
  <si>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</si>
  <si>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</si>
  <si>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</si>
  <si>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</si>
  <si>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</si>
  <si>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</si>
  <si>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</si>
  <si>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</si>
  <si>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</si>
  <si>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</si>
  <si>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</si>
  <si>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</si>
  <si>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</si>
  <si>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</si>
  <si>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</si>
  <si>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</si>
  <si>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</si>
  <si>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</si>
  <si>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</si>
  <si>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</si>
  <si>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</si>
  <si>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</si>
  <si>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</si>
  <si>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</si>
  <si>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</si>
  <si>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</si>
  <si>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</si>
  <si>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</si>
  <si>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</si>
  <si>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</si>
  <si>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</si>
  <si>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</si>
  <si>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</si>
  <si>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</si>
  <si>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</si>
  <si>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</si>
  <si>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</si>
  <si>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</si>
  <si>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</si>
  <si>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</si>
  <si>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</si>
  <si>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</si>
  <si>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102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</si>
  <si>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</si>
  <si>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</si>
  <si>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</si>
  <si>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</si>
  <si>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</si>
  <si>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</si>
  <si>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</si>
  <si>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</si>
  <si>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</si>
  <si>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</si>
  <si>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</si>
  <si>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</si>
  <si>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</si>
  <si>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</si>
  <si>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</si>
  <si>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</si>
  <si>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</si>
  <si>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</si>
  <si>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</si>
  <si>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</si>
  <si>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</si>
  <si>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</si>
  <si>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</si>
  <si>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</si>
  <si>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</si>
  <si>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</si>
  <si>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</si>
  <si>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</si>
  <si>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</si>
  <si>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</si>
  <si>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</si>
  <si>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</si>
  <si>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</si>
  <si>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</si>
  <si>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</si>
  <si>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</si>
  <si>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</si>
  <si>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4 dias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</si>
  <si>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</si>
  <si>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</si>
  <si>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</si>
  <si>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</si>
  <si>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</si>
  <si>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</si>
  <si>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</si>
  <si>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</si>
  <si>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</si>
  <si>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</si>
  <si>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</si>
  <si>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</si>
  <si>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</si>
  <si>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</si>
  <si>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</si>
  <si>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</si>
  <si>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</si>
  <si>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</si>
  <si>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</si>
  <si>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</si>
  <si>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</si>
  <si>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</si>
  <si>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</si>
  <si>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</si>
  <si>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</si>
  <si>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</si>
  <si>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</si>
  <si>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</si>
  <si>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</si>
  <si>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</si>
  <si>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</si>
  <si>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</si>
  <si>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</si>
  <si>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</si>
  <si>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</si>
  <si>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</si>
  <si>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</si>
  <si>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</si>
  <si>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</si>
  <si>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</si>
  <si>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</si>
  <si>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</si>
  <si>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</si>
  <si>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</si>
  <si>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</si>
  <si>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</si>
  <si>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</si>
  <si>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</si>
  <si>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</si>
  <si>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</si>
  <si>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</si>
  <si>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</si>
  <si>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</si>
  <si>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</si>
  <si>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</si>
  <si>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</si>
  <si>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</si>
  <si>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</si>
  <si>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</si>
  <si>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</si>
  <si>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</si>
  <si>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</si>
  <si>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</si>
  <si>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</si>
  <si>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</si>
  <si>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</si>
  <si>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</si>
  <si>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</si>
  <si>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64 hrs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</si>
  <si>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</si>
  <si>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</si>
  <si>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</si>
  <si>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</si>
  <si>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</si>
  <si>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</si>
  <si>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</si>
  <si>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</si>
  <si>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</si>
  <si>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240 hrs</t>
  </si>
  <si>
    <t>ELÉTRICA</t>
  </si>
  <si>
    <t>1.2.9.3</t>
  </si>
  <si>
    <t>Elétrica</t>
  </si>
  <si>
    <t>rl-f0009-0305-mb-e-00001</t>
  </si>
  <si>
    <t>40 hrs</t>
  </si>
  <si>
    <t>1.2.9.3.1</t>
  </si>
  <si>
    <t>RL-F0009-0305-MB-E-00001</t>
  </si>
  <si>
    <t>427TI-1 dia</t>
  </si>
  <si>
    <t>418;457TI-1 dia</t>
  </si>
  <si>
    <t>1.2.9.3.2</t>
  </si>
  <si>
    <t>1.2.9.3.3</t>
  </si>
  <si>
    <t>420TT</t>
  </si>
  <si>
    <t>Seg 01/06/26</t>
  </si>
  <si>
    <t>1.2.9.3.4</t>
  </si>
  <si>
    <t>419TT</t>
  </si>
  <si>
    <t>1.2.9.5</t>
  </si>
  <si>
    <t>lr-f0009-0305-mb-e-00001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</si>
  <si>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</si>
  <si>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</si>
  <si>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</si>
  <si>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</si>
  <si>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</si>
  <si>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</si>
  <si>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</si>
  <si>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</si>
  <si>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</si>
  <si>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</si>
  <si>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</si>
  <si>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</si>
  <si>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</si>
  <si>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</si>
  <si>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</si>
  <si>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</si>
  <si>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</si>
  <si>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</si>
  <si>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1.2.9.9.4</t>
  </si>
  <si>
    <t>449TT</t>
  </si>
  <si>
    <t>1.2.9.10</t>
  </si>
  <si>
    <t>ag-f0009-0305-mb-e-00001</t>
  </si>
  <si>
    <t>Qua 24/06/26</t>
  </si>
  <si>
    <t>Nenhum Sprint</t>
  </si>
  <si>
    <t>1.2.9.10.1</t>
  </si>
  <si>
    <t>AG-F0009-0305-MB-E-00001</t>
  </si>
  <si>
    <t>412TI-1 dia</t>
  </si>
  <si>
    <t>1.2.9.10.2</t>
  </si>
  <si>
    <t>454;432TI-1 dia</t>
  </si>
  <si>
    <t>1.2.9.10.3</t>
  </si>
  <si>
    <t>455TT</t>
  </si>
  <si>
    <t>1.2.9.10.4</t>
  </si>
  <si>
    <t>454TT</t>
  </si>
  <si>
    <t>1.2.9.12</t>
  </si>
  <si>
    <t>ag-f0009-0305-mb-e-00002</t>
  </si>
  <si>
    <t>1.2.9.12.1</t>
  </si>
  <si>
    <t>AG-F0009-0305-MB-E-00002</t>
  </si>
  <si>
    <t>412TI+1 dia</t>
  </si>
  <si>
    <t>1.2.9.12.2</t>
  </si>
  <si>
    <t>1.2.9.12.3</t>
  </si>
  <si>
    <t>465TT</t>
  </si>
  <si>
    <t>1.2.9.12.4</t>
  </si>
  <si>
    <t>464TT</t>
  </si>
  <si>
    <t>1.2.10</t>
  </si>
  <si>
    <t>automação e instrumentação</t>
  </si>
  <si>
    <t>272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</si>
  <si>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</si>
  <si>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</si>
  <si>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</si>
  <si>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</si>
  <si>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</si>
  <si>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</si>
  <si>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</si>
  <si>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</si>
  <si>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</si>
  <si>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</si>
  <si>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</si>
  <si>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</si>
  <si>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</si>
  <si>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</si>
  <si>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</si>
  <si>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</si>
  <si>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</si>
  <si>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</si>
  <si>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</si>
  <si>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</si>
  <si>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</si>
  <si>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</si>
  <si>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489;563II</t>
  </si>
  <si>
    <t>1.2.10.4.2</t>
  </si>
  <si>
    <t>1.2.10.4.3</t>
  </si>
  <si>
    <t>Sex 19/06/26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</si>
  <si>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</si>
  <si>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</si>
  <si>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</si>
  <si>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</si>
  <si>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</si>
  <si>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</si>
  <si>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</si>
  <si>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</si>
  <si>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</si>
  <si>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</si>
  <si>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</si>
  <si>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</si>
  <si>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</si>
  <si>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</si>
  <si>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</si>
  <si>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</si>
  <si>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</si>
  <si>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</si>
  <si>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</si>
  <si>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80 hrs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</si>
  <si>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</si>
  <si>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</si>
  <si>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</si>
  <si>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</si>
  <si>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</si>
  <si>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</si>
  <si>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</si>
  <si>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</si>
  <si>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</si>
  <si>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</si>
  <si>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</si>
  <si>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</si>
  <si>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</si>
  <si>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</si>
  <si>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</si>
  <si>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</si>
  <si>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</si>
  <si>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</si>
  <si>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</si>
  <si>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</si>
  <si>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</si>
  <si>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</si>
  <si>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</si>
  <si>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</si>
  <si>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</si>
  <si>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</si>
  <si>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</si>
  <si>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</si>
  <si>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</si>
  <si>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</si>
  <si>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</si>
  <si>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</si>
  <si>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</si>
  <si>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</si>
  <si>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</si>
  <si>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</si>
  <si>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</si>
  <si>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</si>
  <si>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</si>
  <si>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</si>
  <si>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</si>
  <si>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</si>
  <si>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</si>
  <si>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</si>
  <si>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</si>
  <si>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</si>
  <si>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</si>
  <si>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</si>
  <si>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</si>
  <si>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</si>
  <si>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</si>
  <si>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</si>
  <si>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</si>
  <si>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</si>
  <si>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</si>
  <si>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</si>
  <si>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</si>
  <si>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</si>
  <si>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</si>
  <si>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</si>
  <si>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</si>
  <si>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</si>
  <si>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493II;488II</t>
  </si>
  <si>
    <t>1.2.10.19.2</t>
  </si>
  <si>
    <t>1.2.10.19.3</t>
  </si>
  <si>
    <t>1.2.10.19.4</t>
  </si>
  <si>
    <t>1.2.10.20</t>
  </si>
  <si>
    <t>fd-f0009-0305-mb-j-00001</t>
  </si>
  <si>
    <t>1.2.10.20.1</t>
  </si>
  <si>
    <t>FD-F0009-0305-MB-J-00001</t>
  </si>
  <si>
    <t>7 dias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</si>
  <si>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</si>
  <si>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</si>
  <si>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</si>
  <si>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</si>
  <si>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</si>
  <si>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</si>
  <si>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</si>
  <si>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</si>
  <si>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</si>
  <si>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</si>
  <si>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</si>
  <si>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</si>
  <si>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</si>
  <si>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</si>
  <si>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</si>
  <si>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</si>
  <si>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</si>
  <si>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</si>
  <si>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</si>
  <si>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</si>
  <si>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</si>
  <si>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</si>
  <si>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</si>
  <si>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</si>
  <si>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</si>
  <si>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</si>
  <si>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</si>
  <si>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</si>
  <si>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</si>
  <si>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</si>
  <si>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</si>
  <si>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</si>
  <si>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</si>
  <si>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</si>
  <si>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</si>
  <si>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</si>
  <si>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</si>
  <si>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</si>
  <si>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</si>
  <si>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</si>
  <si>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</si>
  <si>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</si>
  <si>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</si>
  <si>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</si>
  <si>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</si>
  <si>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</si>
  <si>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</si>
  <si>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</si>
  <si>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</si>
  <si>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</si>
  <si>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</si>
  <si>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</si>
  <si>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</si>
  <si>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</si>
  <si>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</si>
  <si>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</si>
  <si>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</si>
  <si>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</si>
  <si>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</si>
  <si>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</si>
  <si>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</si>
  <si>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</si>
  <si>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</si>
  <si>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</si>
  <si>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</si>
  <si>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</si>
  <si>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</si>
  <si>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</si>
  <si>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</si>
  <si>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</si>
  <si>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</si>
  <si>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</si>
  <si>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</si>
  <si>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</si>
  <si>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</si>
  <si>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</si>
  <si>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</si>
  <si>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</si>
  <si>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</si>
  <si>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</si>
  <si>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</si>
  <si>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</si>
  <si>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</si>
  <si>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</si>
  <si>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</si>
  <si>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</si>
  <si>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</si>
  <si>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</si>
  <si>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</si>
  <si>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</si>
  <si>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</si>
  <si>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</si>
  <si>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</si>
  <si>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</si>
  <si>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</si>
  <si>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</si>
  <si>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</si>
  <si>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</si>
  <si>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</si>
  <si>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</si>
  <si>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</si>
  <si>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</si>
  <si>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</si>
  <si>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</si>
  <si>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</si>
  <si>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</si>
  <si>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</si>
  <si>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</si>
  <si>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</si>
  <si>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</si>
  <si>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</si>
  <si>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</si>
  <si>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</si>
  <si>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</si>
  <si>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</si>
  <si>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</si>
  <si>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</si>
  <si>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</si>
  <si>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</si>
  <si>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</si>
  <si>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</si>
  <si>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</si>
  <si>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</si>
  <si>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</si>
  <si>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</si>
  <si>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</si>
  <si>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</si>
  <si>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</si>
  <si>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</si>
  <si>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</si>
  <si>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</si>
  <si>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</si>
  <si>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</si>
  <si>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</si>
  <si>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</si>
  <si>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</si>
  <si>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</si>
  <si>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</si>
  <si>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</si>
  <si>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</si>
  <si>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</si>
  <si>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</si>
  <si>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</si>
  <si>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</si>
  <si>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</si>
  <si>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</si>
  <si>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</si>
  <si>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78,8 hrs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</si>
  <si>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</si>
  <si>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</si>
  <si>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</si>
  <si>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</si>
  <si>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</si>
  <si>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</si>
  <si>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</si>
  <si>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</si>
  <si>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</si>
  <si>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</si>
  <si>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</si>
  <si>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</si>
  <si>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</si>
  <si>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</si>
  <si>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</si>
  <si>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</si>
  <si>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</si>
  <si>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</si>
  <si>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</si>
  <si>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</si>
  <si>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</si>
  <si>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</si>
  <si>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</si>
  <si>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</si>
  <si>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</si>
  <si>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</si>
  <si>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</si>
  <si>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</si>
  <si>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</si>
  <si>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</si>
  <si>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</si>
  <si>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</si>
  <si>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</si>
  <si>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</si>
  <si>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</si>
  <si>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</si>
  <si>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</si>
  <si>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</si>
  <si>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</si>
  <si>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</si>
  <si>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</si>
  <si>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</si>
  <si>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</si>
  <si>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</si>
  <si>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</si>
  <si>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</si>
  <si>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</si>
  <si>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</si>
  <si>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</si>
  <si>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</si>
  <si>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</si>
  <si>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</si>
  <si>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</si>
  <si>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</si>
  <si>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</si>
  <si>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</si>
  <si>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</si>
  <si>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</si>
  <si>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</si>
  <si>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</si>
  <si>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</si>
  <si>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</si>
  <si>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</si>
  <si>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</si>
  <si>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</si>
  <si>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</si>
  <si>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</si>
  <si>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</si>
  <si>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</si>
  <si>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</si>
  <si>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</si>
  <si>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</si>
  <si>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</si>
  <si>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</si>
  <si>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</si>
  <si>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</si>
  <si>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</si>
  <si>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</si>
  <si>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</si>
  <si>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</si>
  <si>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</si>
  <si>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</si>
  <si>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</si>
  <si>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</si>
  <si>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</si>
  <si>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</si>
  <si>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</si>
  <si>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</si>
  <si>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</si>
  <si>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</si>
  <si>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</si>
  <si>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</si>
  <si>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</si>
  <si>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</si>
  <si>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</si>
  <si>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</si>
  <si>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</si>
  <si>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</si>
  <si>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1.2.9.11</t>
  </si>
  <si>
    <t>du-f0009-0305-mb-e-00001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</si>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</sst>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7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9-4A3E-867A-FFCF745B5864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37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9-4A3E-867A-FFCF745B5864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0.88095238095238093</c:v>
                </c:pt>
                <c:pt idx="1">
                  <c:v>0</c:v>
                </c:pt>
                <c:pt idx="2">
                  <c:v>0.33333333333333331</c:v>
                </c:pt>
                <c:pt idx="3">
                  <c:v>0.8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0.64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E9-4A3E-867A-FFCF745B5864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E9-4A3E-867A-FFCF745B5864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E9-4A3E-867A-FFCF745B5864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E9-4A3E-867A-FFCF745B5864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E9-4A3E-867A-FFCF745B5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D5F-4592-8305-97BF8B48729C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D5F-4592-8305-97BF8B48729C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D5F-4592-8305-97BF8B48729C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AD5F-4592-8305-97BF8B48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03/07/2026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5-4CE9-BE5B-7189B33CD2DB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5-4CE9-BE5B-7189B33CD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33</c:v>
                </c:pt>
                <c:pt idx="82">
                  <c:v>33</c:v>
                </c:pt>
                <c:pt idx="83">
                  <c:v>37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48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50</c:v>
                </c:pt>
                <c:pt idx="102">
                  <c:v>53</c:v>
                </c:pt>
                <c:pt idx="103">
                  <c:v>82</c:v>
                </c:pt>
                <c:pt idx="104">
                  <c:v>104</c:v>
                </c:pt>
                <c:pt idx="105">
                  <c:v>104</c:v>
                </c:pt>
                <c:pt idx="106">
                  <c:v>104</c:v>
                </c:pt>
                <c:pt idx="107">
                  <c:v>104</c:v>
                </c:pt>
                <c:pt idx="108">
                  <c:v>104</c:v>
                </c:pt>
                <c:pt idx="109">
                  <c:v>104</c:v>
                </c:pt>
                <c:pt idx="110">
                  <c:v>107</c:v>
                </c:pt>
                <c:pt idx="111">
                  <c:v>107</c:v>
                </c:pt>
                <c:pt idx="112">
                  <c:v>107</c:v>
                </c:pt>
                <c:pt idx="113">
                  <c:v>107</c:v>
                </c:pt>
                <c:pt idx="114">
                  <c:v>107</c:v>
                </c:pt>
                <c:pt idx="115">
                  <c:v>107</c:v>
                </c:pt>
                <c:pt idx="116">
                  <c:v>107</c:v>
                </c:pt>
                <c:pt idx="117">
                  <c:v>107</c:v>
                </c:pt>
                <c:pt idx="118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5-4CE9-BE5B-7189B33CD2D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5-4CE9-BE5B-7189B33CD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03/07/2026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F-4B51-9621-97E06458D85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F-4B51-9621-97E06458D858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S'!$F$2:$F$120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29</c:v>
                </c:pt>
                <c:pt idx="110">
                  <c:v>22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F-4B51-9621-97E06458D858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S'!$G$2:$G$120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1F-4B51-9621-97E06458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33</c:v>
                </c:pt>
                <c:pt idx="82">
                  <c:v>33</c:v>
                </c:pt>
                <c:pt idx="83">
                  <c:v>37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48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50</c:v>
                </c:pt>
                <c:pt idx="102">
                  <c:v>53</c:v>
                </c:pt>
                <c:pt idx="103">
                  <c:v>82</c:v>
                </c:pt>
                <c:pt idx="104">
                  <c:v>104</c:v>
                </c:pt>
                <c:pt idx="105">
                  <c:v>104</c:v>
                </c:pt>
                <c:pt idx="106">
                  <c:v>104</c:v>
                </c:pt>
                <c:pt idx="107">
                  <c:v>104</c:v>
                </c:pt>
                <c:pt idx="108">
                  <c:v>104</c:v>
                </c:pt>
                <c:pt idx="109">
                  <c:v>104</c:v>
                </c:pt>
                <c:pt idx="110">
                  <c:v>107</c:v>
                </c:pt>
                <c:pt idx="111">
                  <c:v>107</c:v>
                </c:pt>
                <c:pt idx="112">
                  <c:v>107</c:v>
                </c:pt>
                <c:pt idx="113">
                  <c:v>107</c:v>
                </c:pt>
                <c:pt idx="114">
                  <c:v>107</c:v>
                </c:pt>
                <c:pt idx="115">
                  <c:v>107</c:v>
                </c:pt>
                <c:pt idx="116">
                  <c:v>107</c:v>
                </c:pt>
                <c:pt idx="117">
                  <c:v>107</c:v>
                </c:pt>
                <c:pt idx="118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1F-4B51-9621-97E06458D85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F-4B51-9621-97E06458D858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S'!$H$2:$H$120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32</c:v>
                </c:pt>
                <c:pt idx="88">
                  <c:v>33</c:v>
                </c:pt>
                <c:pt idx="89">
                  <c:v>37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42</c:v>
                </c:pt>
                <c:pt idx="95">
                  <c:v>43</c:v>
                </c:pt>
                <c:pt idx="96">
                  <c:v>43</c:v>
                </c:pt>
                <c:pt idx="97">
                  <c:v>45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48</c:v>
                </c:pt>
                <c:pt idx="104">
                  <c:v>49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53</c:v>
                </c:pt>
                <c:pt idx="109">
                  <c:v>82</c:v>
                </c:pt>
                <c:pt idx="110">
                  <c:v>104</c:v>
                </c:pt>
                <c:pt idx="111">
                  <c:v>104</c:v>
                </c:pt>
                <c:pt idx="112">
                  <c:v>104</c:v>
                </c:pt>
                <c:pt idx="113">
                  <c:v>104</c:v>
                </c:pt>
                <c:pt idx="114">
                  <c:v>104</c:v>
                </c:pt>
                <c:pt idx="115">
                  <c:v>104</c:v>
                </c:pt>
                <c:pt idx="116">
                  <c:v>104</c:v>
                </c:pt>
                <c:pt idx="117">
                  <c:v>104</c:v>
                </c:pt>
                <c:pt idx="118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1F-4B51-9621-97E06458D858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S'!$I$2:$I$120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1F-4B51-9621-97E06458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4481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26F1C6E-E293-41EC-BE90-E80AF86E5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2031B11B-F4CA-461B-A932-8822DB082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531896</xdr:colOff>
      <xdr:row>30</xdr:row>
      <xdr:rowOff>171383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205AAD-40D7-4E2C-AD62-20502A0CD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29</xdr:col>
      <xdr:colOff>427699</xdr:colOff>
      <xdr:row>62</xdr:row>
      <xdr:rowOff>159345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611101-93B5-4E79-9047-42CC34502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F8AD5-DBE6-4883-A1B0-C13B933356D9}" name="Tabela1" displayName="Tabela1" ref="A1:AG576" totalsRowShown="0" headerRowDxfId="175" dataDxfId="174">
  <autoFilter ref="A1:AG576" xr:uid="{AA9F8AD5-DBE6-4883-A1B0-C13B933356D9}"/>
  <tableColumns count="33">
    <tableColumn id="1" xr3:uid="{1C282268-A07F-424B-A45E-C0A3258967E9}" name="Id" dataDxfId="173"/>
    <tableColumn id="2" xr3:uid="{03B3842F-8C63-448A-9BFD-DF5C1985E11C}" name="EDT" dataDxfId="172"/>
    <tableColumn id="3" xr3:uid="{88BBC640-9BC6-4C96-9E87-06100B4798D4}" name="Nome do Resumo da Tarefa" dataDxfId="171"/>
    <tableColumn id="4" xr3:uid="{2A750F32-0091-4FA9-B95E-62C984302FA4}" name="Nome da Tarefa" dataDxfId="170"/>
    <tableColumn id="5" xr3:uid="{C20C0C2F-83FA-44B3-A069-82BF6DBCF416}" name="Duração" dataDxfId="169"/>
    <tableColumn id="6" xr3:uid="{B70A9B24-DC5F-4A1A-9DF2-940BB2D29452}" name="Início" dataDxfId="168"/>
    <tableColumn id="7" xr3:uid="{36D1A921-3A68-45B7-A5D1-E35CF746F42E}" name="Término" dataDxfId="167"/>
    <tableColumn id="8" xr3:uid="{B1E13D56-163E-4D1B-8484-2C0410C0BC02}" name="% concluída" dataDxfId="166" dataCellStyle="Porcentagem"/>
    <tableColumn id="9" xr3:uid="{90C96E40-65B1-414C-A88A-C4BC608781A9}" name="Término real" dataDxfId="165"/>
    <tableColumn id="10" xr3:uid="{416A216F-0AC8-40EE-8571-36774229E44A}" name="Predecessoras" dataDxfId="164"/>
    <tableColumn id="11" xr3:uid="{8D5DE6EC-BC98-4999-B0B7-3D04D1CC419F}" name="Sucessoras" dataDxfId="163"/>
    <tableColumn id="12" xr3:uid="{C67D0D3C-FA00-4E4D-A3B8-967A5BE8EA82}" name="Status" dataDxfId="162"/>
    <tableColumn id="13" xr3:uid="{E2365B7B-74DA-4BA8-A577-8DCA3221FAAB}" name="Início da Linha de Base" dataDxfId="161"/>
    <tableColumn id="14" xr3:uid="{CB7F6097-592F-4637-9C5A-77E334236E31}" name="Término da linha de base" dataDxfId="160"/>
    <tableColumn id="15" xr3:uid="{F78C0314-FF38-4FEC-8067-76A0CFCA0C21}" name="Nomes dos recursos" dataDxfId="159"/>
    <tableColumn id="16" xr3:uid="{2959F7B4-EFAE-4D59-BFD2-6792E5CFC570}" name="Disciplina" dataDxfId="158"/>
    <tableColumn id="17" xr3:uid="{C7E0E9D8-191F-41AB-B61D-DDDE500A30DA}" name="Sprint" dataDxfId="157"/>
    <tableColumn id="18" xr3:uid="{B16D5E0E-818C-4EA6-80CC-7E6D1200C725}" name="Crítica" dataDxfId="156"/>
    <tableColumn id="19" xr3:uid="{D34B895D-D0BB-4DE0-A776-A183A67F140A}" name="Início_LB_R0" dataDxfId="155"/>
    <tableColumn id="20" xr3:uid="{1BB1EA0F-91D3-4BFD-A246-FF5ECAC38978}" name="Término_LB_R0" dataDxfId="154"/>
    <tableColumn id="21" xr3:uid="{07E077FB-3853-426D-B42C-94C7E024CD40}" name="Comparação" dataDxfId="153"/>
    <tableColumn id="22" xr3:uid="{BBFDA0A0-B218-49C3-B5F7-7CBF8961E60F}" name="pct_val" dataDxfId="152"/>
    <tableColumn id="23" xr3:uid="{F5EACBBB-F3B2-4BF5-B740-D6FB9C12F752}" name="Emissão inicial total" dataDxfId="151"/>
    <tableColumn id="24" xr3:uid="{CF63DD7E-270B-41A4-B819-BA63D5219D08}" name="Emissão inicial concluída" dataDxfId="150"/>
    <tableColumn id="25" xr3:uid="{52C1E2C6-17F9-4FD1-AE76-5AA0A8B65DDB}" name="Emissão Inicial Atrasada" dataDxfId="149"/>
    <tableColumn id="26" xr3:uid="{68385996-56BD-4F2D-8F7D-66BD506AA78F}" name="Aprovação total" dataDxfId="148"/>
    <tableColumn id="27" xr3:uid="{C6DC8E7F-843C-4AFD-8C7C-34131CFF09A2}" name="Avaliação do cliente concluída" dataDxfId="147"/>
    <tableColumn id="28" xr3:uid="{8865298F-4471-4D1B-A613-4F043EFF38F5}" name="Avaliação Cliente Atrasada" dataDxfId="146"/>
    <tableColumn id="29" xr3:uid="{051E67A3-179E-4054-8FEA-854E5A40CE38}" name="Atendimento de comentário concluído" dataDxfId="145"/>
    <tableColumn id="30" xr3:uid="{222A78DD-2C99-4F17-B34B-F1074B3A8282}" name="Atendimento Atrasado" dataDxfId="144"/>
    <tableColumn id="31" xr3:uid="{1A677C8A-33C7-42BC-833E-CA7D8FA9E724}" name="Aprovação concluída" dataDxfId="143"/>
    <tableColumn id="32" xr3:uid="{88D2E4D5-40FC-45B5-ACC4-CFE6A257CEB9}" name="Aprovação Atrasada" dataDxfId="142"/>
    <tableColumn id="33" xr3:uid="{EE76089C-F9DB-41B1-B1DF-0DD57F22DC4F}" name="Aderência" dataDxfId="1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F4E9D0-4D07-43AC-874B-4419360BF0FC}" name="Tabela2" displayName="Tabela2" ref="A3:H16" totalsRowCount="1" headerRowDxfId="140" dataDxfId="139">
  <autoFilter ref="A3:H15" xr:uid="{39F4E9D0-4D07-43AC-874B-4419360BF0FC}"/>
  <tableColumns count="8">
    <tableColumn id="1" xr3:uid="{AA0347E0-0379-4484-87F3-DF5D89A7FF6F}" name="Disciplina" totalsRowLabel="TOTAL" dataDxfId="138" totalsRowDxfId="137"/>
    <tableColumn id="2" xr3:uid="{8597908F-CF20-4071-A58C-045B45DFF28F}" name="Emissão inicial total" totalsRowFunction="sum" dataDxfId="136" totalsRowDxfId="135"/>
    <tableColumn id="3" xr3:uid="{29831856-DC3E-4807-A227-CA6C0BC1AD2B}" name="Emissão inicial concluída" totalsRowFunction="sum" dataDxfId="134" totalsRowDxfId="133"/>
    <tableColumn id="4" xr3:uid="{C63F83EA-4FC6-4BF1-8D56-463C0E85FAE1}" name="%EI" dataDxfId="132" totalsRowDxfId="131"/>
    <tableColumn id="5" xr3:uid="{101995F8-E533-497C-81F4-4D5ECD67A65F}" name="Avaliação do cliente concluída" totalsRowFunction="sum" dataDxfId="130" totalsRowDxfId="129"/>
    <tableColumn id="6" xr3:uid="{1780EEE8-962E-4BD6-9A42-83E453EF97D2}" name="Atendimento de comentário concluído" totalsRowFunction="sum" dataDxfId="128" totalsRowDxfId="127"/>
    <tableColumn id="7" xr3:uid="{B80E4A99-732E-40A8-A6D3-0D4AE47E5B5E}" name="Aprovação concluída" totalsRowFunction="sum" dataDxfId="126" totalsRowDxfId="125"/>
    <tableColumn id="8" xr3:uid="{86103747-ED78-42CF-9476-8CD4D14F5EAB}" name="%AP" dataDxfId="124" totalsRowDxfId="1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F3DEBE-38AC-47BB-ADB4-07B8BB447FD6}" name="Tabela3" displayName="Tabela3" ref="A21:E34" totalsRowCount="1" headerRowDxfId="122" dataDxfId="121">
  <autoFilter ref="A21:E33" xr:uid="{2CF3DEBE-38AC-47BB-ADB4-07B8BB447FD6}"/>
  <tableColumns count="5">
    <tableColumn id="1" xr3:uid="{5F67BE35-E336-4006-B334-54C7D5884368}" name="Disciplina" totalsRowLabel="TOTAL" dataDxfId="120" totalsRowDxfId="119"/>
    <tableColumn id="2" xr3:uid="{84F7FD8B-C988-4561-BD44-3285F9AB0038}" name="Emissão Inicial Atrasada" totalsRowFunction="sum" dataDxfId="118" totalsRowDxfId="117"/>
    <tableColumn id="3" xr3:uid="{47F00310-CA0F-4031-87EC-DB47BE16F018}" name="Avaliação Cliente Atrasada" totalsRowFunction="sum" dataDxfId="116" totalsRowDxfId="115"/>
    <tableColumn id="4" xr3:uid="{28DB27ED-93A9-40F7-927E-037A8E41231D}" name="Atendimento Atrasado" totalsRowFunction="sum" dataDxfId="114" totalsRowDxfId="113"/>
    <tableColumn id="5" xr3:uid="{6881610D-80AC-4BA5-96DC-CE18A5CFE897}" name="Aprovação Atrasada" totalsRowFunction="sum" dataDxfId="112" totalsRowDxfId="1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18C9BE-6252-4B8A-99EC-C422307523AB}" name="Tabela4" displayName="Tabela4" ref="A1:O120" totalsRowShown="0" headerRowDxfId="110" dataDxfId="109">
  <autoFilter ref="A1:O120" xr:uid="{3818C9BE-6252-4B8A-99EC-C422307523AB}"/>
  <tableColumns count="15">
    <tableColumn id="1" xr3:uid="{E1296DCB-D575-4C6C-9480-D83D5206D7A7}" name="Data" dataDxfId="108"/>
    <tableColumn id="2" xr3:uid="{470B6A7F-48D0-459A-B31C-A768C9DCCC73}" name="Emissão prevista na LB" dataDxfId="107"/>
    <tableColumn id="3" xr3:uid="{9BF57716-40D1-44EA-BEE0-8551357AFB77}" name="Emissão prevista na LB acumulada" dataDxfId="106"/>
    <tableColumn id="4" xr3:uid="{BF4FD5E5-F9F8-4A40-97EB-F39ABDF0CB1A}" name="Emissão realizada por dia" dataDxfId="105"/>
    <tableColumn id="5" xr3:uid="{B6B0D779-DF8E-4648-90FA-572DD3775CAC}" name="Emissão realizada acumulada" dataDxfId="104"/>
    <tableColumn id="6" xr3:uid="{57FE5F16-E9E8-4E35-A9CB-4673E529D177}" name="Aprovação prevista na LB" dataDxfId="103"/>
    <tableColumn id="7" xr3:uid="{62353B24-924D-4887-A54C-32F0321C5735}" name="Aprovação realizada por dia" dataDxfId="102"/>
    <tableColumn id="8" xr3:uid="{23582829-6DFC-4500-AC36-01AB069B748F}" name="Aprovação prevista na LB acumulada" dataDxfId="101"/>
    <tableColumn id="9" xr3:uid="{E26A9BC6-B6F9-4CE1-989B-73DAAA12FF46}" name="Aprovação realizada acumulada" dataDxfId="100"/>
    <tableColumn id="10" xr3:uid="{471E5A25-5FAB-4134-A78D-8266C4865E72}" name="Avanço da EI previsto na LB" dataDxfId="99" dataCellStyle="Porcentagem"/>
    <tableColumn id="11" xr3:uid="{04F8C72B-3CF8-4B2A-99EE-F591B13E9995}" name="Avanço real da EI na LB" dataDxfId="98" dataCellStyle="Porcentagem"/>
    <tableColumn id="12" xr3:uid="{E501CE22-B61A-4AEB-92EE-F883F0EED083}" name="COMP_EI" dataDxfId="97"/>
    <tableColumn id="13" xr3:uid="{1C98F1F9-52C5-40BA-AEFD-5AAA1F0C526E}" name="Avanço da AP previsto na LB" dataDxfId="96" dataCellStyle="Porcentagem"/>
    <tableColumn id="14" xr3:uid="{B84F4D22-80DD-418C-AC27-CA82FA86532C}" name="Avanço da AP real na LB" dataDxfId="95" dataCellStyle="Porcentagem"/>
    <tableColumn id="15" xr3:uid="{E1AB4D65-A027-4CF5-82B2-5F454A9E65E9}" name="COMP_AP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60E921-416E-4A0A-A0FA-A012F36D7E37}" name="Tabela5" displayName="Tabela5" ref="A1:AG93" totalsRowShown="0" headerRowDxfId="93" dataDxfId="92">
  <autoFilter ref="A1:AG93" xr:uid="{AB60E921-416E-4A0A-A0FA-A012F36D7E37}">
    <filterColumn colId="3">
      <filters>
        <filter val="emissão inicial"/>
      </filters>
    </filterColumn>
  </autoFilter>
  <tableColumns count="33">
    <tableColumn id="1" xr3:uid="{C4A0DD8D-A547-4E38-8F34-FC5AF1EC269E}" name="Id" dataDxfId="91"/>
    <tableColumn id="2" xr3:uid="{D9B799AB-DC95-4338-B000-FC87C79A54EE}" name="EDT" dataDxfId="90"/>
    <tableColumn id="3" xr3:uid="{E605ACD2-DD8F-4982-8196-C18D546A48EE}" name="Nome do Resumo da Tarefa" dataDxfId="89"/>
    <tableColumn id="4" xr3:uid="{2BC7C98C-C541-4B66-ACB6-ABFE97900BAD}" name="Nome da Tarefa" dataDxfId="88"/>
    <tableColumn id="5" xr3:uid="{A0D43C3B-C71A-49CE-B694-919F3CA76CFB}" name="Duração" dataDxfId="87"/>
    <tableColumn id="6" xr3:uid="{FF4CD400-3330-4FE4-A25A-BE7B0BB82718}" name="Início" dataDxfId="86"/>
    <tableColumn id="7" xr3:uid="{12A8FF61-C53E-4B55-B08B-E170A8501C78}" name="Término" dataDxfId="85"/>
    <tableColumn id="8" xr3:uid="{DB2E7DD2-2906-414D-A672-51577BBEA214}" name="% concluída" dataDxfId="84" dataCellStyle="Porcentagem"/>
    <tableColumn id="9" xr3:uid="{52770A4C-A71A-4461-8ED6-7945DD4E4415}" name="Término real" dataDxfId="83"/>
    <tableColumn id="10" xr3:uid="{19781D6B-35AA-41F0-8AE5-FE6595F7501B}" name="Predecessoras" dataDxfId="82"/>
    <tableColumn id="11" xr3:uid="{DE1E206B-8A63-49E7-9A87-2A54FE1D4C47}" name="Sucessoras" dataDxfId="81"/>
    <tableColumn id="12" xr3:uid="{3CCA23DF-81C8-4C38-857D-1C7A28C12F94}" name="Status" dataDxfId="80"/>
    <tableColumn id="13" xr3:uid="{3E9439D4-F443-40CA-B5C0-FD4B88661ACB}" name="Início da Linha de Base" dataDxfId="79"/>
    <tableColumn id="14" xr3:uid="{20C539D8-E0AB-42FF-AD84-3774036370ED}" name="Término da linha de base" dataDxfId="78"/>
    <tableColumn id="15" xr3:uid="{DDB6E136-D9EA-4C17-8FE9-E874C78C1C7F}" name="Nomes dos recursos" dataDxfId="77"/>
    <tableColumn id="16" xr3:uid="{E07BD8A3-5A2D-4286-BF35-65C965D35157}" name="Disciplina" dataDxfId="76"/>
    <tableColumn id="17" xr3:uid="{E30CD826-4AE4-4B78-9527-80FFDD364E16}" name="Sprint" dataDxfId="75"/>
    <tableColumn id="18" xr3:uid="{289C33B8-3097-4EE9-AF74-D83FCB503F3D}" name="Crítica" dataDxfId="74"/>
    <tableColumn id="19" xr3:uid="{6D135213-1DBF-4799-8ACA-4B5D01A2384E}" name="Início_LB_R0" dataDxfId="73"/>
    <tableColumn id="20" xr3:uid="{8EA67B08-C644-4664-92F8-23EA4792DF49}" name="Término_LB_R0" dataDxfId="72"/>
    <tableColumn id="21" xr3:uid="{A0984A00-F8CE-4C04-90BD-6867EBB75390}" name="Comparação" dataDxfId="71"/>
    <tableColumn id="22" xr3:uid="{97746313-DFFB-4510-9306-B9B87F4EC36F}" name="pct_val" dataDxfId="70"/>
    <tableColumn id="23" xr3:uid="{5522DFD0-EBDF-450E-B88B-EBC06D531462}" name="Emissão inicial total" dataDxfId="69"/>
    <tableColumn id="24" xr3:uid="{6B06CEA8-1AC0-48F3-9C7C-EF104C174B03}" name="Emissão inicial concluída" dataDxfId="68"/>
    <tableColumn id="25" xr3:uid="{B14AD275-8FBD-441E-B713-850A39263A32}" name="Emissão Inicial Atrasada" dataDxfId="67"/>
    <tableColumn id="26" xr3:uid="{85CBE720-E918-401A-9277-C298DD69D9CD}" name="Aprovação total" dataDxfId="66"/>
    <tableColumn id="27" xr3:uid="{B1909ED1-8157-40AA-AFCC-5A2D0B7D4375}" name="Avaliação do cliente concluída" dataDxfId="65"/>
    <tableColumn id="28" xr3:uid="{23BDD5FE-958D-4EFA-B9B2-455E20C57D0B}" name="Avaliação Cliente Atrasada" dataDxfId="64"/>
    <tableColumn id="29" xr3:uid="{C875AD13-AFE2-48B6-A6D7-591607C9C184}" name="Atendimento de comentário concluído" dataDxfId="63"/>
    <tableColumn id="30" xr3:uid="{39CFCB37-52DD-4BFD-B998-274C4452C3CC}" name="Atendimento Atrasado" dataDxfId="62"/>
    <tableColumn id="31" xr3:uid="{AF7A5710-E1F9-4B10-B036-398E30B442F8}" name="Aprovação concluída" dataDxfId="61"/>
    <tableColumn id="32" xr3:uid="{C3A03214-EAF9-4AFF-B2B3-BA99C27B5161}" name="Aprovação Atrasada" dataDxfId="60"/>
    <tableColumn id="33" xr3:uid="{A0D55F0E-E2AF-41AD-A948-AD5C2E8AFB98}" name="Aderência" dataDxfId="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407D0C-42FD-4F3F-8B41-CD05F5989C3A}" name="Tabela6" displayName="Tabela6" ref="A1:AG190" totalsRowShown="0" headerRowDxfId="58" dataDxfId="57">
  <autoFilter ref="A1:AG190" xr:uid="{6B407D0C-42FD-4F3F-8B41-CD05F5989C3A}">
    <filterColumn colId="3">
      <filters>
        <filter val="emissão inicial"/>
      </filters>
    </filterColumn>
  </autoFilter>
  <tableColumns count="33">
    <tableColumn id="1" xr3:uid="{4D7AEDE0-3C78-4DFA-9E5D-655FE5FA2CC1}" name="Id" dataDxfId="56"/>
    <tableColumn id="2" xr3:uid="{C107EEEA-C38F-4408-BBFB-8F721D1F5D28}" name="EDT" dataDxfId="55"/>
    <tableColumn id="3" xr3:uid="{E371DC30-E44F-444F-907B-181F62283C67}" name="Nome do Resumo da Tarefa" dataDxfId="54"/>
    <tableColumn id="4" xr3:uid="{FD95EA10-8788-48B6-BD24-85F4D87831ED}" name="Nome da Tarefa" dataDxfId="53"/>
    <tableColumn id="5" xr3:uid="{ABDA744C-918B-4821-B23F-F686C2C37FD8}" name="Duração" dataDxfId="52"/>
    <tableColumn id="6" xr3:uid="{BB98A944-711D-4E3A-8043-4EE9AB01EE59}" name="Início" dataDxfId="51"/>
    <tableColumn id="7" xr3:uid="{8884C672-89E2-4B93-9B43-F55E0DDF5B18}" name="Término" dataDxfId="50"/>
    <tableColumn id="8" xr3:uid="{FAFF870B-2043-4A72-8C8B-4488A3D1B52D}" name="% concluída" dataDxfId="49" dataCellStyle="Porcentagem"/>
    <tableColumn id="9" xr3:uid="{CA883E15-418E-4133-AC67-9A483CE03458}" name="Término real" dataDxfId="48"/>
    <tableColumn id="10" xr3:uid="{36A134D4-9BC4-4569-B5BC-088DAA12CE39}" name="Predecessoras" dataDxfId="47"/>
    <tableColumn id="11" xr3:uid="{66D7C22D-A266-4DF2-B4DA-E46B7E2C84CE}" name="Sucessoras" dataDxfId="46"/>
    <tableColumn id="12" xr3:uid="{41B90465-E250-472C-A250-6DB3873D5BD2}" name="Status" dataDxfId="45"/>
    <tableColumn id="13" xr3:uid="{82A026CD-16F6-4251-9DFE-08E58484003F}" name="Início da Linha de Base" dataDxfId="44"/>
    <tableColumn id="14" xr3:uid="{BC717D33-4279-4196-92A9-0D352229AE3A}" name="Término da linha de base" dataDxfId="43"/>
    <tableColumn id="15" xr3:uid="{FAE277DE-81B1-47BE-BC20-58A8BAC17124}" name="Nomes dos recursos" dataDxfId="42"/>
    <tableColumn id="16" xr3:uid="{8E9EB2AE-CDF4-4AB7-AE6A-EA201119DE5C}" name="Disciplina" dataDxfId="41"/>
    <tableColumn id="17" xr3:uid="{3BBDF7FC-662D-4370-9C05-E540A6EB3C78}" name="Sprint" dataDxfId="40"/>
    <tableColumn id="18" xr3:uid="{16CE5682-03D2-4F3E-B127-D18022902833}" name="Crítica" dataDxfId="39"/>
    <tableColumn id="19" xr3:uid="{8CAB7EDC-FBC7-4C5F-B4F6-9E0F5C58576D}" name="Início_LB_R0" dataDxfId="38"/>
    <tableColumn id="20" xr3:uid="{20CD07BD-4DCF-425B-ABD0-D69FAFA03822}" name="Término_LB_R0" dataDxfId="37"/>
    <tableColumn id="21" xr3:uid="{A290EA05-5F6D-4018-8513-613E095067F1}" name="Comparação" dataDxfId="36"/>
    <tableColumn id="22" xr3:uid="{72E0681D-B098-414B-9C8A-24AA11ABF2A9}" name="pct_val" dataDxfId="35"/>
    <tableColumn id="23" xr3:uid="{685C750C-9335-49B5-917F-B7C0759CF4C1}" name="Emissão inicial total" dataDxfId="34"/>
    <tableColumn id="24" xr3:uid="{4F7AAEBE-519F-49CE-83D5-67C4290D222C}" name="Emissão inicial concluída" dataDxfId="33"/>
    <tableColumn id="25" xr3:uid="{678D9813-4B1D-4CF9-992E-4E122D82CA71}" name="Emissão Inicial Atrasada" dataDxfId="32"/>
    <tableColumn id="26" xr3:uid="{B56A7044-B0DB-4C28-AC83-6327C945C7FD}" name="Aprovação total" dataDxfId="31"/>
    <tableColumn id="27" xr3:uid="{397973CC-29E2-456C-A893-C895DFD4424A}" name="Avaliação do cliente concluída" dataDxfId="30"/>
    <tableColumn id="28" xr3:uid="{804A283B-7442-4DD5-B684-EA8FB0A85C30}" name="Avaliação Cliente Atrasada" dataDxfId="29"/>
    <tableColumn id="29" xr3:uid="{18965D47-420C-4D5A-9222-4881298ACD0F}" name="Atendimento de comentário concluído" dataDxfId="28"/>
    <tableColumn id="30" xr3:uid="{DC0BD5A0-C857-476E-8B5C-43052AFEA5CF}" name="Atendimento Atrasado" dataDxfId="27"/>
    <tableColumn id="31" xr3:uid="{8AE14D83-DDA0-41C8-B9EB-38A2566A6C4E}" name="Aprovação concluída" dataDxfId="26"/>
    <tableColumn id="32" xr3:uid="{195D0F88-A861-43A9-8A08-D426329271A2}" name="Aprovação Atrasada" dataDxfId="25"/>
    <tableColumn id="33" xr3:uid="{B22CD01B-5BF5-4AD6-AEA2-FEB931A0E76B}" name="Aderência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60FC44-6269-4BFE-9F34-9AADD6B3EA22}" name="Tabela7" displayName="Tabela7" ref="A1:J240" totalsRowShown="0" headerRowDxfId="23" dataDxfId="22">
  <autoFilter ref="A1:J240" xr:uid="{2360FC44-6269-4BFE-9F34-9AADD6B3EA22}">
    <filterColumn colId="4">
      <filters>
        <filter val="emissão inicial"/>
      </filters>
    </filterColumn>
  </autoFilter>
  <tableColumns count="10">
    <tableColumn id="1" xr3:uid="{E14C6C0C-255D-4D36-A6B7-37F54C109683}" name="Sprint" dataDxfId="21"/>
    <tableColumn id="2" xr3:uid="{1C9C84BE-7ACC-4A7D-BF9C-D0A968AB8737}" name="Id" dataDxfId="20"/>
    <tableColumn id="3" xr3:uid="{B26510B1-DB6C-4160-8277-4773C1E70DE5}" name="EDT" dataDxfId="19"/>
    <tableColumn id="4" xr3:uid="{A4CBDE0A-BC4F-411C-BB7D-1D484D1F8F7C}" name="Nome do Resumo da Tarefa" dataDxfId="18"/>
    <tableColumn id="5" xr3:uid="{0976B646-185E-47C6-90AC-E176FD6D843E}" name="Nome da Tarefa" dataDxfId="17"/>
    <tableColumn id="6" xr3:uid="{A1844830-F9DB-4F43-8E50-8BF7D44B44E1}" name="Status" dataDxfId="16"/>
    <tableColumn id="7" xr3:uid="{DDCE4DED-9768-4ECC-BE34-2323A3C51071}" name="% concluída" dataDxfId="15"/>
    <tableColumn id="8" xr3:uid="{262A2075-67F4-4EF0-9E5F-4FC841FE5FFB}" name="Nomes dos recursos" dataDxfId="14"/>
    <tableColumn id="9" xr3:uid="{4DAB857B-CDDE-435B-8A8A-151AE8C773C1}" name="Disciplina" dataDxfId="13"/>
    <tableColumn id="10" xr3:uid="{6150534B-8876-4994-8935-6B85D8F78F42}" name="Crítica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08BB59-044B-4A34-A2CC-FA844D513EC4}" name="Tabela8" displayName="Tabela8" ref="A1:J63" totalsRowShown="0" headerRowDxfId="11" dataDxfId="10">
  <autoFilter ref="A1:J63" xr:uid="{3B08BB59-044B-4A34-A2CC-FA844D513EC4}">
    <filterColumn colId="4">
      <filters>
        <filter val="emissão inicial"/>
      </filters>
    </filterColumn>
  </autoFilter>
  <tableColumns count="10">
    <tableColumn id="1" xr3:uid="{5FBD890A-B508-411F-9BA0-DCF20AD4C922}" name="Sprint" dataDxfId="9"/>
    <tableColumn id="2" xr3:uid="{62AF5505-A219-46FE-9688-37131BCB795B}" name="Id" dataDxfId="8"/>
    <tableColumn id="3" xr3:uid="{0AF0101F-D5BD-4CF8-A70A-3FBFF6C1C22C}" name="EDT" dataDxfId="7"/>
    <tableColumn id="4" xr3:uid="{9CF0821A-3227-4A95-A6FD-D11515B97088}" name="Nome do Resumo da Tarefa" dataDxfId="6"/>
    <tableColumn id="5" xr3:uid="{28614F81-3BCF-46B3-A55E-C85B8BE7BEC1}" name="Nome da Tarefa" dataDxfId="5"/>
    <tableColumn id="6" xr3:uid="{0C4E26BB-AB9D-4727-A443-0BC7A3F75DB4}" name="Status" dataDxfId="4"/>
    <tableColumn id="7" xr3:uid="{B088697A-4201-4CC1-B1D9-45D9BBA5E7DE}" name="% concluída" dataDxfId="3"/>
    <tableColumn id="8" xr3:uid="{1744E236-45C8-4840-A599-0524D0803569}" name="Nomes dos recursos" dataDxfId="2"/>
    <tableColumn id="9" xr3:uid="{AE1EC1FF-B0CA-436A-A5FF-18BE1835ABF0}" name="Disciplina" dataDxfId="1"/>
    <tableColumn id="10" xr3:uid="{9BD094C6-1DE4-40CC-B69D-A9D8D52086BD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6"/>
  <sheetViews>
    <sheetView workbookViewId="0">
      <selection activeCell="G4" sqref="G4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4.5703125" style="1" bestFit="1" customWidth="1"/>
    <col min="5" max="5" width="12.7109375" style="1" bestFit="1" customWidth="1"/>
    <col min="6" max="7" width="18.28515625" style="3" bestFit="1" customWidth="1"/>
    <col min="8" max="8" width="16" style="4" bestFit="1" customWidth="1"/>
    <col min="9" max="9" width="18.28515625" style="3" bestFit="1" customWidth="1"/>
    <col min="10" max="10" width="37.42578125" style="1" bestFit="1" customWidth="1"/>
    <col min="11" max="11" width="121" style="1" bestFit="1" customWidth="1"/>
    <col min="12" max="12" width="12.425781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32.140625" style="1" bestFit="1" customWidth="1"/>
    <col min="17" max="17" width="14.5703125" style="1" bestFit="1" customWidth="1"/>
    <col min="18" max="18" width="11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1.85546875" style="1" bestFit="1" customWidth="1"/>
    <col min="23" max="23" width="23.28515625" style="1" bestFit="1" customWidth="1"/>
    <col min="24" max="24" width="27.7109375" style="1" bestFit="1" customWidth="1"/>
    <col min="25" max="25" width="27" style="1" bestFit="1" customWidth="1"/>
    <col min="26" max="26" width="19.5703125" style="1" bestFit="1" customWidth="1"/>
    <col min="27" max="27" width="32.7109375" style="1" bestFit="1" customWidth="1"/>
    <col min="28" max="28" width="29.42578125" style="1" bestFit="1" customWidth="1"/>
    <col min="29" max="29" width="40.5703125" style="1" bestFit="1" customWidth="1"/>
    <col min="30" max="30" width="26.140625" style="1" bestFit="1" customWidth="1"/>
    <col min="31" max="31" width="24" style="1" bestFit="1" customWidth="1"/>
    <col min="32" max="32" width="23.28515625" style="1" bestFit="1" customWidth="1"/>
    <col min="33" max="33" width="14.57031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1</v>
      </c>
      <c r="B2" s="1">
        <v>1</v>
      </c>
      <c r="D2" s="1" t="s">
        <v>33</v>
      </c>
      <c r="E2" s="1" t="s">
        <v>34</v>
      </c>
      <c r="F2" s="3">
        <v>46139</v>
      </c>
      <c r="G2" s="3">
        <v>46230</v>
      </c>
      <c r="H2" s="4">
        <v>0.5</v>
      </c>
      <c r="L2" s="1" t="s">
        <v>35</v>
      </c>
      <c r="M2" s="1" t="s">
        <v>36</v>
      </c>
      <c r="N2" s="2">
        <v>46211</v>
      </c>
      <c r="P2" s="1" t="s">
        <v>37</v>
      </c>
      <c r="Q2" s="1" t="s">
        <v>38</v>
      </c>
      <c r="R2" s="1" t="s">
        <v>39</v>
      </c>
      <c r="S2" s="2">
        <v>46139</v>
      </c>
      <c r="T2" s="2">
        <v>46211</v>
      </c>
      <c r="V2" s="1">
        <v>0.5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x14ac:dyDescent="0.25">
      <c r="A3" s="1">
        <v>2</v>
      </c>
      <c r="B3" s="1" t="s">
        <v>40</v>
      </c>
      <c r="C3" s="1" t="s">
        <v>41</v>
      </c>
      <c r="D3" s="1" t="s">
        <v>42</v>
      </c>
      <c r="E3" s="1" t="s">
        <v>43</v>
      </c>
      <c r="F3" s="3">
        <v>46161</v>
      </c>
      <c r="G3" s="3">
        <v>46196</v>
      </c>
      <c r="H3" s="4">
        <v>0.5</v>
      </c>
      <c r="L3" s="1" t="s">
        <v>35</v>
      </c>
      <c r="M3" s="1" t="s">
        <v>44</v>
      </c>
      <c r="N3" s="2">
        <v>46164</v>
      </c>
      <c r="P3" s="1" t="s">
        <v>37</v>
      </c>
      <c r="Q3" s="1" t="s">
        <v>45</v>
      </c>
      <c r="R3" s="1" t="s">
        <v>39</v>
      </c>
      <c r="S3" s="2">
        <v>46161</v>
      </c>
      <c r="T3" s="2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x14ac:dyDescent="0.25">
      <c r="A4" s="1">
        <v>3</v>
      </c>
      <c r="B4" s="1" t="s">
        <v>46</v>
      </c>
      <c r="C4" s="1" t="s">
        <v>47</v>
      </c>
      <c r="D4" s="1" t="s">
        <v>48</v>
      </c>
      <c r="E4" s="1" t="s">
        <v>43</v>
      </c>
      <c r="F4" s="3">
        <v>46161</v>
      </c>
      <c r="G4" s="3">
        <v>46196</v>
      </c>
      <c r="H4" s="4">
        <v>0.5</v>
      </c>
      <c r="L4" s="1" t="s">
        <v>35</v>
      </c>
      <c r="M4" s="1" t="s">
        <v>44</v>
      </c>
      <c r="N4" s="2">
        <v>46164</v>
      </c>
      <c r="P4" s="1" t="s">
        <v>49</v>
      </c>
      <c r="Q4" s="1" t="s">
        <v>45</v>
      </c>
      <c r="R4" s="1" t="s">
        <v>39</v>
      </c>
      <c r="S4" s="2">
        <v>46161</v>
      </c>
      <c r="T4" s="2">
        <v>46164</v>
      </c>
      <c r="V4" s="1">
        <v>0.5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25">
      <c r="A5" s="1">
        <v>4</v>
      </c>
      <c r="B5" s="1" t="s">
        <v>50</v>
      </c>
      <c r="C5" s="1" t="s">
        <v>51</v>
      </c>
      <c r="D5" s="1" t="s">
        <v>52</v>
      </c>
      <c r="E5" s="1" t="s">
        <v>53</v>
      </c>
      <c r="F5" s="3">
        <v>46178</v>
      </c>
      <c r="G5" s="3">
        <v>46178</v>
      </c>
      <c r="H5" s="4">
        <v>0</v>
      </c>
      <c r="K5" s="1" t="s">
        <v>54</v>
      </c>
      <c r="L5" s="1" t="s">
        <v>35</v>
      </c>
      <c r="M5" s="1" t="s">
        <v>44</v>
      </c>
      <c r="N5" s="2">
        <v>46161</v>
      </c>
      <c r="P5" s="1" t="s">
        <v>49</v>
      </c>
      <c r="Q5" s="1" t="s">
        <v>38</v>
      </c>
      <c r="R5" s="1" t="s">
        <v>55</v>
      </c>
      <c r="S5" s="2">
        <v>46161</v>
      </c>
      <c r="T5" s="2">
        <v>46161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x14ac:dyDescent="0.25">
      <c r="A6" s="1">
        <v>5</v>
      </c>
      <c r="B6" s="1" t="s">
        <v>56</v>
      </c>
      <c r="C6" s="1" t="s">
        <v>51</v>
      </c>
      <c r="D6" s="1" t="s">
        <v>57</v>
      </c>
      <c r="E6" s="1" t="s">
        <v>53</v>
      </c>
      <c r="F6" s="3">
        <v>46161</v>
      </c>
      <c r="G6" s="3">
        <v>46161</v>
      </c>
      <c r="H6" s="4">
        <v>1</v>
      </c>
      <c r="I6" s="3">
        <v>46161</v>
      </c>
      <c r="K6" s="1" t="s">
        <v>58</v>
      </c>
      <c r="L6" s="1" t="s">
        <v>59</v>
      </c>
      <c r="M6" s="1" t="s">
        <v>44</v>
      </c>
      <c r="N6" s="2">
        <v>46161</v>
      </c>
      <c r="P6" s="1" t="s">
        <v>49</v>
      </c>
      <c r="Q6" s="1" t="s">
        <v>45</v>
      </c>
      <c r="R6" s="1" t="s">
        <v>55</v>
      </c>
      <c r="S6" s="2">
        <v>46161</v>
      </c>
      <c r="T6" s="2">
        <v>46161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6</v>
      </c>
      <c r="B7" s="1" t="s">
        <v>60</v>
      </c>
      <c r="C7" s="1" t="s">
        <v>51</v>
      </c>
      <c r="D7" s="1" t="s">
        <v>61</v>
      </c>
      <c r="E7" s="1" t="s">
        <v>53</v>
      </c>
      <c r="F7" s="3">
        <v>46164</v>
      </c>
      <c r="G7" s="3">
        <v>46164</v>
      </c>
      <c r="H7" s="4">
        <v>1</v>
      </c>
      <c r="I7" s="3">
        <v>46164</v>
      </c>
      <c r="K7" s="1">
        <v>206</v>
      </c>
      <c r="L7" s="1" t="s">
        <v>59</v>
      </c>
      <c r="M7" s="1" t="s">
        <v>62</v>
      </c>
      <c r="N7" s="2">
        <v>46164</v>
      </c>
      <c r="P7" s="1" t="s">
        <v>49</v>
      </c>
      <c r="Q7" s="1" t="s">
        <v>45</v>
      </c>
      <c r="R7" s="1" t="s">
        <v>55</v>
      </c>
      <c r="S7" s="2">
        <v>46164</v>
      </c>
      <c r="T7" s="2">
        <v>46164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x14ac:dyDescent="0.25">
      <c r="A8" s="1">
        <v>7</v>
      </c>
      <c r="B8" s="1" t="s">
        <v>63</v>
      </c>
      <c r="C8" s="1" t="s">
        <v>51</v>
      </c>
      <c r="D8" s="1" t="s">
        <v>64</v>
      </c>
      <c r="E8" s="1" t="s">
        <v>53</v>
      </c>
      <c r="F8" s="3">
        <v>46178</v>
      </c>
      <c r="G8" s="3">
        <v>46178</v>
      </c>
      <c r="H8" s="4">
        <v>1</v>
      </c>
      <c r="I8" s="3">
        <v>46178</v>
      </c>
      <c r="K8" s="1">
        <v>408</v>
      </c>
      <c r="L8" s="1" t="s">
        <v>59</v>
      </c>
      <c r="M8" s="1" t="s">
        <v>62</v>
      </c>
      <c r="N8" s="2">
        <v>46164</v>
      </c>
      <c r="P8" s="1" t="s">
        <v>49</v>
      </c>
      <c r="Q8" s="1" t="s">
        <v>65</v>
      </c>
      <c r="R8" s="1" t="s">
        <v>55</v>
      </c>
      <c r="S8" s="2">
        <v>46164</v>
      </c>
      <c r="T8" s="2">
        <v>46164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x14ac:dyDescent="0.25">
      <c r="A9" s="1">
        <v>8</v>
      </c>
      <c r="B9" s="1" t="s">
        <v>66</v>
      </c>
      <c r="C9" s="1" t="s">
        <v>51</v>
      </c>
      <c r="D9" s="1" t="s">
        <v>67</v>
      </c>
      <c r="E9" s="1" t="s">
        <v>53</v>
      </c>
      <c r="F9" s="3">
        <v>46178</v>
      </c>
      <c r="G9" s="3">
        <v>46178</v>
      </c>
      <c r="H9" s="4">
        <v>0</v>
      </c>
      <c r="K9" s="1">
        <v>473</v>
      </c>
      <c r="L9" s="1" t="s">
        <v>35</v>
      </c>
      <c r="M9" s="1" t="s">
        <v>62</v>
      </c>
      <c r="N9" s="2">
        <v>46164</v>
      </c>
      <c r="P9" s="1" t="s">
        <v>49</v>
      </c>
      <c r="Q9" s="1" t="s">
        <v>65</v>
      </c>
      <c r="R9" s="1" t="s">
        <v>55</v>
      </c>
      <c r="S9" s="2">
        <v>46164</v>
      </c>
      <c r="T9" s="2">
        <v>46164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9</v>
      </c>
      <c r="B10" s="1" t="s">
        <v>68</v>
      </c>
      <c r="C10" s="1" t="s">
        <v>51</v>
      </c>
      <c r="D10" s="1" t="s">
        <v>69</v>
      </c>
      <c r="E10" s="1" t="s">
        <v>53</v>
      </c>
      <c r="F10" s="3">
        <v>46196</v>
      </c>
      <c r="G10" s="3">
        <v>46196</v>
      </c>
      <c r="H10" s="4">
        <v>0</v>
      </c>
      <c r="K10" s="1">
        <v>327</v>
      </c>
      <c r="L10" s="1" t="s">
        <v>35</v>
      </c>
      <c r="M10" s="1" t="s">
        <v>62</v>
      </c>
      <c r="N10" s="2">
        <v>46164</v>
      </c>
      <c r="P10" s="1" t="s">
        <v>49</v>
      </c>
      <c r="Q10" s="1" t="s">
        <v>38</v>
      </c>
      <c r="R10" s="1" t="s">
        <v>55</v>
      </c>
      <c r="S10" s="2">
        <v>46164</v>
      </c>
      <c r="T10" s="2">
        <v>46164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x14ac:dyDescent="0.25">
      <c r="A11" s="1">
        <v>10</v>
      </c>
      <c r="B11" s="1" t="s">
        <v>70</v>
      </c>
      <c r="C11" s="1" t="s">
        <v>41</v>
      </c>
      <c r="D11" s="1" t="s">
        <v>71</v>
      </c>
      <c r="E11" s="1" t="s">
        <v>34</v>
      </c>
      <c r="F11" s="3">
        <v>46139</v>
      </c>
      <c r="G11" s="3">
        <v>46230</v>
      </c>
      <c r="H11" s="4">
        <v>0.5</v>
      </c>
      <c r="L11" s="1" t="s">
        <v>35</v>
      </c>
      <c r="M11" s="1" t="s">
        <v>36</v>
      </c>
      <c r="N11" s="2">
        <v>46211</v>
      </c>
      <c r="P11" s="1" t="s">
        <v>37</v>
      </c>
      <c r="Q11" s="1" t="s">
        <v>38</v>
      </c>
      <c r="R11" s="1" t="s">
        <v>39</v>
      </c>
      <c r="S11" s="2">
        <v>46139</v>
      </c>
      <c r="T11" s="2">
        <v>46211</v>
      </c>
      <c r="V11" s="1">
        <v>0.5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x14ac:dyDescent="0.25">
      <c r="A12" s="1">
        <v>11</v>
      </c>
      <c r="B12" s="1" t="s">
        <v>72</v>
      </c>
      <c r="C12" s="1" t="s">
        <v>73</v>
      </c>
      <c r="D12" s="1" t="s">
        <v>74</v>
      </c>
      <c r="E12" s="1" t="s">
        <v>75</v>
      </c>
      <c r="F12" s="3">
        <v>46139</v>
      </c>
      <c r="G12" s="3">
        <v>46139</v>
      </c>
      <c r="H12" s="4">
        <v>1</v>
      </c>
      <c r="I12" s="3">
        <v>46139</v>
      </c>
      <c r="K12" s="1" t="s">
        <v>76</v>
      </c>
      <c r="L12" s="1" t="s">
        <v>59</v>
      </c>
      <c r="M12" s="1" t="s">
        <v>36</v>
      </c>
      <c r="N12" s="2">
        <v>46139</v>
      </c>
      <c r="P12" s="1" t="s">
        <v>37</v>
      </c>
      <c r="Q12" s="1" t="s">
        <v>38</v>
      </c>
      <c r="R12" s="1" t="s">
        <v>55</v>
      </c>
      <c r="S12" s="2">
        <v>46139</v>
      </c>
      <c r="T12" s="2">
        <v>46139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25">
      <c r="A13" s="1">
        <v>12</v>
      </c>
      <c r="B13" s="1" t="s">
        <v>77</v>
      </c>
      <c r="C13" s="1" t="s">
        <v>73</v>
      </c>
      <c r="D13" s="1" t="s">
        <v>78</v>
      </c>
      <c r="E13" s="1" t="s">
        <v>79</v>
      </c>
      <c r="F13" s="3">
        <v>46141</v>
      </c>
      <c r="G13" s="3">
        <v>46141</v>
      </c>
      <c r="H13" s="4">
        <v>1</v>
      </c>
      <c r="I13" s="3">
        <v>46141</v>
      </c>
      <c r="L13" s="1" t="s">
        <v>59</v>
      </c>
      <c r="M13" s="1" t="s">
        <v>80</v>
      </c>
      <c r="N13" s="2">
        <v>46141</v>
      </c>
      <c r="P13" s="1" t="s">
        <v>81</v>
      </c>
      <c r="Q13" s="1" t="s">
        <v>38</v>
      </c>
      <c r="R13" s="1" t="s">
        <v>55</v>
      </c>
      <c r="S13" s="2">
        <v>46141</v>
      </c>
      <c r="T13" s="2">
        <v>46141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x14ac:dyDescent="0.25">
      <c r="A14" s="1">
        <v>13</v>
      </c>
      <c r="B14" s="1" t="s">
        <v>82</v>
      </c>
      <c r="C14" s="1" t="s">
        <v>83</v>
      </c>
      <c r="D14" s="1" t="s">
        <v>84</v>
      </c>
      <c r="E14" s="1" t="s">
        <v>75</v>
      </c>
      <c r="F14" s="3">
        <v>46141</v>
      </c>
      <c r="G14" s="3">
        <v>46141</v>
      </c>
      <c r="H14" s="4">
        <v>1</v>
      </c>
      <c r="I14" s="3">
        <v>46141</v>
      </c>
      <c r="L14" s="1" t="s">
        <v>59</v>
      </c>
      <c r="M14" s="1" t="s">
        <v>80</v>
      </c>
      <c r="N14" s="2">
        <v>46141</v>
      </c>
      <c r="P14" s="1" t="s">
        <v>81</v>
      </c>
      <c r="Q14" s="1" t="s">
        <v>38</v>
      </c>
      <c r="R14" s="1" t="s">
        <v>55</v>
      </c>
      <c r="S14" s="2">
        <v>46141</v>
      </c>
      <c r="T14" s="2">
        <v>46141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14</v>
      </c>
      <c r="B15" s="1" t="s">
        <v>85</v>
      </c>
      <c r="C15" s="1" t="s">
        <v>73</v>
      </c>
      <c r="D15" s="1" t="s">
        <v>86</v>
      </c>
      <c r="E15" s="1" t="s">
        <v>87</v>
      </c>
      <c r="F15" s="3">
        <v>46139</v>
      </c>
      <c r="G15" s="3">
        <v>46174</v>
      </c>
      <c r="H15" s="4">
        <v>1</v>
      </c>
      <c r="I15" s="3">
        <v>46174</v>
      </c>
      <c r="L15" s="1" t="s">
        <v>59</v>
      </c>
      <c r="M15" s="1" t="s">
        <v>36</v>
      </c>
      <c r="N15" s="2">
        <v>46161</v>
      </c>
      <c r="P15" s="1" t="s">
        <v>88</v>
      </c>
      <c r="Q15" s="1" t="s">
        <v>38</v>
      </c>
      <c r="R15" s="1" t="s">
        <v>55</v>
      </c>
      <c r="S15" s="2">
        <v>46139</v>
      </c>
      <c r="T15" s="2">
        <v>46161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x14ac:dyDescent="0.25">
      <c r="A16" s="1">
        <v>15</v>
      </c>
      <c r="B16" s="1" t="s">
        <v>89</v>
      </c>
      <c r="C16" s="1" t="s">
        <v>90</v>
      </c>
      <c r="D16" s="1" t="s">
        <v>91</v>
      </c>
      <c r="E16" s="1" t="s">
        <v>43</v>
      </c>
      <c r="F16" s="3">
        <v>46139</v>
      </c>
      <c r="G16" s="3">
        <v>46170</v>
      </c>
      <c r="H16" s="4">
        <v>1</v>
      </c>
      <c r="I16" s="3">
        <v>46170</v>
      </c>
      <c r="L16" s="1" t="s">
        <v>59</v>
      </c>
      <c r="M16" s="1" t="s">
        <v>36</v>
      </c>
      <c r="N16" s="2">
        <v>46161</v>
      </c>
      <c r="P16" s="1" t="s">
        <v>88</v>
      </c>
      <c r="Q16" s="1" t="s">
        <v>38</v>
      </c>
      <c r="R16" s="1" t="s">
        <v>55</v>
      </c>
      <c r="S16" s="2">
        <v>46139</v>
      </c>
      <c r="T16" s="2">
        <v>46161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x14ac:dyDescent="0.25">
      <c r="A17" s="1">
        <v>16</v>
      </c>
      <c r="B17" s="1" t="s">
        <v>92</v>
      </c>
      <c r="C17" s="1" t="s">
        <v>93</v>
      </c>
      <c r="D17" s="1" t="s">
        <v>94</v>
      </c>
      <c r="E17" s="1" t="s">
        <v>95</v>
      </c>
      <c r="F17" s="3">
        <v>46139</v>
      </c>
      <c r="G17" s="3">
        <v>46141</v>
      </c>
      <c r="H17" s="4">
        <v>1</v>
      </c>
      <c r="I17" s="3">
        <v>46141</v>
      </c>
      <c r="J17" s="1">
        <v>11</v>
      </c>
      <c r="K17" s="1" t="s">
        <v>96</v>
      </c>
      <c r="L17" s="1" t="s">
        <v>59</v>
      </c>
      <c r="M17" s="1" t="s">
        <v>36</v>
      </c>
      <c r="N17" s="2">
        <v>46141</v>
      </c>
      <c r="P17" s="1" t="s">
        <v>88</v>
      </c>
      <c r="Q17" s="1" t="s">
        <v>38</v>
      </c>
      <c r="R17" s="1" t="s">
        <v>55</v>
      </c>
      <c r="S17" s="2">
        <v>46139</v>
      </c>
      <c r="T17" s="2">
        <v>46141</v>
      </c>
      <c r="V17" s="1">
        <v>1</v>
      </c>
      <c r="W17" s="1">
        <v>1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</row>
    <row r="18" spans="1:33" x14ac:dyDescent="0.25">
      <c r="A18" s="1">
        <v>17</v>
      </c>
      <c r="B18" s="1" t="s">
        <v>97</v>
      </c>
      <c r="C18" s="1" t="s">
        <v>93</v>
      </c>
      <c r="D18" s="1" t="s">
        <v>98</v>
      </c>
      <c r="E18" s="1" t="s">
        <v>53</v>
      </c>
      <c r="F18" s="3">
        <v>46142</v>
      </c>
      <c r="G18" s="3">
        <v>46142</v>
      </c>
      <c r="H18" s="4">
        <v>1</v>
      </c>
      <c r="I18" s="3">
        <v>46142</v>
      </c>
      <c r="J18" s="1">
        <v>16</v>
      </c>
      <c r="K18" s="1" t="s">
        <v>99</v>
      </c>
      <c r="L18" s="1" t="s">
        <v>59</v>
      </c>
      <c r="M18" s="1" t="s">
        <v>100</v>
      </c>
      <c r="N18" s="2">
        <v>46142</v>
      </c>
      <c r="P18" s="1" t="s">
        <v>88</v>
      </c>
      <c r="Q18" s="1" t="s">
        <v>38</v>
      </c>
      <c r="R18" s="1" t="s">
        <v>55</v>
      </c>
      <c r="S18" s="2">
        <v>46142</v>
      </c>
      <c r="T18" s="2">
        <v>46142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x14ac:dyDescent="0.25">
      <c r="A19" s="1">
        <v>18</v>
      </c>
      <c r="B19" s="1" t="s">
        <v>101</v>
      </c>
      <c r="C19" s="1" t="s">
        <v>93</v>
      </c>
      <c r="D19" s="1" t="s">
        <v>102</v>
      </c>
      <c r="E19" s="1" t="s">
        <v>103</v>
      </c>
      <c r="F19" s="3">
        <v>46148</v>
      </c>
      <c r="G19" s="3">
        <v>46155</v>
      </c>
      <c r="H19" s="4">
        <v>1</v>
      </c>
      <c r="I19" s="3">
        <v>46155</v>
      </c>
      <c r="J19" s="1" t="s">
        <v>104</v>
      </c>
      <c r="K19" s="1" t="s">
        <v>105</v>
      </c>
      <c r="L19" s="1" t="s">
        <v>59</v>
      </c>
      <c r="M19" s="1" t="s">
        <v>106</v>
      </c>
      <c r="N19" s="2">
        <v>46155</v>
      </c>
      <c r="P19" s="1" t="s">
        <v>88</v>
      </c>
      <c r="Q19" s="1" t="s">
        <v>38</v>
      </c>
      <c r="R19" s="1" t="s">
        <v>55</v>
      </c>
      <c r="S19" s="2">
        <v>46148</v>
      </c>
      <c r="T19" s="2">
        <v>46155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</row>
    <row r="20" spans="1:33" x14ac:dyDescent="0.25">
      <c r="A20" s="1">
        <v>19</v>
      </c>
      <c r="B20" s="1" t="s">
        <v>107</v>
      </c>
      <c r="C20" s="1" t="s">
        <v>93</v>
      </c>
      <c r="D20" s="1" t="s">
        <v>108</v>
      </c>
      <c r="E20" s="1" t="s">
        <v>53</v>
      </c>
      <c r="F20" s="3">
        <v>46170</v>
      </c>
      <c r="G20" s="3">
        <v>46170</v>
      </c>
      <c r="H20" s="4">
        <v>1</v>
      </c>
      <c r="I20" s="3">
        <v>46170</v>
      </c>
      <c r="J20" s="1" t="s">
        <v>109</v>
      </c>
      <c r="L20" s="1" t="s">
        <v>59</v>
      </c>
      <c r="M20" s="1" t="s">
        <v>44</v>
      </c>
      <c r="N20" s="2">
        <v>46161</v>
      </c>
      <c r="P20" s="1" t="s">
        <v>88</v>
      </c>
      <c r="Q20" s="1" t="s">
        <v>110</v>
      </c>
      <c r="R20" s="1" t="s">
        <v>55</v>
      </c>
      <c r="S20" s="2">
        <v>46161</v>
      </c>
      <c r="T20" s="2">
        <v>46161</v>
      </c>
      <c r="V20" s="1">
        <v>1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</row>
    <row r="21" spans="1:33" x14ac:dyDescent="0.25">
      <c r="A21" s="1">
        <v>20</v>
      </c>
      <c r="B21" s="1" t="s">
        <v>111</v>
      </c>
      <c r="C21" s="1" t="s">
        <v>90</v>
      </c>
      <c r="D21" s="1" t="s">
        <v>112</v>
      </c>
      <c r="E21" s="1" t="s">
        <v>113</v>
      </c>
      <c r="F21" s="3">
        <v>46142</v>
      </c>
      <c r="G21" s="3">
        <v>46174</v>
      </c>
      <c r="H21" s="4">
        <v>1</v>
      </c>
      <c r="I21" s="3">
        <v>46174</v>
      </c>
      <c r="L21" s="1" t="s">
        <v>59</v>
      </c>
      <c r="M21" s="1" t="s">
        <v>100</v>
      </c>
      <c r="N21" s="2">
        <v>46161</v>
      </c>
      <c r="P21" s="1" t="s">
        <v>88</v>
      </c>
      <c r="Q21" s="1" t="s">
        <v>38</v>
      </c>
      <c r="R21" s="1" t="s">
        <v>55</v>
      </c>
      <c r="S21" s="2">
        <v>46142</v>
      </c>
      <c r="T21" s="2">
        <v>46161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25">
      <c r="A22" s="1">
        <v>21</v>
      </c>
      <c r="B22" s="1" t="s">
        <v>114</v>
      </c>
      <c r="C22" s="1" t="s">
        <v>115</v>
      </c>
      <c r="D22" s="1" t="s">
        <v>94</v>
      </c>
      <c r="E22" s="1" t="s">
        <v>95</v>
      </c>
      <c r="F22" s="3">
        <v>46142</v>
      </c>
      <c r="G22" s="3">
        <v>46146</v>
      </c>
      <c r="H22" s="4">
        <v>1</v>
      </c>
      <c r="I22" s="3">
        <v>46146</v>
      </c>
      <c r="J22" s="1">
        <v>16</v>
      </c>
      <c r="K22" s="1" t="s">
        <v>116</v>
      </c>
      <c r="L22" s="1" t="s">
        <v>59</v>
      </c>
      <c r="M22" s="1" t="s">
        <v>100</v>
      </c>
      <c r="N22" s="2">
        <v>46146</v>
      </c>
      <c r="P22" s="1" t="s">
        <v>88</v>
      </c>
      <c r="Q22" s="1" t="s">
        <v>38</v>
      </c>
      <c r="R22" s="1" t="s">
        <v>55</v>
      </c>
      <c r="S22" s="2">
        <v>46142</v>
      </c>
      <c r="T22" s="2">
        <v>46146</v>
      </c>
      <c r="V22" s="1">
        <v>1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</row>
    <row r="23" spans="1:33" x14ac:dyDescent="0.25">
      <c r="A23" s="1">
        <v>22</v>
      </c>
      <c r="B23" s="1" t="s">
        <v>117</v>
      </c>
      <c r="C23" s="1" t="s">
        <v>115</v>
      </c>
      <c r="D23" s="1" t="s">
        <v>98</v>
      </c>
      <c r="E23" s="1" t="s">
        <v>53</v>
      </c>
      <c r="F23" s="3">
        <v>46147</v>
      </c>
      <c r="G23" s="3">
        <v>46147</v>
      </c>
      <c r="H23" s="4">
        <v>1</v>
      </c>
      <c r="I23" s="3">
        <v>46147</v>
      </c>
      <c r="J23" s="1">
        <v>21</v>
      </c>
      <c r="K23" s="1" t="s">
        <v>118</v>
      </c>
      <c r="L23" s="1" t="s">
        <v>59</v>
      </c>
      <c r="M23" s="1" t="s">
        <v>119</v>
      </c>
      <c r="N23" s="2">
        <v>46147</v>
      </c>
      <c r="P23" s="1" t="s">
        <v>88</v>
      </c>
      <c r="Q23" s="1" t="s">
        <v>38</v>
      </c>
      <c r="R23" s="1" t="s">
        <v>55</v>
      </c>
      <c r="S23" s="2">
        <v>46147</v>
      </c>
      <c r="T23" s="2">
        <v>46147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">
        <v>23</v>
      </c>
      <c r="B24" s="1" t="s">
        <v>120</v>
      </c>
      <c r="C24" s="1" t="s">
        <v>115</v>
      </c>
      <c r="D24" s="1" t="s">
        <v>102</v>
      </c>
      <c r="E24" s="1" t="s">
        <v>121</v>
      </c>
      <c r="F24" s="3">
        <v>46155</v>
      </c>
      <c r="G24" s="3">
        <v>46160</v>
      </c>
      <c r="H24" s="4">
        <v>1</v>
      </c>
      <c r="I24" s="3">
        <v>46160</v>
      </c>
      <c r="J24" s="1" t="s">
        <v>122</v>
      </c>
      <c r="K24" s="1" t="s">
        <v>123</v>
      </c>
      <c r="L24" s="1" t="s">
        <v>59</v>
      </c>
      <c r="M24" s="1" t="s">
        <v>124</v>
      </c>
      <c r="N24" s="2">
        <v>46160</v>
      </c>
      <c r="P24" s="1" t="s">
        <v>88</v>
      </c>
      <c r="Q24" s="1" t="s">
        <v>125</v>
      </c>
      <c r="R24" s="1" t="s">
        <v>55</v>
      </c>
      <c r="S24" s="2">
        <v>46155</v>
      </c>
      <c r="T24" s="2">
        <v>46160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25">
      <c r="A25" s="1">
        <v>24</v>
      </c>
      <c r="B25" s="1" t="s">
        <v>126</v>
      </c>
      <c r="C25" s="1" t="s">
        <v>115</v>
      </c>
      <c r="D25" s="1" t="s">
        <v>108</v>
      </c>
      <c r="E25" s="1" t="s">
        <v>53</v>
      </c>
      <c r="F25" s="3">
        <v>46171</v>
      </c>
      <c r="G25" s="3">
        <v>46174</v>
      </c>
      <c r="H25" s="4">
        <v>1</v>
      </c>
      <c r="I25" s="3">
        <v>46174</v>
      </c>
      <c r="J25" s="1" t="s">
        <v>127</v>
      </c>
      <c r="L25" s="1" t="s">
        <v>59</v>
      </c>
      <c r="M25" s="1" t="s">
        <v>128</v>
      </c>
      <c r="N25" s="2">
        <v>46161</v>
      </c>
      <c r="P25" s="1" t="s">
        <v>88</v>
      </c>
      <c r="Q25" s="1" t="s">
        <v>110</v>
      </c>
      <c r="R25" s="1" t="s">
        <v>55</v>
      </c>
      <c r="S25" s="2">
        <v>46160</v>
      </c>
      <c r="T25" s="2">
        <v>46161</v>
      </c>
      <c r="V25" s="1">
        <v>1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</row>
    <row r="26" spans="1:33" x14ac:dyDescent="0.25">
      <c r="A26" s="1">
        <v>30</v>
      </c>
      <c r="B26" s="1" t="s">
        <v>129</v>
      </c>
      <c r="C26" s="1" t="s">
        <v>73</v>
      </c>
      <c r="D26" s="1" t="s">
        <v>130</v>
      </c>
      <c r="E26" s="1" t="s">
        <v>34</v>
      </c>
      <c r="F26" s="3">
        <v>46139</v>
      </c>
      <c r="G26" s="3">
        <v>46230</v>
      </c>
      <c r="H26" s="4">
        <v>0.4</v>
      </c>
      <c r="L26" s="1" t="s">
        <v>131</v>
      </c>
      <c r="M26" s="1" t="s">
        <v>36</v>
      </c>
      <c r="N26" s="2">
        <v>46211</v>
      </c>
      <c r="P26" s="1" t="s">
        <v>132</v>
      </c>
      <c r="Q26" s="1" t="s">
        <v>38</v>
      </c>
      <c r="R26" s="1" t="s">
        <v>39</v>
      </c>
      <c r="S26" s="2">
        <v>46139</v>
      </c>
      <c r="T26" s="2">
        <v>46211</v>
      </c>
      <c r="V26" s="1">
        <v>0.4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25">
      <c r="A27" s="1">
        <v>31</v>
      </c>
      <c r="B27" s="1" t="s">
        <v>133</v>
      </c>
      <c r="C27" s="1" t="s">
        <v>134</v>
      </c>
      <c r="D27" s="1" t="s">
        <v>135</v>
      </c>
      <c r="E27" s="1" t="s">
        <v>136</v>
      </c>
      <c r="F27" s="3">
        <v>46204</v>
      </c>
      <c r="G27" s="3">
        <v>46216</v>
      </c>
      <c r="H27" s="4">
        <v>0.34</v>
      </c>
      <c r="L27" s="1" t="s">
        <v>131</v>
      </c>
      <c r="M27" s="1" t="s">
        <v>137</v>
      </c>
      <c r="N27" s="2">
        <v>46175</v>
      </c>
      <c r="P27" s="1" t="s">
        <v>132</v>
      </c>
      <c r="Q27" s="1" t="s">
        <v>138</v>
      </c>
      <c r="R27" s="1" t="s">
        <v>55</v>
      </c>
      <c r="S27" s="2">
        <v>46167</v>
      </c>
      <c r="T27" s="2">
        <v>46175</v>
      </c>
      <c r="V27" s="1">
        <v>0.34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25">
      <c r="A28" s="1">
        <v>32</v>
      </c>
      <c r="B28" s="1" t="s">
        <v>139</v>
      </c>
      <c r="C28" s="1" t="s">
        <v>140</v>
      </c>
      <c r="D28" s="1" t="s">
        <v>94</v>
      </c>
      <c r="E28" s="1" t="s">
        <v>95</v>
      </c>
      <c r="F28" s="3">
        <v>46204</v>
      </c>
      <c r="G28" s="3">
        <v>46206</v>
      </c>
      <c r="H28" s="4">
        <v>0.8</v>
      </c>
      <c r="J28" s="1" t="s">
        <v>141</v>
      </c>
      <c r="K28" s="1" t="s">
        <v>142</v>
      </c>
      <c r="L28" s="1" t="s">
        <v>131</v>
      </c>
      <c r="M28" s="1" t="s">
        <v>137</v>
      </c>
      <c r="N28" s="2">
        <v>46169</v>
      </c>
      <c r="P28" s="1" t="s">
        <v>132</v>
      </c>
      <c r="Q28" s="1" t="s">
        <v>138</v>
      </c>
      <c r="R28" s="1" t="s">
        <v>55</v>
      </c>
      <c r="S28" s="2">
        <v>46167</v>
      </c>
      <c r="T28" s="2">
        <v>46169</v>
      </c>
      <c r="V28" s="1">
        <v>0.8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25">
      <c r="A29" s="1">
        <v>33</v>
      </c>
      <c r="B29" s="1" t="s">
        <v>143</v>
      </c>
      <c r="C29" s="1" t="s">
        <v>140</v>
      </c>
      <c r="D29" s="1" t="s">
        <v>98</v>
      </c>
      <c r="E29" s="1" t="s">
        <v>53</v>
      </c>
      <c r="F29" s="3">
        <v>46209</v>
      </c>
      <c r="G29" s="3">
        <v>46209</v>
      </c>
      <c r="H29" s="4">
        <v>0</v>
      </c>
      <c r="J29" s="1">
        <v>32</v>
      </c>
      <c r="K29" s="1">
        <v>34</v>
      </c>
      <c r="L29" s="1" t="s">
        <v>144</v>
      </c>
      <c r="M29" s="1" t="s">
        <v>145</v>
      </c>
      <c r="N29" s="2">
        <v>46170</v>
      </c>
      <c r="P29" s="1" t="s">
        <v>132</v>
      </c>
      <c r="Q29" s="1" t="s">
        <v>146</v>
      </c>
      <c r="R29" s="1" t="s">
        <v>55</v>
      </c>
      <c r="S29" s="2">
        <v>46170</v>
      </c>
      <c r="T29" s="2">
        <v>46170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25">
      <c r="A30" s="1">
        <v>34</v>
      </c>
      <c r="B30" s="1" t="s">
        <v>147</v>
      </c>
      <c r="C30" s="1" t="s">
        <v>140</v>
      </c>
      <c r="D30" s="1" t="s">
        <v>102</v>
      </c>
      <c r="E30" s="1" t="s">
        <v>121</v>
      </c>
      <c r="F30" s="3">
        <v>46210</v>
      </c>
      <c r="G30" s="3">
        <v>46211</v>
      </c>
      <c r="H30" s="4">
        <v>0</v>
      </c>
      <c r="J30" s="1">
        <v>33</v>
      </c>
      <c r="K30" s="1">
        <v>35</v>
      </c>
      <c r="L30" s="1" t="s">
        <v>144</v>
      </c>
      <c r="M30" s="1" t="s">
        <v>148</v>
      </c>
      <c r="N30" s="2">
        <v>46174</v>
      </c>
      <c r="P30" s="1" t="s">
        <v>132</v>
      </c>
      <c r="Q30" s="1" t="s">
        <v>146</v>
      </c>
      <c r="R30" s="1" t="s">
        <v>55</v>
      </c>
      <c r="S30" s="2">
        <v>46171</v>
      </c>
      <c r="T30" s="2">
        <v>46174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x14ac:dyDescent="0.25">
      <c r="A31" s="1">
        <v>35</v>
      </c>
      <c r="B31" s="1" t="s">
        <v>149</v>
      </c>
      <c r="C31" s="1" t="s">
        <v>140</v>
      </c>
      <c r="D31" s="1" t="s">
        <v>108</v>
      </c>
      <c r="E31" s="1" t="s">
        <v>53</v>
      </c>
      <c r="F31" s="3">
        <v>46216</v>
      </c>
      <c r="G31" s="3">
        <v>46216</v>
      </c>
      <c r="H31" s="4">
        <v>0</v>
      </c>
      <c r="J31" s="1">
        <v>34</v>
      </c>
      <c r="L31" s="1" t="s">
        <v>144</v>
      </c>
      <c r="M31" s="1" t="s">
        <v>150</v>
      </c>
      <c r="N31" s="2">
        <v>46175</v>
      </c>
      <c r="P31" s="1" t="s">
        <v>132</v>
      </c>
      <c r="Q31" s="1" t="s">
        <v>151</v>
      </c>
      <c r="R31" s="1" t="s">
        <v>55</v>
      </c>
      <c r="S31" s="2">
        <v>46175</v>
      </c>
      <c r="T31" s="2">
        <v>46175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25">
      <c r="A32" s="1">
        <v>41</v>
      </c>
      <c r="B32" s="1" t="s">
        <v>152</v>
      </c>
      <c r="C32" s="1" t="s">
        <v>134</v>
      </c>
      <c r="D32" s="1" t="s">
        <v>153</v>
      </c>
      <c r="E32" s="1" t="s">
        <v>154</v>
      </c>
      <c r="F32" s="3">
        <v>46218</v>
      </c>
      <c r="G32" s="3">
        <v>46223</v>
      </c>
      <c r="H32" s="4">
        <v>0.19</v>
      </c>
      <c r="L32" s="1" t="s">
        <v>144</v>
      </c>
      <c r="M32" s="1" t="s">
        <v>155</v>
      </c>
      <c r="N32" s="2">
        <v>46211</v>
      </c>
      <c r="P32" s="1" t="s">
        <v>132</v>
      </c>
      <c r="Q32" s="1" t="s">
        <v>146</v>
      </c>
      <c r="R32" s="1" t="s">
        <v>55</v>
      </c>
      <c r="S32" s="2">
        <v>46203</v>
      </c>
      <c r="T32" s="2">
        <v>46211</v>
      </c>
      <c r="V32" s="1">
        <v>0.19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25">
      <c r="A33" s="1">
        <v>42</v>
      </c>
      <c r="B33" s="1" t="s">
        <v>156</v>
      </c>
      <c r="C33" s="1" t="s">
        <v>157</v>
      </c>
      <c r="D33" s="1" t="s">
        <v>94</v>
      </c>
      <c r="E33" s="1" t="s">
        <v>53</v>
      </c>
      <c r="F33" s="3">
        <v>46218</v>
      </c>
      <c r="G33" s="3">
        <v>46218</v>
      </c>
      <c r="H33" s="4">
        <v>0.75</v>
      </c>
      <c r="K33" s="1">
        <v>43</v>
      </c>
      <c r="L33" s="1" t="s">
        <v>144</v>
      </c>
      <c r="M33" s="1" t="s">
        <v>155</v>
      </c>
      <c r="N33" s="2">
        <v>46205</v>
      </c>
      <c r="P33" s="1" t="s">
        <v>132</v>
      </c>
      <c r="Q33" s="1" t="s">
        <v>146</v>
      </c>
      <c r="R33" s="1" t="s">
        <v>55</v>
      </c>
      <c r="S33" s="2">
        <v>46203</v>
      </c>
      <c r="T33" s="2">
        <v>46205</v>
      </c>
      <c r="V33" s="1">
        <v>0.75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25">
      <c r="A34" s="1">
        <v>43</v>
      </c>
      <c r="B34" s="1" t="s">
        <v>158</v>
      </c>
      <c r="C34" s="1" t="s">
        <v>157</v>
      </c>
      <c r="D34" s="1" t="s">
        <v>98</v>
      </c>
      <c r="E34" s="1" t="s">
        <v>53</v>
      </c>
      <c r="F34" s="3">
        <v>46219</v>
      </c>
      <c r="G34" s="3">
        <v>46219</v>
      </c>
      <c r="H34" s="4">
        <v>0</v>
      </c>
      <c r="J34" s="1">
        <v>42</v>
      </c>
      <c r="K34" s="1">
        <v>44</v>
      </c>
      <c r="L34" s="1" t="s">
        <v>144</v>
      </c>
      <c r="M34" s="1" t="s">
        <v>159</v>
      </c>
      <c r="N34" s="2">
        <v>46206</v>
      </c>
      <c r="P34" s="1" t="s">
        <v>132</v>
      </c>
      <c r="Q34" s="1" t="s">
        <v>146</v>
      </c>
      <c r="R34" s="1" t="s">
        <v>55</v>
      </c>
      <c r="S34" s="2">
        <v>46206</v>
      </c>
      <c r="T34" s="2">
        <v>46206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25">
      <c r="A35" s="1">
        <v>44</v>
      </c>
      <c r="B35" s="1" t="s">
        <v>160</v>
      </c>
      <c r="C35" s="1" t="s">
        <v>157</v>
      </c>
      <c r="D35" s="1" t="s">
        <v>102</v>
      </c>
      <c r="E35" s="1" t="s">
        <v>53</v>
      </c>
      <c r="F35" s="3">
        <v>46220</v>
      </c>
      <c r="G35" s="3">
        <v>46220</v>
      </c>
      <c r="H35" s="4">
        <v>0</v>
      </c>
      <c r="J35" s="1">
        <v>43</v>
      </c>
      <c r="K35" s="1">
        <v>45</v>
      </c>
      <c r="L35" s="1" t="s">
        <v>144</v>
      </c>
      <c r="M35" s="1" t="s">
        <v>161</v>
      </c>
      <c r="N35" s="2">
        <v>46210</v>
      </c>
      <c r="P35" s="1" t="s">
        <v>132</v>
      </c>
      <c r="Q35" s="1" t="s">
        <v>151</v>
      </c>
      <c r="R35" s="1" t="s">
        <v>55</v>
      </c>
      <c r="S35" s="2">
        <v>46209</v>
      </c>
      <c r="T35" s="2">
        <v>46210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25">
      <c r="A36" s="1">
        <v>45</v>
      </c>
      <c r="B36" s="1" t="s">
        <v>162</v>
      </c>
      <c r="C36" s="1" t="s">
        <v>157</v>
      </c>
      <c r="D36" s="1" t="s">
        <v>108</v>
      </c>
      <c r="E36" s="1" t="s">
        <v>53</v>
      </c>
      <c r="F36" s="3">
        <v>46223</v>
      </c>
      <c r="G36" s="3">
        <v>46223</v>
      </c>
      <c r="H36" s="4">
        <v>0</v>
      </c>
      <c r="J36" s="1">
        <v>44</v>
      </c>
      <c r="L36" s="1" t="s">
        <v>144</v>
      </c>
      <c r="M36" s="1" t="s">
        <v>163</v>
      </c>
      <c r="N36" s="2">
        <v>46211</v>
      </c>
      <c r="P36" s="1" t="s">
        <v>132</v>
      </c>
      <c r="Q36" s="1" t="s">
        <v>151</v>
      </c>
      <c r="R36" s="1" t="s">
        <v>55</v>
      </c>
      <c r="S36" s="2">
        <v>46211</v>
      </c>
      <c r="T36" s="2">
        <v>46211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5">
      <c r="A37" s="1">
        <v>46</v>
      </c>
      <c r="B37" s="1" t="s">
        <v>164</v>
      </c>
      <c r="C37" s="1" t="s">
        <v>134</v>
      </c>
      <c r="D37" s="1" t="s">
        <v>165</v>
      </c>
      <c r="E37" s="1" t="s">
        <v>34</v>
      </c>
      <c r="F37" s="3">
        <v>46139</v>
      </c>
      <c r="G37" s="3">
        <v>46230</v>
      </c>
      <c r="H37" s="4">
        <v>0.56999999999999995</v>
      </c>
      <c r="L37" s="1" t="s">
        <v>131</v>
      </c>
      <c r="M37" s="1" t="s">
        <v>36</v>
      </c>
      <c r="N37" s="2">
        <v>46189</v>
      </c>
      <c r="P37" s="1" t="s">
        <v>132</v>
      </c>
      <c r="Q37" s="1" t="s">
        <v>38</v>
      </c>
      <c r="R37" s="1" t="s">
        <v>39</v>
      </c>
      <c r="S37" s="2">
        <v>46139</v>
      </c>
      <c r="T37" s="2">
        <v>46189</v>
      </c>
      <c r="V37" s="1">
        <v>0.56999999999999995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x14ac:dyDescent="0.25">
      <c r="A38" s="1">
        <v>47</v>
      </c>
      <c r="B38" s="1" t="s">
        <v>166</v>
      </c>
      <c r="C38" s="1" t="s">
        <v>167</v>
      </c>
      <c r="D38" s="1" t="s">
        <v>94</v>
      </c>
      <c r="E38" s="1" t="s">
        <v>95</v>
      </c>
      <c r="F38" s="3">
        <v>46139</v>
      </c>
      <c r="G38" s="3">
        <v>46141</v>
      </c>
      <c r="H38" s="4">
        <v>1</v>
      </c>
      <c r="I38" s="3">
        <v>46141</v>
      </c>
      <c r="J38" s="1">
        <v>11</v>
      </c>
      <c r="K38" s="1">
        <v>48</v>
      </c>
      <c r="L38" s="1" t="s">
        <v>59</v>
      </c>
      <c r="M38" s="1" t="s">
        <v>36</v>
      </c>
      <c r="N38" s="2">
        <v>46141</v>
      </c>
      <c r="P38" s="1" t="s">
        <v>132</v>
      </c>
      <c r="Q38" s="1" t="s">
        <v>38</v>
      </c>
      <c r="R38" s="1" t="s">
        <v>55</v>
      </c>
      <c r="S38" s="2">
        <v>46139</v>
      </c>
      <c r="T38" s="2">
        <v>46141</v>
      </c>
      <c r="V38" s="1">
        <v>1</v>
      </c>
      <c r="W38" s="1">
        <v>1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</row>
    <row r="39" spans="1:33" x14ac:dyDescent="0.25">
      <c r="A39" s="1">
        <v>48</v>
      </c>
      <c r="B39" s="1" t="s">
        <v>168</v>
      </c>
      <c r="C39" s="1" t="s">
        <v>167</v>
      </c>
      <c r="D39" s="1" t="s">
        <v>98</v>
      </c>
      <c r="E39" s="1" t="s">
        <v>53</v>
      </c>
      <c r="F39" s="3">
        <v>46142</v>
      </c>
      <c r="G39" s="3">
        <v>46142</v>
      </c>
      <c r="H39" s="4">
        <v>1</v>
      </c>
      <c r="I39" s="3">
        <v>46142</v>
      </c>
      <c r="J39" s="1">
        <v>47</v>
      </c>
      <c r="K39" s="1" t="s">
        <v>169</v>
      </c>
      <c r="L39" s="1" t="s">
        <v>59</v>
      </c>
      <c r="M39" s="1" t="s">
        <v>100</v>
      </c>
      <c r="N39" s="2">
        <v>46142</v>
      </c>
      <c r="P39" s="1" t="s">
        <v>132</v>
      </c>
      <c r="Q39" s="1" t="s">
        <v>38</v>
      </c>
      <c r="R39" s="1" t="s">
        <v>55</v>
      </c>
      <c r="S39" s="2">
        <v>46142</v>
      </c>
      <c r="T39" s="2">
        <v>46142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25">
      <c r="A40" s="1">
        <v>49</v>
      </c>
      <c r="B40" s="1" t="s">
        <v>170</v>
      </c>
      <c r="C40" s="1" t="s">
        <v>167</v>
      </c>
      <c r="D40" s="1" t="s">
        <v>102</v>
      </c>
      <c r="E40" s="1" t="s">
        <v>121</v>
      </c>
      <c r="F40" s="3">
        <v>46226</v>
      </c>
      <c r="G40" s="3">
        <v>46227</v>
      </c>
      <c r="H40" s="4">
        <v>0</v>
      </c>
      <c r="J40" s="1" t="s">
        <v>171</v>
      </c>
      <c r="K40" s="1">
        <v>50</v>
      </c>
      <c r="L40" s="1" t="s">
        <v>144</v>
      </c>
      <c r="M40" s="1" t="s">
        <v>172</v>
      </c>
      <c r="N40" s="2">
        <v>46188</v>
      </c>
      <c r="P40" s="1" t="s">
        <v>132</v>
      </c>
      <c r="Q40" s="1" t="s">
        <v>146</v>
      </c>
      <c r="R40" s="1" t="s">
        <v>39</v>
      </c>
      <c r="S40" s="2">
        <v>46185</v>
      </c>
      <c r="T40" s="2">
        <v>46188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25">
      <c r="A41" s="1">
        <v>50</v>
      </c>
      <c r="B41" s="1" t="s">
        <v>173</v>
      </c>
      <c r="C41" s="1" t="s">
        <v>167</v>
      </c>
      <c r="D41" s="1" t="s">
        <v>108</v>
      </c>
      <c r="E41" s="1" t="s">
        <v>53</v>
      </c>
      <c r="F41" s="3">
        <v>46230</v>
      </c>
      <c r="G41" s="3">
        <v>46230</v>
      </c>
      <c r="H41" s="4">
        <v>0</v>
      </c>
      <c r="J41" s="1">
        <v>49</v>
      </c>
      <c r="L41" s="1" t="s">
        <v>144</v>
      </c>
      <c r="M41" s="1" t="s">
        <v>174</v>
      </c>
      <c r="N41" s="2">
        <v>46189</v>
      </c>
      <c r="P41" s="1" t="s">
        <v>132</v>
      </c>
      <c r="Q41" s="1" t="s">
        <v>151</v>
      </c>
      <c r="R41" s="1" t="s">
        <v>39</v>
      </c>
      <c r="S41" s="2">
        <v>46189</v>
      </c>
      <c r="T41" s="2">
        <v>46189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25">
      <c r="A42" s="1">
        <v>51</v>
      </c>
      <c r="B42" s="1" t="s">
        <v>175</v>
      </c>
      <c r="C42" s="1" t="s">
        <v>73</v>
      </c>
      <c r="D42" s="1" t="s">
        <v>176</v>
      </c>
      <c r="E42" s="1" t="s">
        <v>177</v>
      </c>
      <c r="F42" s="3">
        <v>46191</v>
      </c>
      <c r="G42" s="3">
        <v>46216</v>
      </c>
      <c r="H42" s="4">
        <v>0.6</v>
      </c>
      <c r="L42" s="1" t="s">
        <v>35</v>
      </c>
      <c r="M42" s="1" t="s">
        <v>44</v>
      </c>
      <c r="N42" s="2">
        <v>46198</v>
      </c>
      <c r="P42" s="1" t="s">
        <v>178</v>
      </c>
      <c r="Q42" s="1" t="s">
        <v>138</v>
      </c>
      <c r="R42" s="1" t="s">
        <v>55</v>
      </c>
      <c r="S42" s="2">
        <v>46161</v>
      </c>
      <c r="T42" s="2">
        <v>46198</v>
      </c>
      <c r="V42" s="1">
        <v>0.6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25">
      <c r="A43" s="1">
        <v>62</v>
      </c>
      <c r="B43" s="1" t="s">
        <v>179</v>
      </c>
      <c r="C43" s="1" t="s">
        <v>180</v>
      </c>
      <c r="D43" s="1" t="s">
        <v>181</v>
      </c>
      <c r="E43" s="1" t="s">
        <v>177</v>
      </c>
      <c r="F43" s="3">
        <v>46191</v>
      </c>
      <c r="G43" s="3">
        <v>46216</v>
      </c>
      <c r="H43" s="4">
        <v>0.6</v>
      </c>
      <c r="L43" s="1" t="s">
        <v>35</v>
      </c>
      <c r="M43" s="1" t="s">
        <v>44</v>
      </c>
      <c r="N43" s="2">
        <v>46167</v>
      </c>
      <c r="P43" s="1" t="s">
        <v>178</v>
      </c>
      <c r="Q43" s="1" t="s">
        <v>138</v>
      </c>
      <c r="R43" s="1" t="s">
        <v>55</v>
      </c>
      <c r="S43" s="2">
        <v>46161</v>
      </c>
      <c r="T43" s="2">
        <v>46167</v>
      </c>
      <c r="V43" s="1">
        <v>0.6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25">
      <c r="A44" s="1">
        <v>63</v>
      </c>
      <c r="B44" s="1" t="s">
        <v>182</v>
      </c>
      <c r="C44" s="1" t="s">
        <v>183</v>
      </c>
      <c r="D44" s="1" t="s">
        <v>94</v>
      </c>
      <c r="E44" s="1" t="s">
        <v>53</v>
      </c>
      <c r="F44" s="3">
        <v>46191</v>
      </c>
      <c r="G44" s="3">
        <v>46191</v>
      </c>
      <c r="H44" s="4">
        <v>1</v>
      </c>
      <c r="I44" s="3">
        <v>46191</v>
      </c>
      <c r="J44" s="1" t="s">
        <v>184</v>
      </c>
      <c r="K44" s="1" t="s">
        <v>185</v>
      </c>
      <c r="L44" s="1" t="s">
        <v>59</v>
      </c>
      <c r="M44" s="1" t="s">
        <v>44</v>
      </c>
      <c r="N44" s="2">
        <v>46161</v>
      </c>
      <c r="P44" s="1" t="s">
        <v>178</v>
      </c>
      <c r="Q44" s="1" t="s">
        <v>138</v>
      </c>
      <c r="R44" s="1" t="s">
        <v>55</v>
      </c>
      <c r="S44" s="2">
        <v>46161</v>
      </c>
      <c r="T44" s="2">
        <v>46161</v>
      </c>
      <c r="V44" s="1">
        <v>1</v>
      </c>
      <c r="W44" s="1">
        <v>1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</row>
    <row r="45" spans="1:33" x14ac:dyDescent="0.25">
      <c r="A45" s="1">
        <v>64</v>
      </c>
      <c r="B45" s="1" t="s">
        <v>186</v>
      </c>
      <c r="C45" s="1" t="s">
        <v>183</v>
      </c>
      <c r="D45" s="1" t="s">
        <v>98</v>
      </c>
      <c r="E45" s="1" t="s">
        <v>53</v>
      </c>
      <c r="F45" s="3">
        <v>46192</v>
      </c>
      <c r="G45" s="3">
        <v>46192</v>
      </c>
      <c r="H45" s="4">
        <v>1</v>
      </c>
      <c r="I45" s="3">
        <v>46192</v>
      </c>
      <c r="J45" s="1">
        <v>63</v>
      </c>
      <c r="K45" s="1">
        <v>65</v>
      </c>
      <c r="L45" s="1" t="s">
        <v>59</v>
      </c>
      <c r="M45" s="1" t="s">
        <v>187</v>
      </c>
      <c r="N45" s="2">
        <v>46162</v>
      </c>
      <c r="P45" s="1" t="s">
        <v>178</v>
      </c>
      <c r="Q45" s="1" t="s">
        <v>138</v>
      </c>
      <c r="R45" s="1" t="s">
        <v>55</v>
      </c>
      <c r="S45" s="2">
        <v>46162</v>
      </c>
      <c r="T45" s="2">
        <v>46162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25">
      <c r="A46" s="1">
        <v>65</v>
      </c>
      <c r="B46" s="1" t="s">
        <v>188</v>
      </c>
      <c r="C46" s="1" t="s">
        <v>183</v>
      </c>
      <c r="D46" s="1" t="s">
        <v>102</v>
      </c>
      <c r="E46" s="1" t="s">
        <v>121</v>
      </c>
      <c r="F46" s="3">
        <v>46203</v>
      </c>
      <c r="G46" s="3">
        <v>46204</v>
      </c>
      <c r="H46" s="4">
        <v>0.5</v>
      </c>
      <c r="J46" s="1">
        <v>64</v>
      </c>
      <c r="K46" s="1" t="s">
        <v>189</v>
      </c>
      <c r="L46" s="1" t="s">
        <v>35</v>
      </c>
      <c r="M46" s="1" t="s">
        <v>190</v>
      </c>
      <c r="N46" s="2">
        <v>46164</v>
      </c>
      <c r="P46" s="1" t="s">
        <v>178</v>
      </c>
      <c r="Q46" s="1" t="s">
        <v>151</v>
      </c>
      <c r="R46" s="1" t="s">
        <v>55</v>
      </c>
      <c r="S46" s="2">
        <v>46163</v>
      </c>
      <c r="T46" s="2">
        <v>46164</v>
      </c>
      <c r="V46" s="1">
        <v>0.5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</row>
    <row r="47" spans="1:33" x14ac:dyDescent="0.25">
      <c r="A47" s="1">
        <v>66</v>
      </c>
      <c r="B47" s="1" t="s">
        <v>191</v>
      </c>
      <c r="C47" s="1" t="s">
        <v>183</v>
      </c>
      <c r="D47" s="1" t="s">
        <v>108</v>
      </c>
      <c r="E47" s="1" t="s">
        <v>53</v>
      </c>
      <c r="F47" s="3">
        <v>46216</v>
      </c>
      <c r="G47" s="3">
        <v>46216</v>
      </c>
      <c r="H47" s="4">
        <v>0</v>
      </c>
      <c r="J47" s="1" t="s">
        <v>192</v>
      </c>
      <c r="L47" s="1" t="s">
        <v>144</v>
      </c>
      <c r="M47" s="1" t="s">
        <v>137</v>
      </c>
      <c r="N47" s="2">
        <v>46167</v>
      </c>
      <c r="P47" s="1" t="s">
        <v>178</v>
      </c>
      <c r="Q47" s="1" t="s">
        <v>193</v>
      </c>
      <c r="R47" s="1" t="s">
        <v>55</v>
      </c>
      <c r="S47" s="2">
        <v>46167</v>
      </c>
      <c r="T47" s="2">
        <v>46167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25">
      <c r="A48" s="1">
        <v>67</v>
      </c>
      <c r="B48" s="1" t="s">
        <v>194</v>
      </c>
      <c r="C48" s="1" t="s">
        <v>73</v>
      </c>
      <c r="D48" s="1" t="s">
        <v>195</v>
      </c>
      <c r="E48" s="1" t="s">
        <v>196</v>
      </c>
      <c r="F48" s="3">
        <v>46157</v>
      </c>
      <c r="G48" s="3">
        <v>46224</v>
      </c>
      <c r="H48" s="4">
        <v>0.54</v>
      </c>
      <c r="L48" s="1" t="s">
        <v>35</v>
      </c>
      <c r="M48" s="1" t="s">
        <v>44</v>
      </c>
      <c r="N48" s="2">
        <v>46211</v>
      </c>
      <c r="P48" s="1" t="s">
        <v>197</v>
      </c>
      <c r="Q48" s="1" t="s">
        <v>125</v>
      </c>
      <c r="R48" s="1" t="s">
        <v>55</v>
      </c>
      <c r="S48" s="2">
        <v>46161</v>
      </c>
      <c r="T48" s="2">
        <v>46211</v>
      </c>
      <c r="V48" s="1">
        <v>0.54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25">
      <c r="A49" s="1">
        <v>78</v>
      </c>
      <c r="B49" s="1" t="s">
        <v>198</v>
      </c>
      <c r="C49" s="1" t="s">
        <v>199</v>
      </c>
      <c r="D49" s="1" t="s">
        <v>200</v>
      </c>
      <c r="E49" s="1" t="s">
        <v>201</v>
      </c>
      <c r="F49" s="3">
        <v>46168</v>
      </c>
      <c r="G49" s="3">
        <v>46175</v>
      </c>
      <c r="H49" s="4">
        <v>1</v>
      </c>
      <c r="I49" s="3">
        <v>46175</v>
      </c>
      <c r="L49" s="1" t="s">
        <v>59</v>
      </c>
      <c r="M49" s="1" t="s">
        <v>44</v>
      </c>
      <c r="N49" s="2">
        <v>46168</v>
      </c>
      <c r="P49" s="1" t="s">
        <v>197</v>
      </c>
      <c r="Q49" s="1" t="s">
        <v>110</v>
      </c>
      <c r="R49" s="1" t="s">
        <v>55</v>
      </c>
      <c r="S49" s="2">
        <v>46161</v>
      </c>
      <c r="T49" s="2">
        <v>46168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25">
      <c r="A50" s="1">
        <v>79</v>
      </c>
      <c r="B50" s="1" t="s">
        <v>202</v>
      </c>
      <c r="C50" s="1" t="s">
        <v>203</v>
      </c>
      <c r="D50" s="1" t="s">
        <v>94</v>
      </c>
      <c r="E50" s="1" t="s">
        <v>121</v>
      </c>
      <c r="F50" s="3">
        <v>46168</v>
      </c>
      <c r="G50" s="3">
        <v>46169</v>
      </c>
      <c r="H50" s="4">
        <v>1</v>
      </c>
      <c r="I50" s="3">
        <v>46169</v>
      </c>
      <c r="J50" s="1" t="s">
        <v>204</v>
      </c>
      <c r="K50" s="1" t="s">
        <v>205</v>
      </c>
      <c r="L50" s="1" t="s">
        <v>59</v>
      </c>
      <c r="M50" s="1" t="s">
        <v>44</v>
      </c>
      <c r="N50" s="2">
        <v>46162</v>
      </c>
      <c r="P50" s="1" t="s">
        <v>197</v>
      </c>
      <c r="Q50" s="1" t="s">
        <v>110</v>
      </c>
      <c r="R50" s="1" t="s">
        <v>55</v>
      </c>
      <c r="S50" s="2">
        <v>46161</v>
      </c>
      <c r="T50" s="2">
        <v>46162</v>
      </c>
      <c r="V50" s="1">
        <v>1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</row>
    <row r="51" spans="1:33" x14ac:dyDescent="0.25">
      <c r="A51" s="1">
        <v>80</v>
      </c>
      <c r="B51" s="1" t="s">
        <v>206</v>
      </c>
      <c r="C51" s="1" t="s">
        <v>203</v>
      </c>
      <c r="D51" s="1" t="s">
        <v>98</v>
      </c>
      <c r="E51" s="1" t="s">
        <v>53</v>
      </c>
      <c r="F51" s="3">
        <v>46170</v>
      </c>
      <c r="G51" s="3">
        <v>46170</v>
      </c>
      <c r="H51" s="4">
        <v>1</v>
      </c>
      <c r="I51" s="3">
        <v>46170</v>
      </c>
      <c r="J51" s="1">
        <v>79</v>
      </c>
      <c r="K51" s="1">
        <v>81</v>
      </c>
      <c r="L51" s="1" t="s">
        <v>59</v>
      </c>
      <c r="M51" s="1" t="s">
        <v>190</v>
      </c>
      <c r="N51" s="2">
        <v>46163</v>
      </c>
      <c r="P51" s="1" t="s">
        <v>197</v>
      </c>
      <c r="Q51" s="1" t="s">
        <v>110</v>
      </c>
      <c r="R51" s="1" t="s">
        <v>55</v>
      </c>
      <c r="S51" s="2">
        <v>46163</v>
      </c>
      <c r="T51" s="2">
        <v>46163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25">
      <c r="A52" s="1">
        <v>81</v>
      </c>
      <c r="B52" s="1" t="s">
        <v>207</v>
      </c>
      <c r="C52" s="1" t="s">
        <v>203</v>
      </c>
      <c r="D52" s="1" t="s">
        <v>102</v>
      </c>
      <c r="E52" s="1" t="s">
        <v>121</v>
      </c>
      <c r="F52" s="3">
        <v>46171</v>
      </c>
      <c r="G52" s="3">
        <v>46174</v>
      </c>
      <c r="H52" s="4">
        <v>1</v>
      </c>
      <c r="I52" s="3">
        <v>46174</v>
      </c>
      <c r="J52" s="1">
        <v>80</v>
      </c>
      <c r="K52" s="1" t="s">
        <v>208</v>
      </c>
      <c r="L52" s="1" t="s">
        <v>59</v>
      </c>
      <c r="M52" s="1" t="s">
        <v>62</v>
      </c>
      <c r="N52" s="2">
        <v>46167</v>
      </c>
      <c r="P52" s="1" t="s">
        <v>197</v>
      </c>
      <c r="Q52" s="1" t="s">
        <v>110</v>
      </c>
      <c r="R52" s="1" t="s">
        <v>55</v>
      </c>
      <c r="S52" s="2">
        <v>46164</v>
      </c>
      <c r="T52" s="2">
        <v>46167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25">
      <c r="A53" s="1">
        <v>82</v>
      </c>
      <c r="B53" s="1" t="s">
        <v>209</v>
      </c>
      <c r="C53" s="1" t="s">
        <v>203</v>
      </c>
      <c r="D53" s="1" t="s">
        <v>108</v>
      </c>
      <c r="E53" s="1" t="s">
        <v>53</v>
      </c>
      <c r="F53" s="3">
        <v>46175</v>
      </c>
      <c r="G53" s="3">
        <v>46175</v>
      </c>
      <c r="H53" s="4">
        <v>1</v>
      </c>
      <c r="I53" s="3">
        <v>46175</v>
      </c>
      <c r="J53" s="1">
        <v>81</v>
      </c>
      <c r="L53" s="1" t="s">
        <v>59</v>
      </c>
      <c r="M53" s="1" t="s">
        <v>210</v>
      </c>
      <c r="N53" s="2">
        <v>46168</v>
      </c>
      <c r="P53" s="1" t="s">
        <v>197</v>
      </c>
      <c r="Q53" s="1" t="s">
        <v>211</v>
      </c>
      <c r="R53" s="1" t="s">
        <v>55</v>
      </c>
      <c r="S53" s="2">
        <v>46168</v>
      </c>
      <c r="T53" s="2">
        <v>46168</v>
      </c>
      <c r="V53" s="1">
        <v>1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1</v>
      </c>
      <c r="AF53" s="1">
        <v>0</v>
      </c>
      <c r="AG53" s="1">
        <v>0</v>
      </c>
    </row>
    <row r="54" spans="1:33" x14ac:dyDescent="0.25">
      <c r="A54" s="1">
        <v>83</v>
      </c>
      <c r="B54" s="1" t="s">
        <v>212</v>
      </c>
      <c r="C54" s="1" t="s">
        <v>199</v>
      </c>
      <c r="D54" s="1" t="s">
        <v>213</v>
      </c>
      <c r="E54" s="1" t="s">
        <v>136</v>
      </c>
      <c r="F54" s="3">
        <v>46204</v>
      </c>
      <c r="G54" s="3">
        <v>46216</v>
      </c>
      <c r="H54" s="4">
        <v>0.43</v>
      </c>
      <c r="L54" s="1" t="s">
        <v>131</v>
      </c>
      <c r="M54" s="1" t="s">
        <v>145</v>
      </c>
      <c r="N54" s="2">
        <v>46178</v>
      </c>
      <c r="P54" s="1" t="s">
        <v>197</v>
      </c>
      <c r="Q54" s="1" t="s">
        <v>138</v>
      </c>
      <c r="R54" s="1" t="s">
        <v>55</v>
      </c>
      <c r="S54" s="2">
        <v>46170</v>
      </c>
      <c r="T54" s="2">
        <v>46178</v>
      </c>
      <c r="V54" s="1">
        <v>0.43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25">
      <c r="A55" s="1">
        <v>84</v>
      </c>
      <c r="B55" s="1" t="s">
        <v>214</v>
      </c>
      <c r="C55" s="1" t="s">
        <v>215</v>
      </c>
      <c r="D55" s="1" t="s">
        <v>94</v>
      </c>
      <c r="E55" s="1" t="s">
        <v>95</v>
      </c>
      <c r="F55" s="3">
        <v>46204</v>
      </c>
      <c r="G55" s="3">
        <v>46206</v>
      </c>
      <c r="H55" s="4">
        <v>1</v>
      </c>
      <c r="I55" s="3">
        <v>46206</v>
      </c>
      <c r="J55" s="1">
        <v>74</v>
      </c>
      <c r="K55" s="1">
        <v>85</v>
      </c>
      <c r="L55" s="1" t="s">
        <v>59</v>
      </c>
      <c r="M55" s="1" t="s">
        <v>145</v>
      </c>
      <c r="N55" s="2">
        <v>46174</v>
      </c>
      <c r="P55" s="1" t="s">
        <v>197</v>
      </c>
      <c r="Q55" s="1" t="s">
        <v>138</v>
      </c>
      <c r="R55" s="1" t="s">
        <v>55</v>
      </c>
      <c r="S55" s="2">
        <v>46170</v>
      </c>
      <c r="T55" s="2">
        <v>46174</v>
      </c>
      <c r="V55" s="1">
        <v>1</v>
      </c>
      <c r="W55" s="1">
        <v>1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</row>
    <row r="56" spans="1:33" x14ac:dyDescent="0.25">
      <c r="A56" s="1">
        <v>85</v>
      </c>
      <c r="B56" s="1" t="s">
        <v>216</v>
      </c>
      <c r="C56" s="1" t="s">
        <v>215</v>
      </c>
      <c r="D56" s="1" t="s">
        <v>98</v>
      </c>
      <c r="E56" s="1" t="s">
        <v>53</v>
      </c>
      <c r="F56" s="3">
        <v>46209</v>
      </c>
      <c r="G56" s="3">
        <v>46209</v>
      </c>
      <c r="H56" s="4">
        <v>0</v>
      </c>
      <c r="J56" s="1">
        <v>84</v>
      </c>
      <c r="K56" s="1">
        <v>86</v>
      </c>
      <c r="L56" s="1" t="s">
        <v>144</v>
      </c>
      <c r="M56" s="1" t="s">
        <v>150</v>
      </c>
      <c r="N56" s="2">
        <v>46175</v>
      </c>
      <c r="P56" s="1" t="s">
        <v>197</v>
      </c>
      <c r="Q56" s="1" t="s">
        <v>146</v>
      </c>
      <c r="R56" s="1" t="s">
        <v>55</v>
      </c>
      <c r="S56" s="2">
        <v>46175</v>
      </c>
      <c r="T56" s="2">
        <v>46175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25">
      <c r="A57" s="1">
        <v>86</v>
      </c>
      <c r="B57" s="1" t="s">
        <v>217</v>
      </c>
      <c r="C57" s="1" t="s">
        <v>215</v>
      </c>
      <c r="D57" s="1" t="s">
        <v>102</v>
      </c>
      <c r="E57" s="1" t="s">
        <v>121</v>
      </c>
      <c r="F57" s="3">
        <v>46210</v>
      </c>
      <c r="G57" s="3">
        <v>46211</v>
      </c>
      <c r="H57" s="4">
        <v>0</v>
      </c>
      <c r="J57" s="1">
        <v>85</v>
      </c>
      <c r="K57" s="1">
        <v>87</v>
      </c>
      <c r="L57" s="1" t="s">
        <v>144</v>
      </c>
      <c r="M57" s="1" t="s">
        <v>218</v>
      </c>
      <c r="N57" s="2">
        <v>46177</v>
      </c>
      <c r="P57" s="1" t="s">
        <v>197</v>
      </c>
      <c r="Q57" s="1" t="s">
        <v>146</v>
      </c>
      <c r="R57" s="1" t="s">
        <v>55</v>
      </c>
      <c r="S57" s="2">
        <v>46176</v>
      </c>
      <c r="T57" s="2">
        <v>46177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25">
      <c r="A58" s="1">
        <v>87</v>
      </c>
      <c r="B58" s="1" t="s">
        <v>219</v>
      </c>
      <c r="C58" s="1" t="s">
        <v>215</v>
      </c>
      <c r="D58" s="1" t="s">
        <v>108</v>
      </c>
      <c r="E58" s="1" t="s">
        <v>53</v>
      </c>
      <c r="F58" s="3">
        <v>46216</v>
      </c>
      <c r="G58" s="3">
        <v>46216</v>
      </c>
      <c r="H58" s="4">
        <v>0</v>
      </c>
      <c r="J58" s="1">
        <v>86</v>
      </c>
      <c r="L58" s="1" t="s">
        <v>144</v>
      </c>
      <c r="M58" s="1" t="s">
        <v>220</v>
      </c>
      <c r="N58" s="2">
        <v>46178</v>
      </c>
      <c r="P58" s="1" t="s">
        <v>197</v>
      </c>
      <c r="Q58" s="1" t="s">
        <v>146</v>
      </c>
      <c r="R58" s="1" t="s">
        <v>55</v>
      </c>
      <c r="S58" s="2">
        <v>46178</v>
      </c>
      <c r="T58" s="2">
        <v>46178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25">
      <c r="A59" s="1">
        <v>88</v>
      </c>
      <c r="B59" s="1" t="s">
        <v>221</v>
      </c>
      <c r="C59" s="1" t="s">
        <v>199</v>
      </c>
      <c r="D59" s="1" t="s">
        <v>222</v>
      </c>
      <c r="E59" s="1" t="s">
        <v>201</v>
      </c>
      <c r="F59" s="3">
        <v>46216</v>
      </c>
      <c r="G59" s="3">
        <v>46224</v>
      </c>
      <c r="H59" s="4">
        <v>0</v>
      </c>
      <c r="L59" s="1" t="s">
        <v>144</v>
      </c>
      <c r="M59" s="1" t="s">
        <v>223</v>
      </c>
      <c r="N59" s="2">
        <v>46211</v>
      </c>
      <c r="P59" s="1" t="s">
        <v>197</v>
      </c>
      <c r="Q59" s="1" t="s">
        <v>151</v>
      </c>
      <c r="R59" s="1" t="s">
        <v>55</v>
      </c>
      <c r="S59" s="2">
        <v>46195</v>
      </c>
      <c r="T59" s="2">
        <v>46211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25">
      <c r="A60" s="1">
        <v>89</v>
      </c>
      <c r="B60" s="1" t="s">
        <v>224</v>
      </c>
      <c r="C60" s="1" t="s">
        <v>225</v>
      </c>
      <c r="D60" s="1" t="s">
        <v>94</v>
      </c>
      <c r="E60" s="1" t="s">
        <v>95</v>
      </c>
      <c r="F60" s="3">
        <v>46216</v>
      </c>
      <c r="G60" s="3">
        <v>46219</v>
      </c>
      <c r="H60" s="4">
        <v>0</v>
      </c>
      <c r="J60" s="1">
        <v>331</v>
      </c>
      <c r="K60" s="1">
        <v>90</v>
      </c>
      <c r="L60" s="1" t="s">
        <v>144</v>
      </c>
      <c r="M60" s="1" t="s">
        <v>223</v>
      </c>
      <c r="N60" s="2">
        <v>46205</v>
      </c>
      <c r="P60" s="1" t="s">
        <v>197</v>
      </c>
      <c r="Q60" s="1" t="s">
        <v>151</v>
      </c>
      <c r="R60" s="1" t="s">
        <v>55</v>
      </c>
      <c r="S60" s="2">
        <v>46195</v>
      </c>
      <c r="T60" s="2">
        <v>46205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25">
      <c r="A61" s="1">
        <v>90</v>
      </c>
      <c r="B61" s="1" t="s">
        <v>226</v>
      </c>
      <c r="C61" s="1" t="s">
        <v>225</v>
      </c>
      <c r="D61" s="1" t="s">
        <v>98</v>
      </c>
      <c r="E61" s="1" t="s">
        <v>53</v>
      </c>
      <c r="F61" s="3">
        <v>46219</v>
      </c>
      <c r="G61" s="3">
        <v>46220</v>
      </c>
      <c r="H61" s="4">
        <v>0</v>
      </c>
      <c r="J61" s="1">
        <v>89</v>
      </c>
      <c r="K61" s="1">
        <v>91</v>
      </c>
      <c r="L61" s="1" t="s">
        <v>144</v>
      </c>
      <c r="M61" s="1" t="s">
        <v>159</v>
      </c>
      <c r="N61" s="2">
        <v>46206</v>
      </c>
      <c r="P61" s="1" t="s">
        <v>197</v>
      </c>
      <c r="Q61" s="1" t="s">
        <v>151</v>
      </c>
      <c r="R61" s="1" t="s">
        <v>55</v>
      </c>
      <c r="S61" s="2">
        <v>46206</v>
      </c>
      <c r="T61" s="2">
        <v>46206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25">
      <c r="A62" s="1">
        <v>91</v>
      </c>
      <c r="B62" s="1" t="s">
        <v>227</v>
      </c>
      <c r="C62" s="1" t="s">
        <v>225</v>
      </c>
      <c r="D62" s="1" t="s">
        <v>102</v>
      </c>
      <c r="E62" s="1" t="s">
        <v>53</v>
      </c>
      <c r="F62" s="3">
        <v>46220</v>
      </c>
      <c r="G62" s="3">
        <v>46223</v>
      </c>
      <c r="H62" s="4">
        <v>0</v>
      </c>
      <c r="J62" s="1">
        <v>90</v>
      </c>
      <c r="K62" s="1">
        <v>92</v>
      </c>
      <c r="L62" s="1" t="s">
        <v>144</v>
      </c>
      <c r="M62" s="1" t="s">
        <v>161</v>
      </c>
      <c r="N62" s="2">
        <v>46210</v>
      </c>
      <c r="P62" s="1" t="s">
        <v>197</v>
      </c>
      <c r="Q62" s="1" t="s">
        <v>151</v>
      </c>
      <c r="R62" s="1" t="s">
        <v>55</v>
      </c>
      <c r="S62" s="2">
        <v>46209</v>
      </c>
      <c r="T62" s="2">
        <v>46210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25">
      <c r="A63" s="1">
        <v>92</v>
      </c>
      <c r="B63" s="1" t="s">
        <v>228</v>
      </c>
      <c r="C63" s="1" t="s">
        <v>225</v>
      </c>
      <c r="D63" s="1" t="s">
        <v>108</v>
      </c>
      <c r="E63" s="1" t="s">
        <v>53</v>
      </c>
      <c r="F63" s="3">
        <v>46223</v>
      </c>
      <c r="G63" s="3">
        <v>46224</v>
      </c>
      <c r="H63" s="4">
        <v>0</v>
      </c>
      <c r="J63" s="1">
        <v>91</v>
      </c>
      <c r="L63" s="1" t="s">
        <v>144</v>
      </c>
      <c r="M63" s="1" t="s">
        <v>163</v>
      </c>
      <c r="N63" s="2">
        <v>46211</v>
      </c>
      <c r="P63" s="1" t="s">
        <v>197</v>
      </c>
      <c r="Q63" s="1" t="s">
        <v>193</v>
      </c>
      <c r="R63" s="1" t="s">
        <v>55</v>
      </c>
      <c r="S63" s="2">
        <v>46211</v>
      </c>
      <c r="T63" s="2">
        <v>46211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25">
      <c r="A64" s="1">
        <v>93</v>
      </c>
      <c r="B64" s="1" t="s">
        <v>229</v>
      </c>
      <c r="C64" s="1" t="s">
        <v>199</v>
      </c>
      <c r="D64" s="1" t="s">
        <v>230</v>
      </c>
      <c r="E64" s="1" t="s">
        <v>201</v>
      </c>
      <c r="F64" s="3">
        <v>46216</v>
      </c>
      <c r="G64" s="3">
        <v>46224</v>
      </c>
      <c r="H64" s="4">
        <v>0</v>
      </c>
      <c r="L64" s="1" t="s">
        <v>144</v>
      </c>
      <c r="M64" s="1" t="s">
        <v>223</v>
      </c>
      <c r="N64" s="2">
        <v>46211</v>
      </c>
      <c r="P64" s="1" t="s">
        <v>197</v>
      </c>
      <c r="Q64" s="1" t="s">
        <v>151</v>
      </c>
      <c r="R64" s="1" t="s">
        <v>55</v>
      </c>
      <c r="S64" s="2">
        <v>46195</v>
      </c>
      <c r="T64" s="2">
        <v>46211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25">
      <c r="A65" s="1">
        <v>94</v>
      </c>
      <c r="B65" s="1" t="s">
        <v>231</v>
      </c>
      <c r="C65" s="1" t="s">
        <v>232</v>
      </c>
      <c r="D65" s="1" t="s">
        <v>94</v>
      </c>
      <c r="E65" s="1" t="s">
        <v>95</v>
      </c>
      <c r="F65" s="3">
        <v>46216</v>
      </c>
      <c r="G65" s="3">
        <v>46219</v>
      </c>
      <c r="H65" s="4">
        <v>0</v>
      </c>
      <c r="J65" s="1">
        <v>331</v>
      </c>
      <c r="K65" s="1">
        <v>95</v>
      </c>
      <c r="L65" s="1" t="s">
        <v>144</v>
      </c>
      <c r="M65" s="1" t="s">
        <v>223</v>
      </c>
      <c r="N65" s="2">
        <v>46205</v>
      </c>
      <c r="P65" s="1" t="s">
        <v>197</v>
      </c>
      <c r="Q65" s="1" t="s">
        <v>151</v>
      </c>
      <c r="R65" s="1" t="s">
        <v>55</v>
      </c>
      <c r="S65" s="2">
        <v>46195</v>
      </c>
      <c r="T65" s="2">
        <v>46205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25">
      <c r="A66" s="1">
        <v>95</v>
      </c>
      <c r="B66" s="1" t="s">
        <v>233</v>
      </c>
      <c r="C66" s="1" t="s">
        <v>232</v>
      </c>
      <c r="D66" s="1" t="s">
        <v>98</v>
      </c>
      <c r="E66" s="1" t="s">
        <v>53</v>
      </c>
      <c r="F66" s="3">
        <v>46219</v>
      </c>
      <c r="G66" s="3">
        <v>46220</v>
      </c>
      <c r="H66" s="4">
        <v>0</v>
      </c>
      <c r="J66" s="1">
        <v>94</v>
      </c>
      <c r="K66" s="1">
        <v>96</v>
      </c>
      <c r="L66" s="1" t="s">
        <v>144</v>
      </c>
      <c r="M66" s="1" t="s">
        <v>159</v>
      </c>
      <c r="N66" s="2">
        <v>46206</v>
      </c>
      <c r="P66" s="1" t="s">
        <v>197</v>
      </c>
      <c r="Q66" s="1" t="s">
        <v>151</v>
      </c>
      <c r="R66" s="1" t="s">
        <v>55</v>
      </c>
      <c r="S66" s="2">
        <v>46206</v>
      </c>
      <c r="T66" s="2">
        <v>46206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25">
      <c r="A67" s="1">
        <v>96</v>
      </c>
      <c r="B67" s="1" t="s">
        <v>234</v>
      </c>
      <c r="C67" s="1" t="s">
        <v>232</v>
      </c>
      <c r="D67" s="1" t="s">
        <v>102</v>
      </c>
      <c r="E67" s="1" t="s">
        <v>53</v>
      </c>
      <c r="F67" s="3">
        <v>46220</v>
      </c>
      <c r="G67" s="3">
        <v>46223</v>
      </c>
      <c r="H67" s="4">
        <v>0</v>
      </c>
      <c r="J67" s="1">
        <v>95</v>
      </c>
      <c r="K67" s="1">
        <v>97</v>
      </c>
      <c r="L67" s="1" t="s">
        <v>144</v>
      </c>
      <c r="M67" s="1" t="s">
        <v>161</v>
      </c>
      <c r="N67" s="2">
        <v>46210</v>
      </c>
      <c r="P67" s="1" t="s">
        <v>197</v>
      </c>
      <c r="Q67" s="1" t="s">
        <v>151</v>
      </c>
      <c r="R67" s="1" t="s">
        <v>55</v>
      </c>
      <c r="S67" s="2">
        <v>46209</v>
      </c>
      <c r="T67" s="2">
        <v>46210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25">
      <c r="A68" s="1">
        <v>97</v>
      </c>
      <c r="B68" s="1" t="s">
        <v>235</v>
      </c>
      <c r="C68" s="1" t="s">
        <v>232</v>
      </c>
      <c r="D68" s="1" t="s">
        <v>108</v>
      </c>
      <c r="E68" s="1" t="s">
        <v>53</v>
      </c>
      <c r="F68" s="3">
        <v>46223</v>
      </c>
      <c r="G68" s="3">
        <v>46224</v>
      </c>
      <c r="H68" s="4">
        <v>0</v>
      </c>
      <c r="J68" s="1">
        <v>96</v>
      </c>
      <c r="L68" s="1" t="s">
        <v>144</v>
      </c>
      <c r="M68" s="1" t="s">
        <v>163</v>
      </c>
      <c r="N68" s="2">
        <v>46211</v>
      </c>
      <c r="P68" s="1" t="s">
        <v>197</v>
      </c>
      <c r="Q68" s="1" t="s">
        <v>193</v>
      </c>
      <c r="R68" s="1" t="s">
        <v>55</v>
      </c>
      <c r="S68" s="2">
        <v>46211</v>
      </c>
      <c r="T68" s="2">
        <v>46211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25">
      <c r="A69" s="1">
        <v>98</v>
      </c>
      <c r="B69" s="1" t="s">
        <v>236</v>
      </c>
      <c r="C69" s="1" t="s">
        <v>199</v>
      </c>
      <c r="D69" s="1" t="s">
        <v>237</v>
      </c>
      <c r="E69" s="1" t="s">
        <v>201</v>
      </c>
      <c r="F69" s="3">
        <v>46216</v>
      </c>
      <c r="G69" s="3">
        <v>46224</v>
      </c>
      <c r="H69" s="4">
        <v>0</v>
      </c>
      <c r="L69" s="1" t="s">
        <v>144</v>
      </c>
      <c r="M69" s="1" t="s">
        <v>223</v>
      </c>
      <c r="N69" s="2">
        <v>46211</v>
      </c>
      <c r="P69" s="1" t="s">
        <v>197</v>
      </c>
      <c r="Q69" s="1" t="s">
        <v>151</v>
      </c>
      <c r="R69" s="1" t="s">
        <v>55</v>
      </c>
      <c r="S69" s="2">
        <v>46195</v>
      </c>
      <c r="T69" s="2">
        <v>46211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25">
      <c r="A70" s="1">
        <v>99</v>
      </c>
      <c r="B70" s="1" t="s">
        <v>238</v>
      </c>
      <c r="C70" s="1" t="s">
        <v>239</v>
      </c>
      <c r="D70" s="1" t="s">
        <v>94</v>
      </c>
      <c r="E70" s="1" t="s">
        <v>95</v>
      </c>
      <c r="F70" s="3">
        <v>46216</v>
      </c>
      <c r="G70" s="3">
        <v>46219</v>
      </c>
      <c r="H70" s="4">
        <v>0</v>
      </c>
      <c r="J70" s="1">
        <v>331</v>
      </c>
      <c r="K70" s="1">
        <v>100</v>
      </c>
      <c r="L70" s="1" t="s">
        <v>144</v>
      </c>
      <c r="M70" s="1" t="s">
        <v>223</v>
      </c>
      <c r="N70" s="2">
        <v>46205</v>
      </c>
      <c r="P70" s="1" t="s">
        <v>197</v>
      </c>
      <c r="Q70" s="1" t="s">
        <v>151</v>
      </c>
      <c r="R70" s="1" t="s">
        <v>55</v>
      </c>
      <c r="S70" s="2">
        <v>46195</v>
      </c>
      <c r="T70" s="2">
        <v>46205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25">
      <c r="A71" s="1">
        <v>100</v>
      </c>
      <c r="B71" s="1" t="s">
        <v>240</v>
      </c>
      <c r="C71" s="1" t="s">
        <v>239</v>
      </c>
      <c r="D71" s="1" t="s">
        <v>98</v>
      </c>
      <c r="E71" s="1" t="s">
        <v>53</v>
      </c>
      <c r="F71" s="3">
        <v>46219</v>
      </c>
      <c r="G71" s="3">
        <v>46220</v>
      </c>
      <c r="H71" s="4">
        <v>0</v>
      </c>
      <c r="J71" s="1">
        <v>99</v>
      </c>
      <c r="K71" s="1">
        <v>101</v>
      </c>
      <c r="L71" s="1" t="s">
        <v>144</v>
      </c>
      <c r="M71" s="1" t="s">
        <v>159</v>
      </c>
      <c r="N71" s="2">
        <v>46206</v>
      </c>
      <c r="P71" s="1" t="s">
        <v>197</v>
      </c>
      <c r="Q71" s="1" t="s">
        <v>151</v>
      </c>
      <c r="R71" s="1" t="s">
        <v>55</v>
      </c>
      <c r="S71" s="2">
        <v>46206</v>
      </c>
      <c r="T71" s="2">
        <v>46206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25">
      <c r="A72" s="1">
        <v>101</v>
      </c>
      <c r="B72" s="1" t="s">
        <v>241</v>
      </c>
      <c r="C72" s="1" t="s">
        <v>239</v>
      </c>
      <c r="D72" s="1" t="s">
        <v>102</v>
      </c>
      <c r="E72" s="1" t="s">
        <v>53</v>
      </c>
      <c r="F72" s="3">
        <v>46220</v>
      </c>
      <c r="G72" s="3">
        <v>46223</v>
      </c>
      <c r="H72" s="4">
        <v>0</v>
      </c>
      <c r="J72" s="1">
        <v>100</v>
      </c>
      <c r="K72" s="1">
        <v>102</v>
      </c>
      <c r="L72" s="1" t="s">
        <v>144</v>
      </c>
      <c r="M72" s="1" t="s">
        <v>161</v>
      </c>
      <c r="N72" s="2">
        <v>46210</v>
      </c>
      <c r="P72" s="1" t="s">
        <v>197</v>
      </c>
      <c r="Q72" s="1" t="s">
        <v>151</v>
      </c>
      <c r="R72" s="1" t="s">
        <v>55</v>
      </c>
      <c r="S72" s="2">
        <v>46209</v>
      </c>
      <c r="T72" s="2">
        <v>46210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25">
      <c r="A73" s="1">
        <v>102</v>
      </c>
      <c r="B73" s="1" t="s">
        <v>242</v>
      </c>
      <c r="C73" s="1" t="s">
        <v>239</v>
      </c>
      <c r="D73" s="1" t="s">
        <v>108</v>
      </c>
      <c r="E73" s="1" t="s">
        <v>53</v>
      </c>
      <c r="F73" s="3">
        <v>46223</v>
      </c>
      <c r="G73" s="3">
        <v>46224</v>
      </c>
      <c r="H73" s="4">
        <v>0</v>
      </c>
      <c r="J73" s="1">
        <v>101</v>
      </c>
      <c r="L73" s="1" t="s">
        <v>144</v>
      </c>
      <c r="M73" s="1" t="s">
        <v>163</v>
      </c>
      <c r="N73" s="2">
        <v>46211</v>
      </c>
      <c r="P73" s="1" t="s">
        <v>197</v>
      </c>
      <c r="Q73" s="1" t="s">
        <v>193</v>
      </c>
      <c r="R73" s="1" t="s">
        <v>55</v>
      </c>
      <c r="S73" s="2">
        <v>46211</v>
      </c>
      <c r="T73" s="2">
        <v>46211</v>
      </c>
      <c r="V73" s="1">
        <v>0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25">
      <c r="A74" s="1">
        <v>103</v>
      </c>
      <c r="B74" s="1" t="s">
        <v>243</v>
      </c>
      <c r="C74" s="1" t="s">
        <v>199</v>
      </c>
      <c r="D74" s="1" t="s">
        <v>244</v>
      </c>
      <c r="E74" s="1" t="s">
        <v>201</v>
      </c>
      <c r="F74" s="3">
        <v>46216</v>
      </c>
      <c r="G74" s="3">
        <v>46224</v>
      </c>
      <c r="H74" s="4">
        <v>0</v>
      </c>
      <c r="L74" s="1" t="s">
        <v>144</v>
      </c>
      <c r="M74" s="1" t="s">
        <v>223</v>
      </c>
      <c r="N74" s="2">
        <v>46211</v>
      </c>
      <c r="P74" s="1" t="s">
        <v>197</v>
      </c>
      <c r="Q74" s="1" t="s">
        <v>151</v>
      </c>
      <c r="R74" s="1" t="s">
        <v>55</v>
      </c>
      <c r="S74" s="2">
        <v>46195</v>
      </c>
      <c r="T74" s="2">
        <v>46211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25">
      <c r="A75" s="1">
        <v>104</v>
      </c>
      <c r="B75" s="1" t="s">
        <v>245</v>
      </c>
      <c r="C75" s="1" t="s">
        <v>246</v>
      </c>
      <c r="D75" s="1" t="s">
        <v>94</v>
      </c>
      <c r="E75" s="1" t="s">
        <v>95</v>
      </c>
      <c r="F75" s="3">
        <v>46216</v>
      </c>
      <c r="G75" s="3">
        <v>46219</v>
      </c>
      <c r="H75" s="4">
        <v>0</v>
      </c>
      <c r="J75" s="1">
        <v>331</v>
      </c>
      <c r="K75" s="1">
        <v>105</v>
      </c>
      <c r="L75" s="1" t="s">
        <v>144</v>
      </c>
      <c r="M75" s="1" t="s">
        <v>223</v>
      </c>
      <c r="N75" s="2">
        <v>46205</v>
      </c>
      <c r="P75" s="1" t="s">
        <v>197</v>
      </c>
      <c r="Q75" s="1" t="s">
        <v>151</v>
      </c>
      <c r="R75" s="1" t="s">
        <v>55</v>
      </c>
      <c r="S75" s="2">
        <v>46195</v>
      </c>
      <c r="T75" s="2">
        <v>46205</v>
      </c>
      <c r="V75" s="1">
        <v>0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25">
      <c r="A76" s="1">
        <v>105</v>
      </c>
      <c r="B76" s="1" t="s">
        <v>247</v>
      </c>
      <c r="C76" s="1" t="s">
        <v>246</v>
      </c>
      <c r="D76" s="1" t="s">
        <v>98</v>
      </c>
      <c r="E76" s="1" t="s">
        <v>53</v>
      </c>
      <c r="F76" s="3">
        <v>46219</v>
      </c>
      <c r="G76" s="3">
        <v>46220</v>
      </c>
      <c r="H76" s="4">
        <v>0</v>
      </c>
      <c r="J76" s="1">
        <v>104</v>
      </c>
      <c r="K76" s="1">
        <v>106</v>
      </c>
      <c r="L76" s="1" t="s">
        <v>144</v>
      </c>
      <c r="M76" s="1" t="s">
        <v>159</v>
      </c>
      <c r="N76" s="2">
        <v>46206</v>
      </c>
      <c r="P76" s="1" t="s">
        <v>197</v>
      </c>
      <c r="Q76" s="1" t="s">
        <v>151</v>
      </c>
      <c r="R76" s="1" t="s">
        <v>55</v>
      </c>
      <c r="S76" s="2">
        <v>46206</v>
      </c>
      <c r="T76" s="2">
        <v>46206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25">
      <c r="A77" s="1">
        <v>106</v>
      </c>
      <c r="B77" s="1" t="s">
        <v>248</v>
      </c>
      <c r="C77" s="1" t="s">
        <v>246</v>
      </c>
      <c r="D77" s="1" t="s">
        <v>102</v>
      </c>
      <c r="E77" s="1" t="s">
        <v>53</v>
      </c>
      <c r="F77" s="3">
        <v>46220</v>
      </c>
      <c r="G77" s="3">
        <v>46223</v>
      </c>
      <c r="H77" s="4">
        <v>0</v>
      </c>
      <c r="J77" s="1">
        <v>105</v>
      </c>
      <c r="K77" s="1">
        <v>107</v>
      </c>
      <c r="L77" s="1" t="s">
        <v>144</v>
      </c>
      <c r="M77" s="1" t="s">
        <v>161</v>
      </c>
      <c r="N77" s="2">
        <v>46210</v>
      </c>
      <c r="P77" s="1" t="s">
        <v>197</v>
      </c>
      <c r="Q77" s="1" t="s">
        <v>151</v>
      </c>
      <c r="R77" s="1" t="s">
        <v>55</v>
      </c>
      <c r="S77" s="2">
        <v>46209</v>
      </c>
      <c r="T77" s="2">
        <v>46210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25">
      <c r="A78" s="1">
        <v>107</v>
      </c>
      <c r="B78" s="1" t="s">
        <v>249</v>
      </c>
      <c r="C78" s="1" t="s">
        <v>246</v>
      </c>
      <c r="D78" s="1" t="s">
        <v>108</v>
      </c>
      <c r="E78" s="1" t="s">
        <v>53</v>
      </c>
      <c r="F78" s="3">
        <v>46223</v>
      </c>
      <c r="G78" s="3">
        <v>46224</v>
      </c>
      <c r="H78" s="4">
        <v>0</v>
      </c>
      <c r="J78" s="1">
        <v>106</v>
      </c>
      <c r="L78" s="1" t="s">
        <v>144</v>
      </c>
      <c r="M78" s="1" t="s">
        <v>163</v>
      </c>
      <c r="N78" s="2">
        <v>46211</v>
      </c>
      <c r="P78" s="1" t="s">
        <v>197</v>
      </c>
      <c r="Q78" s="1" t="s">
        <v>193</v>
      </c>
      <c r="R78" s="1" t="s">
        <v>55</v>
      </c>
      <c r="S78" s="2">
        <v>46211</v>
      </c>
      <c r="T78" s="2">
        <v>46211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25">
      <c r="A79" s="1">
        <v>108</v>
      </c>
      <c r="B79" s="1" t="s">
        <v>250</v>
      </c>
      <c r="C79" s="1" t="s">
        <v>199</v>
      </c>
      <c r="D79" s="1" t="s">
        <v>251</v>
      </c>
      <c r="E79" s="1" t="s">
        <v>201</v>
      </c>
      <c r="F79" s="3">
        <v>46216</v>
      </c>
      <c r="G79" s="3">
        <v>46224</v>
      </c>
      <c r="H79" s="4">
        <v>0</v>
      </c>
      <c r="L79" s="1" t="s">
        <v>144</v>
      </c>
      <c r="M79" s="1" t="s">
        <v>223</v>
      </c>
      <c r="N79" s="2">
        <v>46211</v>
      </c>
      <c r="P79" s="1" t="s">
        <v>197</v>
      </c>
      <c r="Q79" s="1" t="s">
        <v>151</v>
      </c>
      <c r="R79" s="1" t="s">
        <v>55</v>
      </c>
      <c r="S79" s="2">
        <v>46195</v>
      </c>
      <c r="T79" s="2">
        <v>46211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25">
      <c r="A80" s="1">
        <v>109</v>
      </c>
      <c r="B80" s="1" t="s">
        <v>252</v>
      </c>
      <c r="C80" s="1" t="s">
        <v>253</v>
      </c>
      <c r="D80" s="1" t="s">
        <v>94</v>
      </c>
      <c r="E80" s="1" t="s">
        <v>95</v>
      </c>
      <c r="F80" s="3">
        <v>46216</v>
      </c>
      <c r="G80" s="3">
        <v>46219</v>
      </c>
      <c r="H80" s="4">
        <v>0</v>
      </c>
      <c r="J80" s="1">
        <v>331</v>
      </c>
      <c r="K80" s="1">
        <v>110</v>
      </c>
      <c r="L80" s="1" t="s">
        <v>144</v>
      </c>
      <c r="M80" s="1" t="s">
        <v>223</v>
      </c>
      <c r="N80" s="2">
        <v>46205</v>
      </c>
      <c r="P80" s="1" t="s">
        <v>197</v>
      </c>
      <c r="Q80" s="1" t="s">
        <v>151</v>
      </c>
      <c r="R80" s="1" t="s">
        <v>55</v>
      </c>
      <c r="S80" s="2">
        <v>46195</v>
      </c>
      <c r="T80" s="2">
        <v>46205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25">
      <c r="A81" s="1">
        <v>110</v>
      </c>
      <c r="B81" s="1" t="s">
        <v>254</v>
      </c>
      <c r="C81" s="1" t="s">
        <v>253</v>
      </c>
      <c r="D81" s="1" t="s">
        <v>98</v>
      </c>
      <c r="E81" s="1" t="s">
        <v>53</v>
      </c>
      <c r="F81" s="3">
        <v>46219</v>
      </c>
      <c r="G81" s="3">
        <v>46220</v>
      </c>
      <c r="H81" s="4">
        <v>0</v>
      </c>
      <c r="J81" s="1">
        <v>109</v>
      </c>
      <c r="K81" s="1">
        <v>111</v>
      </c>
      <c r="L81" s="1" t="s">
        <v>144</v>
      </c>
      <c r="M81" s="1" t="s">
        <v>159</v>
      </c>
      <c r="N81" s="2">
        <v>46206</v>
      </c>
      <c r="P81" s="1" t="s">
        <v>197</v>
      </c>
      <c r="Q81" s="1" t="s">
        <v>151</v>
      </c>
      <c r="R81" s="1" t="s">
        <v>55</v>
      </c>
      <c r="S81" s="2">
        <v>46206</v>
      </c>
      <c r="T81" s="2">
        <v>46206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x14ac:dyDescent="0.25">
      <c r="A82" s="1">
        <v>111</v>
      </c>
      <c r="B82" s="1" t="s">
        <v>255</v>
      </c>
      <c r="C82" s="1" t="s">
        <v>253</v>
      </c>
      <c r="D82" s="1" t="s">
        <v>102</v>
      </c>
      <c r="E82" s="1" t="s">
        <v>53</v>
      </c>
      <c r="F82" s="3">
        <v>46220</v>
      </c>
      <c r="G82" s="3">
        <v>46223</v>
      </c>
      <c r="H82" s="4">
        <v>0</v>
      </c>
      <c r="J82" s="1">
        <v>110</v>
      </c>
      <c r="K82" s="1">
        <v>112</v>
      </c>
      <c r="L82" s="1" t="s">
        <v>144</v>
      </c>
      <c r="M82" s="1" t="s">
        <v>161</v>
      </c>
      <c r="N82" s="2">
        <v>46210</v>
      </c>
      <c r="P82" s="1" t="s">
        <v>197</v>
      </c>
      <c r="Q82" s="1" t="s">
        <v>151</v>
      </c>
      <c r="R82" s="1" t="s">
        <v>55</v>
      </c>
      <c r="S82" s="2">
        <v>46209</v>
      </c>
      <c r="T82" s="2">
        <v>46210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x14ac:dyDescent="0.25">
      <c r="A83" s="1">
        <v>112</v>
      </c>
      <c r="B83" s="1" t="s">
        <v>256</v>
      </c>
      <c r="C83" s="1" t="s">
        <v>253</v>
      </c>
      <c r="D83" s="1" t="s">
        <v>108</v>
      </c>
      <c r="E83" s="1" t="s">
        <v>53</v>
      </c>
      <c r="F83" s="3">
        <v>46223</v>
      </c>
      <c r="G83" s="3">
        <v>46224</v>
      </c>
      <c r="H83" s="4">
        <v>0</v>
      </c>
      <c r="J83" s="1">
        <v>111</v>
      </c>
      <c r="L83" s="1" t="s">
        <v>144</v>
      </c>
      <c r="M83" s="1" t="s">
        <v>163</v>
      </c>
      <c r="N83" s="2">
        <v>46211</v>
      </c>
      <c r="P83" s="1" t="s">
        <v>197</v>
      </c>
      <c r="Q83" s="1" t="s">
        <v>193</v>
      </c>
      <c r="R83" s="1" t="s">
        <v>55</v>
      </c>
      <c r="S83" s="2">
        <v>46211</v>
      </c>
      <c r="T83" s="2">
        <v>46211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25">
      <c r="A84" s="1">
        <v>113</v>
      </c>
      <c r="B84" s="1" t="s">
        <v>257</v>
      </c>
      <c r="C84" s="1" t="s">
        <v>199</v>
      </c>
      <c r="D84" s="1" t="s">
        <v>258</v>
      </c>
      <c r="E84" s="1" t="s">
        <v>201</v>
      </c>
      <c r="F84" s="3">
        <v>46216</v>
      </c>
      <c r="G84" s="3">
        <v>46224</v>
      </c>
      <c r="H84" s="4">
        <v>0</v>
      </c>
      <c r="L84" s="1" t="s">
        <v>144</v>
      </c>
      <c r="M84" s="1" t="s">
        <v>223</v>
      </c>
      <c r="N84" s="2">
        <v>46211</v>
      </c>
      <c r="P84" s="1" t="s">
        <v>197</v>
      </c>
      <c r="Q84" s="1" t="s">
        <v>151</v>
      </c>
      <c r="R84" s="1" t="s">
        <v>55</v>
      </c>
      <c r="S84" s="2">
        <v>46195</v>
      </c>
      <c r="T84" s="2">
        <v>46211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25">
      <c r="A85" s="1">
        <v>114</v>
      </c>
      <c r="B85" s="1" t="s">
        <v>259</v>
      </c>
      <c r="C85" s="1" t="s">
        <v>260</v>
      </c>
      <c r="D85" s="1" t="s">
        <v>94</v>
      </c>
      <c r="E85" s="1" t="s">
        <v>95</v>
      </c>
      <c r="F85" s="3">
        <v>46216</v>
      </c>
      <c r="G85" s="3">
        <v>46219</v>
      </c>
      <c r="H85" s="4">
        <v>0</v>
      </c>
      <c r="J85" s="1">
        <v>331</v>
      </c>
      <c r="K85" s="1">
        <v>115</v>
      </c>
      <c r="L85" s="1" t="s">
        <v>144</v>
      </c>
      <c r="M85" s="1" t="s">
        <v>223</v>
      </c>
      <c r="N85" s="2">
        <v>46205</v>
      </c>
      <c r="P85" s="1" t="s">
        <v>197</v>
      </c>
      <c r="Q85" s="1" t="s">
        <v>151</v>
      </c>
      <c r="R85" s="1" t="s">
        <v>55</v>
      </c>
      <c r="S85" s="2">
        <v>46195</v>
      </c>
      <c r="T85" s="2">
        <v>46205</v>
      </c>
      <c r="V85" s="1">
        <v>0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25">
      <c r="A86" s="1">
        <v>115</v>
      </c>
      <c r="B86" s="1" t="s">
        <v>261</v>
      </c>
      <c r="C86" s="1" t="s">
        <v>260</v>
      </c>
      <c r="D86" s="1" t="s">
        <v>98</v>
      </c>
      <c r="E86" s="1" t="s">
        <v>53</v>
      </c>
      <c r="F86" s="3">
        <v>46219</v>
      </c>
      <c r="G86" s="3">
        <v>46220</v>
      </c>
      <c r="H86" s="4">
        <v>0</v>
      </c>
      <c r="J86" s="1">
        <v>114</v>
      </c>
      <c r="K86" s="1">
        <v>116</v>
      </c>
      <c r="L86" s="1" t="s">
        <v>144</v>
      </c>
      <c r="M86" s="1" t="s">
        <v>159</v>
      </c>
      <c r="N86" s="2">
        <v>46206</v>
      </c>
      <c r="P86" s="1" t="s">
        <v>197</v>
      </c>
      <c r="Q86" s="1" t="s">
        <v>151</v>
      </c>
      <c r="R86" s="1" t="s">
        <v>55</v>
      </c>
      <c r="S86" s="2">
        <v>46206</v>
      </c>
      <c r="T86" s="2">
        <v>46206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25">
      <c r="A87" s="1">
        <v>116</v>
      </c>
      <c r="B87" s="1" t="s">
        <v>262</v>
      </c>
      <c r="C87" s="1" t="s">
        <v>260</v>
      </c>
      <c r="D87" s="1" t="s">
        <v>102</v>
      </c>
      <c r="E87" s="1" t="s">
        <v>53</v>
      </c>
      <c r="F87" s="3">
        <v>46220</v>
      </c>
      <c r="G87" s="3">
        <v>46223</v>
      </c>
      <c r="H87" s="4">
        <v>0</v>
      </c>
      <c r="J87" s="1">
        <v>115</v>
      </c>
      <c r="K87" s="1">
        <v>117</v>
      </c>
      <c r="L87" s="1" t="s">
        <v>144</v>
      </c>
      <c r="M87" s="1" t="s">
        <v>161</v>
      </c>
      <c r="N87" s="2">
        <v>46210</v>
      </c>
      <c r="P87" s="1" t="s">
        <v>197</v>
      </c>
      <c r="Q87" s="1" t="s">
        <v>151</v>
      </c>
      <c r="R87" s="1" t="s">
        <v>55</v>
      </c>
      <c r="S87" s="2">
        <v>46209</v>
      </c>
      <c r="T87" s="2">
        <v>46210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x14ac:dyDescent="0.25">
      <c r="A88" s="1">
        <v>117</v>
      </c>
      <c r="B88" s="1" t="s">
        <v>263</v>
      </c>
      <c r="C88" s="1" t="s">
        <v>260</v>
      </c>
      <c r="D88" s="1" t="s">
        <v>108</v>
      </c>
      <c r="E88" s="1" t="s">
        <v>53</v>
      </c>
      <c r="F88" s="3">
        <v>46223</v>
      </c>
      <c r="G88" s="3">
        <v>46224</v>
      </c>
      <c r="H88" s="4">
        <v>0</v>
      </c>
      <c r="J88" s="1">
        <v>116</v>
      </c>
      <c r="L88" s="1" t="s">
        <v>144</v>
      </c>
      <c r="M88" s="1" t="s">
        <v>163</v>
      </c>
      <c r="N88" s="2">
        <v>46211</v>
      </c>
      <c r="P88" s="1" t="s">
        <v>197</v>
      </c>
      <c r="Q88" s="1" t="s">
        <v>193</v>
      </c>
      <c r="R88" s="1" t="s">
        <v>55</v>
      </c>
      <c r="S88" s="2">
        <v>46211</v>
      </c>
      <c r="T88" s="2">
        <v>46211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x14ac:dyDescent="0.25">
      <c r="A89" s="1">
        <v>118</v>
      </c>
      <c r="B89" s="1" t="s">
        <v>264</v>
      </c>
      <c r="C89" s="1" t="s">
        <v>199</v>
      </c>
      <c r="D89" s="1" t="s">
        <v>265</v>
      </c>
      <c r="E89" s="1" t="s">
        <v>201</v>
      </c>
      <c r="F89" s="3">
        <v>46216</v>
      </c>
      <c r="G89" s="3">
        <v>46224</v>
      </c>
      <c r="H89" s="4">
        <v>0</v>
      </c>
      <c r="L89" s="1" t="s">
        <v>144</v>
      </c>
      <c r="M89" s="1" t="s">
        <v>223</v>
      </c>
      <c r="N89" s="2">
        <v>46211</v>
      </c>
      <c r="P89" s="1" t="s">
        <v>197</v>
      </c>
      <c r="Q89" s="1" t="s">
        <v>151</v>
      </c>
      <c r="R89" s="1" t="s">
        <v>55</v>
      </c>
      <c r="S89" s="2">
        <v>46195</v>
      </c>
      <c r="T89" s="2">
        <v>46211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x14ac:dyDescent="0.25">
      <c r="A90" s="1">
        <v>119</v>
      </c>
      <c r="B90" s="1" t="s">
        <v>266</v>
      </c>
      <c r="C90" s="1" t="s">
        <v>267</v>
      </c>
      <c r="D90" s="1" t="s">
        <v>94</v>
      </c>
      <c r="E90" s="1" t="s">
        <v>95</v>
      </c>
      <c r="F90" s="3">
        <v>46216</v>
      </c>
      <c r="G90" s="3">
        <v>46219</v>
      </c>
      <c r="H90" s="4">
        <v>0</v>
      </c>
      <c r="J90" s="1">
        <v>331</v>
      </c>
      <c r="K90" s="1">
        <v>120</v>
      </c>
      <c r="L90" s="1" t="s">
        <v>144</v>
      </c>
      <c r="M90" s="1" t="s">
        <v>223</v>
      </c>
      <c r="N90" s="2">
        <v>46205</v>
      </c>
      <c r="P90" s="1" t="s">
        <v>197</v>
      </c>
      <c r="Q90" s="1" t="s">
        <v>151</v>
      </c>
      <c r="R90" s="1" t="s">
        <v>55</v>
      </c>
      <c r="S90" s="2">
        <v>46195</v>
      </c>
      <c r="T90" s="2">
        <v>46205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x14ac:dyDescent="0.25">
      <c r="A91" s="1">
        <v>120</v>
      </c>
      <c r="B91" s="1" t="s">
        <v>268</v>
      </c>
      <c r="C91" s="1" t="s">
        <v>267</v>
      </c>
      <c r="D91" s="1" t="s">
        <v>98</v>
      </c>
      <c r="E91" s="1" t="s">
        <v>53</v>
      </c>
      <c r="F91" s="3">
        <v>46219</v>
      </c>
      <c r="G91" s="3">
        <v>46220</v>
      </c>
      <c r="H91" s="4">
        <v>0</v>
      </c>
      <c r="J91" s="1">
        <v>119</v>
      </c>
      <c r="K91" s="1">
        <v>121</v>
      </c>
      <c r="L91" s="1" t="s">
        <v>144</v>
      </c>
      <c r="M91" s="1" t="s">
        <v>159</v>
      </c>
      <c r="N91" s="2">
        <v>46206</v>
      </c>
      <c r="P91" s="1" t="s">
        <v>197</v>
      </c>
      <c r="Q91" s="1" t="s">
        <v>151</v>
      </c>
      <c r="R91" s="1" t="s">
        <v>55</v>
      </c>
      <c r="S91" s="2">
        <v>46206</v>
      </c>
      <c r="T91" s="2">
        <v>46206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x14ac:dyDescent="0.25">
      <c r="A92" s="1">
        <v>121</v>
      </c>
      <c r="B92" s="1" t="s">
        <v>269</v>
      </c>
      <c r="C92" s="1" t="s">
        <v>267</v>
      </c>
      <c r="D92" s="1" t="s">
        <v>102</v>
      </c>
      <c r="E92" s="1" t="s">
        <v>53</v>
      </c>
      <c r="F92" s="3">
        <v>46220</v>
      </c>
      <c r="G92" s="3">
        <v>46223</v>
      </c>
      <c r="H92" s="4">
        <v>0</v>
      </c>
      <c r="J92" s="1">
        <v>120</v>
      </c>
      <c r="K92" s="1">
        <v>122</v>
      </c>
      <c r="L92" s="1" t="s">
        <v>144</v>
      </c>
      <c r="M92" s="1" t="s">
        <v>161</v>
      </c>
      <c r="N92" s="2">
        <v>46210</v>
      </c>
      <c r="P92" s="1" t="s">
        <v>197</v>
      </c>
      <c r="Q92" s="1" t="s">
        <v>151</v>
      </c>
      <c r="R92" s="1" t="s">
        <v>55</v>
      </c>
      <c r="S92" s="2">
        <v>46209</v>
      </c>
      <c r="T92" s="2">
        <v>46210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x14ac:dyDescent="0.25">
      <c r="A93" s="1">
        <v>122</v>
      </c>
      <c r="B93" s="1" t="s">
        <v>270</v>
      </c>
      <c r="C93" s="1" t="s">
        <v>267</v>
      </c>
      <c r="D93" s="1" t="s">
        <v>108</v>
      </c>
      <c r="E93" s="1" t="s">
        <v>53</v>
      </c>
      <c r="F93" s="3">
        <v>46223</v>
      </c>
      <c r="G93" s="3">
        <v>46224</v>
      </c>
      <c r="H93" s="4">
        <v>0</v>
      </c>
      <c r="J93" s="1">
        <v>121</v>
      </c>
      <c r="L93" s="1" t="s">
        <v>144</v>
      </c>
      <c r="M93" s="1" t="s">
        <v>163</v>
      </c>
      <c r="N93" s="2">
        <v>46211</v>
      </c>
      <c r="P93" s="1" t="s">
        <v>197</v>
      </c>
      <c r="Q93" s="1" t="s">
        <v>193</v>
      </c>
      <c r="R93" s="1" t="s">
        <v>55</v>
      </c>
      <c r="S93" s="2">
        <v>46211</v>
      </c>
      <c r="T93" s="2">
        <v>46211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x14ac:dyDescent="0.25">
      <c r="A94" s="1">
        <v>123</v>
      </c>
      <c r="B94" s="1" t="s">
        <v>271</v>
      </c>
      <c r="C94" s="1" t="s">
        <v>199</v>
      </c>
      <c r="D94" s="1" t="s">
        <v>272</v>
      </c>
      <c r="E94" s="1" t="s">
        <v>201</v>
      </c>
      <c r="F94" s="3">
        <v>46216</v>
      </c>
      <c r="G94" s="3">
        <v>46224</v>
      </c>
      <c r="H94" s="4">
        <v>0</v>
      </c>
      <c r="L94" s="1" t="s">
        <v>144</v>
      </c>
      <c r="M94" s="1" t="s">
        <v>223</v>
      </c>
      <c r="N94" s="2">
        <v>46211</v>
      </c>
      <c r="P94" s="1" t="s">
        <v>197</v>
      </c>
      <c r="Q94" s="1" t="s">
        <v>151</v>
      </c>
      <c r="R94" s="1" t="s">
        <v>55</v>
      </c>
      <c r="S94" s="2">
        <v>46195</v>
      </c>
      <c r="T94" s="2">
        <v>46211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x14ac:dyDescent="0.25">
      <c r="A95" s="1">
        <v>124</v>
      </c>
      <c r="B95" s="1" t="s">
        <v>273</v>
      </c>
      <c r="C95" s="1" t="s">
        <v>274</v>
      </c>
      <c r="D95" s="1" t="s">
        <v>94</v>
      </c>
      <c r="E95" s="1" t="s">
        <v>95</v>
      </c>
      <c r="F95" s="3">
        <v>46216</v>
      </c>
      <c r="G95" s="3">
        <v>46219</v>
      </c>
      <c r="H95" s="4">
        <v>0</v>
      </c>
      <c r="J95" s="1">
        <v>331</v>
      </c>
      <c r="K95" s="1">
        <v>125</v>
      </c>
      <c r="L95" s="1" t="s">
        <v>144</v>
      </c>
      <c r="M95" s="1" t="s">
        <v>223</v>
      </c>
      <c r="N95" s="2">
        <v>46205</v>
      </c>
      <c r="P95" s="1" t="s">
        <v>197</v>
      </c>
      <c r="Q95" s="1" t="s">
        <v>151</v>
      </c>
      <c r="R95" s="1" t="s">
        <v>55</v>
      </c>
      <c r="S95" s="2">
        <v>46195</v>
      </c>
      <c r="T95" s="2">
        <v>46205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x14ac:dyDescent="0.25">
      <c r="A96" s="1">
        <v>125</v>
      </c>
      <c r="B96" s="1" t="s">
        <v>275</v>
      </c>
      <c r="C96" s="1" t="s">
        <v>274</v>
      </c>
      <c r="D96" s="1" t="s">
        <v>98</v>
      </c>
      <c r="E96" s="1" t="s">
        <v>53</v>
      </c>
      <c r="F96" s="3">
        <v>46219</v>
      </c>
      <c r="G96" s="3">
        <v>46220</v>
      </c>
      <c r="H96" s="4">
        <v>0</v>
      </c>
      <c r="J96" s="1">
        <v>124</v>
      </c>
      <c r="K96" s="1">
        <v>126</v>
      </c>
      <c r="L96" s="1" t="s">
        <v>144</v>
      </c>
      <c r="M96" s="1" t="s">
        <v>159</v>
      </c>
      <c r="N96" s="2">
        <v>46206</v>
      </c>
      <c r="P96" s="1" t="s">
        <v>197</v>
      </c>
      <c r="Q96" s="1" t="s">
        <v>151</v>
      </c>
      <c r="R96" s="1" t="s">
        <v>55</v>
      </c>
      <c r="S96" s="2">
        <v>46206</v>
      </c>
      <c r="T96" s="2">
        <v>46206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</row>
    <row r="97" spans="1:33" x14ac:dyDescent="0.25">
      <c r="A97" s="1">
        <v>126</v>
      </c>
      <c r="B97" s="1" t="s">
        <v>276</v>
      </c>
      <c r="C97" s="1" t="s">
        <v>274</v>
      </c>
      <c r="D97" s="1" t="s">
        <v>102</v>
      </c>
      <c r="E97" s="1" t="s">
        <v>53</v>
      </c>
      <c r="F97" s="3">
        <v>46220</v>
      </c>
      <c r="G97" s="3">
        <v>46223</v>
      </c>
      <c r="H97" s="4">
        <v>0</v>
      </c>
      <c r="J97" s="1">
        <v>125</v>
      </c>
      <c r="K97" s="1">
        <v>127</v>
      </c>
      <c r="L97" s="1" t="s">
        <v>144</v>
      </c>
      <c r="M97" s="1" t="s">
        <v>161</v>
      </c>
      <c r="N97" s="2">
        <v>46210</v>
      </c>
      <c r="P97" s="1" t="s">
        <v>197</v>
      </c>
      <c r="Q97" s="1" t="s">
        <v>151</v>
      </c>
      <c r="R97" s="1" t="s">
        <v>55</v>
      </c>
      <c r="S97" s="2">
        <v>46209</v>
      </c>
      <c r="T97" s="2">
        <v>46210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25">
      <c r="A98" s="1">
        <v>127</v>
      </c>
      <c r="B98" s="1" t="s">
        <v>277</v>
      </c>
      <c r="C98" s="1" t="s">
        <v>274</v>
      </c>
      <c r="D98" s="1" t="s">
        <v>108</v>
      </c>
      <c r="E98" s="1" t="s">
        <v>53</v>
      </c>
      <c r="F98" s="3">
        <v>46223</v>
      </c>
      <c r="G98" s="3">
        <v>46224</v>
      </c>
      <c r="H98" s="4">
        <v>0</v>
      </c>
      <c r="J98" s="1">
        <v>126</v>
      </c>
      <c r="L98" s="1" t="s">
        <v>144</v>
      </c>
      <c r="M98" s="1" t="s">
        <v>163</v>
      </c>
      <c r="N98" s="2">
        <v>46211</v>
      </c>
      <c r="P98" s="1" t="s">
        <v>197</v>
      </c>
      <c r="Q98" s="1" t="s">
        <v>193</v>
      </c>
      <c r="R98" s="1" t="s">
        <v>55</v>
      </c>
      <c r="S98" s="2">
        <v>46211</v>
      </c>
      <c r="T98" s="2">
        <v>46211</v>
      </c>
      <c r="V98" s="1">
        <v>0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x14ac:dyDescent="0.25">
      <c r="A99" s="1">
        <v>128</v>
      </c>
      <c r="B99" s="1" t="s">
        <v>278</v>
      </c>
      <c r="C99" s="1" t="s">
        <v>199</v>
      </c>
      <c r="D99" s="1" t="s">
        <v>279</v>
      </c>
      <c r="E99" s="1" t="s">
        <v>201</v>
      </c>
      <c r="F99" s="3">
        <v>46216</v>
      </c>
      <c r="G99" s="3">
        <v>46224</v>
      </c>
      <c r="H99" s="4">
        <v>0</v>
      </c>
      <c r="L99" s="1" t="s">
        <v>144</v>
      </c>
      <c r="M99" s="1" t="s">
        <v>223</v>
      </c>
      <c r="N99" s="2">
        <v>46211</v>
      </c>
      <c r="P99" s="1" t="s">
        <v>197</v>
      </c>
      <c r="Q99" s="1" t="s">
        <v>151</v>
      </c>
      <c r="R99" s="1" t="s">
        <v>55</v>
      </c>
      <c r="S99" s="2">
        <v>46195</v>
      </c>
      <c r="T99" s="2">
        <v>46211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x14ac:dyDescent="0.25">
      <c r="A100" s="1">
        <v>129</v>
      </c>
      <c r="B100" s="1" t="s">
        <v>280</v>
      </c>
      <c r="C100" s="1" t="s">
        <v>281</v>
      </c>
      <c r="D100" s="1" t="s">
        <v>94</v>
      </c>
      <c r="E100" s="1" t="s">
        <v>95</v>
      </c>
      <c r="F100" s="3">
        <v>46216</v>
      </c>
      <c r="G100" s="3">
        <v>46219</v>
      </c>
      <c r="H100" s="4">
        <v>0</v>
      </c>
      <c r="J100" s="1">
        <v>331</v>
      </c>
      <c r="K100" s="1">
        <v>130</v>
      </c>
      <c r="L100" s="1" t="s">
        <v>144</v>
      </c>
      <c r="M100" s="1" t="s">
        <v>223</v>
      </c>
      <c r="N100" s="2">
        <v>46205</v>
      </c>
      <c r="P100" s="1" t="s">
        <v>197</v>
      </c>
      <c r="Q100" s="1" t="s">
        <v>151</v>
      </c>
      <c r="R100" s="1" t="s">
        <v>55</v>
      </c>
      <c r="S100" s="2">
        <v>46195</v>
      </c>
      <c r="T100" s="2">
        <v>46205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</row>
    <row r="101" spans="1:33" x14ac:dyDescent="0.25">
      <c r="A101" s="1">
        <v>130</v>
      </c>
      <c r="B101" s="1" t="s">
        <v>282</v>
      </c>
      <c r="C101" s="1" t="s">
        <v>281</v>
      </c>
      <c r="D101" s="1" t="s">
        <v>98</v>
      </c>
      <c r="E101" s="1" t="s">
        <v>53</v>
      </c>
      <c r="F101" s="3">
        <v>46219</v>
      </c>
      <c r="G101" s="3">
        <v>46220</v>
      </c>
      <c r="H101" s="4">
        <v>0</v>
      </c>
      <c r="J101" s="1">
        <v>129</v>
      </c>
      <c r="K101" s="1">
        <v>131</v>
      </c>
      <c r="L101" s="1" t="s">
        <v>144</v>
      </c>
      <c r="M101" s="1" t="s">
        <v>159</v>
      </c>
      <c r="N101" s="2">
        <v>46206</v>
      </c>
      <c r="P101" s="1" t="s">
        <v>197</v>
      </c>
      <c r="Q101" s="1" t="s">
        <v>151</v>
      </c>
      <c r="R101" s="1" t="s">
        <v>55</v>
      </c>
      <c r="S101" s="2">
        <v>46206</v>
      </c>
      <c r="T101" s="2">
        <v>46206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x14ac:dyDescent="0.25">
      <c r="A102" s="1">
        <v>131</v>
      </c>
      <c r="B102" s="1" t="s">
        <v>283</v>
      </c>
      <c r="C102" s="1" t="s">
        <v>281</v>
      </c>
      <c r="D102" s="1" t="s">
        <v>102</v>
      </c>
      <c r="E102" s="1" t="s">
        <v>53</v>
      </c>
      <c r="F102" s="3">
        <v>46220</v>
      </c>
      <c r="G102" s="3">
        <v>46223</v>
      </c>
      <c r="H102" s="4">
        <v>0</v>
      </c>
      <c r="J102" s="1">
        <v>130</v>
      </c>
      <c r="K102" s="1">
        <v>132</v>
      </c>
      <c r="L102" s="1" t="s">
        <v>144</v>
      </c>
      <c r="M102" s="1" t="s">
        <v>161</v>
      </c>
      <c r="N102" s="2">
        <v>46210</v>
      </c>
      <c r="P102" s="1" t="s">
        <v>197</v>
      </c>
      <c r="Q102" s="1" t="s">
        <v>151</v>
      </c>
      <c r="R102" s="1" t="s">
        <v>55</v>
      </c>
      <c r="S102" s="2">
        <v>46209</v>
      </c>
      <c r="T102" s="2">
        <v>46210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x14ac:dyDescent="0.25">
      <c r="A103" s="1">
        <v>132</v>
      </c>
      <c r="B103" s="1" t="s">
        <v>284</v>
      </c>
      <c r="C103" s="1" t="s">
        <v>281</v>
      </c>
      <c r="D103" s="1" t="s">
        <v>108</v>
      </c>
      <c r="E103" s="1" t="s">
        <v>53</v>
      </c>
      <c r="F103" s="3">
        <v>46223</v>
      </c>
      <c r="G103" s="3">
        <v>46224</v>
      </c>
      <c r="H103" s="4">
        <v>0</v>
      </c>
      <c r="J103" s="1">
        <v>131</v>
      </c>
      <c r="L103" s="1" t="s">
        <v>144</v>
      </c>
      <c r="M103" s="1" t="s">
        <v>163</v>
      </c>
      <c r="N103" s="2">
        <v>46211</v>
      </c>
      <c r="P103" s="1" t="s">
        <v>197</v>
      </c>
      <c r="Q103" s="1" t="s">
        <v>193</v>
      </c>
      <c r="R103" s="1" t="s">
        <v>55</v>
      </c>
      <c r="S103" s="2">
        <v>46211</v>
      </c>
      <c r="T103" s="2">
        <v>46211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x14ac:dyDescent="0.25">
      <c r="A104" s="1">
        <v>133</v>
      </c>
      <c r="B104" s="1" t="s">
        <v>285</v>
      </c>
      <c r="C104" s="1" t="s">
        <v>199</v>
      </c>
      <c r="D104" s="1" t="s">
        <v>286</v>
      </c>
      <c r="E104" s="1" t="s">
        <v>287</v>
      </c>
      <c r="F104" s="3">
        <v>46195</v>
      </c>
      <c r="G104" s="3">
        <v>46210</v>
      </c>
      <c r="H104" s="4">
        <v>0.67</v>
      </c>
      <c r="L104" s="1" t="s">
        <v>35</v>
      </c>
      <c r="M104" s="1" t="s">
        <v>148</v>
      </c>
      <c r="N104" s="2">
        <v>46188</v>
      </c>
      <c r="P104" s="1" t="s">
        <v>197</v>
      </c>
      <c r="Q104" s="1" t="s">
        <v>138</v>
      </c>
      <c r="R104" s="1" t="s">
        <v>55</v>
      </c>
      <c r="S104" s="2">
        <v>46171</v>
      </c>
      <c r="T104" s="2">
        <v>46188</v>
      </c>
      <c r="V104" s="1">
        <v>0.67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</row>
    <row r="105" spans="1:33" x14ac:dyDescent="0.25">
      <c r="A105" s="1">
        <v>134</v>
      </c>
      <c r="B105" s="1" t="s">
        <v>288</v>
      </c>
      <c r="C105" s="1" t="s">
        <v>289</v>
      </c>
      <c r="D105" s="1" t="s">
        <v>94</v>
      </c>
      <c r="E105" s="1" t="s">
        <v>290</v>
      </c>
      <c r="F105" s="3">
        <v>46195</v>
      </c>
      <c r="G105" s="3">
        <v>46204</v>
      </c>
      <c r="H105" s="4">
        <v>1</v>
      </c>
      <c r="I105" s="3">
        <v>46204</v>
      </c>
      <c r="J105" s="1">
        <v>185</v>
      </c>
      <c r="K105" s="1">
        <v>135</v>
      </c>
      <c r="L105" s="1" t="s">
        <v>59</v>
      </c>
      <c r="M105" s="1" t="s">
        <v>148</v>
      </c>
      <c r="N105" s="2">
        <v>46182</v>
      </c>
      <c r="P105" s="1" t="s">
        <v>197</v>
      </c>
      <c r="Q105" s="1" t="s">
        <v>138</v>
      </c>
      <c r="R105" s="1" t="s">
        <v>55</v>
      </c>
      <c r="S105" s="2">
        <v>46171</v>
      </c>
      <c r="T105" s="2">
        <v>46182</v>
      </c>
      <c r="V105" s="1">
        <v>1</v>
      </c>
      <c r="W105" s="1">
        <v>1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</row>
    <row r="106" spans="1:33" x14ac:dyDescent="0.25">
      <c r="A106" s="1">
        <v>135</v>
      </c>
      <c r="B106" s="1" t="s">
        <v>291</v>
      </c>
      <c r="C106" s="1" t="s">
        <v>289</v>
      </c>
      <c r="D106" s="1" t="s">
        <v>98</v>
      </c>
      <c r="E106" s="1" t="s">
        <v>53</v>
      </c>
      <c r="F106" s="3">
        <v>46205</v>
      </c>
      <c r="G106" s="3">
        <v>46205</v>
      </c>
      <c r="H106" s="4">
        <v>0</v>
      </c>
      <c r="J106" s="1">
        <v>134</v>
      </c>
      <c r="K106" s="1">
        <v>136</v>
      </c>
      <c r="L106" s="1" t="s">
        <v>35</v>
      </c>
      <c r="M106" s="1" t="s">
        <v>292</v>
      </c>
      <c r="N106" s="2">
        <v>46183</v>
      </c>
      <c r="P106" s="1" t="s">
        <v>197</v>
      </c>
      <c r="Q106" s="1" t="s">
        <v>146</v>
      </c>
      <c r="R106" s="1" t="s">
        <v>55</v>
      </c>
      <c r="S106" s="2">
        <v>46183</v>
      </c>
      <c r="T106" s="2">
        <v>46183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x14ac:dyDescent="0.25">
      <c r="A107" s="1">
        <v>136</v>
      </c>
      <c r="B107" s="1" t="s">
        <v>293</v>
      </c>
      <c r="C107" s="1" t="s">
        <v>289</v>
      </c>
      <c r="D107" s="1" t="s">
        <v>102</v>
      </c>
      <c r="E107" s="1" t="s">
        <v>121</v>
      </c>
      <c r="F107" s="3">
        <v>46206</v>
      </c>
      <c r="G107" s="3">
        <v>46209</v>
      </c>
      <c r="H107" s="4">
        <v>0</v>
      </c>
      <c r="J107" s="1">
        <v>135</v>
      </c>
      <c r="K107" s="1">
        <v>137</v>
      </c>
      <c r="L107" s="1" t="s">
        <v>131</v>
      </c>
      <c r="M107" s="1" t="s">
        <v>294</v>
      </c>
      <c r="N107" s="2">
        <v>46185</v>
      </c>
      <c r="P107" s="1" t="s">
        <v>197</v>
      </c>
      <c r="Q107" s="1" t="s">
        <v>146</v>
      </c>
      <c r="R107" s="1" t="s">
        <v>55</v>
      </c>
      <c r="S107" s="2">
        <v>46184</v>
      </c>
      <c r="T107" s="2">
        <v>46185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</row>
    <row r="108" spans="1:33" x14ac:dyDescent="0.25">
      <c r="A108" s="1">
        <v>137</v>
      </c>
      <c r="B108" s="1" t="s">
        <v>295</v>
      </c>
      <c r="C108" s="1" t="s">
        <v>289</v>
      </c>
      <c r="D108" s="1" t="s">
        <v>108</v>
      </c>
      <c r="E108" s="1" t="s">
        <v>53</v>
      </c>
      <c r="F108" s="3">
        <v>46210</v>
      </c>
      <c r="G108" s="3">
        <v>46210</v>
      </c>
      <c r="H108" s="4">
        <v>0</v>
      </c>
      <c r="J108" s="1">
        <v>136</v>
      </c>
      <c r="L108" s="1" t="s">
        <v>144</v>
      </c>
      <c r="M108" s="1" t="s">
        <v>296</v>
      </c>
      <c r="N108" s="2">
        <v>46188</v>
      </c>
      <c r="P108" s="1" t="s">
        <v>197</v>
      </c>
      <c r="Q108" s="1" t="s">
        <v>151</v>
      </c>
      <c r="R108" s="1" t="s">
        <v>55</v>
      </c>
      <c r="S108" s="2">
        <v>46188</v>
      </c>
      <c r="T108" s="2">
        <v>46188</v>
      </c>
      <c r="V108" s="1">
        <v>0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</row>
    <row r="109" spans="1:33" x14ac:dyDescent="0.25">
      <c r="A109" s="1">
        <v>138</v>
      </c>
      <c r="B109" s="1" t="s">
        <v>297</v>
      </c>
      <c r="C109" s="1" t="s">
        <v>199</v>
      </c>
      <c r="D109" s="1" t="s">
        <v>298</v>
      </c>
      <c r="E109" s="1" t="s">
        <v>287</v>
      </c>
      <c r="F109" s="3">
        <v>46195</v>
      </c>
      <c r="G109" s="3">
        <v>46210</v>
      </c>
      <c r="H109" s="4">
        <v>0.67</v>
      </c>
      <c r="L109" s="1" t="s">
        <v>35</v>
      </c>
      <c r="M109" s="1" t="s">
        <v>148</v>
      </c>
      <c r="N109" s="2">
        <v>46188</v>
      </c>
      <c r="P109" s="1" t="s">
        <v>197</v>
      </c>
      <c r="Q109" s="1" t="s">
        <v>138</v>
      </c>
      <c r="R109" s="1" t="s">
        <v>55</v>
      </c>
      <c r="S109" s="2">
        <v>46171</v>
      </c>
      <c r="T109" s="2">
        <v>46188</v>
      </c>
      <c r="V109" s="1">
        <v>0.67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</row>
    <row r="110" spans="1:33" x14ac:dyDescent="0.25">
      <c r="A110" s="1">
        <v>139</v>
      </c>
      <c r="B110" s="1" t="s">
        <v>299</v>
      </c>
      <c r="C110" s="1" t="s">
        <v>300</v>
      </c>
      <c r="D110" s="1" t="s">
        <v>94</v>
      </c>
      <c r="E110" s="1" t="s">
        <v>290</v>
      </c>
      <c r="F110" s="3">
        <v>46195</v>
      </c>
      <c r="G110" s="3">
        <v>46204</v>
      </c>
      <c r="H110" s="4">
        <v>1</v>
      </c>
      <c r="I110" s="3">
        <v>46204</v>
      </c>
      <c r="J110" s="1">
        <v>185</v>
      </c>
      <c r="K110" s="1">
        <v>140</v>
      </c>
      <c r="L110" s="1" t="s">
        <v>59</v>
      </c>
      <c r="M110" s="1" t="s">
        <v>148</v>
      </c>
      <c r="N110" s="2">
        <v>46182</v>
      </c>
      <c r="P110" s="1" t="s">
        <v>197</v>
      </c>
      <c r="Q110" s="1" t="s">
        <v>138</v>
      </c>
      <c r="R110" s="1" t="s">
        <v>55</v>
      </c>
      <c r="S110" s="2">
        <v>46171</v>
      </c>
      <c r="T110" s="2">
        <v>46182</v>
      </c>
      <c r="V110" s="1">
        <v>1</v>
      </c>
      <c r="W110" s="1">
        <v>1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</row>
    <row r="111" spans="1:33" x14ac:dyDescent="0.25">
      <c r="A111" s="1">
        <v>140</v>
      </c>
      <c r="B111" s="1" t="s">
        <v>301</v>
      </c>
      <c r="C111" s="1" t="s">
        <v>300</v>
      </c>
      <c r="D111" s="1" t="s">
        <v>98</v>
      </c>
      <c r="E111" s="1" t="s">
        <v>53</v>
      </c>
      <c r="F111" s="3">
        <v>46205</v>
      </c>
      <c r="G111" s="3">
        <v>46205</v>
      </c>
      <c r="H111" s="4">
        <v>0</v>
      </c>
      <c r="J111" s="1">
        <v>139</v>
      </c>
      <c r="K111" s="1">
        <v>141</v>
      </c>
      <c r="L111" s="1" t="s">
        <v>35</v>
      </c>
      <c r="M111" s="1" t="s">
        <v>292</v>
      </c>
      <c r="N111" s="2">
        <v>46183</v>
      </c>
      <c r="P111" s="1" t="s">
        <v>197</v>
      </c>
      <c r="Q111" s="1" t="s">
        <v>146</v>
      </c>
      <c r="R111" s="1" t="s">
        <v>55</v>
      </c>
      <c r="S111" s="2">
        <v>46183</v>
      </c>
      <c r="T111" s="2">
        <v>46183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25">
      <c r="A112" s="1">
        <v>141</v>
      </c>
      <c r="B112" s="1" t="s">
        <v>302</v>
      </c>
      <c r="C112" s="1" t="s">
        <v>300</v>
      </c>
      <c r="D112" s="1" t="s">
        <v>102</v>
      </c>
      <c r="E112" s="1" t="s">
        <v>121</v>
      </c>
      <c r="F112" s="3">
        <v>46206</v>
      </c>
      <c r="G112" s="3">
        <v>46209</v>
      </c>
      <c r="H112" s="4">
        <v>0</v>
      </c>
      <c r="J112" s="1">
        <v>140</v>
      </c>
      <c r="K112" s="1">
        <v>142</v>
      </c>
      <c r="L112" s="1" t="s">
        <v>131</v>
      </c>
      <c r="M112" s="1" t="s">
        <v>294</v>
      </c>
      <c r="N112" s="2">
        <v>46185</v>
      </c>
      <c r="P112" s="1" t="s">
        <v>197</v>
      </c>
      <c r="Q112" s="1" t="s">
        <v>146</v>
      </c>
      <c r="R112" s="1" t="s">
        <v>55</v>
      </c>
      <c r="S112" s="2">
        <v>46184</v>
      </c>
      <c r="T112" s="2">
        <v>46185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</row>
    <row r="113" spans="1:33" x14ac:dyDescent="0.25">
      <c r="A113" s="1">
        <v>142</v>
      </c>
      <c r="B113" s="1" t="s">
        <v>303</v>
      </c>
      <c r="C113" s="1" t="s">
        <v>300</v>
      </c>
      <c r="D113" s="1" t="s">
        <v>108</v>
      </c>
      <c r="E113" s="1" t="s">
        <v>53</v>
      </c>
      <c r="F113" s="3">
        <v>46210</v>
      </c>
      <c r="G113" s="3">
        <v>46210</v>
      </c>
      <c r="H113" s="4">
        <v>0</v>
      </c>
      <c r="J113" s="1">
        <v>141</v>
      </c>
      <c r="L113" s="1" t="s">
        <v>144</v>
      </c>
      <c r="M113" s="1" t="s">
        <v>296</v>
      </c>
      <c r="N113" s="2">
        <v>46188</v>
      </c>
      <c r="P113" s="1" t="s">
        <v>197</v>
      </c>
      <c r="Q113" s="1" t="s">
        <v>151</v>
      </c>
      <c r="R113" s="1" t="s">
        <v>55</v>
      </c>
      <c r="S113" s="2">
        <v>46188</v>
      </c>
      <c r="T113" s="2">
        <v>46188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</row>
    <row r="114" spans="1:33" x14ac:dyDescent="0.25">
      <c r="A114" s="1">
        <v>143</v>
      </c>
      <c r="B114" s="1" t="s">
        <v>304</v>
      </c>
      <c r="C114" s="1" t="s">
        <v>199</v>
      </c>
      <c r="D114" s="1" t="s">
        <v>305</v>
      </c>
      <c r="E114" s="1" t="s">
        <v>287</v>
      </c>
      <c r="F114" s="3">
        <v>46195</v>
      </c>
      <c r="G114" s="3">
        <v>46210</v>
      </c>
      <c r="H114" s="4">
        <v>0.67</v>
      </c>
      <c r="L114" s="1" t="s">
        <v>35</v>
      </c>
      <c r="M114" s="1" t="s">
        <v>148</v>
      </c>
      <c r="N114" s="2">
        <v>46188</v>
      </c>
      <c r="P114" s="1" t="s">
        <v>197</v>
      </c>
      <c r="Q114" s="1" t="s">
        <v>138</v>
      </c>
      <c r="R114" s="1" t="s">
        <v>55</v>
      </c>
      <c r="S114" s="2">
        <v>46171</v>
      </c>
      <c r="T114" s="2">
        <v>46188</v>
      </c>
      <c r="V114" s="1">
        <v>0.67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x14ac:dyDescent="0.25">
      <c r="A115" s="1">
        <v>144</v>
      </c>
      <c r="B115" s="1" t="s">
        <v>306</v>
      </c>
      <c r="C115" s="1" t="s">
        <v>307</v>
      </c>
      <c r="D115" s="1" t="s">
        <v>94</v>
      </c>
      <c r="E115" s="1" t="s">
        <v>290</v>
      </c>
      <c r="F115" s="3">
        <v>46195</v>
      </c>
      <c r="G115" s="3">
        <v>46204</v>
      </c>
      <c r="H115" s="4">
        <v>1</v>
      </c>
      <c r="I115" s="3">
        <v>46204</v>
      </c>
      <c r="J115" s="1">
        <v>185</v>
      </c>
      <c r="K115" s="1">
        <v>145</v>
      </c>
      <c r="L115" s="1" t="s">
        <v>59</v>
      </c>
      <c r="M115" s="1" t="s">
        <v>148</v>
      </c>
      <c r="N115" s="2">
        <v>46182</v>
      </c>
      <c r="P115" s="1" t="s">
        <v>197</v>
      </c>
      <c r="Q115" s="1" t="s">
        <v>138</v>
      </c>
      <c r="R115" s="1" t="s">
        <v>55</v>
      </c>
      <c r="S115" s="2">
        <v>46171</v>
      </c>
      <c r="T115" s="2">
        <v>46182</v>
      </c>
      <c r="V115" s="1">
        <v>1</v>
      </c>
      <c r="W115" s="1">
        <v>1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</row>
    <row r="116" spans="1:33" x14ac:dyDescent="0.25">
      <c r="A116" s="1">
        <v>145</v>
      </c>
      <c r="B116" s="1" t="s">
        <v>308</v>
      </c>
      <c r="C116" s="1" t="s">
        <v>307</v>
      </c>
      <c r="D116" s="1" t="s">
        <v>98</v>
      </c>
      <c r="E116" s="1" t="s">
        <v>53</v>
      </c>
      <c r="F116" s="3">
        <v>46205</v>
      </c>
      <c r="G116" s="3">
        <v>46205</v>
      </c>
      <c r="H116" s="4">
        <v>0</v>
      </c>
      <c r="J116" s="1">
        <v>144</v>
      </c>
      <c r="K116" s="1">
        <v>146</v>
      </c>
      <c r="L116" s="1" t="s">
        <v>35</v>
      </c>
      <c r="M116" s="1" t="s">
        <v>292</v>
      </c>
      <c r="N116" s="2">
        <v>46183</v>
      </c>
      <c r="P116" s="1" t="s">
        <v>197</v>
      </c>
      <c r="Q116" s="1" t="s">
        <v>146</v>
      </c>
      <c r="R116" s="1" t="s">
        <v>55</v>
      </c>
      <c r="S116" s="2">
        <v>46183</v>
      </c>
      <c r="T116" s="2">
        <v>46183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</row>
    <row r="117" spans="1:33" x14ac:dyDescent="0.25">
      <c r="A117" s="1">
        <v>146</v>
      </c>
      <c r="B117" s="1" t="s">
        <v>309</v>
      </c>
      <c r="C117" s="1" t="s">
        <v>307</v>
      </c>
      <c r="D117" s="1" t="s">
        <v>102</v>
      </c>
      <c r="E117" s="1" t="s">
        <v>121</v>
      </c>
      <c r="F117" s="3">
        <v>46206</v>
      </c>
      <c r="G117" s="3">
        <v>46209</v>
      </c>
      <c r="H117" s="4">
        <v>0</v>
      </c>
      <c r="J117" s="1">
        <v>145</v>
      </c>
      <c r="K117" s="1">
        <v>147</v>
      </c>
      <c r="L117" s="1" t="s">
        <v>131</v>
      </c>
      <c r="M117" s="1" t="s">
        <v>294</v>
      </c>
      <c r="N117" s="2">
        <v>46185</v>
      </c>
      <c r="P117" s="1" t="s">
        <v>197</v>
      </c>
      <c r="Q117" s="1" t="s">
        <v>146</v>
      </c>
      <c r="R117" s="1" t="s">
        <v>55</v>
      </c>
      <c r="S117" s="2">
        <v>46184</v>
      </c>
      <c r="T117" s="2">
        <v>46185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</row>
    <row r="118" spans="1:33" x14ac:dyDescent="0.25">
      <c r="A118" s="1">
        <v>147</v>
      </c>
      <c r="B118" s="1" t="s">
        <v>310</v>
      </c>
      <c r="C118" s="1" t="s">
        <v>307</v>
      </c>
      <c r="D118" s="1" t="s">
        <v>108</v>
      </c>
      <c r="E118" s="1" t="s">
        <v>53</v>
      </c>
      <c r="F118" s="3">
        <v>46210</v>
      </c>
      <c r="G118" s="3">
        <v>46210</v>
      </c>
      <c r="H118" s="4">
        <v>0</v>
      </c>
      <c r="J118" s="1">
        <v>146</v>
      </c>
      <c r="L118" s="1" t="s">
        <v>144</v>
      </c>
      <c r="M118" s="1" t="s">
        <v>296</v>
      </c>
      <c r="N118" s="2">
        <v>46188</v>
      </c>
      <c r="P118" s="1" t="s">
        <v>197</v>
      </c>
      <c r="Q118" s="1" t="s">
        <v>151</v>
      </c>
      <c r="R118" s="1" t="s">
        <v>55</v>
      </c>
      <c r="S118" s="2">
        <v>46188</v>
      </c>
      <c r="T118" s="2">
        <v>46188</v>
      </c>
      <c r="V118" s="1">
        <v>0</v>
      </c>
      <c r="W118" s="1">
        <v>0</v>
      </c>
      <c r="X118" s="1">
        <v>0</v>
      </c>
      <c r="Y118" s="1">
        <v>0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x14ac:dyDescent="0.25">
      <c r="A119" s="1">
        <v>148</v>
      </c>
      <c r="B119" s="1" t="s">
        <v>311</v>
      </c>
      <c r="C119" s="1" t="s">
        <v>199</v>
      </c>
      <c r="D119" s="1" t="s">
        <v>312</v>
      </c>
      <c r="E119" s="1" t="s">
        <v>287</v>
      </c>
      <c r="F119" s="3">
        <v>46195</v>
      </c>
      <c r="G119" s="3">
        <v>46210</v>
      </c>
      <c r="H119" s="4">
        <v>0.67</v>
      </c>
      <c r="L119" s="1" t="s">
        <v>35</v>
      </c>
      <c r="M119" s="1" t="s">
        <v>148</v>
      </c>
      <c r="N119" s="2">
        <v>46188</v>
      </c>
      <c r="P119" s="1" t="s">
        <v>197</v>
      </c>
      <c r="Q119" s="1" t="s">
        <v>138</v>
      </c>
      <c r="R119" s="1" t="s">
        <v>55</v>
      </c>
      <c r="S119" s="2">
        <v>46171</v>
      </c>
      <c r="T119" s="2">
        <v>46188</v>
      </c>
      <c r="V119" s="1">
        <v>0.67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x14ac:dyDescent="0.25">
      <c r="A120" s="1">
        <v>149</v>
      </c>
      <c r="B120" s="1" t="s">
        <v>313</v>
      </c>
      <c r="C120" s="1" t="s">
        <v>314</v>
      </c>
      <c r="D120" s="1" t="s">
        <v>94</v>
      </c>
      <c r="E120" s="1" t="s">
        <v>290</v>
      </c>
      <c r="F120" s="3">
        <v>46195</v>
      </c>
      <c r="G120" s="3">
        <v>46204</v>
      </c>
      <c r="H120" s="4">
        <v>1</v>
      </c>
      <c r="I120" s="3">
        <v>46204</v>
      </c>
      <c r="J120" s="1">
        <v>185</v>
      </c>
      <c r="K120" s="1">
        <v>150</v>
      </c>
      <c r="L120" s="1" t="s">
        <v>59</v>
      </c>
      <c r="M120" s="1" t="s">
        <v>148</v>
      </c>
      <c r="N120" s="2">
        <v>46182</v>
      </c>
      <c r="P120" s="1" t="s">
        <v>197</v>
      </c>
      <c r="Q120" s="1" t="s">
        <v>138</v>
      </c>
      <c r="R120" s="1" t="s">
        <v>55</v>
      </c>
      <c r="S120" s="2">
        <v>46171</v>
      </c>
      <c r="T120" s="2">
        <v>46182</v>
      </c>
      <c r="V120" s="1">
        <v>1</v>
      </c>
      <c r="W120" s="1">
        <v>1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</row>
    <row r="121" spans="1:33" x14ac:dyDescent="0.25">
      <c r="A121" s="1">
        <v>150</v>
      </c>
      <c r="B121" s="1" t="s">
        <v>315</v>
      </c>
      <c r="C121" s="1" t="s">
        <v>314</v>
      </c>
      <c r="D121" s="1" t="s">
        <v>98</v>
      </c>
      <c r="E121" s="1" t="s">
        <v>53</v>
      </c>
      <c r="F121" s="3">
        <v>46205</v>
      </c>
      <c r="G121" s="3">
        <v>46205</v>
      </c>
      <c r="H121" s="4">
        <v>0</v>
      </c>
      <c r="J121" s="1">
        <v>149</v>
      </c>
      <c r="K121" s="1">
        <v>151</v>
      </c>
      <c r="L121" s="1" t="s">
        <v>35</v>
      </c>
      <c r="M121" s="1" t="s">
        <v>292</v>
      </c>
      <c r="N121" s="2">
        <v>46183</v>
      </c>
      <c r="P121" s="1" t="s">
        <v>197</v>
      </c>
      <c r="Q121" s="1" t="s">
        <v>146</v>
      </c>
      <c r="R121" s="1" t="s">
        <v>55</v>
      </c>
      <c r="S121" s="2">
        <v>46183</v>
      </c>
      <c r="T121" s="2">
        <v>46183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</row>
    <row r="122" spans="1:33" x14ac:dyDescent="0.25">
      <c r="A122" s="1">
        <v>151</v>
      </c>
      <c r="B122" s="1" t="s">
        <v>316</v>
      </c>
      <c r="C122" s="1" t="s">
        <v>314</v>
      </c>
      <c r="D122" s="1" t="s">
        <v>102</v>
      </c>
      <c r="E122" s="1" t="s">
        <v>121</v>
      </c>
      <c r="F122" s="3">
        <v>46206</v>
      </c>
      <c r="G122" s="3">
        <v>46209</v>
      </c>
      <c r="H122" s="4">
        <v>0</v>
      </c>
      <c r="J122" s="1">
        <v>150</v>
      </c>
      <c r="K122" s="1">
        <v>152</v>
      </c>
      <c r="L122" s="1" t="s">
        <v>131</v>
      </c>
      <c r="M122" s="1" t="s">
        <v>294</v>
      </c>
      <c r="N122" s="2">
        <v>46185</v>
      </c>
      <c r="P122" s="1" t="s">
        <v>197</v>
      </c>
      <c r="Q122" s="1" t="s">
        <v>146</v>
      </c>
      <c r="R122" s="1" t="s">
        <v>55</v>
      </c>
      <c r="S122" s="2">
        <v>46184</v>
      </c>
      <c r="T122" s="2">
        <v>46185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</row>
    <row r="123" spans="1:33" x14ac:dyDescent="0.25">
      <c r="A123" s="1">
        <v>152</v>
      </c>
      <c r="B123" s="1" t="s">
        <v>317</v>
      </c>
      <c r="C123" s="1" t="s">
        <v>314</v>
      </c>
      <c r="D123" s="1" t="s">
        <v>108</v>
      </c>
      <c r="E123" s="1" t="s">
        <v>53</v>
      </c>
      <c r="F123" s="3">
        <v>46210</v>
      </c>
      <c r="G123" s="3">
        <v>46210</v>
      </c>
      <c r="H123" s="4">
        <v>0</v>
      </c>
      <c r="J123" s="1">
        <v>151</v>
      </c>
      <c r="L123" s="1" t="s">
        <v>144</v>
      </c>
      <c r="M123" s="1" t="s">
        <v>296</v>
      </c>
      <c r="N123" s="2">
        <v>46188</v>
      </c>
      <c r="P123" s="1" t="s">
        <v>197</v>
      </c>
      <c r="Q123" s="1" t="s">
        <v>151</v>
      </c>
      <c r="R123" s="1" t="s">
        <v>55</v>
      </c>
      <c r="S123" s="2">
        <v>46188</v>
      </c>
      <c r="T123" s="2">
        <v>46188</v>
      </c>
      <c r="V123" s="1">
        <v>0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x14ac:dyDescent="0.25">
      <c r="A124" s="1">
        <v>153</v>
      </c>
      <c r="B124" s="1" t="s">
        <v>318</v>
      </c>
      <c r="C124" s="1" t="s">
        <v>199</v>
      </c>
      <c r="D124" s="1" t="s">
        <v>319</v>
      </c>
      <c r="E124" s="1" t="s">
        <v>287</v>
      </c>
      <c r="F124" s="3">
        <v>46195</v>
      </c>
      <c r="G124" s="3">
        <v>46210</v>
      </c>
      <c r="H124" s="4">
        <v>0.67</v>
      </c>
      <c r="L124" s="1" t="s">
        <v>35</v>
      </c>
      <c r="M124" s="1" t="s">
        <v>148</v>
      </c>
      <c r="N124" s="2">
        <v>46188</v>
      </c>
      <c r="P124" s="1" t="s">
        <v>197</v>
      </c>
      <c r="Q124" s="1" t="s">
        <v>138</v>
      </c>
      <c r="R124" s="1" t="s">
        <v>55</v>
      </c>
      <c r="S124" s="2">
        <v>46171</v>
      </c>
      <c r="T124" s="2">
        <v>46188</v>
      </c>
      <c r="U124" s="1" t="s">
        <v>320</v>
      </c>
      <c r="V124" s="1">
        <v>0.67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</row>
    <row r="125" spans="1:33" x14ac:dyDescent="0.25">
      <c r="A125" s="1">
        <v>154</v>
      </c>
      <c r="B125" s="1" t="s">
        <v>321</v>
      </c>
      <c r="C125" s="1" t="s">
        <v>322</v>
      </c>
      <c r="D125" s="1" t="s">
        <v>94</v>
      </c>
      <c r="E125" s="1" t="s">
        <v>290</v>
      </c>
      <c r="F125" s="3">
        <v>46195</v>
      </c>
      <c r="G125" s="3">
        <v>46204</v>
      </c>
      <c r="H125" s="4">
        <v>1</v>
      </c>
      <c r="I125" s="3">
        <v>46204</v>
      </c>
      <c r="J125" s="1">
        <v>185</v>
      </c>
      <c r="K125" s="1">
        <v>155</v>
      </c>
      <c r="L125" s="1" t="s">
        <v>59</v>
      </c>
      <c r="M125" s="1" t="s">
        <v>148</v>
      </c>
      <c r="N125" s="2">
        <v>46182</v>
      </c>
      <c r="P125" s="1" t="s">
        <v>197</v>
      </c>
      <c r="Q125" s="1" t="s">
        <v>138</v>
      </c>
      <c r="R125" s="1" t="s">
        <v>55</v>
      </c>
      <c r="S125" s="2">
        <v>46171</v>
      </c>
      <c r="T125" s="2">
        <v>46182</v>
      </c>
      <c r="V125" s="1">
        <v>1</v>
      </c>
      <c r="W125" s="1">
        <v>1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</row>
    <row r="126" spans="1:33" x14ac:dyDescent="0.25">
      <c r="A126" s="1">
        <v>155</v>
      </c>
      <c r="B126" s="1" t="s">
        <v>323</v>
      </c>
      <c r="C126" s="1" t="s">
        <v>322</v>
      </c>
      <c r="D126" s="1" t="s">
        <v>98</v>
      </c>
      <c r="E126" s="1" t="s">
        <v>53</v>
      </c>
      <c r="F126" s="3">
        <v>46205</v>
      </c>
      <c r="G126" s="3">
        <v>46205</v>
      </c>
      <c r="H126" s="4">
        <v>0</v>
      </c>
      <c r="J126" s="1">
        <v>154</v>
      </c>
      <c r="K126" s="1">
        <v>156</v>
      </c>
      <c r="L126" s="1" t="s">
        <v>35</v>
      </c>
      <c r="M126" s="1" t="s">
        <v>292</v>
      </c>
      <c r="N126" s="2">
        <v>46183</v>
      </c>
      <c r="P126" s="1" t="s">
        <v>197</v>
      </c>
      <c r="Q126" s="1" t="s">
        <v>146</v>
      </c>
      <c r="R126" s="1" t="s">
        <v>55</v>
      </c>
      <c r="S126" s="2">
        <v>46183</v>
      </c>
      <c r="T126" s="2">
        <v>46183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x14ac:dyDescent="0.25">
      <c r="A127" s="1">
        <v>156</v>
      </c>
      <c r="B127" s="1" t="s">
        <v>324</v>
      </c>
      <c r="C127" s="1" t="s">
        <v>322</v>
      </c>
      <c r="D127" s="1" t="s">
        <v>102</v>
      </c>
      <c r="E127" s="1" t="s">
        <v>121</v>
      </c>
      <c r="F127" s="3">
        <v>46206</v>
      </c>
      <c r="G127" s="3">
        <v>46209</v>
      </c>
      <c r="H127" s="4">
        <v>0</v>
      </c>
      <c r="J127" s="1">
        <v>155</v>
      </c>
      <c r="K127" s="1">
        <v>157</v>
      </c>
      <c r="L127" s="1" t="s">
        <v>131</v>
      </c>
      <c r="M127" s="1" t="s">
        <v>294</v>
      </c>
      <c r="N127" s="2">
        <v>46185</v>
      </c>
      <c r="P127" s="1" t="s">
        <v>197</v>
      </c>
      <c r="Q127" s="1" t="s">
        <v>146</v>
      </c>
      <c r="R127" s="1" t="s">
        <v>55</v>
      </c>
      <c r="S127" s="2">
        <v>46184</v>
      </c>
      <c r="T127" s="2">
        <v>46185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x14ac:dyDescent="0.25">
      <c r="A128" s="1">
        <v>157</v>
      </c>
      <c r="B128" s="1" t="s">
        <v>325</v>
      </c>
      <c r="C128" s="1" t="s">
        <v>322</v>
      </c>
      <c r="D128" s="1" t="s">
        <v>108</v>
      </c>
      <c r="E128" s="1" t="s">
        <v>53</v>
      </c>
      <c r="F128" s="3">
        <v>46210</v>
      </c>
      <c r="G128" s="3">
        <v>46210</v>
      </c>
      <c r="H128" s="4">
        <v>0</v>
      </c>
      <c r="J128" s="1">
        <v>156</v>
      </c>
      <c r="L128" s="1" t="s">
        <v>144</v>
      </c>
      <c r="M128" s="1" t="s">
        <v>296</v>
      </c>
      <c r="N128" s="2">
        <v>46188</v>
      </c>
      <c r="P128" s="1" t="s">
        <v>197</v>
      </c>
      <c r="Q128" s="1" t="s">
        <v>151</v>
      </c>
      <c r="R128" s="1" t="s">
        <v>55</v>
      </c>
      <c r="S128" s="2">
        <v>46188</v>
      </c>
      <c r="T128" s="2">
        <v>46188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</row>
    <row r="129" spans="1:33" x14ac:dyDescent="0.25">
      <c r="A129" s="1">
        <v>158</v>
      </c>
      <c r="B129" s="1" t="s">
        <v>326</v>
      </c>
      <c r="C129" s="1" t="s">
        <v>199</v>
      </c>
      <c r="D129" s="1" t="s">
        <v>327</v>
      </c>
      <c r="E129" s="1" t="s">
        <v>287</v>
      </c>
      <c r="F129" s="3">
        <v>46195</v>
      </c>
      <c r="G129" s="3">
        <v>46210</v>
      </c>
      <c r="H129" s="4">
        <v>0.67</v>
      </c>
      <c r="L129" s="1" t="s">
        <v>35</v>
      </c>
      <c r="M129" s="1" t="s">
        <v>148</v>
      </c>
      <c r="N129" s="2">
        <v>46188</v>
      </c>
      <c r="P129" s="1" t="s">
        <v>197</v>
      </c>
      <c r="Q129" s="1" t="s">
        <v>138</v>
      </c>
      <c r="R129" s="1" t="s">
        <v>55</v>
      </c>
      <c r="S129" s="2">
        <v>46171</v>
      </c>
      <c r="T129" s="2">
        <v>46188</v>
      </c>
      <c r="U129" s="1" t="s">
        <v>320</v>
      </c>
      <c r="V129" s="1">
        <v>0.67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</row>
    <row r="130" spans="1:33" x14ac:dyDescent="0.25">
      <c r="A130" s="1">
        <v>159</v>
      </c>
      <c r="B130" s="1" t="s">
        <v>328</v>
      </c>
      <c r="C130" s="1" t="s">
        <v>329</v>
      </c>
      <c r="D130" s="1" t="s">
        <v>94</v>
      </c>
      <c r="E130" s="1" t="s">
        <v>290</v>
      </c>
      <c r="F130" s="3">
        <v>46195</v>
      </c>
      <c r="G130" s="3">
        <v>46204</v>
      </c>
      <c r="H130" s="4">
        <v>1</v>
      </c>
      <c r="I130" s="3">
        <v>46204</v>
      </c>
      <c r="J130" s="1">
        <v>185</v>
      </c>
      <c r="K130" s="1">
        <v>160</v>
      </c>
      <c r="L130" s="1" t="s">
        <v>59</v>
      </c>
      <c r="M130" s="1" t="s">
        <v>148</v>
      </c>
      <c r="N130" s="2">
        <v>46182</v>
      </c>
      <c r="P130" s="1" t="s">
        <v>197</v>
      </c>
      <c r="Q130" s="1" t="s">
        <v>138</v>
      </c>
      <c r="R130" s="1" t="s">
        <v>55</v>
      </c>
      <c r="S130" s="2">
        <v>46171</v>
      </c>
      <c r="T130" s="2">
        <v>46182</v>
      </c>
      <c r="V130" s="1">
        <v>1</v>
      </c>
      <c r="W130" s="1">
        <v>1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</row>
    <row r="131" spans="1:33" x14ac:dyDescent="0.25">
      <c r="A131" s="1">
        <v>160</v>
      </c>
      <c r="B131" s="1" t="s">
        <v>330</v>
      </c>
      <c r="C131" s="1" t="s">
        <v>329</v>
      </c>
      <c r="D131" s="1" t="s">
        <v>98</v>
      </c>
      <c r="E131" s="1" t="s">
        <v>53</v>
      </c>
      <c r="F131" s="3">
        <v>46205</v>
      </c>
      <c r="G131" s="3">
        <v>46205</v>
      </c>
      <c r="H131" s="4">
        <v>0</v>
      </c>
      <c r="J131" s="1">
        <v>159</v>
      </c>
      <c r="K131" s="1">
        <v>161</v>
      </c>
      <c r="L131" s="1" t="s">
        <v>35</v>
      </c>
      <c r="M131" s="1" t="s">
        <v>292</v>
      </c>
      <c r="N131" s="2">
        <v>46183</v>
      </c>
      <c r="P131" s="1" t="s">
        <v>197</v>
      </c>
      <c r="Q131" s="1" t="s">
        <v>146</v>
      </c>
      <c r="R131" s="1" t="s">
        <v>55</v>
      </c>
      <c r="S131" s="2">
        <v>46183</v>
      </c>
      <c r="T131" s="2">
        <v>46183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x14ac:dyDescent="0.25">
      <c r="A132" s="1">
        <v>161</v>
      </c>
      <c r="B132" s="1" t="s">
        <v>331</v>
      </c>
      <c r="C132" s="1" t="s">
        <v>329</v>
      </c>
      <c r="D132" s="1" t="s">
        <v>102</v>
      </c>
      <c r="E132" s="1" t="s">
        <v>121</v>
      </c>
      <c r="F132" s="3">
        <v>46206</v>
      </c>
      <c r="G132" s="3">
        <v>46209</v>
      </c>
      <c r="H132" s="4">
        <v>0</v>
      </c>
      <c r="J132" s="1">
        <v>160</v>
      </c>
      <c r="K132" s="1">
        <v>162</v>
      </c>
      <c r="L132" s="1" t="s">
        <v>131</v>
      </c>
      <c r="M132" s="1" t="s">
        <v>294</v>
      </c>
      <c r="N132" s="2">
        <v>46185</v>
      </c>
      <c r="P132" s="1" t="s">
        <v>197</v>
      </c>
      <c r="Q132" s="1" t="s">
        <v>146</v>
      </c>
      <c r="R132" s="1" t="s">
        <v>55</v>
      </c>
      <c r="S132" s="2">
        <v>46184</v>
      </c>
      <c r="T132" s="2">
        <v>46185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x14ac:dyDescent="0.25">
      <c r="A133" s="1">
        <v>162</v>
      </c>
      <c r="B133" s="1" t="s">
        <v>332</v>
      </c>
      <c r="C133" s="1" t="s">
        <v>329</v>
      </c>
      <c r="D133" s="1" t="s">
        <v>108</v>
      </c>
      <c r="E133" s="1" t="s">
        <v>53</v>
      </c>
      <c r="F133" s="3">
        <v>46210</v>
      </c>
      <c r="G133" s="3">
        <v>46210</v>
      </c>
      <c r="H133" s="4">
        <v>0</v>
      </c>
      <c r="J133" s="1">
        <v>161</v>
      </c>
      <c r="L133" s="1" t="s">
        <v>144</v>
      </c>
      <c r="M133" s="1" t="s">
        <v>296</v>
      </c>
      <c r="N133" s="2">
        <v>46188</v>
      </c>
      <c r="P133" s="1" t="s">
        <v>197</v>
      </c>
      <c r="Q133" s="1" t="s">
        <v>151</v>
      </c>
      <c r="R133" s="1" t="s">
        <v>55</v>
      </c>
      <c r="S133" s="2">
        <v>46188</v>
      </c>
      <c r="T133" s="2">
        <v>46188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</row>
    <row r="134" spans="1:33" x14ac:dyDescent="0.25">
      <c r="A134" s="1">
        <v>163</v>
      </c>
      <c r="B134" s="1" t="s">
        <v>333</v>
      </c>
      <c r="C134" s="1" t="s">
        <v>199</v>
      </c>
      <c r="D134" s="1" t="s">
        <v>334</v>
      </c>
      <c r="E134" s="1" t="s">
        <v>335</v>
      </c>
      <c r="F134" s="3">
        <v>46174</v>
      </c>
      <c r="G134" s="3">
        <v>46195</v>
      </c>
      <c r="H134" s="4">
        <v>0.86</v>
      </c>
      <c r="L134" s="1" t="s">
        <v>35</v>
      </c>
      <c r="M134" s="1" t="s">
        <v>148</v>
      </c>
      <c r="N134" s="2">
        <v>46190</v>
      </c>
      <c r="P134" s="1" t="s">
        <v>197</v>
      </c>
      <c r="Q134" s="1" t="s">
        <v>211</v>
      </c>
      <c r="R134" s="1" t="s">
        <v>55</v>
      </c>
      <c r="S134" s="2">
        <v>46171</v>
      </c>
      <c r="T134" s="2">
        <v>46190</v>
      </c>
      <c r="V134" s="1">
        <v>0.86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</row>
    <row r="135" spans="1:33" x14ac:dyDescent="0.25">
      <c r="A135" s="1">
        <v>164</v>
      </c>
      <c r="B135" s="1" t="s">
        <v>336</v>
      </c>
      <c r="C135" s="1" t="s">
        <v>337</v>
      </c>
      <c r="D135" s="1" t="s">
        <v>94</v>
      </c>
      <c r="E135" s="1" t="s">
        <v>338</v>
      </c>
      <c r="F135" s="3">
        <v>46174</v>
      </c>
      <c r="G135" s="3">
        <v>46189</v>
      </c>
      <c r="H135" s="4">
        <v>1</v>
      </c>
      <c r="I135" s="3">
        <v>46189</v>
      </c>
      <c r="J135" s="1">
        <v>185</v>
      </c>
      <c r="K135" s="1" t="s">
        <v>339</v>
      </c>
      <c r="L135" s="1" t="s">
        <v>59</v>
      </c>
      <c r="M135" s="1" t="s">
        <v>148</v>
      </c>
      <c r="N135" s="2">
        <v>46184</v>
      </c>
      <c r="P135" s="1" t="s">
        <v>197</v>
      </c>
      <c r="Q135" s="1" t="s">
        <v>211</v>
      </c>
      <c r="R135" s="1" t="s">
        <v>55</v>
      </c>
      <c r="S135" s="2">
        <v>46171</v>
      </c>
      <c r="T135" s="2">
        <v>46184</v>
      </c>
      <c r="V135" s="1">
        <v>1</v>
      </c>
      <c r="W135" s="1">
        <v>1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</row>
    <row r="136" spans="1:33" x14ac:dyDescent="0.25">
      <c r="A136" s="1">
        <v>165</v>
      </c>
      <c r="B136" s="1" t="s">
        <v>340</v>
      </c>
      <c r="C136" s="1" t="s">
        <v>337</v>
      </c>
      <c r="D136" s="1" t="s">
        <v>98</v>
      </c>
      <c r="E136" s="1" t="s">
        <v>53</v>
      </c>
      <c r="F136" s="3">
        <v>46190</v>
      </c>
      <c r="G136" s="3">
        <v>46190</v>
      </c>
      <c r="H136" s="4">
        <v>1</v>
      </c>
      <c r="I136" s="3">
        <v>46190</v>
      </c>
      <c r="J136" s="1">
        <v>164</v>
      </c>
      <c r="K136" s="1">
        <v>166</v>
      </c>
      <c r="L136" s="1" t="s">
        <v>59</v>
      </c>
      <c r="M136" s="1" t="s">
        <v>172</v>
      </c>
      <c r="N136" s="2">
        <v>46185</v>
      </c>
      <c r="P136" s="1" t="s">
        <v>197</v>
      </c>
      <c r="Q136" s="1" t="s">
        <v>138</v>
      </c>
      <c r="R136" s="1" t="s">
        <v>55</v>
      </c>
      <c r="S136" s="2">
        <v>46185</v>
      </c>
      <c r="T136" s="2">
        <v>46185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</row>
    <row r="137" spans="1:33" x14ac:dyDescent="0.25">
      <c r="A137" s="1">
        <v>166</v>
      </c>
      <c r="B137" s="1" t="s">
        <v>341</v>
      </c>
      <c r="C137" s="1" t="s">
        <v>337</v>
      </c>
      <c r="D137" s="1" t="s">
        <v>102</v>
      </c>
      <c r="E137" s="1" t="s">
        <v>121</v>
      </c>
      <c r="F137" s="3">
        <v>46191</v>
      </c>
      <c r="G137" s="3">
        <v>46192</v>
      </c>
      <c r="H137" s="4">
        <v>0.5</v>
      </c>
      <c r="J137" s="1">
        <v>165</v>
      </c>
      <c r="K137" s="1">
        <v>167</v>
      </c>
      <c r="L137" s="1" t="s">
        <v>35</v>
      </c>
      <c r="M137" s="1" t="s">
        <v>296</v>
      </c>
      <c r="N137" s="2">
        <v>46189</v>
      </c>
      <c r="P137" s="1" t="s">
        <v>197</v>
      </c>
      <c r="Q137" s="1" t="s">
        <v>138</v>
      </c>
      <c r="R137" s="1" t="s">
        <v>55</v>
      </c>
      <c r="S137" s="2">
        <v>46188</v>
      </c>
      <c r="T137" s="2">
        <v>46189</v>
      </c>
      <c r="V137" s="1">
        <v>0.5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</row>
    <row r="138" spans="1:33" x14ac:dyDescent="0.25">
      <c r="A138" s="1">
        <v>167</v>
      </c>
      <c r="B138" s="1" t="s">
        <v>342</v>
      </c>
      <c r="C138" s="1" t="s">
        <v>337</v>
      </c>
      <c r="D138" s="1" t="s">
        <v>108</v>
      </c>
      <c r="E138" s="1" t="s">
        <v>53</v>
      </c>
      <c r="F138" s="3">
        <v>46195</v>
      </c>
      <c r="G138" s="3">
        <v>46195</v>
      </c>
      <c r="H138" s="4">
        <v>0</v>
      </c>
      <c r="J138" s="1">
        <v>166</v>
      </c>
      <c r="L138" s="1" t="s">
        <v>35</v>
      </c>
      <c r="M138" s="1" t="s">
        <v>343</v>
      </c>
      <c r="N138" s="2">
        <v>46190</v>
      </c>
      <c r="P138" s="1" t="s">
        <v>197</v>
      </c>
      <c r="Q138" s="1" t="s">
        <v>146</v>
      </c>
      <c r="R138" s="1" t="s">
        <v>55</v>
      </c>
      <c r="S138" s="2">
        <v>46190</v>
      </c>
      <c r="T138" s="2">
        <v>46190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</row>
    <row r="139" spans="1:33" x14ac:dyDescent="0.25">
      <c r="A139" s="1">
        <v>168</v>
      </c>
      <c r="B139" s="1" t="s">
        <v>344</v>
      </c>
      <c r="C139" s="1" t="s">
        <v>199</v>
      </c>
      <c r="D139" s="1" t="s">
        <v>345</v>
      </c>
      <c r="E139" s="1" t="s">
        <v>335</v>
      </c>
      <c r="F139" s="3">
        <v>46174</v>
      </c>
      <c r="G139" s="3">
        <v>46195</v>
      </c>
      <c r="H139" s="4">
        <v>0.75</v>
      </c>
      <c r="L139" s="1" t="s">
        <v>35</v>
      </c>
      <c r="M139" s="1" t="s">
        <v>148</v>
      </c>
      <c r="N139" s="2">
        <v>46190</v>
      </c>
      <c r="P139" s="1" t="s">
        <v>197</v>
      </c>
      <c r="Q139" s="1" t="s">
        <v>211</v>
      </c>
      <c r="R139" s="1" t="s">
        <v>55</v>
      </c>
      <c r="S139" s="2">
        <v>46171</v>
      </c>
      <c r="T139" s="2">
        <v>46190</v>
      </c>
      <c r="U139" s="1" t="s">
        <v>320</v>
      </c>
      <c r="V139" s="1">
        <v>0.75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x14ac:dyDescent="0.25">
      <c r="A140" s="1">
        <v>169</v>
      </c>
      <c r="B140" s="1" t="s">
        <v>346</v>
      </c>
      <c r="C140" s="1" t="s">
        <v>347</v>
      </c>
      <c r="D140" s="1" t="s">
        <v>94</v>
      </c>
      <c r="E140" s="1" t="s">
        <v>338</v>
      </c>
      <c r="F140" s="3">
        <v>46174</v>
      </c>
      <c r="G140" s="3">
        <v>46189</v>
      </c>
      <c r="H140" s="4">
        <v>1</v>
      </c>
      <c r="I140" s="3">
        <v>46189</v>
      </c>
      <c r="J140" s="1">
        <v>185</v>
      </c>
      <c r="K140" s="1" t="s">
        <v>348</v>
      </c>
      <c r="L140" s="1" t="s">
        <v>59</v>
      </c>
      <c r="M140" s="1" t="s">
        <v>148</v>
      </c>
      <c r="N140" s="2">
        <v>46184</v>
      </c>
      <c r="P140" s="1" t="s">
        <v>197</v>
      </c>
      <c r="Q140" s="1" t="s">
        <v>211</v>
      </c>
      <c r="R140" s="1" t="s">
        <v>55</v>
      </c>
      <c r="S140" s="2">
        <v>46171</v>
      </c>
      <c r="T140" s="2">
        <v>46184</v>
      </c>
      <c r="V140" s="1">
        <v>1</v>
      </c>
      <c r="W140" s="1">
        <v>1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</row>
    <row r="141" spans="1:33" x14ac:dyDescent="0.25">
      <c r="A141" s="1">
        <v>170</v>
      </c>
      <c r="B141" s="1" t="s">
        <v>349</v>
      </c>
      <c r="C141" s="1" t="s">
        <v>347</v>
      </c>
      <c r="D141" s="1" t="s">
        <v>98</v>
      </c>
      <c r="E141" s="1" t="s">
        <v>53</v>
      </c>
      <c r="F141" s="3">
        <v>46190</v>
      </c>
      <c r="G141" s="3">
        <v>46190</v>
      </c>
      <c r="H141" s="4">
        <v>0.5</v>
      </c>
      <c r="J141" s="1">
        <v>169</v>
      </c>
      <c r="K141" s="1">
        <v>171</v>
      </c>
      <c r="L141" s="1" t="s">
        <v>35</v>
      </c>
      <c r="M141" s="1" t="s">
        <v>172</v>
      </c>
      <c r="N141" s="2">
        <v>46185</v>
      </c>
      <c r="P141" s="1" t="s">
        <v>197</v>
      </c>
      <c r="Q141" s="1" t="s">
        <v>138</v>
      </c>
      <c r="R141" s="1" t="s">
        <v>55</v>
      </c>
      <c r="S141" s="2">
        <v>46185</v>
      </c>
      <c r="T141" s="2">
        <v>46185</v>
      </c>
      <c r="V141" s="1">
        <v>0.5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</row>
    <row r="142" spans="1:33" x14ac:dyDescent="0.25">
      <c r="A142" s="1">
        <v>171</v>
      </c>
      <c r="B142" s="1" t="s">
        <v>350</v>
      </c>
      <c r="C142" s="1" t="s">
        <v>347</v>
      </c>
      <c r="D142" s="1" t="s">
        <v>102</v>
      </c>
      <c r="E142" s="1" t="s">
        <v>121</v>
      </c>
      <c r="F142" s="3">
        <v>46191</v>
      </c>
      <c r="G142" s="3">
        <v>46192</v>
      </c>
      <c r="H142" s="4">
        <v>0</v>
      </c>
      <c r="J142" s="1">
        <v>170</v>
      </c>
      <c r="K142" s="1">
        <v>172</v>
      </c>
      <c r="L142" s="1" t="s">
        <v>35</v>
      </c>
      <c r="M142" s="1" t="s">
        <v>296</v>
      </c>
      <c r="N142" s="2">
        <v>46189</v>
      </c>
      <c r="P142" s="1" t="s">
        <v>197</v>
      </c>
      <c r="Q142" s="1" t="s">
        <v>138</v>
      </c>
      <c r="R142" s="1" t="s">
        <v>55</v>
      </c>
      <c r="S142" s="2">
        <v>46188</v>
      </c>
      <c r="T142" s="2">
        <v>46189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</row>
    <row r="143" spans="1:33" x14ac:dyDescent="0.25">
      <c r="A143" s="1">
        <v>172</v>
      </c>
      <c r="B143" s="1" t="s">
        <v>351</v>
      </c>
      <c r="C143" s="1" t="s">
        <v>347</v>
      </c>
      <c r="D143" s="1" t="s">
        <v>108</v>
      </c>
      <c r="E143" s="1" t="s">
        <v>53</v>
      </c>
      <c r="F143" s="3">
        <v>46195</v>
      </c>
      <c r="G143" s="3">
        <v>46195</v>
      </c>
      <c r="H143" s="4">
        <v>0</v>
      </c>
      <c r="J143" s="1">
        <v>171</v>
      </c>
      <c r="L143" s="1" t="s">
        <v>35</v>
      </c>
      <c r="M143" s="1" t="s">
        <v>343</v>
      </c>
      <c r="N143" s="2">
        <v>46190</v>
      </c>
      <c r="P143" s="1" t="s">
        <v>197</v>
      </c>
      <c r="Q143" s="1" t="s">
        <v>146</v>
      </c>
      <c r="R143" s="1" t="s">
        <v>55</v>
      </c>
      <c r="S143" s="2">
        <v>46190</v>
      </c>
      <c r="T143" s="2">
        <v>46190</v>
      </c>
      <c r="V143" s="1">
        <v>0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</row>
    <row r="144" spans="1:33" x14ac:dyDescent="0.25">
      <c r="A144" s="1">
        <v>173</v>
      </c>
      <c r="B144" s="1" t="s">
        <v>352</v>
      </c>
      <c r="C144" s="1" t="s">
        <v>199</v>
      </c>
      <c r="D144" s="1" t="s">
        <v>353</v>
      </c>
      <c r="E144" s="1" t="s">
        <v>335</v>
      </c>
      <c r="F144" s="3">
        <v>46174</v>
      </c>
      <c r="G144" s="3">
        <v>46195</v>
      </c>
      <c r="H144" s="4">
        <v>0.86</v>
      </c>
      <c r="L144" s="1" t="s">
        <v>35</v>
      </c>
      <c r="M144" s="1" t="s">
        <v>148</v>
      </c>
      <c r="N144" s="2">
        <v>46190</v>
      </c>
      <c r="P144" s="1" t="s">
        <v>197</v>
      </c>
      <c r="Q144" s="1" t="s">
        <v>211</v>
      </c>
      <c r="R144" s="1" t="s">
        <v>55</v>
      </c>
      <c r="S144" s="2">
        <v>46171</v>
      </c>
      <c r="T144" s="2">
        <v>46190</v>
      </c>
      <c r="U144" s="1" t="s">
        <v>320</v>
      </c>
      <c r="V144" s="1">
        <v>0.86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</row>
    <row r="145" spans="1:33" x14ac:dyDescent="0.25">
      <c r="A145" s="1">
        <v>174</v>
      </c>
      <c r="B145" s="1" t="s">
        <v>354</v>
      </c>
      <c r="C145" s="1" t="s">
        <v>355</v>
      </c>
      <c r="D145" s="1" t="s">
        <v>94</v>
      </c>
      <c r="E145" s="1" t="s">
        <v>338</v>
      </c>
      <c r="F145" s="3">
        <v>46174</v>
      </c>
      <c r="G145" s="3">
        <v>46189</v>
      </c>
      <c r="H145" s="4">
        <v>1</v>
      </c>
      <c r="I145" s="3">
        <v>46189</v>
      </c>
      <c r="J145" s="1">
        <v>185</v>
      </c>
      <c r="K145" s="1" t="s">
        <v>356</v>
      </c>
      <c r="L145" s="1" t="s">
        <v>59</v>
      </c>
      <c r="M145" s="1" t="s">
        <v>148</v>
      </c>
      <c r="N145" s="2">
        <v>46184</v>
      </c>
      <c r="P145" s="1" t="s">
        <v>197</v>
      </c>
      <c r="Q145" s="1" t="s">
        <v>211</v>
      </c>
      <c r="R145" s="1" t="s">
        <v>55</v>
      </c>
      <c r="S145" s="2">
        <v>46171</v>
      </c>
      <c r="T145" s="2">
        <v>46184</v>
      </c>
      <c r="V145" s="1">
        <v>1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</row>
    <row r="146" spans="1:33" x14ac:dyDescent="0.25">
      <c r="A146" s="1">
        <v>175</v>
      </c>
      <c r="B146" s="1" t="s">
        <v>357</v>
      </c>
      <c r="C146" s="1" t="s">
        <v>355</v>
      </c>
      <c r="D146" s="1" t="s">
        <v>98</v>
      </c>
      <c r="E146" s="1" t="s">
        <v>53</v>
      </c>
      <c r="F146" s="3">
        <v>46190</v>
      </c>
      <c r="G146" s="3">
        <v>46190</v>
      </c>
      <c r="H146" s="4">
        <v>1</v>
      </c>
      <c r="I146" s="3">
        <v>46190</v>
      </c>
      <c r="J146" s="1">
        <v>174</v>
      </c>
      <c r="K146" s="1">
        <v>176</v>
      </c>
      <c r="L146" s="1" t="s">
        <v>59</v>
      </c>
      <c r="M146" s="1" t="s">
        <v>172</v>
      </c>
      <c r="N146" s="2">
        <v>46185</v>
      </c>
      <c r="P146" s="1" t="s">
        <v>197</v>
      </c>
      <c r="Q146" s="1" t="s">
        <v>138</v>
      </c>
      <c r="R146" s="1" t="s">
        <v>55</v>
      </c>
      <c r="S146" s="2">
        <v>46185</v>
      </c>
      <c r="T146" s="2">
        <v>46185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</row>
    <row r="147" spans="1:33" x14ac:dyDescent="0.25">
      <c r="A147" s="1">
        <v>176</v>
      </c>
      <c r="B147" s="1" t="s">
        <v>358</v>
      </c>
      <c r="C147" s="1" t="s">
        <v>355</v>
      </c>
      <c r="D147" s="1" t="s">
        <v>102</v>
      </c>
      <c r="E147" s="1" t="s">
        <v>121</v>
      </c>
      <c r="F147" s="3">
        <v>46191</v>
      </c>
      <c r="G147" s="3">
        <v>46192</v>
      </c>
      <c r="H147" s="4">
        <v>0.5</v>
      </c>
      <c r="J147" s="1">
        <v>175</v>
      </c>
      <c r="K147" s="1">
        <v>177</v>
      </c>
      <c r="L147" s="1" t="s">
        <v>35</v>
      </c>
      <c r="M147" s="1" t="s">
        <v>296</v>
      </c>
      <c r="N147" s="2">
        <v>46189</v>
      </c>
      <c r="P147" s="1" t="s">
        <v>197</v>
      </c>
      <c r="Q147" s="1" t="s">
        <v>138</v>
      </c>
      <c r="R147" s="1" t="s">
        <v>55</v>
      </c>
      <c r="S147" s="2">
        <v>46188</v>
      </c>
      <c r="T147" s="2">
        <v>46189</v>
      </c>
      <c r="V147" s="1">
        <v>0.5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</row>
    <row r="148" spans="1:33" x14ac:dyDescent="0.25">
      <c r="A148" s="1">
        <v>177</v>
      </c>
      <c r="B148" s="1" t="s">
        <v>359</v>
      </c>
      <c r="C148" s="1" t="s">
        <v>355</v>
      </c>
      <c r="D148" s="1" t="s">
        <v>108</v>
      </c>
      <c r="E148" s="1" t="s">
        <v>53</v>
      </c>
      <c r="F148" s="3">
        <v>46195</v>
      </c>
      <c r="G148" s="3">
        <v>46195</v>
      </c>
      <c r="H148" s="4">
        <v>0</v>
      </c>
      <c r="J148" s="1">
        <v>176</v>
      </c>
      <c r="L148" s="1" t="s">
        <v>35</v>
      </c>
      <c r="M148" s="1" t="s">
        <v>343</v>
      </c>
      <c r="N148" s="2">
        <v>46190</v>
      </c>
      <c r="P148" s="1" t="s">
        <v>197</v>
      </c>
      <c r="Q148" s="1" t="s">
        <v>146</v>
      </c>
      <c r="R148" s="1" t="s">
        <v>55</v>
      </c>
      <c r="S148" s="2">
        <v>46190</v>
      </c>
      <c r="T148" s="2">
        <v>46190</v>
      </c>
      <c r="V148" s="1">
        <v>0</v>
      </c>
      <c r="W148" s="1">
        <v>0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</row>
    <row r="149" spans="1:33" x14ac:dyDescent="0.25">
      <c r="A149" s="1">
        <v>178</v>
      </c>
      <c r="B149" s="1" t="s">
        <v>360</v>
      </c>
      <c r="C149" s="1" t="s">
        <v>199</v>
      </c>
      <c r="D149" s="1" t="s">
        <v>361</v>
      </c>
      <c r="E149" s="1" t="s">
        <v>335</v>
      </c>
      <c r="F149" s="3">
        <v>46174</v>
      </c>
      <c r="G149" s="3">
        <v>46195</v>
      </c>
      <c r="H149" s="4">
        <v>0.75</v>
      </c>
      <c r="L149" s="1" t="s">
        <v>35</v>
      </c>
      <c r="M149" s="1" t="s">
        <v>148</v>
      </c>
      <c r="N149" s="2">
        <v>46190</v>
      </c>
      <c r="P149" s="1" t="s">
        <v>197</v>
      </c>
      <c r="Q149" s="1" t="s">
        <v>211</v>
      </c>
      <c r="R149" s="1" t="s">
        <v>55</v>
      </c>
      <c r="S149" s="2">
        <v>46171</v>
      </c>
      <c r="T149" s="2">
        <v>46190</v>
      </c>
      <c r="U149" s="1" t="s">
        <v>320</v>
      </c>
      <c r="V149" s="1">
        <v>0.75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</row>
    <row r="150" spans="1:33" x14ac:dyDescent="0.25">
      <c r="A150" s="1">
        <v>179</v>
      </c>
      <c r="B150" s="1" t="s">
        <v>362</v>
      </c>
      <c r="C150" s="1" t="s">
        <v>363</v>
      </c>
      <c r="D150" s="1" t="s">
        <v>94</v>
      </c>
      <c r="E150" s="1" t="s">
        <v>338</v>
      </c>
      <c r="F150" s="3">
        <v>46174</v>
      </c>
      <c r="G150" s="3">
        <v>46189</v>
      </c>
      <c r="H150" s="4">
        <v>1</v>
      </c>
      <c r="I150" s="3">
        <v>46189</v>
      </c>
      <c r="J150" s="1">
        <v>185</v>
      </c>
      <c r="K150" s="1" t="s">
        <v>364</v>
      </c>
      <c r="L150" s="1" t="s">
        <v>59</v>
      </c>
      <c r="M150" s="1" t="s">
        <v>148</v>
      </c>
      <c r="N150" s="2">
        <v>46184</v>
      </c>
      <c r="P150" s="1" t="s">
        <v>197</v>
      </c>
      <c r="Q150" s="1" t="s">
        <v>211</v>
      </c>
      <c r="R150" s="1" t="s">
        <v>55</v>
      </c>
      <c r="S150" s="2">
        <v>46171</v>
      </c>
      <c r="T150" s="2">
        <v>46184</v>
      </c>
      <c r="V150" s="1">
        <v>1</v>
      </c>
      <c r="W150" s="1">
        <v>1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</row>
    <row r="151" spans="1:33" x14ac:dyDescent="0.25">
      <c r="A151" s="1">
        <v>180</v>
      </c>
      <c r="B151" s="1" t="s">
        <v>365</v>
      </c>
      <c r="C151" s="1" t="s">
        <v>363</v>
      </c>
      <c r="D151" s="1" t="s">
        <v>98</v>
      </c>
      <c r="E151" s="1" t="s">
        <v>53</v>
      </c>
      <c r="F151" s="3">
        <v>46190</v>
      </c>
      <c r="G151" s="3">
        <v>46190</v>
      </c>
      <c r="H151" s="4">
        <v>0.5</v>
      </c>
      <c r="J151" s="1">
        <v>179</v>
      </c>
      <c r="K151" s="1">
        <v>181</v>
      </c>
      <c r="L151" s="1" t="s">
        <v>35</v>
      </c>
      <c r="M151" s="1" t="s">
        <v>172</v>
      </c>
      <c r="N151" s="2">
        <v>46185</v>
      </c>
      <c r="P151" s="1" t="s">
        <v>197</v>
      </c>
      <c r="Q151" s="1" t="s">
        <v>138</v>
      </c>
      <c r="R151" s="1" t="s">
        <v>55</v>
      </c>
      <c r="S151" s="2">
        <v>46185</v>
      </c>
      <c r="T151" s="2">
        <v>46185</v>
      </c>
      <c r="V151" s="1">
        <v>0.5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x14ac:dyDescent="0.25">
      <c r="A152" s="1">
        <v>181</v>
      </c>
      <c r="B152" s="1" t="s">
        <v>366</v>
      </c>
      <c r="C152" s="1" t="s">
        <v>363</v>
      </c>
      <c r="D152" s="1" t="s">
        <v>102</v>
      </c>
      <c r="E152" s="1" t="s">
        <v>121</v>
      </c>
      <c r="F152" s="3">
        <v>46191</v>
      </c>
      <c r="G152" s="3">
        <v>46192</v>
      </c>
      <c r="H152" s="4">
        <v>0</v>
      </c>
      <c r="J152" s="1">
        <v>180</v>
      </c>
      <c r="K152" s="1">
        <v>182</v>
      </c>
      <c r="L152" s="1" t="s">
        <v>35</v>
      </c>
      <c r="M152" s="1" t="s">
        <v>296</v>
      </c>
      <c r="N152" s="2">
        <v>46189</v>
      </c>
      <c r="P152" s="1" t="s">
        <v>197</v>
      </c>
      <c r="Q152" s="1" t="s">
        <v>138</v>
      </c>
      <c r="R152" s="1" t="s">
        <v>55</v>
      </c>
      <c r="S152" s="2">
        <v>46188</v>
      </c>
      <c r="T152" s="2">
        <v>46189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</row>
    <row r="153" spans="1:33" x14ac:dyDescent="0.25">
      <c r="A153" s="1">
        <v>182</v>
      </c>
      <c r="B153" s="1" t="s">
        <v>367</v>
      </c>
      <c r="C153" s="1" t="s">
        <v>363</v>
      </c>
      <c r="D153" s="1" t="s">
        <v>108</v>
      </c>
      <c r="E153" s="1" t="s">
        <v>53</v>
      </c>
      <c r="F153" s="3">
        <v>46195</v>
      </c>
      <c r="G153" s="3">
        <v>46195</v>
      </c>
      <c r="H153" s="4">
        <v>0</v>
      </c>
      <c r="J153" s="1">
        <v>181</v>
      </c>
      <c r="L153" s="1" t="s">
        <v>35</v>
      </c>
      <c r="M153" s="1" t="s">
        <v>343</v>
      </c>
      <c r="N153" s="2">
        <v>46190</v>
      </c>
      <c r="P153" s="1" t="s">
        <v>197</v>
      </c>
      <c r="Q153" s="1" t="s">
        <v>146</v>
      </c>
      <c r="R153" s="1" t="s">
        <v>55</v>
      </c>
      <c r="S153" s="2">
        <v>46190</v>
      </c>
      <c r="T153" s="2">
        <v>46190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</row>
    <row r="154" spans="1:33" x14ac:dyDescent="0.25">
      <c r="A154" s="1">
        <v>183</v>
      </c>
      <c r="B154" s="1" t="s">
        <v>368</v>
      </c>
      <c r="C154" s="1" t="s">
        <v>199</v>
      </c>
      <c r="D154" s="1" t="s">
        <v>369</v>
      </c>
      <c r="E154" s="1" t="s">
        <v>335</v>
      </c>
      <c r="F154" s="3">
        <v>46157</v>
      </c>
      <c r="G154" s="3">
        <v>46176</v>
      </c>
      <c r="H154" s="4">
        <v>0.92</v>
      </c>
      <c r="L154" s="1" t="s">
        <v>35</v>
      </c>
      <c r="M154" s="1" t="s">
        <v>44</v>
      </c>
      <c r="N154" s="2">
        <v>46175</v>
      </c>
      <c r="P154" s="1" t="s">
        <v>197</v>
      </c>
      <c r="Q154" s="1" t="s">
        <v>125</v>
      </c>
      <c r="R154" s="1" t="s">
        <v>55</v>
      </c>
      <c r="S154" s="2">
        <v>46161</v>
      </c>
      <c r="T154" s="2">
        <v>46175</v>
      </c>
      <c r="V154" s="1">
        <v>0.92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x14ac:dyDescent="0.25">
      <c r="A155" s="1">
        <v>184</v>
      </c>
      <c r="B155" s="1" t="s">
        <v>370</v>
      </c>
      <c r="C155" s="1" t="s">
        <v>371</v>
      </c>
      <c r="D155" s="1" t="s">
        <v>94</v>
      </c>
      <c r="E155" s="1" t="s">
        <v>290</v>
      </c>
      <c r="F155" s="3">
        <v>46157</v>
      </c>
      <c r="G155" s="3">
        <v>46168</v>
      </c>
      <c r="H155" s="4">
        <v>1</v>
      </c>
      <c r="I155" s="3">
        <v>46168</v>
      </c>
      <c r="J155" s="1" t="s">
        <v>372</v>
      </c>
      <c r="K155" s="1" t="s">
        <v>373</v>
      </c>
      <c r="L155" s="1" t="s">
        <v>59</v>
      </c>
      <c r="M155" s="1" t="s">
        <v>44</v>
      </c>
      <c r="N155" s="2">
        <v>46169</v>
      </c>
      <c r="P155" s="1" t="s">
        <v>197</v>
      </c>
      <c r="Q155" s="1" t="s">
        <v>125</v>
      </c>
      <c r="R155" s="1" t="s">
        <v>55</v>
      </c>
      <c r="S155" s="2">
        <v>46161</v>
      </c>
      <c r="T155" s="2">
        <v>46169</v>
      </c>
      <c r="V155" s="1">
        <v>1</v>
      </c>
      <c r="W155" s="1">
        <v>1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1</v>
      </c>
    </row>
    <row r="156" spans="1:33" x14ac:dyDescent="0.25">
      <c r="A156" s="1">
        <v>185</v>
      </c>
      <c r="B156" s="1" t="s">
        <v>374</v>
      </c>
      <c r="C156" s="1" t="s">
        <v>371</v>
      </c>
      <c r="D156" s="1" t="s">
        <v>98</v>
      </c>
      <c r="E156" s="1" t="s">
        <v>53</v>
      </c>
      <c r="F156" s="3">
        <v>46171</v>
      </c>
      <c r="G156" s="3">
        <v>46171</v>
      </c>
      <c r="H156" s="4">
        <v>1</v>
      </c>
      <c r="I156" s="3">
        <v>46171</v>
      </c>
      <c r="J156" s="1">
        <v>184</v>
      </c>
      <c r="K156" s="1" t="s">
        <v>375</v>
      </c>
      <c r="L156" s="1" t="s">
        <v>59</v>
      </c>
      <c r="M156" s="1" t="s">
        <v>145</v>
      </c>
      <c r="N156" s="2">
        <v>46170</v>
      </c>
      <c r="P156" s="1" t="s">
        <v>197</v>
      </c>
      <c r="Q156" s="1" t="s">
        <v>110</v>
      </c>
      <c r="R156" s="1" t="s">
        <v>55</v>
      </c>
      <c r="S156" s="2">
        <v>46170</v>
      </c>
      <c r="T156" s="2">
        <v>46170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</row>
    <row r="157" spans="1:33" x14ac:dyDescent="0.25">
      <c r="A157" s="1">
        <v>186</v>
      </c>
      <c r="B157" s="1" t="s">
        <v>376</v>
      </c>
      <c r="C157" s="1" t="s">
        <v>371</v>
      </c>
      <c r="D157" s="1" t="s">
        <v>102</v>
      </c>
      <c r="E157" s="1" t="s">
        <v>121</v>
      </c>
      <c r="F157" s="3">
        <v>46174</v>
      </c>
      <c r="G157" s="3">
        <v>46175</v>
      </c>
      <c r="H157" s="4">
        <v>0.75</v>
      </c>
      <c r="J157" s="1">
        <v>185</v>
      </c>
      <c r="K157" s="1" t="s">
        <v>377</v>
      </c>
      <c r="L157" s="1" t="s">
        <v>35</v>
      </c>
      <c r="M157" s="1" t="s">
        <v>148</v>
      </c>
      <c r="N157" s="2">
        <v>46174</v>
      </c>
      <c r="P157" s="1" t="s">
        <v>197</v>
      </c>
      <c r="Q157" s="1" t="s">
        <v>211</v>
      </c>
      <c r="R157" s="1" t="s">
        <v>55</v>
      </c>
      <c r="S157" s="2">
        <v>46171</v>
      </c>
      <c r="T157" s="2">
        <v>46174</v>
      </c>
      <c r="V157" s="1">
        <v>0.75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0</v>
      </c>
      <c r="AF157" s="1">
        <v>0</v>
      </c>
      <c r="AG157" s="1">
        <v>0</v>
      </c>
    </row>
    <row r="158" spans="1:33" x14ac:dyDescent="0.25">
      <c r="A158" s="1">
        <v>187</v>
      </c>
      <c r="B158" s="1" t="s">
        <v>378</v>
      </c>
      <c r="C158" s="1" t="s">
        <v>371</v>
      </c>
      <c r="D158" s="1" t="s">
        <v>108</v>
      </c>
      <c r="E158" s="1" t="s">
        <v>53</v>
      </c>
      <c r="F158" s="3">
        <v>46176</v>
      </c>
      <c r="G158" s="3">
        <v>46176</v>
      </c>
      <c r="H158" s="4">
        <v>0.5</v>
      </c>
      <c r="J158" s="1">
        <v>186</v>
      </c>
      <c r="L158" s="1" t="s">
        <v>35</v>
      </c>
      <c r="M158" s="1" t="s">
        <v>150</v>
      </c>
      <c r="N158" s="2">
        <v>46175</v>
      </c>
      <c r="P158" s="1" t="s">
        <v>197</v>
      </c>
      <c r="Q158" s="1" t="s">
        <v>211</v>
      </c>
      <c r="R158" s="1" t="s">
        <v>55</v>
      </c>
      <c r="S158" s="2">
        <v>46175</v>
      </c>
      <c r="T158" s="2">
        <v>46175</v>
      </c>
      <c r="V158" s="1">
        <v>0.5</v>
      </c>
      <c r="W158" s="1">
        <v>0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</row>
    <row r="159" spans="1:33" x14ac:dyDescent="0.25">
      <c r="A159" s="1">
        <v>188</v>
      </c>
      <c r="B159" s="1" t="s">
        <v>379</v>
      </c>
      <c r="C159" s="1" t="s">
        <v>199</v>
      </c>
      <c r="D159" s="1" t="s">
        <v>380</v>
      </c>
      <c r="E159" s="1" t="s">
        <v>136</v>
      </c>
      <c r="F159" s="3">
        <v>46190</v>
      </c>
      <c r="G159" s="3">
        <v>46198</v>
      </c>
      <c r="H159" s="4">
        <v>0.43</v>
      </c>
      <c r="L159" s="1" t="s">
        <v>35</v>
      </c>
      <c r="M159" s="1" t="s">
        <v>172</v>
      </c>
      <c r="N159" s="2">
        <v>46195</v>
      </c>
      <c r="P159" s="1" t="s">
        <v>197</v>
      </c>
      <c r="Q159" s="1" t="s">
        <v>138</v>
      </c>
      <c r="R159" s="1" t="s">
        <v>55</v>
      </c>
      <c r="S159" s="2">
        <v>46185</v>
      </c>
      <c r="T159" s="2">
        <v>46195</v>
      </c>
      <c r="V159" s="1">
        <v>0.43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x14ac:dyDescent="0.25">
      <c r="A160" s="1">
        <v>189</v>
      </c>
      <c r="B160" s="1" t="s">
        <v>381</v>
      </c>
      <c r="C160" s="1" t="s">
        <v>382</v>
      </c>
      <c r="D160" s="1" t="s">
        <v>94</v>
      </c>
      <c r="E160" s="1" t="s">
        <v>95</v>
      </c>
      <c r="F160" s="3">
        <v>46190</v>
      </c>
      <c r="G160" s="3">
        <v>46192</v>
      </c>
      <c r="H160" s="4">
        <v>1</v>
      </c>
      <c r="I160" s="3">
        <v>46192</v>
      </c>
      <c r="J160" s="1" t="s">
        <v>383</v>
      </c>
      <c r="K160" s="1">
        <v>190</v>
      </c>
      <c r="L160" s="1" t="s">
        <v>59</v>
      </c>
      <c r="M160" s="1" t="s">
        <v>172</v>
      </c>
      <c r="N160" s="2">
        <v>46189</v>
      </c>
      <c r="P160" s="1" t="s">
        <v>197</v>
      </c>
      <c r="Q160" s="1" t="s">
        <v>138</v>
      </c>
      <c r="R160" s="1" t="s">
        <v>55</v>
      </c>
      <c r="S160" s="2">
        <v>46185</v>
      </c>
      <c r="T160" s="2">
        <v>46189</v>
      </c>
      <c r="V160" s="1">
        <v>1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</row>
    <row r="161" spans="1:33" x14ac:dyDescent="0.25">
      <c r="A161" s="1">
        <v>190</v>
      </c>
      <c r="B161" s="1" t="s">
        <v>384</v>
      </c>
      <c r="C161" s="1" t="s">
        <v>382</v>
      </c>
      <c r="D161" s="1" t="s">
        <v>98</v>
      </c>
      <c r="E161" s="1" t="s">
        <v>53</v>
      </c>
      <c r="F161" s="3">
        <v>46195</v>
      </c>
      <c r="G161" s="3">
        <v>46195</v>
      </c>
      <c r="H161" s="4">
        <v>0</v>
      </c>
      <c r="J161" s="1">
        <v>189</v>
      </c>
      <c r="K161" s="1">
        <v>191</v>
      </c>
      <c r="L161" s="1" t="s">
        <v>35</v>
      </c>
      <c r="M161" s="1" t="s">
        <v>343</v>
      </c>
      <c r="N161" s="2">
        <v>46190</v>
      </c>
      <c r="P161" s="1" t="s">
        <v>197</v>
      </c>
      <c r="Q161" s="1" t="s">
        <v>146</v>
      </c>
      <c r="R161" s="1" t="s">
        <v>55</v>
      </c>
      <c r="S161" s="2">
        <v>46190</v>
      </c>
      <c r="T161" s="2">
        <v>46190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</row>
    <row r="162" spans="1:33" x14ac:dyDescent="0.25">
      <c r="A162" s="1">
        <v>191</v>
      </c>
      <c r="B162" s="1" t="s">
        <v>385</v>
      </c>
      <c r="C162" s="1" t="s">
        <v>382</v>
      </c>
      <c r="D162" s="1" t="s">
        <v>102</v>
      </c>
      <c r="E162" s="1" t="s">
        <v>121</v>
      </c>
      <c r="F162" s="3">
        <v>46196</v>
      </c>
      <c r="G162" s="3">
        <v>46197</v>
      </c>
      <c r="H162" s="4">
        <v>0</v>
      </c>
      <c r="J162" s="1">
        <v>190</v>
      </c>
      <c r="K162" s="1">
        <v>192</v>
      </c>
      <c r="L162" s="1" t="s">
        <v>35</v>
      </c>
      <c r="M162" s="1" t="s">
        <v>386</v>
      </c>
      <c r="N162" s="2">
        <v>46192</v>
      </c>
      <c r="P162" s="1" t="s">
        <v>197</v>
      </c>
      <c r="Q162" s="1" t="s">
        <v>146</v>
      </c>
      <c r="R162" s="1" t="s">
        <v>55</v>
      </c>
      <c r="S162" s="2">
        <v>46191</v>
      </c>
      <c r="T162" s="2">
        <v>46192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</row>
    <row r="163" spans="1:33" x14ac:dyDescent="0.25">
      <c r="A163" s="1">
        <v>192</v>
      </c>
      <c r="B163" s="1" t="s">
        <v>387</v>
      </c>
      <c r="C163" s="1" t="s">
        <v>382</v>
      </c>
      <c r="D163" s="1" t="s">
        <v>108</v>
      </c>
      <c r="E163" s="1" t="s">
        <v>53</v>
      </c>
      <c r="F163" s="3">
        <v>46198</v>
      </c>
      <c r="G163" s="3">
        <v>46198</v>
      </c>
      <c r="H163" s="4">
        <v>0</v>
      </c>
      <c r="J163" s="1">
        <v>191</v>
      </c>
      <c r="L163" s="1" t="s">
        <v>35</v>
      </c>
      <c r="M163" s="1" t="s">
        <v>223</v>
      </c>
      <c r="N163" s="2">
        <v>46195</v>
      </c>
      <c r="P163" s="1" t="s">
        <v>197</v>
      </c>
      <c r="Q163" s="1" t="s">
        <v>146</v>
      </c>
      <c r="R163" s="1" t="s">
        <v>55</v>
      </c>
      <c r="S163" s="2">
        <v>46195</v>
      </c>
      <c r="T163" s="2">
        <v>46195</v>
      </c>
      <c r="V163" s="1">
        <v>0</v>
      </c>
      <c r="W163" s="1">
        <v>0</v>
      </c>
      <c r="X163" s="1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</row>
    <row r="164" spans="1:33" x14ac:dyDescent="0.25">
      <c r="A164" s="1">
        <v>193</v>
      </c>
      <c r="B164" s="1" t="s">
        <v>388</v>
      </c>
      <c r="C164" s="1" t="s">
        <v>199</v>
      </c>
      <c r="D164" s="1" t="s">
        <v>389</v>
      </c>
      <c r="E164" s="1" t="s">
        <v>136</v>
      </c>
      <c r="F164" s="3">
        <v>46190</v>
      </c>
      <c r="G164" s="3">
        <v>46198</v>
      </c>
      <c r="H164" s="4">
        <v>0.5</v>
      </c>
      <c r="L164" s="1" t="s">
        <v>35</v>
      </c>
      <c r="M164" s="1" t="s">
        <v>172</v>
      </c>
      <c r="N164" s="2">
        <v>46195</v>
      </c>
      <c r="P164" s="1" t="s">
        <v>197</v>
      </c>
      <c r="Q164" s="1" t="s">
        <v>138</v>
      </c>
      <c r="R164" s="1" t="s">
        <v>55</v>
      </c>
      <c r="S164" s="2">
        <v>46185</v>
      </c>
      <c r="T164" s="2">
        <v>46195</v>
      </c>
      <c r="V164" s="1">
        <v>0.5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</row>
    <row r="165" spans="1:33" x14ac:dyDescent="0.25">
      <c r="A165" s="1">
        <v>194</v>
      </c>
      <c r="B165" s="1" t="s">
        <v>390</v>
      </c>
      <c r="C165" s="1" t="s">
        <v>391</v>
      </c>
      <c r="D165" s="1" t="s">
        <v>94</v>
      </c>
      <c r="E165" s="1" t="s">
        <v>95</v>
      </c>
      <c r="F165" s="3">
        <v>46190</v>
      </c>
      <c r="G165" s="3">
        <v>46192</v>
      </c>
      <c r="H165" s="4">
        <v>1</v>
      </c>
      <c r="I165" s="3">
        <v>46192</v>
      </c>
      <c r="J165" s="1" t="s">
        <v>383</v>
      </c>
      <c r="K165" s="1">
        <v>195</v>
      </c>
      <c r="L165" s="1" t="s">
        <v>59</v>
      </c>
      <c r="M165" s="1" t="s">
        <v>172</v>
      </c>
      <c r="N165" s="2">
        <v>46189</v>
      </c>
      <c r="P165" s="1" t="s">
        <v>197</v>
      </c>
      <c r="Q165" s="1" t="s">
        <v>138</v>
      </c>
      <c r="R165" s="1" t="s">
        <v>55</v>
      </c>
      <c r="S165" s="2">
        <v>46185</v>
      </c>
      <c r="T165" s="2">
        <v>46189</v>
      </c>
      <c r="V165" s="1">
        <v>1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1</v>
      </c>
    </row>
    <row r="166" spans="1:33" x14ac:dyDescent="0.25">
      <c r="A166" s="1">
        <v>195</v>
      </c>
      <c r="B166" s="1" t="s">
        <v>392</v>
      </c>
      <c r="C166" s="1" t="s">
        <v>391</v>
      </c>
      <c r="D166" s="1" t="s">
        <v>98</v>
      </c>
      <c r="E166" s="1" t="s">
        <v>53</v>
      </c>
      <c r="F166" s="3">
        <v>46195</v>
      </c>
      <c r="G166" s="3">
        <v>46195</v>
      </c>
      <c r="H166" s="4">
        <v>0.5</v>
      </c>
      <c r="J166" s="1">
        <v>194</v>
      </c>
      <c r="K166" s="1">
        <v>196</v>
      </c>
      <c r="L166" s="1" t="s">
        <v>35</v>
      </c>
      <c r="M166" s="1" t="s">
        <v>343</v>
      </c>
      <c r="N166" s="2">
        <v>46190</v>
      </c>
      <c r="P166" s="1" t="s">
        <v>197</v>
      </c>
      <c r="Q166" s="1" t="s">
        <v>146</v>
      </c>
      <c r="R166" s="1" t="s">
        <v>55</v>
      </c>
      <c r="S166" s="2">
        <v>46190</v>
      </c>
      <c r="T166" s="2">
        <v>46190</v>
      </c>
      <c r="V166" s="1">
        <v>0.5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x14ac:dyDescent="0.25">
      <c r="A167" s="1">
        <v>196</v>
      </c>
      <c r="B167" s="1" t="s">
        <v>393</v>
      </c>
      <c r="C167" s="1" t="s">
        <v>391</v>
      </c>
      <c r="D167" s="1" t="s">
        <v>102</v>
      </c>
      <c r="E167" s="1" t="s">
        <v>121</v>
      </c>
      <c r="F167" s="3">
        <v>46196</v>
      </c>
      <c r="G167" s="3">
        <v>46197</v>
      </c>
      <c r="H167" s="4">
        <v>0</v>
      </c>
      <c r="J167" s="1">
        <v>195</v>
      </c>
      <c r="K167" s="1">
        <v>197</v>
      </c>
      <c r="L167" s="1" t="s">
        <v>35</v>
      </c>
      <c r="M167" s="1" t="s">
        <v>386</v>
      </c>
      <c r="N167" s="2">
        <v>46192</v>
      </c>
      <c r="P167" s="1" t="s">
        <v>197</v>
      </c>
      <c r="Q167" s="1" t="s">
        <v>146</v>
      </c>
      <c r="R167" s="1" t="s">
        <v>55</v>
      </c>
      <c r="S167" s="2">
        <v>46191</v>
      </c>
      <c r="T167" s="2">
        <v>46192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</row>
    <row r="168" spans="1:33" x14ac:dyDescent="0.25">
      <c r="A168" s="1">
        <v>197</v>
      </c>
      <c r="B168" s="1" t="s">
        <v>394</v>
      </c>
      <c r="C168" s="1" t="s">
        <v>391</v>
      </c>
      <c r="D168" s="1" t="s">
        <v>108</v>
      </c>
      <c r="E168" s="1" t="s">
        <v>53</v>
      </c>
      <c r="F168" s="3">
        <v>46198</v>
      </c>
      <c r="G168" s="3">
        <v>46198</v>
      </c>
      <c r="H168" s="4">
        <v>0</v>
      </c>
      <c r="J168" s="1">
        <v>196</v>
      </c>
      <c r="L168" s="1" t="s">
        <v>35</v>
      </c>
      <c r="M168" s="1" t="s">
        <v>223</v>
      </c>
      <c r="N168" s="2">
        <v>46195</v>
      </c>
      <c r="P168" s="1" t="s">
        <v>197</v>
      </c>
      <c r="Q168" s="1" t="s">
        <v>146</v>
      </c>
      <c r="R168" s="1" t="s">
        <v>55</v>
      </c>
      <c r="S168" s="2">
        <v>46195</v>
      </c>
      <c r="T168" s="2">
        <v>46195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</row>
    <row r="169" spans="1:33" x14ac:dyDescent="0.25">
      <c r="A169" s="1">
        <v>198</v>
      </c>
      <c r="B169" s="1" t="s">
        <v>395</v>
      </c>
      <c r="C169" s="1" t="s">
        <v>199</v>
      </c>
      <c r="D169" s="1" t="s">
        <v>396</v>
      </c>
      <c r="E169" s="1" t="s">
        <v>136</v>
      </c>
      <c r="F169" s="3">
        <v>46190</v>
      </c>
      <c r="G169" s="3">
        <v>46198</v>
      </c>
      <c r="H169" s="4">
        <v>0.43</v>
      </c>
      <c r="L169" s="1" t="s">
        <v>35</v>
      </c>
      <c r="M169" s="1" t="s">
        <v>172</v>
      </c>
      <c r="N169" s="2">
        <v>46195</v>
      </c>
      <c r="P169" s="1" t="s">
        <v>197</v>
      </c>
      <c r="Q169" s="1" t="s">
        <v>138</v>
      </c>
      <c r="R169" s="1" t="s">
        <v>55</v>
      </c>
      <c r="S169" s="2">
        <v>46185</v>
      </c>
      <c r="T169" s="2">
        <v>46195</v>
      </c>
      <c r="V169" s="1">
        <v>0.43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</row>
    <row r="170" spans="1:33" x14ac:dyDescent="0.25">
      <c r="A170" s="1">
        <v>199</v>
      </c>
      <c r="B170" s="1" t="s">
        <v>397</v>
      </c>
      <c r="C170" s="1" t="s">
        <v>398</v>
      </c>
      <c r="D170" s="1" t="s">
        <v>94</v>
      </c>
      <c r="E170" s="1" t="s">
        <v>95</v>
      </c>
      <c r="F170" s="3">
        <v>46190</v>
      </c>
      <c r="G170" s="3">
        <v>46192</v>
      </c>
      <c r="H170" s="4">
        <v>1</v>
      </c>
      <c r="I170" s="3">
        <v>46192</v>
      </c>
      <c r="J170" s="1" t="s">
        <v>383</v>
      </c>
      <c r="K170" s="1">
        <v>200</v>
      </c>
      <c r="L170" s="1" t="s">
        <v>59</v>
      </c>
      <c r="M170" s="1" t="s">
        <v>172</v>
      </c>
      <c r="N170" s="2">
        <v>46189</v>
      </c>
      <c r="P170" s="1" t="s">
        <v>197</v>
      </c>
      <c r="Q170" s="1" t="s">
        <v>138</v>
      </c>
      <c r="R170" s="1" t="s">
        <v>55</v>
      </c>
      <c r="S170" s="2">
        <v>46185</v>
      </c>
      <c r="T170" s="2">
        <v>46189</v>
      </c>
      <c r="V170" s="1">
        <v>1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</row>
    <row r="171" spans="1:33" x14ac:dyDescent="0.25">
      <c r="A171" s="1">
        <v>200</v>
      </c>
      <c r="B171" s="1" t="s">
        <v>399</v>
      </c>
      <c r="C171" s="1" t="s">
        <v>398</v>
      </c>
      <c r="D171" s="1" t="s">
        <v>98</v>
      </c>
      <c r="E171" s="1" t="s">
        <v>53</v>
      </c>
      <c r="F171" s="3">
        <v>46195</v>
      </c>
      <c r="G171" s="3">
        <v>46195</v>
      </c>
      <c r="H171" s="4">
        <v>0</v>
      </c>
      <c r="J171" s="1">
        <v>199</v>
      </c>
      <c r="K171" s="1">
        <v>201</v>
      </c>
      <c r="L171" s="1" t="s">
        <v>35</v>
      </c>
      <c r="M171" s="1" t="s">
        <v>343</v>
      </c>
      <c r="N171" s="2">
        <v>46190</v>
      </c>
      <c r="P171" s="1" t="s">
        <v>197</v>
      </c>
      <c r="Q171" s="1" t="s">
        <v>146</v>
      </c>
      <c r="R171" s="1" t="s">
        <v>55</v>
      </c>
      <c r="S171" s="2">
        <v>46190</v>
      </c>
      <c r="T171" s="2">
        <v>46190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x14ac:dyDescent="0.25">
      <c r="A172" s="1">
        <v>201</v>
      </c>
      <c r="B172" s="1" t="s">
        <v>400</v>
      </c>
      <c r="C172" s="1" t="s">
        <v>398</v>
      </c>
      <c r="D172" s="1" t="s">
        <v>102</v>
      </c>
      <c r="E172" s="1" t="s">
        <v>121</v>
      </c>
      <c r="F172" s="3">
        <v>46196</v>
      </c>
      <c r="G172" s="3">
        <v>46197</v>
      </c>
      <c r="H172" s="4">
        <v>0</v>
      </c>
      <c r="J172" s="1">
        <v>200</v>
      </c>
      <c r="K172" s="1">
        <v>202</v>
      </c>
      <c r="L172" s="1" t="s">
        <v>35</v>
      </c>
      <c r="M172" s="1" t="s">
        <v>386</v>
      </c>
      <c r="N172" s="2">
        <v>46192</v>
      </c>
      <c r="P172" s="1" t="s">
        <v>197</v>
      </c>
      <c r="Q172" s="1" t="s">
        <v>146</v>
      </c>
      <c r="R172" s="1" t="s">
        <v>55</v>
      </c>
      <c r="S172" s="2">
        <v>46191</v>
      </c>
      <c r="T172" s="2">
        <v>46192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</row>
    <row r="173" spans="1:33" x14ac:dyDescent="0.25">
      <c r="A173" s="1">
        <v>202</v>
      </c>
      <c r="B173" s="1" t="s">
        <v>401</v>
      </c>
      <c r="C173" s="1" t="s">
        <v>398</v>
      </c>
      <c r="D173" s="1" t="s">
        <v>108</v>
      </c>
      <c r="E173" s="1" t="s">
        <v>53</v>
      </c>
      <c r="F173" s="3">
        <v>46198</v>
      </c>
      <c r="G173" s="3">
        <v>46198</v>
      </c>
      <c r="H173" s="4">
        <v>0</v>
      </c>
      <c r="J173" s="1">
        <v>201</v>
      </c>
      <c r="L173" s="1" t="s">
        <v>35</v>
      </c>
      <c r="M173" s="1" t="s">
        <v>223</v>
      </c>
      <c r="N173" s="2">
        <v>46195</v>
      </c>
      <c r="P173" s="1" t="s">
        <v>197</v>
      </c>
      <c r="Q173" s="1" t="s">
        <v>146</v>
      </c>
      <c r="R173" s="1" t="s">
        <v>55</v>
      </c>
      <c r="S173" s="2">
        <v>46195</v>
      </c>
      <c r="T173" s="2">
        <v>46195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</row>
    <row r="174" spans="1:33" x14ac:dyDescent="0.25">
      <c r="A174" s="1">
        <v>203</v>
      </c>
      <c r="B174" s="1" t="s">
        <v>402</v>
      </c>
      <c r="C174" s="1" t="s">
        <v>73</v>
      </c>
      <c r="D174" s="1" t="s">
        <v>403</v>
      </c>
      <c r="E174" s="1" t="s">
        <v>404</v>
      </c>
      <c r="F174" s="3">
        <v>46183</v>
      </c>
      <c r="G174" s="3">
        <v>46220</v>
      </c>
      <c r="H174" s="4">
        <v>0.31</v>
      </c>
      <c r="L174" s="1" t="s">
        <v>35</v>
      </c>
      <c r="M174" s="1" t="s">
        <v>187</v>
      </c>
      <c r="N174" s="2">
        <v>46211</v>
      </c>
      <c r="P174" s="1" t="s">
        <v>405</v>
      </c>
      <c r="Q174" s="1" t="s">
        <v>65</v>
      </c>
      <c r="R174" s="1" t="s">
        <v>55</v>
      </c>
      <c r="S174" s="2">
        <v>46162</v>
      </c>
      <c r="T174" s="2">
        <v>46211</v>
      </c>
      <c r="V174" s="1">
        <v>0.31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x14ac:dyDescent="0.25">
      <c r="A175" s="1">
        <v>214</v>
      </c>
      <c r="B175" s="1" t="s">
        <v>406</v>
      </c>
      <c r="C175" s="1" t="s">
        <v>407</v>
      </c>
      <c r="D175" s="1" t="s">
        <v>408</v>
      </c>
      <c r="E175" s="1" t="s">
        <v>136</v>
      </c>
      <c r="F175" s="3">
        <v>46206</v>
      </c>
      <c r="G175" s="3">
        <v>46218</v>
      </c>
      <c r="H175" s="4">
        <v>0.39</v>
      </c>
      <c r="L175" s="1" t="s">
        <v>131</v>
      </c>
      <c r="M175" s="1" t="s">
        <v>145</v>
      </c>
      <c r="N175" s="2">
        <v>46178</v>
      </c>
      <c r="P175" s="1" t="s">
        <v>405</v>
      </c>
      <c r="Q175" s="1" t="s">
        <v>146</v>
      </c>
      <c r="R175" s="1" t="s">
        <v>55</v>
      </c>
      <c r="S175" s="2">
        <v>46170</v>
      </c>
      <c r="T175" s="2">
        <v>46178</v>
      </c>
      <c r="V175" s="1">
        <v>0.39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x14ac:dyDescent="0.25">
      <c r="A176" s="1">
        <v>215</v>
      </c>
      <c r="B176" s="1" t="s">
        <v>409</v>
      </c>
      <c r="C176" s="1" t="s">
        <v>410</v>
      </c>
      <c r="D176" s="1" t="s">
        <v>94</v>
      </c>
      <c r="E176" s="1" t="s">
        <v>95</v>
      </c>
      <c r="F176" s="3">
        <v>46206</v>
      </c>
      <c r="G176" s="3">
        <v>46210</v>
      </c>
      <c r="H176" s="4">
        <v>0.9</v>
      </c>
      <c r="J176" s="1" t="s">
        <v>411</v>
      </c>
      <c r="K176" s="1">
        <v>216</v>
      </c>
      <c r="L176" s="1" t="s">
        <v>131</v>
      </c>
      <c r="M176" s="1" t="s">
        <v>145</v>
      </c>
      <c r="N176" s="2">
        <v>46174</v>
      </c>
      <c r="P176" s="1" t="s">
        <v>405</v>
      </c>
      <c r="Q176" s="1" t="s">
        <v>146</v>
      </c>
      <c r="R176" s="1" t="s">
        <v>55</v>
      </c>
      <c r="S176" s="2">
        <v>46170</v>
      </c>
      <c r="T176" s="2">
        <v>46174</v>
      </c>
      <c r="V176" s="1">
        <v>0.9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</row>
    <row r="177" spans="1:33" x14ac:dyDescent="0.25">
      <c r="A177" s="1">
        <v>216</v>
      </c>
      <c r="B177" s="1" t="s">
        <v>412</v>
      </c>
      <c r="C177" s="1" t="s">
        <v>410</v>
      </c>
      <c r="D177" s="1" t="s">
        <v>98</v>
      </c>
      <c r="E177" s="1" t="s">
        <v>53</v>
      </c>
      <c r="F177" s="3">
        <v>46211</v>
      </c>
      <c r="G177" s="3">
        <v>46211</v>
      </c>
      <c r="H177" s="4">
        <v>0</v>
      </c>
      <c r="J177" s="1">
        <v>215</v>
      </c>
      <c r="K177" s="1" t="s">
        <v>413</v>
      </c>
      <c r="L177" s="1" t="s">
        <v>144</v>
      </c>
      <c r="M177" s="1" t="s">
        <v>150</v>
      </c>
      <c r="N177" s="2">
        <v>46175</v>
      </c>
      <c r="P177" s="1" t="s">
        <v>405</v>
      </c>
      <c r="Q177" s="1" t="s">
        <v>151</v>
      </c>
      <c r="R177" s="1" t="s">
        <v>55</v>
      </c>
      <c r="S177" s="2">
        <v>46175</v>
      </c>
      <c r="T177" s="2">
        <v>46175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x14ac:dyDescent="0.25">
      <c r="A178" s="1">
        <v>217</v>
      </c>
      <c r="B178" s="1" t="s">
        <v>414</v>
      </c>
      <c r="C178" s="1" t="s">
        <v>410</v>
      </c>
      <c r="D178" s="1" t="s">
        <v>102</v>
      </c>
      <c r="E178" s="1" t="s">
        <v>121</v>
      </c>
      <c r="F178" s="3">
        <v>46216</v>
      </c>
      <c r="G178" s="3">
        <v>46217</v>
      </c>
      <c r="H178" s="4">
        <v>0</v>
      </c>
      <c r="J178" s="1">
        <v>216</v>
      </c>
      <c r="K178" s="1">
        <v>218</v>
      </c>
      <c r="L178" s="1" t="s">
        <v>144</v>
      </c>
      <c r="M178" s="1" t="s">
        <v>218</v>
      </c>
      <c r="N178" s="2">
        <v>46177</v>
      </c>
      <c r="P178" s="1" t="s">
        <v>405</v>
      </c>
      <c r="Q178" s="1" t="s">
        <v>151</v>
      </c>
      <c r="R178" s="1" t="s">
        <v>55</v>
      </c>
      <c r="S178" s="2">
        <v>46176</v>
      </c>
      <c r="T178" s="2">
        <v>46177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x14ac:dyDescent="0.25">
      <c r="A179" s="1">
        <v>218</v>
      </c>
      <c r="B179" s="1" t="s">
        <v>415</v>
      </c>
      <c r="C179" s="1" t="s">
        <v>410</v>
      </c>
      <c r="D179" s="1" t="s">
        <v>108</v>
      </c>
      <c r="E179" s="1" t="s">
        <v>53</v>
      </c>
      <c r="F179" s="3">
        <v>46218</v>
      </c>
      <c r="G179" s="3">
        <v>46218</v>
      </c>
      <c r="H179" s="4">
        <v>0</v>
      </c>
      <c r="J179" s="1">
        <v>217</v>
      </c>
      <c r="L179" s="1" t="s">
        <v>144</v>
      </c>
      <c r="M179" s="1" t="s">
        <v>220</v>
      </c>
      <c r="N179" s="2">
        <v>46178</v>
      </c>
      <c r="P179" s="1" t="s">
        <v>405</v>
      </c>
      <c r="Q179" s="1" t="s">
        <v>151</v>
      </c>
      <c r="R179" s="1" t="s">
        <v>55</v>
      </c>
      <c r="S179" s="2">
        <v>46178</v>
      </c>
      <c r="T179" s="2">
        <v>46178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x14ac:dyDescent="0.25">
      <c r="A180" s="1">
        <v>234</v>
      </c>
      <c r="B180" s="1" t="s">
        <v>416</v>
      </c>
      <c r="C180" s="1" t="s">
        <v>407</v>
      </c>
      <c r="D180" s="1" t="s">
        <v>417</v>
      </c>
      <c r="E180" s="1" t="s">
        <v>136</v>
      </c>
      <c r="F180" s="3">
        <v>46210</v>
      </c>
      <c r="G180" s="3">
        <v>46220</v>
      </c>
      <c r="H180" s="4">
        <v>0</v>
      </c>
      <c r="L180" s="1" t="s">
        <v>144</v>
      </c>
      <c r="M180" s="1" t="s">
        <v>418</v>
      </c>
      <c r="N180" s="2">
        <v>46204</v>
      </c>
      <c r="P180" s="1" t="s">
        <v>405</v>
      </c>
      <c r="Q180" s="1" t="s">
        <v>151</v>
      </c>
      <c r="R180" s="1" t="s">
        <v>55</v>
      </c>
      <c r="S180" s="2">
        <v>46196</v>
      </c>
      <c r="T180" s="2">
        <v>46204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</row>
    <row r="181" spans="1:33" x14ac:dyDescent="0.25">
      <c r="A181" s="1">
        <v>235</v>
      </c>
      <c r="B181" s="1" t="s">
        <v>419</v>
      </c>
      <c r="C181" s="1" t="s">
        <v>420</v>
      </c>
      <c r="D181" s="1" t="s">
        <v>94</v>
      </c>
      <c r="E181" s="1" t="s">
        <v>95</v>
      </c>
      <c r="F181" s="3">
        <v>46210</v>
      </c>
      <c r="G181" s="3">
        <v>46216</v>
      </c>
      <c r="H181" s="4">
        <v>0</v>
      </c>
      <c r="K181" s="1">
        <v>236</v>
      </c>
      <c r="L181" s="1" t="s">
        <v>144</v>
      </c>
      <c r="M181" s="1" t="s">
        <v>418</v>
      </c>
      <c r="N181" s="2">
        <v>46198</v>
      </c>
      <c r="P181" s="1" t="s">
        <v>405</v>
      </c>
      <c r="Q181" s="1" t="s">
        <v>151</v>
      </c>
      <c r="R181" s="1" t="s">
        <v>55</v>
      </c>
      <c r="S181" s="2">
        <v>46196</v>
      </c>
      <c r="T181" s="2">
        <v>46198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x14ac:dyDescent="0.25">
      <c r="A182" s="1">
        <v>236</v>
      </c>
      <c r="B182" s="1" t="s">
        <v>421</v>
      </c>
      <c r="C182" s="1" t="s">
        <v>420</v>
      </c>
      <c r="D182" s="1" t="s">
        <v>98</v>
      </c>
      <c r="E182" s="1" t="s">
        <v>53</v>
      </c>
      <c r="F182" s="3">
        <v>46217</v>
      </c>
      <c r="G182" s="3">
        <v>46217</v>
      </c>
      <c r="H182" s="4">
        <v>0</v>
      </c>
      <c r="J182" s="1">
        <v>235</v>
      </c>
      <c r="K182" s="1">
        <v>237</v>
      </c>
      <c r="L182" s="1" t="s">
        <v>144</v>
      </c>
      <c r="M182" s="1" t="s">
        <v>422</v>
      </c>
      <c r="N182" s="2">
        <v>46199</v>
      </c>
      <c r="P182" s="1" t="s">
        <v>405</v>
      </c>
      <c r="Q182" s="1" t="s">
        <v>151</v>
      </c>
      <c r="R182" s="1" t="s">
        <v>55</v>
      </c>
      <c r="S182" s="2">
        <v>46199</v>
      </c>
      <c r="T182" s="2">
        <v>46199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x14ac:dyDescent="0.25">
      <c r="A183" s="1">
        <v>237</v>
      </c>
      <c r="B183" s="1" t="s">
        <v>423</v>
      </c>
      <c r="C183" s="1" t="s">
        <v>420</v>
      </c>
      <c r="D183" s="1" t="s">
        <v>102</v>
      </c>
      <c r="E183" s="1" t="s">
        <v>121</v>
      </c>
      <c r="F183" s="3">
        <v>46218</v>
      </c>
      <c r="G183" s="3">
        <v>46219</v>
      </c>
      <c r="H183" s="4">
        <v>0</v>
      </c>
      <c r="J183" s="1">
        <v>236</v>
      </c>
      <c r="K183" s="1">
        <v>238</v>
      </c>
      <c r="L183" s="1" t="s">
        <v>144</v>
      </c>
      <c r="M183" s="1" t="s">
        <v>424</v>
      </c>
      <c r="N183" s="2">
        <v>46203</v>
      </c>
      <c r="P183" s="1" t="s">
        <v>405</v>
      </c>
      <c r="Q183" s="1" t="s">
        <v>151</v>
      </c>
      <c r="R183" s="1" t="s">
        <v>55</v>
      </c>
      <c r="S183" s="2">
        <v>46202</v>
      </c>
      <c r="T183" s="2">
        <v>46203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x14ac:dyDescent="0.25">
      <c r="A184" s="1">
        <v>238</v>
      </c>
      <c r="B184" s="1" t="s">
        <v>425</v>
      </c>
      <c r="C184" s="1" t="s">
        <v>420</v>
      </c>
      <c r="D184" s="1" t="s">
        <v>108</v>
      </c>
      <c r="E184" s="1" t="s">
        <v>53</v>
      </c>
      <c r="F184" s="3">
        <v>46220</v>
      </c>
      <c r="G184" s="3">
        <v>46220</v>
      </c>
      <c r="H184" s="4">
        <v>0</v>
      </c>
      <c r="J184" s="1">
        <v>237</v>
      </c>
      <c r="L184" s="1" t="s">
        <v>144</v>
      </c>
      <c r="M184" s="1" t="s">
        <v>426</v>
      </c>
      <c r="N184" s="2">
        <v>46204</v>
      </c>
      <c r="P184" s="1" t="s">
        <v>405</v>
      </c>
      <c r="Q184" s="1" t="s">
        <v>193</v>
      </c>
      <c r="R184" s="1" t="s">
        <v>55</v>
      </c>
      <c r="S184" s="2">
        <v>46204</v>
      </c>
      <c r="T184" s="2">
        <v>46204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</row>
    <row r="185" spans="1:33" x14ac:dyDescent="0.25">
      <c r="A185" s="1">
        <v>244</v>
      </c>
      <c r="B185" s="1" t="s">
        <v>427</v>
      </c>
      <c r="C185" s="1" t="s">
        <v>407</v>
      </c>
      <c r="D185" s="1" t="s">
        <v>428</v>
      </c>
      <c r="E185" s="1" t="s">
        <v>136</v>
      </c>
      <c r="F185" s="3">
        <v>46183</v>
      </c>
      <c r="G185" s="3">
        <v>46191</v>
      </c>
      <c r="H185" s="4">
        <v>0.71</v>
      </c>
      <c r="L185" s="1" t="s">
        <v>35</v>
      </c>
      <c r="M185" s="1" t="s">
        <v>187</v>
      </c>
      <c r="N185" s="2">
        <v>46169</v>
      </c>
      <c r="P185" s="1" t="s">
        <v>405</v>
      </c>
      <c r="Q185" s="1" t="s">
        <v>65</v>
      </c>
      <c r="R185" s="1" t="s">
        <v>55</v>
      </c>
      <c r="S185" s="2">
        <v>46162</v>
      </c>
      <c r="T185" s="2">
        <v>46169</v>
      </c>
      <c r="V185" s="1">
        <v>0.71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x14ac:dyDescent="0.25">
      <c r="A186" s="1">
        <v>245</v>
      </c>
      <c r="B186" s="1" t="s">
        <v>429</v>
      </c>
      <c r="C186" s="1" t="s">
        <v>430</v>
      </c>
      <c r="D186" s="1" t="s">
        <v>94</v>
      </c>
      <c r="E186" s="1" t="s">
        <v>95</v>
      </c>
      <c r="F186" s="3">
        <v>46183</v>
      </c>
      <c r="G186" s="3">
        <v>46185</v>
      </c>
      <c r="H186" s="4">
        <v>1</v>
      </c>
      <c r="I186" s="3">
        <v>46185</v>
      </c>
      <c r="J186" s="1" t="s">
        <v>431</v>
      </c>
      <c r="K186" s="1" t="s">
        <v>432</v>
      </c>
      <c r="L186" s="1" t="s">
        <v>59</v>
      </c>
      <c r="M186" s="1" t="s">
        <v>187</v>
      </c>
      <c r="N186" s="2">
        <v>46163</v>
      </c>
      <c r="P186" s="1" t="s">
        <v>405</v>
      </c>
      <c r="Q186" s="1" t="s">
        <v>65</v>
      </c>
      <c r="R186" s="1" t="s">
        <v>55</v>
      </c>
      <c r="S186" s="2">
        <v>46162</v>
      </c>
      <c r="T186" s="2">
        <v>46163</v>
      </c>
      <c r="V186" s="1">
        <v>1</v>
      </c>
      <c r="W186" s="1">
        <v>1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</row>
    <row r="187" spans="1:33" x14ac:dyDescent="0.25">
      <c r="A187" s="1">
        <v>246</v>
      </c>
      <c r="B187" s="1" t="s">
        <v>433</v>
      </c>
      <c r="C187" s="1" t="s">
        <v>430</v>
      </c>
      <c r="D187" s="1" t="s">
        <v>98</v>
      </c>
      <c r="E187" s="1" t="s">
        <v>53</v>
      </c>
      <c r="F187" s="3">
        <v>46188</v>
      </c>
      <c r="G187" s="3">
        <v>46188</v>
      </c>
      <c r="H187" s="4">
        <v>1</v>
      </c>
      <c r="I187" s="3">
        <v>46188</v>
      </c>
      <c r="J187" s="1">
        <v>245</v>
      </c>
      <c r="K187" s="1">
        <v>247</v>
      </c>
      <c r="L187" s="1" t="s">
        <v>59</v>
      </c>
      <c r="M187" s="1" t="s">
        <v>62</v>
      </c>
      <c r="N187" s="2">
        <v>46164</v>
      </c>
      <c r="P187" s="1" t="s">
        <v>405</v>
      </c>
      <c r="Q187" s="1" t="s">
        <v>138</v>
      </c>
      <c r="R187" s="1" t="s">
        <v>55</v>
      </c>
      <c r="S187" s="2">
        <v>46164</v>
      </c>
      <c r="T187" s="2">
        <v>46164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x14ac:dyDescent="0.25">
      <c r="A188" s="1">
        <v>247</v>
      </c>
      <c r="B188" s="1" t="s">
        <v>434</v>
      </c>
      <c r="C188" s="1" t="s">
        <v>430</v>
      </c>
      <c r="D188" s="1" t="s">
        <v>102</v>
      </c>
      <c r="E188" s="1" t="s">
        <v>121</v>
      </c>
      <c r="F188" s="3">
        <v>46189</v>
      </c>
      <c r="G188" s="3">
        <v>46190</v>
      </c>
      <c r="H188" s="4">
        <v>0.5</v>
      </c>
      <c r="J188" s="1">
        <v>246</v>
      </c>
      <c r="K188" s="1">
        <v>248</v>
      </c>
      <c r="L188" s="1" t="s">
        <v>35</v>
      </c>
      <c r="M188" s="1" t="s">
        <v>137</v>
      </c>
      <c r="N188" s="2">
        <v>46168</v>
      </c>
      <c r="P188" s="1" t="s">
        <v>405</v>
      </c>
      <c r="Q188" s="1" t="s">
        <v>138</v>
      </c>
      <c r="R188" s="1" t="s">
        <v>55</v>
      </c>
      <c r="S188" s="2">
        <v>46167</v>
      </c>
      <c r="T188" s="2">
        <v>46168</v>
      </c>
      <c r="V188" s="1">
        <v>0.5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</row>
    <row r="189" spans="1:33" x14ac:dyDescent="0.25">
      <c r="A189" s="1">
        <v>248</v>
      </c>
      <c r="B189" s="1" t="s">
        <v>435</v>
      </c>
      <c r="C189" s="1" t="s">
        <v>430</v>
      </c>
      <c r="D189" s="1" t="s">
        <v>108</v>
      </c>
      <c r="E189" s="1" t="s">
        <v>53</v>
      </c>
      <c r="F189" s="3">
        <v>46191</v>
      </c>
      <c r="G189" s="3">
        <v>46191</v>
      </c>
      <c r="H189" s="4">
        <v>0</v>
      </c>
      <c r="J189" s="1">
        <v>247</v>
      </c>
      <c r="L189" s="1" t="s">
        <v>35</v>
      </c>
      <c r="M189" s="1" t="s">
        <v>436</v>
      </c>
      <c r="N189" s="2">
        <v>46169</v>
      </c>
      <c r="P189" s="1" t="s">
        <v>405</v>
      </c>
      <c r="Q189" s="1" t="s">
        <v>138</v>
      </c>
      <c r="R189" s="1" t="s">
        <v>55</v>
      </c>
      <c r="S189" s="2">
        <v>46169</v>
      </c>
      <c r="T189" s="2">
        <v>46169</v>
      </c>
      <c r="V189" s="1">
        <v>0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</row>
    <row r="190" spans="1:33" x14ac:dyDescent="0.25">
      <c r="A190" s="1">
        <v>254</v>
      </c>
      <c r="B190" s="1" t="s">
        <v>437</v>
      </c>
      <c r="C190" s="1" t="s">
        <v>407</v>
      </c>
      <c r="D190" s="1" t="s">
        <v>438</v>
      </c>
      <c r="E190" s="1" t="s">
        <v>136</v>
      </c>
      <c r="F190" s="3">
        <v>46209</v>
      </c>
      <c r="G190" s="3">
        <v>46219</v>
      </c>
      <c r="H190" s="4">
        <v>0.32</v>
      </c>
      <c r="K190" s="1" t="s">
        <v>439</v>
      </c>
      <c r="L190" s="1" t="s">
        <v>144</v>
      </c>
      <c r="M190" s="1" t="s">
        <v>150</v>
      </c>
      <c r="N190" s="2">
        <v>46183</v>
      </c>
      <c r="P190" s="1" t="s">
        <v>405</v>
      </c>
      <c r="Q190" s="1" t="s">
        <v>151</v>
      </c>
      <c r="R190" s="1" t="s">
        <v>55</v>
      </c>
      <c r="S190" s="2">
        <v>46175</v>
      </c>
      <c r="T190" s="2">
        <v>46183</v>
      </c>
      <c r="V190" s="1">
        <v>0.32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x14ac:dyDescent="0.25">
      <c r="A191" s="1">
        <v>255</v>
      </c>
      <c r="B191" s="1" t="s">
        <v>440</v>
      </c>
      <c r="C191" s="1" t="s">
        <v>441</v>
      </c>
      <c r="D191" s="1" t="s">
        <v>94</v>
      </c>
      <c r="E191" s="1" t="s">
        <v>95</v>
      </c>
      <c r="F191" s="3">
        <v>46209</v>
      </c>
      <c r="G191" s="3">
        <v>46211</v>
      </c>
      <c r="H191" s="4">
        <v>0.75</v>
      </c>
      <c r="J191" s="1" t="s">
        <v>442</v>
      </c>
      <c r="K191" s="1">
        <v>256</v>
      </c>
      <c r="L191" s="1" t="s">
        <v>144</v>
      </c>
      <c r="M191" s="1" t="s">
        <v>150</v>
      </c>
      <c r="N191" s="2">
        <v>46177</v>
      </c>
      <c r="P191" s="1" t="s">
        <v>405</v>
      </c>
      <c r="Q191" s="1" t="s">
        <v>151</v>
      </c>
      <c r="R191" s="1" t="s">
        <v>55</v>
      </c>
      <c r="S191" s="2">
        <v>46175</v>
      </c>
      <c r="T191" s="2">
        <v>46177</v>
      </c>
      <c r="V191" s="1">
        <v>0.75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x14ac:dyDescent="0.25">
      <c r="A192" s="1">
        <v>256</v>
      </c>
      <c r="B192" s="1" t="s">
        <v>443</v>
      </c>
      <c r="C192" s="1" t="s">
        <v>441</v>
      </c>
      <c r="D192" s="1" t="s">
        <v>98</v>
      </c>
      <c r="E192" s="1" t="s">
        <v>53</v>
      </c>
      <c r="F192" s="3">
        <v>46216</v>
      </c>
      <c r="G192" s="3">
        <v>46216</v>
      </c>
      <c r="H192" s="4">
        <v>0</v>
      </c>
      <c r="J192" s="1">
        <v>255</v>
      </c>
      <c r="K192" s="1">
        <v>257</v>
      </c>
      <c r="L192" s="1" t="s">
        <v>144</v>
      </c>
      <c r="M192" s="1" t="s">
        <v>220</v>
      </c>
      <c r="N192" s="2">
        <v>46178</v>
      </c>
      <c r="P192" s="1" t="s">
        <v>405</v>
      </c>
      <c r="Q192" s="1" t="s">
        <v>151</v>
      </c>
      <c r="R192" s="1" t="s">
        <v>55</v>
      </c>
      <c r="S192" s="2">
        <v>46178</v>
      </c>
      <c r="T192" s="2">
        <v>46178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</row>
    <row r="193" spans="1:33" x14ac:dyDescent="0.25">
      <c r="A193" s="1">
        <v>257</v>
      </c>
      <c r="B193" s="1" t="s">
        <v>444</v>
      </c>
      <c r="C193" s="1" t="s">
        <v>441</v>
      </c>
      <c r="D193" s="1" t="s">
        <v>102</v>
      </c>
      <c r="E193" s="1" t="s">
        <v>121</v>
      </c>
      <c r="F193" s="3">
        <v>46217</v>
      </c>
      <c r="G193" s="3">
        <v>46218</v>
      </c>
      <c r="H193" s="4">
        <v>0</v>
      </c>
      <c r="J193" s="1">
        <v>256</v>
      </c>
      <c r="K193" s="1">
        <v>258</v>
      </c>
      <c r="L193" s="1" t="s">
        <v>144</v>
      </c>
      <c r="M193" s="1" t="s">
        <v>445</v>
      </c>
      <c r="N193" s="2">
        <v>46182</v>
      </c>
      <c r="P193" s="1" t="s">
        <v>405</v>
      </c>
      <c r="Q193" s="1" t="s">
        <v>193</v>
      </c>
      <c r="R193" s="1" t="s">
        <v>55</v>
      </c>
      <c r="S193" s="2">
        <v>46181</v>
      </c>
      <c r="T193" s="2">
        <v>46182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</row>
    <row r="194" spans="1:33" x14ac:dyDescent="0.25">
      <c r="A194" s="1">
        <v>258</v>
      </c>
      <c r="B194" s="1" t="s">
        <v>446</v>
      </c>
      <c r="C194" s="1" t="s">
        <v>441</v>
      </c>
      <c r="D194" s="1" t="s">
        <v>108</v>
      </c>
      <c r="E194" s="1" t="s">
        <v>53</v>
      </c>
      <c r="F194" s="3">
        <v>46219</v>
      </c>
      <c r="G194" s="3">
        <v>46219</v>
      </c>
      <c r="H194" s="4">
        <v>0</v>
      </c>
      <c r="J194" s="1">
        <v>257</v>
      </c>
      <c r="L194" s="1" t="s">
        <v>144</v>
      </c>
      <c r="M194" s="1" t="s">
        <v>292</v>
      </c>
      <c r="N194" s="2">
        <v>46183</v>
      </c>
      <c r="P194" s="1" t="s">
        <v>405</v>
      </c>
      <c r="Q194" s="1" t="s">
        <v>193</v>
      </c>
      <c r="R194" s="1" t="s">
        <v>55</v>
      </c>
      <c r="S194" s="2">
        <v>46183</v>
      </c>
      <c r="T194" s="2">
        <v>46183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</row>
    <row r="195" spans="1:33" x14ac:dyDescent="0.25">
      <c r="A195" s="1">
        <v>259</v>
      </c>
      <c r="B195" s="1" t="s">
        <v>447</v>
      </c>
      <c r="C195" s="1" t="s">
        <v>407</v>
      </c>
      <c r="D195" s="1" t="s">
        <v>448</v>
      </c>
      <c r="E195" s="1" t="s">
        <v>136</v>
      </c>
      <c r="F195" s="3">
        <v>46209</v>
      </c>
      <c r="G195" s="3">
        <v>46219</v>
      </c>
      <c r="H195" s="4">
        <v>0.32</v>
      </c>
      <c r="L195" s="1" t="s">
        <v>144</v>
      </c>
      <c r="M195" s="1" t="s">
        <v>150</v>
      </c>
      <c r="N195" s="2">
        <v>46183</v>
      </c>
      <c r="P195" s="1" t="s">
        <v>405</v>
      </c>
      <c r="Q195" s="1" t="s">
        <v>151</v>
      </c>
      <c r="R195" s="1" t="s">
        <v>55</v>
      </c>
      <c r="S195" s="2">
        <v>46175</v>
      </c>
      <c r="T195" s="2">
        <v>46183</v>
      </c>
      <c r="V195" s="1">
        <v>0.32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x14ac:dyDescent="0.25">
      <c r="A196" s="1">
        <v>260</v>
      </c>
      <c r="B196" s="1" t="s">
        <v>449</v>
      </c>
      <c r="C196" s="1" t="s">
        <v>450</v>
      </c>
      <c r="D196" s="1" t="s">
        <v>94</v>
      </c>
      <c r="E196" s="1" t="s">
        <v>95</v>
      </c>
      <c r="F196" s="3">
        <v>46209</v>
      </c>
      <c r="G196" s="3">
        <v>46211</v>
      </c>
      <c r="H196" s="4">
        <v>0.75</v>
      </c>
      <c r="J196" s="1" t="s">
        <v>442</v>
      </c>
      <c r="K196" s="1">
        <v>261</v>
      </c>
      <c r="L196" s="1" t="s">
        <v>144</v>
      </c>
      <c r="M196" s="1" t="s">
        <v>150</v>
      </c>
      <c r="N196" s="2">
        <v>46177</v>
      </c>
      <c r="P196" s="1" t="s">
        <v>405</v>
      </c>
      <c r="Q196" s="1" t="s">
        <v>151</v>
      </c>
      <c r="R196" s="1" t="s">
        <v>55</v>
      </c>
      <c r="S196" s="2">
        <v>46175</v>
      </c>
      <c r="T196" s="2">
        <v>46177</v>
      </c>
      <c r="V196" s="1">
        <v>0.75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x14ac:dyDescent="0.25">
      <c r="A197" s="1">
        <v>261</v>
      </c>
      <c r="B197" s="1" t="s">
        <v>451</v>
      </c>
      <c r="C197" s="1" t="s">
        <v>450</v>
      </c>
      <c r="D197" s="1" t="s">
        <v>98</v>
      </c>
      <c r="E197" s="1" t="s">
        <v>53</v>
      </c>
      <c r="F197" s="3">
        <v>46216</v>
      </c>
      <c r="G197" s="3">
        <v>46216</v>
      </c>
      <c r="H197" s="4">
        <v>0</v>
      </c>
      <c r="J197" s="1">
        <v>260</v>
      </c>
      <c r="K197" s="1">
        <v>262</v>
      </c>
      <c r="L197" s="1" t="s">
        <v>144</v>
      </c>
      <c r="M197" s="1" t="s">
        <v>220</v>
      </c>
      <c r="N197" s="2">
        <v>46178</v>
      </c>
      <c r="P197" s="1" t="s">
        <v>405</v>
      </c>
      <c r="Q197" s="1" t="s">
        <v>151</v>
      </c>
      <c r="R197" s="1" t="s">
        <v>55</v>
      </c>
      <c r="S197" s="2">
        <v>46178</v>
      </c>
      <c r="T197" s="2">
        <v>46178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8" spans="1:33" x14ac:dyDescent="0.25">
      <c r="A198" s="1">
        <v>262</v>
      </c>
      <c r="B198" s="1" t="s">
        <v>452</v>
      </c>
      <c r="C198" s="1" t="s">
        <v>450</v>
      </c>
      <c r="D198" s="1" t="s">
        <v>102</v>
      </c>
      <c r="E198" s="1" t="s">
        <v>121</v>
      </c>
      <c r="F198" s="3">
        <v>46217</v>
      </c>
      <c r="G198" s="3">
        <v>46218</v>
      </c>
      <c r="H198" s="4">
        <v>0</v>
      </c>
      <c r="J198" s="1">
        <v>261</v>
      </c>
      <c r="K198" s="1">
        <v>263</v>
      </c>
      <c r="L198" s="1" t="s">
        <v>144</v>
      </c>
      <c r="M198" s="1" t="s">
        <v>445</v>
      </c>
      <c r="N198" s="2">
        <v>46182</v>
      </c>
      <c r="P198" s="1" t="s">
        <v>405</v>
      </c>
      <c r="Q198" s="1" t="s">
        <v>193</v>
      </c>
      <c r="R198" s="1" t="s">
        <v>55</v>
      </c>
      <c r="S198" s="2">
        <v>46181</v>
      </c>
      <c r="T198" s="2">
        <v>46182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x14ac:dyDescent="0.25">
      <c r="A199" s="1">
        <v>263</v>
      </c>
      <c r="B199" s="1" t="s">
        <v>453</v>
      </c>
      <c r="C199" s="1" t="s">
        <v>450</v>
      </c>
      <c r="D199" s="1" t="s">
        <v>108</v>
      </c>
      <c r="E199" s="1" t="s">
        <v>53</v>
      </c>
      <c r="F199" s="3">
        <v>46219</v>
      </c>
      <c r="G199" s="3">
        <v>46219</v>
      </c>
      <c r="H199" s="4">
        <v>0</v>
      </c>
      <c r="J199" s="1">
        <v>262</v>
      </c>
      <c r="L199" s="1" t="s">
        <v>144</v>
      </c>
      <c r="M199" s="1" t="s">
        <v>292</v>
      </c>
      <c r="N199" s="2">
        <v>46183</v>
      </c>
      <c r="P199" s="1" t="s">
        <v>405</v>
      </c>
      <c r="Q199" s="1" t="s">
        <v>193</v>
      </c>
      <c r="R199" s="1" t="s">
        <v>55</v>
      </c>
      <c r="S199" s="2">
        <v>46183</v>
      </c>
      <c r="T199" s="2">
        <v>46183</v>
      </c>
      <c r="V199" s="1">
        <v>0</v>
      </c>
      <c r="W199" s="1">
        <v>0</v>
      </c>
      <c r="X199" s="1">
        <v>0</v>
      </c>
      <c r="Y199" s="1">
        <v>0</v>
      </c>
      <c r="Z199" s="1">
        <v>1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</row>
    <row r="200" spans="1:33" x14ac:dyDescent="0.25">
      <c r="A200" s="1">
        <v>264</v>
      </c>
      <c r="B200" s="1" t="s">
        <v>454</v>
      </c>
      <c r="C200" s="1" t="s">
        <v>407</v>
      </c>
      <c r="D200" s="1" t="s">
        <v>455</v>
      </c>
      <c r="E200" s="1" t="s">
        <v>136</v>
      </c>
      <c r="F200" s="3">
        <v>46209</v>
      </c>
      <c r="G200" s="3">
        <v>46219</v>
      </c>
      <c r="H200" s="4">
        <v>0.32</v>
      </c>
      <c r="L200" s="1" t="s">
        <v>144</v>
      </c>
      <c r="M200" s="1" t="s">
        <v>150</v>
      </c>
      <c r="N200" s="2">
        <v>46183</v>
      </c>
      <c r="P200" s="1" t="s">
        <v>405</v>
      </c>
      <c r="Q200" s="1" t="s">
        <v>151</v>
      </c>
      <c r="R200" s="1" t="s">
        <v>55</v>
      </c>
      <c r="S200" s="2">
        <v>46175</v>
      </c>
      <c r="T200" s="2">
        <v>46183</v>
      </c>
      <c r="V200" s="1">
        <v>0.32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</row>
    <row r="201" spans="1:33" x14ac:dyDescent="0.25">
      <c r="A201" s="1">
        <v>265</v>
      </c>
      <c r="B201" s="1" t="s">
        <v>456</v>
      </c>
      <c r="C201" s="1" t="s">
        <v>457</v>
      </c>
      <c r="D201" s="1" t="s">
        <v>94</v>
      </c>
      <c r="E201" s="1" t="s">
        <v>95</v>
      </c>
      <c r="F201" s="3">
        <v>46209</v>
      </c>
      <c r="G201" s="3">
        <v>46211</v>
      </c>
      <c r="H201" s="4">
        <v>0.75</v>
      </c>
      <c r="J201" s="1" t="s">
        <v>442</v>
      </c>
      <c r="K201" s="1">
        <v>266</v>
      </c>
      <c r="L201" s="1" t="s">
        <v>144</v>
      </c>
      <c r="M201" s="1" t="s">
        <v>150</v>
      </c>
      <c r="N201" s="2">
        <v>46177</v>
      </c>
      <c r="P201" s="1" t="s">
        <v>405</v>
      </c>
      <c r="Q201" s="1" t="s">
        <v>151</v>
      </c>
      <c r="R201" s="1" t="s">
        <v>55</v>
      </c>
      <c r="S201" s="2">
        <v>46175</v>
      </c>
      <c r="T201" s="2">
        <v>46177</v>
      </c>
      <c r="V201" s="1">
        <v>0.75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</row>
    <row r="202" spans="1:33" x14ac:dyDescent="0.25">
      <c r="A202" s="1">
        <v>266</v>
      </c>
      <c r="B202" s="1" t="s">
        <v>458</v>
      </c>
      <c r="C202" s="1" t="s">
        <v>457</v>
      </c>
      <c r="D202" s="1" t="s">
        <v>98</v>
      </c>
      <c r="E202" s="1" t="s">
        <v>53</v>
      </c>
      <c r="F202" s="3">
        <v>46216</v>
      </c>
      <c r="G202" s="3">
        <v>46216</v>
      </c>
      <c r="H202" s="4">
        <v>0</v>
      </c>
      <c r="J202" s="1">
        <v>265</v>
      </c>
      <c r="K202" s="1">
        <v>267</v>
      </c>
      <c r="L202" s="1" t="s">
        <v>144</v>
      </c>
      <c r="M202" s="1" t="s">
        <v>220</v>
      </c>
      <c r="N202" s="2">
        <v>46178</v>
      </c>
      <c r="P202" s="1" t="s">
        <v>405</v>
      </c>
      <c r="Q202" s="1" t="s">
        <v>151</v>
      </c>
      <c r="R202" s="1" t="s">
        <v>55</v>
      </c>
      <c r="S202" s="2">
        <v>46178</v>
      </c>
      <c r="T202" s="2">
        <v>46178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x14ac:dyDescent="0.25">
      <c r="A203" s="1">
        <v>267</v>
      </c>
      <c r="B203" s="1" t="s">
        <v>459</v>
      </c>
      <c r="C203" s="1" t="s">
        <v>457</v>
      </c>
      <c r="D203" s="1" t="s">
        <v>102</v>
      </c>
      <c r="E203" s="1" t="s">
        <v>121</v>
      </c>
      <c r="F203" s="3">
        <v>46217</v>
      </c>
      <c r="G203" s="3">
        <v>46218</v>
      </c>
      <c r="H203" s="4">
        <v>0</v>
      </c>
      <c r="J203" s="1">
        <v>266</v>
      </c>
      <c r="K203" s="1">
        <v>268</v>
      </c>
      <c r="L203" s="1" t="s">
        <v>144</v>
      </c>
      <c r="M203" s="1" t="s">
        <v>445</v>
      </c>
      <c r="N203" s="2">
        <v>46182</v>
      </c>
      <c r="P203" s="1" t="s">
        <v>405</v>
      </c>
      <c r="Q203" s="1" t="s">
        <v>193</v>
      </c>
      <c r="R203" s="1" t="s">
        <v>55</v>
      </c>
      <c r="S203" s="2">
        <v>46181</v>
      </c>
      <c r="T203" s="2">
        <v>46182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x14ac:dyDescent="0.25">
      <c r="A204" s="1">
        <v>268</v>
      </c>
      <c r="B204" s="1" t="s">
        <v>460</v>
      </c>
      <c r="C204" s="1" t="s">
        <v>457</v>
      </c>
      <c r="D204" s="1" t="s">
        <v>108</v>
      </c>
      <c r="E204" s="1" t="s">
        <v>53</v>
      </c>
      <c r="F204" s="3">
        <v>46219</v>
      </c>
      <c r="G204" s="3">
        <v>46219</v>
      </c>
      <c r="H204" s="4">
        <v>0</v>
      </c>
      <c r="J204" s="1">
        <v>267</v>
      </c>
      <c r="L204" s="1" t="s">
        <v>144</v>
      </c>
      <c r="M204" s="1" t="s">
        <v>292</v>
      </c>
      <c r="N204" s="2">
        <v>46183</v>
      </c>
      <c r="P204" s="1" t="s">
        <v>405</v>
      </c>
      <c r="Q204" s="1" t="s">
        <v>193</v>
      </c>
      <c r="R204" s="1" t="s">
        <v>55</v>
      </c>
      <c r="S204" s="2">
        <v>46183</v>
      </c>
      <c r="T204" s="2">
        <v>46183</v>
      </c>
      <c r="V204" s="1">
        <v>0</v>
      </c>
      <c r="W204" s="1">
        <v>0</v>
      </c>
      <c r="X204" s="1">
        <v>0</v>
      </c>
      <c r="Y204" s="1">
        <v>0</v>
      </c>
      <c r="Z204" s="1">
        <v>1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</row>
    <row r="205" spans="1:33" x14ac:dyDescent="0.25">
      <c r="A205" s="1">
        <v>284</v>
      </c>
      <c r="B205" s="1" t="s">
        <v>461</v>
      </c>
      <c r="C205" s="1" t="s">
        <v>407</v>
      </c>
      <c r="D205" s="1" t="s">
        <v>462</v>
      </c>
      <c r="E205" s="1" t="s">
        <v>136</v>
      </c>
      <c r="F205" s="3">
        <v>46209</v>
      </c>
      <c r="G205" s="3">
        <v>46219</v>
      </c>
      <c r="H205" s="4">
        <v>0.32</v>
      </c>
      <c r="K205" s="1" t="s">
        <v>439</v>
      </c>
      <c r="L205" s="1" t="s">
        <v>144</v>
      </c>
      <c r="M205" s="1" t="s">
        <v>150</v>
      </c>
      <c r="N205" s="2">
        <v>46183</v>
      </c>
      <c r="P205" s="1" t="s">
        <v>405</v>
      </c>
      <c r="Q205" s="1" t="s">
        <v>151</v>
      </c>
      <c r="R205" s="1" t="s">
        <v>55</v>
      </c>
      <c r="S205" s="2">
        <v>46175</v>
      </c>
      <c r="T205" s="2">
        <v>46183</v>
      </c>
      <c r="V205" s="1">
        <v>0.32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</row>
    <row r="206" spans="1:33" x14ac:dyDescent="0.25">
      <c r="A206" s="1">
        <v>285</v>
      </c>
      <c r="B206" s="1" t="s">
        <v>463</v>
      </c>
      <c r="C206" s="1" t="s">
        <v>464</v>
      </c>
      <c r="D206" s="1" t="s">
        <v>94</v>
      </c>
      <c r="E206" s="1" t="s">
        <v>95</v>
      </c>
      <c r="F206" s="3">
        <v>46209</v>
      </c>
      <c r="G206" s="3">
        <v>46211</v>
      </c>
      <c r="H206" s="4">
        <v>0.75</v>
      </c>
      <c r="J206" s="1" t="s">
        <v>442</v>
      </c>
      <c r="K206" s="1">
        <v>286</v>
      </c>
      <c r="L206" s="1" t="s">
        <v>144</v>
      </c>
      <c r="M206" s="1" t="s">
        <v>150</v>
      </c>
      <c r="N206" s="2">
        <v>46177</v>
      </c>
      <c r="P206" s="1" t="s">
        <v>405</v>
      </c>
      <c r="Q206" s="1" t="s">
        <v>151</v>
      </c>
      <c r="R206" s="1" t="s">
        <v>55</v>
      </c>
      <c r="S206" s="2">
        <v>46175</v>
      </c>
      <c r="T206" s="2">
        <v>46177</v>
      </c>
      <c r="V206" s="1">
        <v>0.75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</row>
    <row r="207" spans="1:33" x14ac:dyDescent="0.25">
      <c r="A207" s="1">
        <v>286</v>
      </c>
      <c r="B207" s="1" t="s">
        <v>465</v>
      </c>
      <c r="C207" s="1" t="s">
        <v>464</v>
      </c>
      <c r="D207" s="1" t="s">
        <v>98</v>
      </c>
      <c r="E207" s="1" t="s">
        <v>53</v>
      </c>
      <c r="F207" s="3">
        <v>46216</v>
      </c>
      <c r="G207" s="3">
        <v>46216</v>
      </c>
      <c r="H207" s="4">
        <v>0</v>
      </c>
      <c r="J207" s="1">
        <v>285</v>
      </c>
      <c r="K207" s="1">
        <v>287</v>
      </c>
      <c r="L207" s="1" t="s">
        <v>144</v>
      </c>
      <c r="M207" s="1" t="s">
        <v>220</v>
      </c>
      <c r="N207" s="2">
        <v>46178</v>
      </c>
      <c r="P207" s="1" t="s">
        <v>405</v>
      </c>
      <c r="Q207" s="1" t="s">
        <v>151</v>
      </c>
      <c r="R207" s="1" t="s">
        <v>55</v>
      </c>
      <c r="S207" s="2">
        <v>46178</v>
      </c>
      <c r="T207" s="2">
        <v>46178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</row>
    <row r="208" spans="1:33" x14ac:dyDescent="0.25">
      <c r="A208" s="1">
        <v>287</v>
      </c>
      <c r="B208" s="1" t="s">
        <v>466</v>
      </c>
      <c r="C208" s="1" t="s">
        <v>464</v>
      </c>
      <c r="D208" s="1" t="s">
        <v>102</v>
      </c>
      <c r="E208" s="1" t="s">
        <v>121</v>
      </c>
      <c r="F208" s="3">
        <v>46217</v>
      </c>
      <c r="G208" s="3">
        <v>46218</v>
      </c>
      <c r="H208" s="4">
        <v>0</v>
      </c>
      <c r="J208" s="1">
        <v>286</v>
      </c>
      <c r="K208" s="1">
        <v>288</v>
      </c>
      <c r="L208" s="1" t="s">
        <v>144</v>
      </c>
      <c r="M208" s="1" t="s">
        <v>445</v>
      </c>
      <c r="N208" s="2">
        <v>46182</v>
      </c>
      <c r="P208" s="1" t="s">
        <v>405</v>
      </c>
      <c r="Q208" s="1" t="s">
        <v>193</v>
      </c>
      <c r="R208" s="1" t="s">
        <v>55</v>
      </c>
      <c r="S208" s="2">
        <v>46181</v>
      </c>
      <c r="T208" s="2">
        <v>46182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</row>
    <row r="209" spans="1:33" x14ac:dyDescent="0.25">
      <c r="A209" s="1">
        <v>288</v>
      </c>
      <c r="B209" s="1" t="s">
        <v>467</v>
      </c>
      <c r="C209" s="1" t="s">
        <v>464</v>
      </c>
      <c r="D209" s="1" t="s">
        <v>108</v>
      </c>
      <c r="E209" s="1" t="s">
        <v>53</v>
      </c>
      <c r="F209" s="3">
        <v>46219</v>
      </c>
      <c r="G209" s="3">
        <v>46219</v>
      </c>
      <c r="H209" s="4">
        <v>0</v>
      </c>
      <c r="J209" s="1">
        <v>287</v>
      </c>
      <c r="L209" s="1" t="s">
        <v>144</v>
      </c>
      <c r="M209" s="1" t="s">
        <v>292</v>
      </c>
      <c r="N209" s="2">
        <v>46183</v>
      </c>
      <c r="P209" s="1" t="s">
        <v>405</v>
      </c>
      <c r="Q209" s="1" t="s">
        <v>193</v>
      </c>
      <c r="R209" s="1" t="s">
        <v>55</v>
      </c>
      <c r="S209" s="2">
        <v>46183</v>
      </c>
      <c r="T209" s="2">
        <v>46183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</row>
    <row r="210" spans="1:33" x14ac:dyDescent="0.25">
      <c r="A210" s="1">
        <v>289</v>
      </c>
      <c r="B210" s="1" t="s">
        <v>468</v>
      </c>
      <c r="C210" s="1" t="s">
        <v>407</v>
      </c>
      <c r="D210" s="1" t="s">
        <v>469</v>
      </c>
      <c r="E210" s="1" t="s">
        <v>136</v>
      </c>
      <c r="F210" s="3">
        <v>46209</v>
      </c>
      <c r="G210" s="3">
        <v>46219</v>
      </c>
      <c r="H210" s="4">
        <v>0.32</v>
      </c>
      <c r="L210" s="1" t="s">
        <v>144</v>
      </c>
      <c r="M210" s="1" t="s">
        <v>150</v>
      </c>
      <c r="N210" s="2">
        <v>46183</v>
      </c>
      <c r="P210" s="1" t="s">
        <v>405</v>
      </c>
      <c r="Q210" s="1" t="s">
        <v>151</v>
      </c>
      <c r="R210" s="1" t="s">
        <v>55</v>
      </c>
      <c r="S210" s="2">
        <v>46175</v>
      </c>
      <c r="T210" s="2">
        <v>46183</v>
      </c>
      <c r="V210" s="1">
        <v>0.32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</row>
    <row r="211" spans="1:33" x14ac:dyDescent="0.25">
      <c r="A211" s="1">
        <v>290</v>
      </c>
      <c r="B211" s="1" t="s">
        <v>470</v>
      </c>
      <c r="C211" s="1" t="s">
        <v>471</v>
      </c>
      <c r="D211" s="1" t="s">
        <v>94</v>
      </c>
      <c r="E211" s="1" t="s">
        <v>95</v>
      </c>
      <c r="F211" s="3">
        <v>46209</v>
      </c>
      <c r="G211" s="3">
        <v>46211</v>
      </c>
      <c r="H211" s="4">
        <v>0.75</v>
      </c>
      <c r="J211" s="1" t="s">
        <v>442</v>
      </c>
      <c r="K211" s="1">
        <v>291</v>
      </c>
      <c r="L211" s="1" t="s">
        <v>144</v>
      </c>
      <c r="M211" s="1" t="s">
        <v>150</v>
      </c>
      <c r="N211" s="2">
        <v>46177</v>
      </c>
      <c r="P211" s="1" t="s">
        <v>405</v>
      </c>
      <c r="Q211" s="1" t="s">
        <v>151</v>
      </c>
      <c r="R211" s="1" t="s">
        <v>55</v>
      </c>
      <c r="S211" s="2">
        <v>46175</v>
      </c>
      <c r="T211" s="2">
        <v>46177</v>
      </c>
      <c r="V211" s="1">
        <v>0.75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</row>
    <row r="212" spans="1:33" x14ac:dyDescent="0.25">
      <c r="A212" s="1">
        <v>291</v>
      </c>
      <c r="B212" s="1" t="s">
        <v>472</v>
      </c>
      <c r="C212" s="1" t="s">
        <v>471</v>
      </c>
      <c r="D212" s="1" t="s">
        <v>98</v>
      </c>
      <c r="E212" s="1" t="s">
        <v>53</v>
      </c>
      <c r="F212" s="3">
        <v>46216</v>
      </c>
      <c r="G212" s="3">
        <v>46216</v>
      </c>
      <c r="H212" s="4">
        <v>0</v>
      </c>
      <c r="J212" s="1">
        <v>290</v>
      </c>
      <c r="K212" s="1">
        <v>292</v>
      </c>
      <c r="L212" s="1" t="s">
        <v>144</v>
      </c>
      <c r="M212" s="1" t="s">
        <v>220</v>
      </c>
      <c r="N212" s="2">
        <v>46178</v>
      </c>
      <c r="P212" s="1" t="s">
        <v>405</v>
      </c>
      <c r="Q212" s="1" t="s">
        <v>151</v>
      </c>
      <c r="R212" s="1" t="s">
        <v>55</v>
      </c>
      <c r="S212" s="2">
        <v>46178</v>
      </c>
      <c r="T212" s="2">
        <v>46178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</row>
    <row r="213" spans="1:33" x14ac:dyDescent="0.25">
      <c r="A213" s="1">
        <v>292</v>
      </c>
      <c r="B213" s="1" t="s">
        <v>473</v>
      </c>
      <c r="C213" s="1" t="s">
        <v>471</v>
      </c>
      <c r="D213" s="1" t="s">
        <v>102</v>
      </c>
      <c r="E213" s="1" t="s">
        <v>121</v>
      </c>
      <c r="F213" s="3">
        <v>46217</v>
      </c>
      <c r="G213" s="3">
        <v>46218</v>
      </c>
      <c r="H213" s="4">
        <v>0</v>
      </c>
      <c r="J213" s="1">
        <v>291</v>
      </c>
      <c r="K213" s="1">
        <v>293</v>
      </c>
      <c r="L213" s="1" t="s">
        <v>144</v>
      </c>
      <c r="M213" s="1" t="s">
        <v>445</v>
      </c>
      <c r="N213" s="2">
        <v>46182</v>
      </c>
      <c r="P213" s="1" t="s">
        <v>405</v>
      </c>
      <c r="Q213" s="1" t="s">
        <v>193</v>
      </c>
      <c r="R213" s="1" t="s">
        <v>55</v>
      </c>
      <c r="S213" s="2">
        <v>46181</v>
      </c>
      <c r="T213" s="2">
        <v>46182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</row>
    <row r="214" spans="1:33" x14ac:dyDescent="0.25">
      <c r="A214" s="1">
        <v>293</v>
      </c>
      <c r="B214" s="1" t="s">
        <v>474</v>
      </c>
      <c r="C214" s="1" t="s">
        <v>471</v>
      </c>
      <c r="D214" s="1" t="s">
        <v>108</v>
      </c>
      <c r="E214" s="1" t="s">
        <v>53</v>
      </c>
      <c r="F214" s="3">
        <v>46219</v>
      </c>
      <c r="G214" s="3">
        <v>46219</v>
      </c>
      <c r="H214" s="4">
        <v>0</v>
      </c>
      <c r="J214" s="1">
        <v>292</v>
      </c>
      <c r="L214" s="1" t="s">
        <v>144</v>
      </c>
      <c r="M214" s="1" t="s">
        <v>292</v>
      </c>
      <c r="N214" s="2">
        <v>46183</v>
      </c>
      <c r="P214" s="1" t="s">
        <v>405</v>
      </c>
      <c r="Q214" s="1" t="s">
        <v>193</v>
      </c>
      <c r="R214" s="1" t="s">
        <v>55</v>
      </c>
      <c r="S214" s="2">
        <v>46183</v>
      </c>
      <c r="T214" s="2">
        <v>46183</v>
      </c>
      <c r="V214" s="1">
        <v>0</v>
      </c>
      <c r="W214" s="1">
        <v>0</v>
      </c>
      <c r="X214" s="1">
        <v>0</v>
      </c>
      <c r="Y214" s="1">
        <v>0</v>
      </c>
      <c r="Z214" s="1">
        <v>1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</row>
    <row r="215" spans="1:33" x14ac:dyDescent="0.25">
      <c r="A215" s="1">
        <v>294</v>
      </c>
      <c r="B215" s="1" t="s">
        <v>475</v>
      </c>
      <c r="C215" s="1" t="s">
        <v>407</v>
      </c>
      <c r="D215" s="1" t="s">
        <v>476</v>
      </c>
      <c r="E215" s="1" t="s">
        <v>136</v>
      </c>
      <c r="F215" s="3">
        <v>46209</v>
      </c>
      <c r="G215" s="3">
        <v>46219</v>
      </c>
      <c r="H215" s="4">
        <v>0.32</v>
      </c>
      <c r="L215" s="1" t="s">
        <v>144</v>
      </c>
      <c r="M215" s="1" t="s">
        <v>150</v>
      </c>
      <c r="N215" s="2">
        <v>46183</v>
      </c>
      <c r="P215" s="1" t="s">
        <v>405</v>
      </c>
      <c r="Q215" s="1" t="s">
        <v>151</v>
      </c>
      <c r="R215" s="1" t="s">
        <v>55</v>
      </c>
      <c r="S215" s="2">
        <v>46175</v>
      </c>
      <c r="T215" s="2">
        <v>46183</v>
      </c>
      <c r="V215" s="1">
        <v>0.32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</row>
    <row r="216" spans="1:33" x14ac:dyDescent="0.25">
      <c r="A216" s="1">
        <v>295</v>
      </c>
      <c r="B216" s="1" t="s">
        <v>477</v>
      </c>
      <c r="C216" s="1" t="s">
        <v>478</v>
      </c>
      <c r="D216" s="1" t="s">
        <v>94</v>
      </c>
      <c r="E216" s="1" t="s">
        <v>95</v>
      </c>
      <c r="F216" s="3">
        <v>46209</v>
      </c>
      <c r="G216" s="3">
        <v>46211</v>
      </c>
      <c r="H216" s="4">
        <v>0.75</v>
      </c>
      <c r="J216" s="1" t="s">
        <v>442</v>
      </c>
      <c r="K216" s="1">
        <v>296</v>
      </c>
      <c r="L216" s="1" t="s">
        <v>144</v>
      </c>
      <c r="M216" s="1" t="s">
        <v>150</v>
      </c>
      <c r="N216" s="2">
        <v>46177</v>
      </c>
      <c r="P216" s="1" t="s">
        <v>405</v>
      </c>
      <c r="Q216" s="1" t="s">
        <v>151</v>
      </c>
      <c r="R216" s="1" t="s">
        <v>55</v>
      </c>
      <c r="S216" s="2">
        <v>46175</v>
      </c>
      <c r="T216" s="2">
        <v>46177</v>
      </c>
      <c r="V216" s="1">
        <v>0.75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</row>
    <row r="217" spans="1:33" x14ac:dyDescent="0.25">
      <c r="A217" s="1">
        <v>296</v>
      </c>
      <c r="B217" s="1" t="s">
        <v>479</v>
      </c>
      <c r="C217" s="1" t="s">
        <v>478</v>
      </c>
      <c r="D217" s="1" t="s">
        <v>98</v>
      </c>
      <c r="E217" s="1" t="s">
        <v>53</v>
      </c>
      <c r="F217" s="3">
        <v>46216</v>
      </c>
      <c r="G217" s="3">
        <v>46216</v>
      </c>
      <c r="H217" s="4">
        <v>0</v>
      </c>
      <c r="J217" s="1">
        <v>295</v>
      </c>
      <c r="K217" s="1">
        <v>297</v>
      </c>
      <c r="L217" s="1" t="s">
        <v>144</v>
      </c>
      <c r="M217" s="1" t="s">
        <v>220</v>
      </c>
      <c r="N217" s="2">
        <v>46178</v>
      </c>
      <c r="P217" s="1" t="s">
        <v>405</v>
      </c>
      <c r="Q217" s="1" t="s">
        <v>151</v>
      </c>
      <c r="R217" s="1" t="s">
        <v>55</v>
      </c>
      <c r="S217" s="2">
        <v>46178</v>
      </c>
      <c r="T217" s="2">
        <v>46178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</row>
    <row r="218" spans="1:33" x14ac:dyDescent="0.25">
      <c r="A218" s="1">
        <v>297</v>
      </c>
      <c r="B218" s="1" t="s">
        <v>480</v>
      </c>
      <c r="C218" s="1" t="s">
        <v>478</v>
      </c>
      <c r="D218" s="1" t="s">
        <v>102</v>
      </c>
      <c r="E218" s="1" t="s">
        <v>121</v>
      </c>
      <c r="F218" s="3">
        <v>46217</v>
      </c>
      <c r="G218" s="3">
        <v>46218</v>
      </c>
      <c r="H218" s="4">
        <v>0</v>
      </c>
      <c r="J218" s="1">
        <v>296</v>
      </c>
      <c r="K218" s="1">
        <v>298</v>
      </c>
      <c r="L218" s="1" t="s">
        <v>144</v>
      </c>
      <c r="M218" s="1" t="s">
        <v>445</v>
      </c>
      <c r="N218" s="2">
        <v>46182</v>
      </c>
      <c r="P218" s="1" t="s">
        <v>405</v>
      </c>
      <c r="Q218" s="1" t="s">
        <v>193</v>
      </c>
      <c r="R218" s="1" t="s">
        <v>55</v>
      </c>
      <c r="S218" s="2">
        <v>46181</v>
      </c>
      <c r="T218" s="2">
        <v>46182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</row>
    <row r="219" spans="1:33" x14ac:dyDescent="0.25">
      <c r="A219" s="1">
        <v>298</v>
      </c>
      <c r="B219" s="1" t="s">
        <v>481</v>
      </c>
      <c r="C219" s="1" t="s">
        <v>478</v>
      </c>
      <c r="D219" s="1" t="s">
        <v>108</v>
      </c>
      <c r="E219" s="1" t="s">
        <v>53</v>
      </c>
      <c r="F219" s="3">
        <v>46219</v>
      </c>
      <c r="G219" s="3">
        <v>46219</v>
      </c>
      <c r="H219" s="4">
        <v>0</v>
      </c>
      <c r="J219" s="1">
        <v>297</v>
      </c>
      <c r="L219" s="1" t="s">
        <v>144</v>
      </c>
      <c r="M219" s="1" t="s">
        <v>292</v>
      </c>
      <c r="N219" s="2">
        <v>46183</v>
      </c>
      <c r="P219" s="1" t="s">
        <v>405</v>
      </c>
      <c r="Q219" s="1" t="s">
        <v>193</v>
      </c>
      <c r="R219" s="1" t="s">
        <v>55</v>
      </c>
      <c r="S219" s="2">
        <v>46183</v>
      </c>
      <c r="T219" s="2">
        <v>46183</v>
      </c>
      <c r="V219" s="1">
        <v>0</v>
      </c>
      <c r="W219" s="1">
        <v>0</v>
      </c>
      <c r="X219" s="1">
        <v>0</v>
      </c>
      <c r="Y219" s="1">
        <v>0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</row>
    <row r="220" spans="1:33" x14ac:dyDescent="0.25">
      <c r="A220" s="1">
        <v>299</v>
      </c>
      <c r="B220" s="1" t="s">
        <v>482</v>
      </c>
      <c r="C220" s="1" t="s">
        <v>407</v>
      </c>
      <c r="D220" s="1" t="s">
        <v>483</v>
      </c>
      <c r="E220" s="1" t="s">
        <v>136</v>
      </c>
      <c r="F220" s="3">
        <v>46209</v>
      </c>
      <c r="G220" s="3">
        <v>46219</v>
      </c>
      <c r="H220" s="4">
        <v>0.32</v>
      </c>
      <c r="L220" s="1" t="s">
        <v>144</v>
      </c>
      <c r="M220" s="1" t="s">
        <v>150</v>
      </c>
      <c r="N220" s="2">
        <v>46183</v>
      </c>
      <c r="P220" s="1" t="s">
        <v>405</v>
      </c>
      <c r="Q220" s="1" t="s">
        <v>151</v>
      </c>
      <c r="R220" s="1" t="s">
        <v>55</v>
      </c>
      <c r="S220" s="2">
        <v>46175</v>
      </c>
      <c r="T220" s="2">
        <v>46183</v>
      </c>
      <c r="U220" s="1" t="s">
        <v>320</v>
      </c>
      <c r="V220" s="1">
        <v>0.32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</row>
    <row r="221" spans="1:33" x14ac:dyDescent="0.25">
      <c r="A221" s="1">
        <v>300</v>
      </c>
      <c r="B221" s="1" t="s">
        <v>484</v>
      </c>
      <c r="C221" s="1" t="s">
        <v>485</v>
      </c>
      <c r="D221" s="1" t="s">
        <v>94</v>
      </c>
      <c r="E221" s="1" t="s">
        <v>95</v>
      </c>
      <c r="F221" s="3">
        <v>46209</v>
      </c>
      <c r="G221" s="3">
        <v>46211</v>
      </c>
      <c r="H221" s="4">
        <v>0.75</v>
      </c>
      <c r="J221" s="1" t="s">
        <v>442</v>
      </c>
      <c r="K221" s="1">
        <v>301</v>
      </c>
      <c r="L221" s="1" t="s">
        <v>144</v>
      </c>
      <c r="M221" s="1" t="s">
        <v>161</v>
      </c>
      <c r="N221" s="2">
        <v>46211</v>
      </c>
      <c r="P221" s="1" t="s">
        <v>405</v>
      </c>
      <c r="Q221" s="1" t="s">
        <v>151</v>
      </c>
      <c r="R221" s="1" t="s">
        <v>55</v>
      </c>
      <c r="S221" s="2">
        <v>46209</v>
      </c>
      <c r="T221" s="2">
        <v>46211</v>
      </c>
      <c r="V221" s="1">
        <v>0.75</v>
      </c>
      <c r="W221" s="1">
        <v>1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</row>
    <row r="222" spans="1:33" x14ac:dyDescent="0.25">
      <c r="A222" s="1">
        <v>301</v>
      </c>
      <c r="B222" s="1" t="s">
        <v>486</v>
      </c>
      <c r="C222" s="1" t="s">
        <v>485</v>
      </c>
      <c r="D222" s="1" t="s">
        <v>98</v>
      </c>
      <c r="E222" s="1" t="s">
        <v>53</v>
      </c>
      <c r="F222" s="3">
        <v>46216</v>
      </c>
      <c r="G222" s="3">
        <v>46216</v>
      </c>
      <c r="H222" s="4">
        <v>0</v>
      </c>
      <c r="J222" s="1">
        <v>300</v>
      </c>
      <c r="K222" s="1">
        <v>302</v>
      </c>
      <c r="L222" s="1" t="s">
        <v>144</v>
      </c>
      <c r="M222" s="1" t="s">
        <v>487</v>
      </c>
      <c r="N222" s="2">
        <v>46216</v>
      </c>
      <c r="P222" s="1" t="s">
        <v>405</v>
      </c>
      <c r="Q222" s="1" t="s">
        <v>151</v>
      </c>
      <c r="R222" s="1" t="s">
        <v>55</v>
      </c>
      <c r="S222" s="2">
        <v>46216</v>
      </c>
      <c r="T222" s="2">
        <v>46216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</row>
    <row r="223" spans="1:33" x14ac:dyDescent="0.25">
      <c r="A223" s="1">
        <v>302</v>
      </c>
      <c r="B223" s="1" t="s">
        <v>488</v>
      </c>
      <c r="C223" s="1" t="s">
        <v>485</v>
      </c>
      <c r="D223" s="1" t="s">
        <v>102</v>
      </c>
      <c r="E223" s="1" t="s">
        <v>121</v>
      </c>
      <c r="F223" s="3">
        <v>46217</v>
      </c>
      <c r="G223" s="3">
        <v>46218</v>
      </c>
      <c r="H223" s="4">
        <v>0</v>
      </c>
      <c r="J223" s="1">
        <v>301</v>
      </c>
      <c r="K223" s="1">
        <v>303</v>
      </c>
      <c r="L223" s="1" t="s">
        <v>144</v>
      </c>
      <c r="M223" s="1" t="s">
        <v>489</v>
      </c>
      <c r="N223" s="2">
        <v>46218</v>
      </c>
      <c r="P223" s="1" t="s">
        <v>405</v>
      </c>
      <c r="Q223" s="1" t="s">
        <v>193</v>
      </c>
      <c r="R223" s="1" t="s">
        <v>55</v>
      </c>
      <c r="S223" s="2">
        <v>46217</v>
      </c>
      <c r="T223" s="2">
        <v>46218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</row>
    <row r="224" spans="1:33" x14ac:dyDescent="0.25">
      <c r="A224" s="1">
        <v>303</v>
      </c>
      <c r="B224" s="1" t="s">
        <v>490</v>
      </c>
      <c r="C224" s="1" t="s">
        <v>485</v>
      </c>
      <c r="D224" s="1" t="s">
        <v>108</v>
      </c>
      <c r="E224" s="1" t="s">
        <v>53</v>
      </c>
      <c r="F224" s="3">
        <v>46219</v>
      </c>
      <c r="G224" s="3">
        <v>46219</v>
      </c>
      <c r="H224" s="4">
        <v>0</v>
      </c>
      <c r="J224" s="1">
        <v>302</v>
      </c>
      <c r="L224" s="1" t="s">
        <v>144</v>
      </c>
      <c r="M224" s="1" t="s">
        <v>491</v>
      </c>
      <c r="N224" s="2">
        <v>46219</v>
      </c>
      <c r="P224" s="1" t="s">
        <v>405</v>
      </c>
      <c r="Q224" s="1" t="s">
        <v>193</v>
      </c>
      <c r="R224" s="1" t="s">
        <v>55</v>
      </c>
      <c r="S224" s="2">
        <v>46219</v>
      </c>
      <c r="T224" s="2">
        <v>46219</v>
      </c>
      <c r="V224" s="1">
        <v>0</v>
      </c>
      <c r="W224" s="1">
        <v>0</v>
      </c>
      <c r="X224" s="1">
        <v>0</v>
      </c>
      <c r="Y224" s="1">
        <v>0</v>
      </c>
      <c r="Z224" s="1">
        <v>1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</row>
    <row r="225" spans="1:33" x14ac:dyDescent="0.25">
      <c r="A225" s="1">
        <v>304</v>
      </c>
      <c r="B225" s="1" t="s">
        <v>492</v>
      </c>
      <c r="C225" s="1" t="s">
        <v>407</v>
      </c>
      <c r="D225" s="1" t="s">
        <v>493</v>
      </c>
      <c r="E225" s="1" t="s">
        <v>136</v>
      </c>
      <c r="F225" s="3">
        <v>46209</v>
      </c>
      <c r="G225" s="3">
        <v>46219</v>
      </c>
      <c r="H225" s="4">
        <v>0.32</v>
      </c>
      <c r="K225" s="1" t="s">
        <v>439</v>
      </c>
      <c r="L225" s="1" t="s">
        <v>144</v>
      </c>
      <c r="M225" s="1" t="s">
        <v>150</v>
      </c>
      <c r="N225" s="2">
        <v>46183</v>
      </c>
      <c r="P225" s="1" t="s">
        <v>405</v>
      </c>
      <c r="Q225" s="1" t="s">
        <v>151</v>
      </c>
      <c r="R225" s="1" t="s">
        <v>55</v>
      </c>
      <c r="S225" s="2">
        <v>46175</v>
      </c>
      <c r="T225" s="2">
        <v>46183</v>
      </c>
      <c r="U225" s="1" t="s">
        <v>320</v>
      </c>
      <c r="V225" s="1">
        <v>0.32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</row>
    <row r="226" spans="1:33" x14ac:dyDescent="0.25">
      <c r="A226" s="1">
        <v>305</v>
      </c>
      <c r="B226" s="1" t="s">
        <v>494</v>
      </c>
      <c r="C226" s="1" t="s">
        <v>495</v>
      </c>
      <c r="D226" s="1" t="s">
        <v>94</v>
      </c>
      <c r="E226" s="1" t="s">
        <v>95</v>
      </c>
      <c r="F226" s="3">
        <v>46209</v>
      </c>
      <c r="G226" s="3">
        <v>46211</v>
      </c>
      <c r="H226" s="4">
        <v>0.75</v>
      </c>
      <c r="J226" s="1" t="s">
        <v>442</v>
      </c>
      <c r="K226" s="1">
        <v>306</v>
      </c>
      <c r="L226" s="1" t="s">
        <v>144</v>
      </c>
      <c r="M226" s="1" t="s">
        <v>161</v>
      </c>
      <c r="N226" s="2">
        <v>46211</v>
      </c>
      <c r="P226" s="1" t="s">
        <v>405</v>
      </c>
      <c r="Q226" s="1" t="s">
        <v>151</v>
      </c>
      <c r="R226" s="1" t="s">
        <v>55</v>
      </c>
      <c r="S226" s="2">
        <v>46209</v>
      </c>
      <c r="T226" s="2">
        <v>46211</v>
      </c>
      <c r="V226" s="1">
        <v>0.75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</row>
    <row r="227" spans="1:33" x14ac:dyDescent="0.25">
      <c r="A227" s="1">
        <v>306</v>
      </c>
      <c r="B227" s="1" t="s">
        <v>496</v>
      </c>
      <c r="C227" s="1" t="s">
        <v>495</v>
      </c>
      <c r="D227" s="1" t="s">
        <v>98</v>
      </c>
      <c r="E227" s="1" t="s">
        <v>53</v>
      </c>
      <c r="F227" s="3">
        <v>46216</v>
      </c>
      <c r="G227" s="3">
        <v>46216</v>
      </c>
      <c r="H227" s="4">
        <v>0</v>
      </c>
      <c r="J227" s="1">
        <v>305</v>
      </c>
      <c r="K227" s="1">
        <v>307</v>
      </c>
      <c r="L227" s="1" t="s">
        <v>144</v>
      </c>
      <c r="M227" s="1" t="s">
        <v>487</v>
      </c>
      <c r="N227" s="2">
        <v>46216</v>
      </c>
      <c r="P227" s="1" t="s">
        <v>405</v>
      </c>
      <c r="Q227" s="1" t="s">
        <v>151</v>
      </c>
      <c r="R227" s="1" t="s">
        <v>55</v>
      </c>
      <c r="S227" s="2">
        <v>46216</v>
      </c>
      <c r="T227" s="2">
        <v>46216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</row>
    <row r="228" spans="1:33" x14ac:dyDescent="0.25">
      <c r="A228" s="1">
        <v>307</v>
      </c>
      <c r="B228" s="1" t="s">
        <v>497</v>
      </c>
      <c r="C228" s="1" t="s">
        <v>495</v>
      </c>
      <c r="D228" s="1" t="s">
        <v>102</v>
      </c>
      <c r="E228" s="1" t="s">
        <v>121</v>
      </c>
      <c r="F228" s="3">
        <v>46217</v>
      </c>
      <c r="G228" s="3">
        <v>46218</v>
      </c>
      <c r="H228" s="4">
        <v>0</v>
      </c>
      <c r="J228" s="1">
        <v>306</v>
      </c>
      <c r="K228" s="1">
        <v>308</v>
      </c>
      <c r="L228" s="1" t="s">
        <v>144</v>
      </c>
      <c r="M228" s="1" t="s">
        <v>489</v>
      </c>
      <c r="N228" s="2">
        <v>46218</v>
      </c>
      <c r="P228" s="1" t="s">
        <v>405</v>
      </c>
      <c r="Q228" s="1" t="s">
        <v>193</v>
      </c>
      <c r="R228" s="1" t="s">
        <v>55</v>
      </c>
      <c r="S228" s="2">
        <v>46217</v>
      </c>
      <c r="T228" s="2">
        <v>46218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</row>
    <row r="229" spans="1:33" x14ac:dyDescent="0.25">
      <c r="A229" s="1">
        <v>308</v>
      </c>
      <c r="B229" s="1" t="s">
        <v>498</v>
      </c>
      <c r="C229" s="1" t="s">
        <v>495</v>
      </c>
      <c r="D229" s="1" t="s">
        <v>108</v>
      </c>
      <c r="E229" s="1" t="s">
        <v>53</v>
      </c>
      <c r="F229" s="3">
        <v>46219</v>
      </c>
      <c r="G229" s="3">
        <v>46219</v>
      </c>
      <c r="H229" s="4">
        <v>0</v>
      </c>
      <c r="J229" s="1">
        <v>307</v>
      </c>
      <c r="L229" s="1" t="s">
        <v>144</v>
      </c>
      <c r="M229" s="1" t="s">
        <v>491</v>
      </c>
      <c r="N229" s="2">
        <v>46219</v>
      </c>
      <c r="P229" s="1" t="s">
        <v>405</v>
      </c>
      <c r="Q229" s="1" t="s">
        <v>193</v>
      </c>
      <c r="R229" s="1" t="s">
        <v>55</v>
      </c>
      <c r="S229" s="2">
        <v>46219</v>
      </c>
      <c r="T229" s="2">
        <v>46219</v>
      </c>
      <c r="V229" s="1">
        <v>0</v>
      </c>
      <c r="W229" s="1">
        <v>0</v>
      </c>
      <c r="X229" s="1">
        <v>0</v>
      </c>
      <c r="Y229" s="1">
        <v>0</v>
      </c>
      <c r="Z229" s="1">
        <v>1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</row>
    <row r="230" spans="1:33" x14ac:dyDescent="0.25">
      <c r="A230" s="1">
        <v>309</v>
      </c>
      <c r="B230" s="1" t="s">
        <v>499</v>
      </c>
      <c r="C230" s="1" t="s">
        <v>407</v>
      </c>
      <c r="D230" s="1" t="s">
        <v>500</v>
      </c>
      <c r="E230" s="1" t="s">
        <v>136</v>
      </c>
      <c r="F230" s="3">
        <v>46209</v>
      </c>
      <c r="G230" s="3">
        <v>46219</v>
      </c>
      <c r="H230" s="4">
        <v>0.32</v>
      </c>
      <c r="L230" s="1" t="s">
        <v>144</v>
      </c>
      <c r="M230" s="1" t="s">
        <v>150</v>
      </c>
      <c r="N230" s="2">
        <v>46183</v>
      </c>
      <c r="P230" s="1" t="s">
        <v>405</v>
      </c>
      <c r="Q230" s="1" t="s">
        <v>151</v>
      </c>
      <c r="R230" s="1" t="s">
        <v>55</v>
      </c>
      <c r="S230" s="2">
        <v>46175</v>
      </c>
      <c r="T230" s="2">
        <v>46183</v>
      </c>
      <c r="U230" s="1" t="s">
        <v>320</v>
      </c>
      <c r="V230" s="1">
        <v>0.32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</row>
    <row r="231" spans="1:33" x14ac:dyDescent="0.25">
      <c r="A231" s="1">
        <v>310</v>
      </c>
      <c r="B231" s="1" t="s">
        <v>501</v>
      </c>
      <c r="C231" s="1" t="s">
        <v>502</v>
      </c>
      <c r="D231" s="1" t="s">
        <v>94</v>
      </c>
      <c r="E231" s="1" t="s">
        <v>95</v>
      </c>
      <c r="F231" s="3">
        <v>46209</v>
      </c>
      <c r="G231" s="3">
        <v>46211</v>
      </c>
      <c r="H231" s="4">
        <v>0.75</v>
      </c>
      <c r="J231" s="1" t="s">
        <v>442</v>
      </c>
      <c r="K231" s="1">
        <v>311</v>
      </c>
      <c r="L231" s="1" t="s">
        <v>144</v>
      </c>
      <c r="M231" s="1" t="s">
        <v>161</v>
      </c>
      <c r="N231" s="2">
        <v>46211</v>
      </c>
      <c r="P231" s="1" t="s">
        <v>405</v>
      </c>
      <c r="Q231" s="1" t="s">
        <v>151</v>
      </c>
      <c r="R231" s="1" t="s">
        <v>55</v>
      </c>
      <c r="S231" s="2">
        <v>46209</v>
      </c>
      <c r="T231" s="2">
        <v>46211</v>
      </c>
      <c r="V231" s="1">
        <v>0.75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</row>
    <row r="232" spans="1:33" x14ac:dyDescent="0.25">
      <c r="A232" s="1">
        <v>311</v>
      </c>
      <c r="B232" s="1" t="s">
        <v>503</v>
      </c>
      <c r="C232" s="1" t="s">
        <v>502</v>
      </c>
      <c r="D232" s="1" t="s">
        <v>98</v>
      </c>
      <c r="E232" s="1" t="s">
        <v>53</v>
      </c>
      <c r="F232" s="3">
        <v>46216</v>
      </c>
      <c r="G232" s="3">
        <v>46216</v>
      </c>
      <c r="H232" s="4">
        <v>0</v>
      </c>
      <c r="J232" s="1">
        <v>310</v>
      </c>
      <c r="K232" s="1">
        <v>312</v>
      </c>
      <c r="L232" s="1" t="s">
        <v>144</v>
      </c>
      <c r="M232" s="1" t="s">
        <v>487</v>
      </c>
      <c r="N232" s="2">
        <v>46216</v>
      </c>
      <c r="P232" s="1" t="s">
        <v>405</v>
      </c>
      <c r="Q232" s="1" t="s">
        <v>151</v>
      </c>
      <c r="R232" s="1" t="s">
        <v>55</v>
      </c>
      <c r="S232" s="2">
        <v>46216</v>
      </c>
      <c r="T232" s="2">
        <v>46216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</row>
    <row r="233" spans="1:33" x14ac:dyDescent="0.25">
      <c r="A233" s="1">
        <v>312</v>
      </c>
      <c r="B233" s="1" t="s">
        <v>504</v>
      </c>
      <c r="C233" s="1" t="s">
        <v>502</v>
      </c>
      <c r="D233" s="1" t="s">
        <v>102</v>
      </c>
      <c r="E233" s="1" t="s">
        <v>121</v>
      </c>
      <c r="F233" s="3">
        <v>46217</v>
      </c>
      <c r="G233" s="3">
        <v>46218</v>
      </c>
      <c r="H233" s="4">
        <v>0</v>
      </c>
      <c r="J233" s="1">
        <v>311</v>
      </c>
      <c r="K233" s="1">
        <v>313</v>
      </c>
      <c r="L233" s="1" t="s">
        <v>144</v>
      </c>
      <c r="M233" s="1" t="s">
        <v>489</v>
      </c>
      <c r="N233" s="2">
        <v>46218</v>
      </c>
      <c r="P233" s="1" t="s">
        <v>405</v>
      </c>
      <c r="Q233" s="1" t="s">
        <v>193</v>
      </c>
      <c r="R233" s="1" t="s">
        <v>55</v>
      </c>
      <c r="S233" s="2">
        <v>46217</v>
      </c>
      <c r="T233" s="2">
        <v>46218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</row>
    <row r="234" spans="1:33" x14ac:dyDescent="0.25">
      <c r="A234" s="1">
        <v>313</v>
      </c>
      <c r="B234" s="1" t="s">
        <v>505</v>
      </c>
      <c r="C234" s="1" t="s">
        <v>502</v>
      </c>
      <c r="D234" s="1" t="s">
        <v>108</v>
      </c>
      <c r="E234" s="1" t="s">
        <v>53</v>
      </c>
      <c r="F234" s="3">
        <v>46219</v>
      </c>
      <c r="G234" s="3">
        <v>46219</v>
      </c>
      <c r="H234" s="4">
        <v>0</v>
      </c>
      <c r="J234" s="1">
        <v>312</v>
      </c>
      <c r="L234" s="1" t="s">
        <v>144</v>
      </c>
      <c r="M234" s="1" t="s">
        <v>491</v>
      </c>
      <c r="N234" s="2">
        <v>46219</v>
      </c>
      <c r="P234" s="1" t="s">
        <v>405</v>
      </c>
      <c r="Q234" s="1" t="s">
        <v>193</v>
      </c>
      <c r="R234" s="1" t="s">
        <v>55</v>
      </c>
      <c r="S234" s="2">
        <v>46219</v>
      </c>
      <c r="T234" s="2">
        <v>46219</v>
      </c>
      <c r="V234" s="1">
        <v>0</v>
      </c>
      <c r="W234" s="1">
        <v>0</v>
      </c>
      <c r="X234" s="1">
        <v>0</v>
      </c>
      <c r="Y234" s="1">
        <v>0</v>
      </c>
      <c r="Z234" s="1">
        <v>1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</row>
    <row r="235" spans="1:33" x14ac:dyDescent="0.25">
      <c r="A235" s="1">
        <v>314</v>
      </c>
      <c r="B235" s="1" t="s">
        <v>506</v>
      </c>
      <c r="C235" s="1" t="s">
        <v>407</v>
      </c>
      <c r="D235" s="1" t="s">
        <v>507</v>
      </c>
      <c r="E235" s="1" t="s">
        <v>201</v>
      </c>
      <c r="F235" s="3">
        <v>46206</v>
      </c>
      <c r="G235" s="3">
        <v>46217</v>
      </c>
      <c r="H235" s="4">
        <v>0</v>
      </c>
      <c r="L235" s="1" t="s">
        <v>131</v>
      </c>
      <c r="M235" s="1" t="s">
        <v>150</v>
      </c>
      <c r="N235" s="2">
        <v>46183</v>
      </c>
      <c r="P235" s="1" t="s">
        <v>405</v>
      </c>
      <c r="Q235" s="1" t="s">
        <v>151</v>
      </c>
      <c r="R235" s="1" t="s">
        <v>55</v>
      </c>
      <c r="S235" s="2">
        <v>46175</v>
      </c>
      <c r="T235" s="2">
        <v>46183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</row>
    <row r="236" spans="1:33" x14ac:dyDescent="0.25">
      <c r="A236" s="1">
        <v>315</v>
      </c>
      <c r="B236" s="1" t="s">
        <v>508</v>
      </c>
      <c r="C236" s="1" t="s">
        <v>509</v>
      </c>
      <c r="D236" s="1" t="s">
        <v>94</v>
      </c>
      <c r="E236" s="1" t="s">
        <v>121</v>
      </c>
      <c r="F236" s="3">
        <v>46206</v>
      </c>
      <c r="G236" s="3">
        <v>46209</v>
      </c>
      <c r="H236" s="4">
        <v>0</v>
      </c>
      <c r="J236" s="1">
        <v>242</v>
      </c>
      <c r="K236" s="1">
        <v>316</v>
      </c>
      <c r="L236" s="1" t="s">
        <v>131</v>
      </c>
      <c r="M236" s="1" t="s">
        <v>150</v>
      </c>
      <c r="N236" s="2">
        <v>46177</v>
      </c>
      <c r="P236" s="1" t="s">
        <v>405</v>
      </c>
      <c r="Q236" s="1" t="s">
        <v>151</v>
      </c>
      <c r="R236" s="1" t="s">
        <v>55</v>
      </c>
      <c r="S236" s="2">
        <v>46175</v>
      </c>
      <c r="T236" s="2">
        <v>46177</v>
      </c>
      <c r="V236" s="1">
        <v>0</v>
      </c>
      <c r="W236" s="1">
        <v>1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</row>
    <row r="237" spans="1:33" x14ac:dyDescent="0.25">
      <c r="A237" s="1">
        <v>316</v>
      </c>
      <c r="B237" s="1" t="s">
        <v>510</v>
      </c>
      <c r="C237" s="1" t="s">
        <v>509</v>
      </c>
      <c r="D237" s="1" t="s">
        <v>98</v>
      </c>
      <c r="E237" s="1" t="s">
        <v>53</v>
      </c>
      <c r="F237" s="3">
        <v>46210</v>
      </c>
      <c r="G237" s="3">
        <v>46210</v>
      </c>
      <c r="H237" s="4">
        <v>0</v>
      </c>
      <c r="J237" s="1">
        <v>315</v>
      </c>
      <c r="K237" s="1">
        <v>317</v>
      </c>
      <c r="L237" s="1" t="s">
        <v>144</v>
      </c>
      <c r="M237" s="1" t="s">
        <v>220</v>
      </c>
      <c r="N237" s="2">
        <v>46178</v>
      </c>
      <c r="P237" s="1" t="s">
        <v>405</v>
      </c>
      <c r="Q237" s="1" t="s">
        <v>151</v>
      </c>
      <c r="R237" s="1" t="s">
        <v>55</v>
      </c>
      <c r="S237" s="2">
        <v>46178</v>
      </c>
      <c r="T237" s="2">
        <v>46178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</row>
    <row r="238" spans="1:33" x14ac:dyDescent="0.25">
      <c r="A238" s="1">
        <v>317</v>
      </c>
      <c r="B238" s="1" t="s">
        <v>511</v>
      </c>
      <c r="C238" s="1" t="s">
        <v>509</v>
      </c>
      <c r="D238" s="1" t="s">
        <v>102</v>
      </c>
      <c r="E238" s="1" t="s">
        <v>121</v>
      </c>
      <c r="F238" s="3">
        <v>46211</v>
      </c>
      <c r="G238" s="3">
        <v>46216</v>
      </c>
      <c r="H238" s="4">
        <v>0</v>
      </c>
      <c r="J238" s="1">
        <v>316</v>
      </c>
      <c r="K238" s="1">
        <v>318</v>
      </c>
      <c r="L238" s="1" t="s">
        <v>144</v>
      </c>
      <c r="M238" s="1" t="s">
        <v>445</v>
      </c>
      <c r="N238" s="2">
        <v>46182</v>
      </c>
      <c r="P238" s="1" t="s">
        <v>405</v>
      </c>
      <c r="Q238" s="1" t="s">
        <v>193</v>
      </c>
      <c r="R238" s="1" t="s">
        <v>55</v>
      </c>
      <c r="S238" s="2">
        <v>46181</v>
      </c>
      <c r="T238" s="2">
        <v>46182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</row>
    <row r="239" spans="1:33" x14ac:dyDescent="0.25">
      <c r="A239" s="1">
        <v>318</v>
      </c>
      <c r="B239" s="1" t="s">
        <v>512</v>
      </c>
      <c r="C239" s="1" t="s">
        <v>509</v>
      </c>
      <c r="D239" s="1" t="s">
        <v>108</v>
      </c>
      <c r="E239" s="1" t="s">
        <v>53</v>
      </c>
      <c r="F239" s="3">
        <v>46217</v>
      </c>
      <c r="G239" s="3">
        <v>46217</v>
      </c>
      <c r="H239" s="4">
        <v>0</v>
      </c>
      <c r="J239" s="1">
        <v>317</v>
      </c>
      <c r="L239" s="1" t="s">
        <v>144</v>
      </c>
      <c r="M239" s="1" t="s">
        <v>292</v>
      </c>
      <c r="N239" s="2">
        <v>46183</v>
      </c>
      <c r="P239" s="1" t="s">
        <v>405</v>
      </c>
      <c r="Q239" s="1" t="s">
        <v>193</v>
      </c>
      <c r="R239" s="1" t="s">
        <v>55</v>
      </c>
      <c r="S239" s="2">
        <v>46183</v>
      </c>
      <c r="T239" s="2">
        <v>46183</v>
      </c>
      <c r="V239" s="1">
        <v>0</v>
      </c>
      <c r="W239" s="1">
        <v>0</v>
      </c>
      <c r="X239" s="1">
        <v>0</v>
      </c>
      <c r="Y239" s="1">
        <v>0</v>
      </c>
      <c r="Z239" s="1">
        <v>1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</row>
    <row r="240" spans="1:33" x14ac:dyDescent="0.25">
      <c r="A240" s="1">
        <v>324</v>
      </c>
      <c r="B240" s="1" t="s">
        <v>513</v>
      </c>
      <c r="C240" s="1" t="s">
        <v>73</v>
      </c>
      <c r="D240" s="1" t="s">
        <v>514</v>
      </c>
      <c r="E240" s="1" t="s">
        <v>515</v>
      </c>
      <c r="F240" s="3">
        <v>46209</v>
      </c>
      <c r="G240" s="3">
        <v>46227</v>
      </c>
      <c r="H240" s="4">
        <v>0.02</v>
      </c>
      <c r="L240" s="1" t="s">
        <v>144</v>
      </c>
      <c r="M240" s="1" t="s">
        <v>296</v>
      </c>
      <c r="N240" s="2">
        <v>46211</v>
      </c>
      <c r="P240" s="1" t="s">
        <v>516</v>
      </c>
      <c r="Q240" s="1" t="s">
        <v>138</v>
      </c>
      <c r="R240" s="1" t="s">
        <v>55</v>
      </c>
      <c r="S240" s="2">
        <v>46188</v>
      </c>
      <c r="T240" s="2">
        <v>46211</v>
      </c>
      <c r="V240" s="1">
        <v>0.02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</row>
    <row r="241" spans="1:33" x14ac:dyDescent="0.25">
      <c r="A241" s="1">
        <v>330</v>
      </c>
      <c r="B241" s="1" t="s">
        <v>517</v>
      </c>
      <c r="C241" s="1" t="s">
        <v>518</v>
      </c>
      <c r="D241" s="1" t="s">
        <v>519</v>
      </c>
      <c r="E241" s="1" t="s">
        <v>520</v>
      </c>
      <c r="F241" s="3">
        <v>46211</v>
      </c>
      <c r="G241" s="3">
        <v>46219</v>
      </c>
      <c r="H241" s="4">
        <v>0.38</v>
      </c>
      <c r="L241" s="1" t="s">
        <v>144</v>
      </c>
      <c r="M241" s="1" t="s">
        <v>343</v>
      </c>
      <c r="N241" s="2">
        <v>46198</v>
      </c>
      <c r="P241" s="1" t="s">
        <v>516</v>
      </c>
      <c r="Q241" s="1" t="s">
        <v>146</v>
      </c>
      <c r="R241" s="1" t="s">
        <v>55</v>
      </c>
      <c r="S241" s="2">
        <v>46190</v>
      </c>
      <c r="T241" s="2">
        <v>46198</v>
      </c>
      <c r="V241" s="1">
        <v>0.38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</row>
    <row r="242" spans="1:33" x14ac:dyDescent="0.25">
      <c r="A242" s="1">
        <v>331</v>
      </c>
      <c r="B242" s="1" t="s">
        <v>521</v>
      </c>
      <c r="C242" s="1" t="s">
        <v>522</v>
      </c>
      <c r="D242" s="1" t="s">
        <v>94</v>
      </c>
      <c r="E242" s="1" t="s">
        <v>95</v>
      </c>
      <c r="F242" s="3">
        <v>46211</v>
      </c>
      <c r="G242" s="3">
        <v>46216</v>
      </c>
      <c r="H242" s="4">
        <v>0.75</v>
      </c>
      <c r="J242" s="1" t="s">
        <v>523</v>
      </c>
      <c r="K242" s="1" t="s">
        <v>524</v>
      </c>
      <c r="L242" s="1" t="s">
        <v>144</v>
      </c>
      <c r="M242" s="1" t="s">
        <v>343</v>
      </c>
      <c r="N242" s="2">
        <v>46192</v>
      </c>
      <c r="P242" s="1" t="s">
        <v>516</v>
      </c>
      <c r="Q242" s="1" t="s">
        <v>146</v>
      </c>
      <c r="R242" s="1" t="s">
        <v>55</v>
      </c>
      <c r="S242" s="2">
        <v>46190</v>
      </c>
      <c r="T242" s="2">
        <v>46192</v>
      </c>
      <c r="V242" s="1">
        <v>0.75</v>
      </c>
      <c r="W242" s="1">
        <v>1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</row>
    <row r="243" spans="1:33" x14ac:dyDescent="0.25">
      <c r="A243" s="1">
        <v>332</v>
      </c>
      <c r="B243" s="1" t="s">
        <v>525</v>
      </c>
      <c r="C243" s="1" t="s">
        <v>522</v>
      </c>
      <c r="D243" s="1" t="s">
        <v>98</v>
      </c>
      <c r="E243" s="1" t="s">
        <v>53</v>
      </c>
      <c r="F243" s="3">
        <v>46216</v>
      </c>
      <c r="G243" s="3">
        <v>46217</v>
      </c>
      <c r="H243" s="4">
        <v>0</v>
      </c>
      <c r="J243" s="1">
        <v>331</v>
      </c>
      <c r="K243" s="1">
        <v>333</v>
      </c>
      <c r="L243" s="1" t="s">
        <v>144</v>
      </c>
      <c r="M243" s="1" t="s">
        <v>223</v>
      </c>
      <c r="N243" s="2">
        <v>46195</v>
      </c>
      <c r="P243" s="1" t="s">
        <v>516</v>
      </c>
      <c r="Q243" s="1" t="s">
        <v>151</v>
      </c>
      <c r="R243" s="1" t="s">
        <v>55</v>
      </c>
      <c r="S243" s="2">
        <v>46195</v>
      </c>
      <c r="T243" s="2">
        <v>46195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</row>
    <row r="244" spans="1:33" x14ac:dyDescent="0.25">
      <c r="A244" s="1">
        <v>333</v>
      </c>
      <c r="B244" s="1" t="s">
        <v>526</v>
      </c>
      <c r="C244" s="1" t="s">
        <v>522</v>
      </c>
      <c r="D244" s="1" t="s">
        <v>102</v>
      </c>
      <c r="E244" s="1" t="s">
        <v>53</v>
      </c>
      <c r="F244" s="3">
        <v>46217</v>
      </c>
      <c r="G244" s="3">
        <v>46218</v>
      </c>
      <c r="H244" s="4">
        <v>0</v>
      </c>
      <c r="J244" s="1">
        <v>332</v>
      </c>
      <c r="K244" s="1" t="s">
        <v>527</v>
      </c>
      <c r="L244" s="1" t="s">
        <v>144</v>
      </c>
      <c r="M244" s="1" t="s">
        <v>418</v>
      </c>
      <c r="N244" s="2">
        <v>46197</v>
      </c>
      <c r="P244" s="1" t="s">
        <v>516</v>
      </c>
      <c r="Q244" s="1" t="s">
        <v>151</v>
      </c>
      <c r="R244" s="1" t="s">
        <v>55</v>
      </c>
      <c r="S244" s="2">
        <v>46196</v>
      </c>
      <c r="T244" s="2">
        <v>46197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</row>
    <row r="245" spans="1:33" x14ac:dyDescent="0.25">
      <c r="A245" s="1">
        <v>334</v>
      </c>
      <c r="B245" s="1" t="s">
        <v>528</v>
      </c>
      <c r="C245" s="1" t="s">
        <v>522</v>
      </c>
      <c r="D245" s="1" t="s">
        <v>108</v>
      </c>
      <c r="E245" s="1" t="s">
        <v>53</v>
      </c>
      <c r="F245" s="3">
        <v>46218</v>
      </c>
      <c r="G245" s="3">
        <v>46219</v>
      </c>
      <c r="H245" s="4">
        <v>0</v>
      </c>
      <c r="J245" s="1">
        <v>333</v>
      </c>
      <c r="K245" s="1">
        <v>341</v>
      </c>
      <c r="L245" s="1" t="s">
        <v>144</v>
      </c>
      <c r="M245" s="1" t="s">
        <v>529</v>
      </c>
      <c r="N245" s="2">
        <v>46198</v>
      </c>
      <c r="P245" s="1" t="s">
        <v>516</v>
      </c>
      <c r="Q245" s="1" t="s">
        <v>151</v>
      </c>
      <c r="R245" s="1" t="s">
        <v>55</v>
      </c>
      <c r="S245" s="2">
        <v>46198</v>
      </c>
      <c r="T245" s="2">
        <v>46198</v>
      </c>
      <c r="V245" s="1">
        <v>0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</row>
    <row r="246" spans="1:33" x14ac:dyDescent="0.25">
      <c r="A246" s="1">
        <v>335</v>
      </c>
      <c r="B246" s="1" t="s">
        <v>530</v>
      </c>
      <c r="C246" s="1" t="s">
        <v>518</v>
      </c>
      <c r="D246" s="1" t="s">
        <v>531</v>
      </c>
      <c r="E246" s="1" t="s">
        <v>201</v>
      </c>
      <c r="F246" s="3">
        <v>46216</v>
      </c>
      <c r="G246" s="3">
        <v>46224</v>
      </c>
      <c r="H246" s="4">
        <v>0</v>
      </c>
      <c r="L246" s="1" t="s">
        <v>144</v>
      </c>
      <c r="M246" s="1" t="s">
        <v>155</v>
      </c>
      <c r="N246" s="2">
        <v>46210</v>
      </c>
      <c r="P246" s="1" t="s">
        <v>516</v>
      </c>
      <c r="Q246" s="1" t="s">
        <v>193</v>
      </c>
      <c r="R246" s="1" t="s">
        <v>55</v>
      </c>
      <c r="S246" s="2">
        <v>46203</v>
      </c>
      <c r="T246" s="2">
        <v>46210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</row>
    <row r="247" spans="1:33" x14ac:dyDescent="0.25">
      <c r="A247" s="1">
        <v>336</v>
      </c>
      <c r="B247" s="1" t="s">
        <v>532</v>
      </c>
      <c r="C247" s="1" t="s">
        <v>533</v>
      </c>
      <c r="D247" s="1" t="s">
        <v>94</v>
      </c>
      <c r="E247" s="1" t="s">
        <v>95</v>
      </c>
      <c r="F247" s="3">
        <v>46216</v>
      </c>
      <c r="G247" s="3">
        <v>46219</v>
      </c>
      <c r="H247" s="4">
        <v>0</v>
      </c>
      <c r="J247" s="1">
        <v>331</v>
      </c>
      <c r="K247" s="1">
        <v>337</v>
      </c>
      <c r="L247" s="1" t="s">
        <v>144</v>
      </c>
      <c r="M247" s="1" t="s">
        <v>155</v>
      </c>
      <c r="N247" s="2">
        <v>46204</v>
      </c>
      <c r="P247" s="1" t="s">
        <v>516</v>
      </c>
      <c r="Q247" s="1" t="s">
        <v>193</v>
      </c>
      <c r="R247" s="1" t="s">
        <v>55</v>
      </c>
      <c r="S247" s="2">
        <v>46203</v>
      </c>
      <c r="T247" s="2">
        <v>46204</v>
      </c>
      <c r="V247" s="1">
        <v>0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</row>
    <row r="248" spans="1:33" x14ac:dyDescent="0.25">
      <c r="A248" s="1">
        <v>337</v>
      </c>
      <c r="B248" s="1" t="s">
        <v>534</v>
      </c>
      <c r="C248" s="1" t="s">
        <v>533</v>
      </c>
      <c r="D248" s="1" t="s">
        <v>98</v>
      </c>
      <c r="E248" s="1" t="s">
        <v>53</v>
      </c>
      <c r="F248" s="3">
        <v>46219</v>
      </c>
      <c r="G248" s="3">
        <v>46220</v>
      </c>
      <c r="H248" s="4">
        <v>0</v>
      </c>
      <c r="J248" s="1">
        <v>336</v>
      </c>
      <c r="K248" s="1">
        <v>338</v>
      </c>
      <c r="L248" s="1" t="s">
        <v>144</v>
      </c>
      <c r="M248" s="1" t="s">
        <v>535</v>
      </c>
      <c r="N248" s="2">
        <v>46205</v>
      </c>
      <c r="P248" s="1" t="s">
        <v>516</v>
      </c>
      <c r="Q248" s="1" t="s">
        <v>193</v>
      </c>
      <c r="R248" s="1" t="s">
        <v>55</v>
      </c>
      <c r="S248" s="2">
        <v>46205</v>
      </c>
      <c r="T248" s="2">
        <v>46205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</row>
    <row r="249" spans="1:33" x14ac:dyDescent="0.25">
      <c r="A249" s="1">
        <v>338</v>
      </c>
      <c r="B249" s="1" t="s">
        <v>536</v>
      </c>
      <c r="C249" s="1" t="s">
        <v>533</v>
      </c>
      <c r="D249" s="1" t="s">
        <v>102</v>
      </c>
      <c r="E249" s="1" t="s">
        <v>53</v>
      </c>
      <c r="F249" s="3">
        <v>46220</v>
      </c>
      <c r="G249" s="3">
        <v>46223</v>
      </c>
      <c r="H249" s="4">
        <v>0</v>
      </c>
      <c r="J249" s="1">
        <v>337</v>
      </c>
      <c r="K249" s="1">
        <v>339</v>
      </c>
      <c r="L249" s="1" t="s">
        <v>144</v>
      </c>
      <c r="M249" s="1" t="s">
        <v>159</v>
      </c>
      <c r="N249" s="2">
        <v>46209</v>
      </c>
      <c r="P249" s="1" t="s">
        <v>516</v>
      </c>
      <c r="Q249" s="1" t="s">
        <v>193</v>
      </c>
      <c r="R249" s="1" t="s">
        <v>55</v>
      </c>
      <c r="S249" s="2">
        <v>46206</v>
      </c>
      <c r="T249" s="2">
        <v>46209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</row>
    <row r="250" spans="1:33" x14ac:dyDescent="0.25">
      <c r="A250" s="1">
        <v>339</v>
      </c>
      <c r="B250" s="1" t="s">
        <v>537</v>
      </c>
      <c r="C250" s="1" t="s">
        <v>533</v>
      </c>
      <c r="D250" s="1" t="s">
        <v>108</v>
      </c>
      <c r="E250" s="1" t="s">
        <v>53</v>
      </c>
      <c r="F250" s="3">
        <v>46223</v>
      </c>
      <c r="G250" s="3">
        <v>46224</v>
      </c>
      <c r="H250" s="4">
        <v>0</v>
      </c>
      <c r="J250" s="1">
        <v>338</v>
      </c>
      <c r="L250" s="1" t="s">
        <v>144</v>
      </c>
      <c r="M250" s="1" t="s">
        <v>538</v>
      </c>
      <c r="N250" s="2">
        <v>46210</v>
      </c>
      <c r="P250" s="1" t="s">
        <v>516</v>
      </c>
      <c r="Q250" s="1" t="s">
        <v>539</v>
      </c>
      <c r="R250" s="1" t="s">
        <v>55</v>
      </c>
      <c r="S250" s="2">
        <v>46210</v>
      </c>
      <c r="T250" s="2">
        <v>46210</v>
      </c>
      <c r="V250" s="1">
        <v>0</v>
      </c>
      <c r="W250" s="1">
        <v>0</v>
      </c>
      <c r="X250" s="1">
        <v>0</v>
      </c>
      <c r="Y250" s="1">
        <v>0</v>
      </c>
      <c r="Z250" s="1">
        <v>1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</row>
    <row r="251" spans="1:33" x14ac:dyDescent="0.25">
      <c r="A251" s="1">
        <v>345</v>
      </c>
      <c r="B251" s="1" t="s">
        <v>540</v>
      </c>
      <c r="C251" s="1" t="s">
        <v>518</v>
      </c>
      <c r="D251" s="1" t="s">
        <v>541</v>
      </c>
      <c r="E251" s="1" t="s">
        <v>201</v>
      </c>
      <c r="F251" s="3">
        <v>46209</v>
      </c>
      <c r="G251" s="3">
        <v>46218</v>
      </c>
      <c r="H251" s="4">
        <v>0</v>
      </c>
      <c r="L251" s="1" t="s">
        <v>144</v>
      </c>
      <c r="M251" s="1" t="s">
        <v>296</v>
      </c>
      <c r="N251" s="2">
        <v>46198</v>
      </c>
      <c r="P251" s="1" t="s">
        <v>516</v>
      </c>
      <c r="Q251" s="1" t="s">
        <v>138</v>
      </c>
      <c r="R251" s="1" t="s">
        <v>39</v>
      </c>
      <c r="S251" s="2">
        <v>46188</v>
      </c>
      <c r="T251" s="2">
        <v>46198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</row>
    <row r="252" spans="1:33" x14ac:dyDescent="0.25">
      <c r="A252" s="1">
        <v>346</v>
      </c>
      <c r="B252" s="1" t="s">
        <v>542</v>
      </c>
      <c r="C252" s="1" t="s">
        <v>543</v>
      </c>
      <c r="D252" s="1" t="s">
        <v>94</v>
      </c>
      <c r="E252" s="1" t="s">
        <v>95</v>
      </c>
      <c r="F252" s="3">
        <v>46209</v>
      </c>
      <c r="G252" s="3">
        <v>46211</v>
      </c>
      <c r="H252" s="4">
        <v>0</v>
      </c>
      <c r="J252" s="1" t="s">
        <v>544</v>
      </c>
      <c r="K252" s="1" t="s">
        <v>545</v>
      </c>
      <c r="L252" s="1" t="s">
        <v>144</v>
      </c>
      <c r="M252" s="1" t="s">
        <v>296</v>
      </c>
      <c r="N252" s="2">
        <v>46192</v>
      </c>
      <c r="P252" s="1" t="s">
        <v>516</v>
      </c>
      <c r="Q252" s="1" t="s">
        <v>138</v>
      </c>
      <c r="R252" s="1" t="s">
        <v>39</v>
      </c>
      <c r="S252" s="2">
        <v>46188</v>
      </c>
      <c r="T252" s="2">
        <v>46192</v>
      </c>
      <c r="V252" s="1">
        <v>0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</row>
    <row r="253" spans="1:33" x14ac:dyDescent="0.25">
      <c r="A253" s="1">
        <v>347</v>
      </c>
      <c r="B253" s="1" t="s">
        <v>546</v>
      </c>
      <c r="C253" s="1" t="s">
        <v>543</v>
      </c>
      <c r="D253" s="1" t="s">
        <v>98</v>
      </c>
      <c r="E253" s="1" t="s">
        <v>53</v>
      </c>
      <c r="F253" s="3">
        <v>46216</v>
      </c>
      <c r="G253" s="3">
        <v>46216</v>
      </c>
      <c r="H253" s="4">
        <v>0</v>
      </c>
      <c r="J253" s="1">
        <v>346</v>
      </c>
      <c r="K253" s="1">
        <v>348</v>
      </c>
      <c r="L253" s="1" t="s">
        <v>144</v>
      </c>
      <c r="M253" s="1" t="s">
        <v>223</v>
      </c>
      <c r="N253" s="2">
        <v>46195</v>
      </c>
      <c r="P253" s="1" t="s">
        <v>516</v>
      </c>
      <c r="Q253" s="1" t="s">
        <v>146</v>
      </c>
      <c r="R253" s="1" t="s">
        <v>55</v>
      </c>
      <c r="S253" s="2">
        <v>46195</v>
      </c>
      <c r="T253" s="2">
        <v>46195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</row>
    <row r="254" spans="1:33" x14ac:dyDescent="0.25">
      <c r="A254" s="1">
        <v>348</v>
      </c>
      <c r="B254" s="1" t="s">
        <v>547</v>
      </c>
      <c r="C254" s="1" t="s">
        <v>543</v>
      </c>
      <c r="D254" s="1" t="s">
        <v>102</v>
      </c>
      <c r="E254" s="1" t="s">
        <v>53</v>
      </c>
      <c r="F254" s="3">
        <v>46217</v>
      </c>
      <c r="G254" s="3">
        <v>46217</v>
      </c>
      <c r="H254" s="4">
        <v>0</v>
      </c>
      <c r="J254" s="1">
        <v>347</v>
      </c>
      <c r="K254" s="1">
        <v>349</v>
      </c>
      <c r="L254" s="1" t="s">
        <v>144</v>
      </c>
      <c r="M254" s="1" t="s">
        <v>418</v>
      </c>
      <c r="N254" s="2">
        <v>46197</v>
      </c>
      <c r="P254" s="1" t="s">
        <v>516</v>
      </c>
      <c r="Q254" s="1" t="s">
        <v>146</v>
      </c>
      <c r="R254" s="1" t="s">
        <v>55</v>
      </c>
      <c r="S254" s="2">
        <v>46196</v>
      </c>
      <c r="T254" s="2">
        <v>46197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</row>
    <row r="255" spans="1:33" x14ac:dyDescent="0.25">
      <c r="A255" s="1">
        <v>349</v>
      </c>
      <c r="B255" s="1" t="s">
        <v>548</v>
      </c>
      <c r="C255" s="1" t="s">
        <v>543</v>
      </c>
      <c r="D255" s="1" t="s">
        <v>108</v>
      </c>
      <c r="E255" s="1" t="s">
        <v>53</v>
      </c>
      <c r="F255" s="3">
        <v>46218</v>
      </c>
      <c r="G255" s="3">
        <v>46218</v>
      </c>
      <c r="H255" s="4">
        <v>0</v>
      </c>
      <c r="J255" s="1">
        <v>348</v>
      </c>
      <c r="L255" s="1" t="s">
        <v>144</v>
      </c>
      <c r="M255" s="1" t="s">
        <v>529</v>
      </c>
      <c r="N255" s="2">
        <v>46198</v>
      </c>
      <c r="P255" s="1" t="s">
        <v>516</v>
      </c>
      <c r="Q255" s="1" t="s">
        <v>146</v>
      </c>
      <c r="R255" s="1" t="s">
        <v>55</v>
      </c>
      <c r="S255" s="2">
        <v>46198</v>
      </c>
      <c r="T255" s="2">
        <v>46198</v>
      </c>
      <c r="V255" s="1">
        <v>0</v>
      </c>
      <c r="W255" s="1">
        <v>0</v>
      </c>
      <c r="X255" s="1">
        <v>0</v>
      </c>
      <c r="Y255" s="1">
        <v>0</v>
      </c>
      <c r="Z255" s="1">
        <v>1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</row>
    <row r="256" spans="1:33" x14ac:dyDescent="0.25">
      <c r="A256" s="1">
        <v>350</v>
      </c>
      <c r="B256" s="1" t="s">
        <v>549</v>
      </c>
      <c r="C256" s="1" t="s">
        <v>518</v>
      </c>
      <c r="D256" s="1" t="s">
        <v>550</v>
      </c>
      <c r="E256" s="1" t="s">
        <v>136</v>
      </c>
      <c r="F256" s="3">
        <v>46218</v>
      </c>
      <c r="G256" s="3">
        <v>46227</v>
      </c>
      <c r="H256" s="4">
        <v>0</v>
      </c>
      <c r="L256" s="1" t="s">
        <v>144</v>
      </c>
      <c r="M256" s="1" t="s">
        <v>529</v>
      </c>
      <c r="N256" s="2">
        <v>46211</v>
      </c>
      <c r="P256" s="1" t="s">
        <v>516</v>
      </c>
      <c r="Q256" s="1" t="s">
        <v>151</v>
      </c>
      <c r="R256" s="1" t="s">
        <v>55</v>
      </c>
      <c r="S256" s="2">
        <v>46198</v>
      </c>
      <c r="T256" s="2">
        <v>46211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</row>
    <row r="257" spans="1:33" x14ac:dyDescent="0.25">
      <c r="A257" s="1">
        <v>351</v>
      </c>
      <c r="B257" s="1" t="s">
        <v>551</v>
      </c>
      <c r="C257" s="1" t="s">
        <v>552</v>
      </c>
      <c r="D257" s="1" t="s">
        <v>94</v>
      </c>
      <c r="E257" s="1" t="s">
        <v>553</v>
      </c>
      <c r="F257" s="3">
        <v>46218</v>
      </c>
      <c r="G257" s="3">
        <v>46224</v>
      </c>
      <c r="H257" s="4">
        <v>0</v>
      </c>
      <c r="J257" s="1">
        <v>333</v>
      </c>
      <c r="K257" s="1">
        <v>352</v>
      </c>
      <c r="L257" s="1" t="s">
        <v>144</v>
      </c>
      <c r="M257" s="1" t="s">
        <v>529</v>
      </c>
      <c r="N257" s="2">
        <v>46205</v>
      </c>
      <c r="P257" s="1" t="s">
        <v>516</v>
      </c>
      <c r="Q257" s="1" t="s">
        <v>151</v>
      </c>
      <c r="R257" s="1" t="s">
        <v>55</v>
      </c>
      <c r="S257" s="2">
        <v>46198</v>
      </c>
      <c r="T257" s="2">
        <v>46205</v>
      </c>
      <c r="V257" s="1">
        <v>0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</row>
    <row r="258" spans="1:33" x14ac:dyDescent="0.25">
      <c r="A258" s="1">
        <v>352</v>
      </c>
      <c r="B258" s="1" t="s">
        <v>554</v>
      </c>
      <c r="C258" s="1" t="s">
        <v>552</v>
      </c>
      <c r="D258" s="1" t="s">
        <v>98</v>
      </c>
      <c r="E258" s="1" t="s">
        <v>53</v>
      </c>
      <c r="F258" s="3">
        <v>46224</v>
      </c>
      <c r="G258" s="3">
        <v>46225</v>
      </c>
      <c r="H258" s="4">
        <v>0</v>
      </c>
      <c r="J258" s="1">
        <v>351</v>
      </c>
      <c r="K258" s="1">
        <v>353</v>
      </c>
      <c r="L258" s="1" t="s">
        <v>144</v>
      </c>
      <c r="M258" s="1" t="s">
        <v>159</v>
      </c>
      <c r="N258" s="2">
        <v>46206</v>
      </c>
      <c r="P258" s="1" t="s">
        <v>516</v>
      </c>
      <c r="Q258" s="1" t="s">
        <v>193</v>
      </c>
      <c r="R258" s="1" t="s">
        <v>55</v>
      </c>
      <c r="S258" s="2">
        <v>46206</v>
      </c>
      <c r="T258" s="2">
        <v>46206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</row>
    <row r="259" spans="1:33" x14ac:dyDescent="0.25">
      <c r="A259" s="1">
        <v>353</v>
      </c>
      <c r="B259" s="1" t="s">
        <v>555</v>
      </c>
      <c r="C259" s="1" t="s">
        <v>552</v>
      </c>
      <c r="D259" s="1" t="s">
        <v>102</v>
      </c>
      <c r="E259" s="1" t="s">
        <v>53</v>
      </c>
      <c r="F259" s="3">
        <v>46225</v>
      </c>
      <c r="G259" s="3">
        <v>46226</v>
      </c>
      <c r="H259" s="4">
        <v>0</v>
      </c>
      <c r="J259" s="1">
        <v>352</v>
      </c>
      <c r="K259" s="1">
        <v>354</v>
      </c>
      <c r="L259" s="1" t="s">
        <v>144</v>
      </c>
      <c r="M259" s="1" t="s">
        <v>161</v>
      </c>
      <c r="N259" s="2">
        <v>46210</v>
      </c>
      <c r="P259" s="1" t="s">
        <v>516</v>
      </c>
      <c r="Q259" s="1" t="s">
        <v>193</v>
      </c>
      <c r="R259" s="1" t="s">
        <v>55</v>
      </c>
      <c r="S259" s="2">
        <v>46209</v>
      </c>
      <c r="T259" s="2">
        <v>46210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</row>
    <row r="260" spans="1:33" x14ac:dyDescent="0.25">
      <c r="A260" s="1">
        <v>354</v>
      </c>
      <c r="B260" s="1" t="s">
        <v>556</v>
      </c>
      <c r="C260" s="1" t="s">
        <v>552</v>
      </c>
      <c r="D260" s="1" t="s">
        <v>108</v>
      </c>
      <c r="E260" s="1" t="s">
        <v>53</v>
      </c>
      <c r="F260" s="3">
        <v>46226</v>
      </c>
      <c r="G260" s="3">
        <v>46227</v>
      </c>
      <c r="H260" s="4">
        <v>0</v>
      </c>
      <c r="J260" s="1">
        <v>353</v>
      </c>
      <c r="L260" s="1" t="s">
        <v>144</v>
      </c>
      <c r="M260" s="1" t="s">
        <v>163</v>
      </c>
      <c r="N260" s="2">
        <v>46211</v>
      </c>
      <c r="P260" s="1" t="s">
        <v>516</v>
      </c>
      <c r="Q260" s="1" t="s">
        <v>539</v>
      </c>
      <c r="R260" s="1" t="s">
        <v>55</v>
      </c>
      <c r="S260" s="2">
        <v>46211</v>
      </c>
      <c r="T260" s="2">
        <v>46211</v>
      </c>
      <c r="V260" s="1">
        <v>0</v>
      </c>
      <c r="W260" s="1">
        <v>0</v>
      </c>
      <c r="X260" s="1">
        <v>0</v>
      </c>
      <c r="Y260" s="1">
        <v>0</v>
      </c>
      <c r="Z260" s="1">
        <v>1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</row>
    <row r="261" spans="1:33" x14ac:dyDescent="0.25">
      <c r="A261" s="1">
        <v>355</v>
      </c>
      <c r="B261" s="1" t="s">
        <v>557</v>
      </c>
      <c r="C261" s="1" t="s">
        <v>518</v>
      </c>
      <c r="D261" s="1" t="s">
        <v>558</v>
      </c>
      <c r="E261" s="1" t="s">
        <v>136</v>
      </c>
      <c r="F261" s="3">
        <v>46218</v>
      </c>
      <c r="G261" s="3">
        <v>46227</v>
      </c>
      <c r="H261" s="4">
        <v>0</v>
      </c>
      <c r="L261" s="1" t="s">
        <v>144</v>
      </c>
      <c r="M261" s="1" t="s">
        <v>529</v>
      </c>
      <c r="N261" s="2">
        <v>46211</v>
      </c>
      <c r="P261" s="1" t="s">
        <v>516</v>
      </c>
      <c r="Q261" s="1" t="s">
        <v>151</v>
      </c>
      <c r="R261" s="1" t="s">
        <v>55</v>
      </c>
      <c r="S261" s="2">
        <v>46198</v>
      </c>
      <c r="T261" s="2">
        <v>46211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</row>
    <row r="262" spans="1:33" x14ac:dyDescent="0.25">
      <c r="A262" s="1">
        <v>356</v>
      </c>
      <c r="B262" s="1" t="s">
        <v>559</v>
      </c>
      <c r="C262" s="1" t="s">
        <v>560</v>
      </c>
      <c r="D262" s="1" t="s">
        <v>94</v>
      </c>
      <c r="E262" s="1" t="s">
        <v>553</v>
      </c>
      <c r="F262" s="3">
        <v>46218</v>
      </c>
      <c r="G262" s="3">
        <v>46224</v>
      </c>
      <c r="H262" s="4">
        <v>0</v>
      </c>
      <c r="J262" s="1">
        <v>333</v>
      </c>
      <c r="K262" s="1">
        <v>357</v>
      </c>
      <c r="L262" s="1" t="s">
        <v>144</v>
      </c>
      <c r="M262" s="1" t="s">
        <v>529</v>
      </c>
      <c r="N262" s="2">
        <v>46205</v>
      </c>
      <c r="P262" s="1" t="s">
        <v>516</v>
      </c>
      <c r="Q262" s="1" t="s">
        <v>151</v>
      </c>
      <c r="R262" s="1" t="s">
        <v>55</v>
      </c>
      <c r="S262" s="2">
        <v>46198</v>
      </c>
      <c r="T262" s="2">
        <v>46205</v>
      </c>
      <c r="V262" s="1">
        <v>0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</row>
    <row r="263" spans="1:33" x14ac:dyDescent="0.25">
      <c r="A263" s="1">
        <v>357</v>
      </c>
      <c r="B263" s="1" t="s">
        <v>561</v>
      </c>
      <c r="C263" s="1" t="s">
        <v>560</v>
      </c>
      <c r="D263" s="1" t="s">
        <v>98</v>
      </c>
      <c r="E263" s="1" t="s">
        <v>53</v>
      </c>
      <c r="F263" s="3">
        <v>46224</v>
      </c>
      <c r="G263" s="3">
        <v>46225</v>
      </c>
      <c r="H263" s="4">
        <v>0</v>
      </c>
      <c r="J263" s="1">
        <v>356</v>
      </c>
      <c r="K263" s="1">
        <v>358</v>
      </c>
      <c r="L263" s="1" t="s">
        <v>144</v>
      </c>
      <c r="M263" s="1" t="s">
        <v>159</v>
      </c>
      <c r="N263" s="2">
        <v>46206</v>
      </c>
      <c r="P263" s="1" t="s">
        <v>516</v>
      </c>
      <c r="Q263" s="1" t="s">
        <v>193</v>
      </c>
      <c r="R263" s="1" t="s">
        <v>55</v>
      </c>
      <c r="S263" s="2">
        <v>46206</v>
      </c>
      <c r="T263" s="2">
        <v>46206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</row>
    <row r="264" spans="1:33" x14ac:dyDescent="0.25">
      <c r="A264" s="1">
        <v>358</v>
      </c>
      <c r="B264" s="1" t="s">
        <v>562</v>
      </c>
      <c r="C264" s="1" t="s">
        <v>560</v>
      </c>
      <c r="D264" s="1" t="s">
        <v>102</v>
      </c>
      <c r="E264" s="1" t="s">
        <v>53</v>
      </c>
      <c r="F264" s="3">
        <v>46225</v>
      </c>
      <c r="G264" s="3">
        <v>46226</v>
      </c>
      <c r="H264" s="4">
        <v>0</v>
      </c>
      <c r="J264" s="1">
        <v>357</v>
      </c>
      <c r="K264" s="1">
        <v>359</v>
      </c>
      <c r="L264" s="1" t="s">
        <v>144</v>
      </c>
      <c r="M264" s="1" t="s">
        <v>161</v>
      </c>
      <c r="N264" s="2">
        <v>46210</v>
      </c>
      <c r="P264" s="1" t="s">
        <v>516</v>
      </c>
      <c r="Q264" s="1" t="s">
        <v>193</v>
      </c>
      <c r="R264" s="1" t="s">
        <v>55</v>
      </c>
      <c r="S264" s="2">
        <v>46209</v>
      </c>
      <c r="T264" s="2">
        <v>46210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</row>
    <row r="265" spans="1:33" x14ac:dyDescent="0.25">
      <c r="A265" s="1">
        <v>359</v>
      </c>
      <c r="B265" s="1" t="s">
        <v>563</v>
      </c>
      <c r="C265" s="1" t="s">
        <v>560</v>
      </c>
      <c r="D265" s="1" t="s">
        <v>108</v>
      </c>
      <c r="E265" s="1" t="s">
        <v>53</v>
      </c>
      <c r="F265" s="3">
        <v>46226</v>
      </c>
      <c r="G265" s="3">
        <v>46227</v>
      </c>
      <c r="H265" s="4">
        <v>0</v>
      </c>
      <c r="J265" s="1">
        <v>358</v>
      </c>
      <c r="L265" s="1" t="s">
        <v>144</v>
      </c>
      <c r="M265" s="1" t="s">
        <v>163</v>
      </c>
      <c r="N265" s="2">
        <v>46211</v>
      </c>
      <c r="P265" s="1" t="s">
        <v>516</v>
      </c>
      <c r="Q265" s="1" t="s">
        <v>539</v>
      </c>
      <c r="R265" s="1" t="s">
        <v>55</v>
      </c>
      <c r="S265" s="2">
        <v>46211</v>
      </c>
      <c r="T265" s="2">
        <v>46211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</row>
    <row r="266" spans="1:33" x14ac:dyDescent="0.25">
      <c r="A266" s="1">
        <v>360</v>
      </c>
      <c r="B266" s="1" t="s">
        <v>564</v>
      </c>
      <c r="C266" s="1" t="s">
        <v>518</v>
      </c>
      <c r="D266" s="1" t="s">
        <v>565</v>
      </c>
      <c r="E266" s="1" t="s">
        <v>136</v>
      </c>
      <c r="F266" s="3">
        <v>46218</v>
      </c>
      <c r="G266" s="3">
        <v>46227</v>
      </c>
      <c r="H266" s="4">
        <v>0</v>
      </c>
      <c r="L266" s="1" t="s">
        <v>144</v>
      </c>
      <c r="M266" s="1" t="s">
        <v>529</v>
      </c>
      <c r="N266" s="2">
        <v>46211</v>
      </c>
      <c r="P266" s="1" t="s">
        <v>516</v>
      </c>
      <c r="Q266" s="1" t="s">
        <v>151</v>
      </c>
      <c r="R266" s="1" t="s">
        <v>55</v>
      </c>
      <c r="S266" s="2">
        <v>46198</v>
      </c>
      <c r="T266" s="2">
        <v>46211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</row>
    <row r="267" spans="1:33" x14ac:dyDescent="0.25">
      <c r="A267" s="1">
        <v>361</v>
      </c>
      <c r="B267" s="1" t="s">
        <v>566</v>
      </c>
      <c r="C267" s="1" t="s">
        <v>567</v>
      </c>
      <c r="D267" s="1" t="s">
        <v>94</v>
      </c>
      <c r="E267" s="1" t="s">
        <v>553</v>
      </c>
      <c r="F267" s="3">
        <v>46218</v>
      </c>
      <c r="G267" s="3">
        <v>46224</v>
      </c>
      <c r="H267" s="4">
        <v>0</v>
      </c>
      <c r="J267" s="1">
        <v>333</v>
      </c>
      <c r="K267" s="1">
        <v>362</v>
      </c>
      <c r="L267" s="1" t="s">
        <v>144</v>
      </c>
      <c r="M267" s="1" t="s">
        <v>529</v>
      </c>
      <c r="N267" s="2">
        <v>46205</v>
      </c>
      <c r="P267" s="1" t="s">
        <v>516</v>
      </c>
      <c r="Q267" s="1" t="s">
        <v>151</v>
      </c>
      <c r="R267" s="1" t="s">
        <v>55</v>
      </c>
      <c r="S267" s="2">
        <v>46198</v>
      </c>
      <c r="T267" s="2">
        <v>46205</v>
      </c>
      <c r="V267" s="1">
        <v>0</v>
      </c>
      <c r="W267" s="1">
        <v>1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</row>
    <row r="268" spans="1:33" x14ac:dyDescent="0.25">
      <c r="A268" s="1">
        <v>362</v>
      </c>
      <c r="B268" s="1" t="s">
        <v>568</v>
      </c>
      <c r="C268" s="1" t="s">
        <v>567</v>
      </c>
      <c r="D268" s="1" t="s">
        <v>98</v>
      </c>
      <c r="E268" s="1" t="s">
        <v>53</v>
      </c>
      <c r="F268" s="3">
        <v>46224</v>
      </c>
      <c r="G268" s="3">
        <v>46225</v>
      </c>
      <c r="H268" s="4">
        <v>0</v>
      </c>
      <c r="J268" s="1">
        <v>361</v>
      </c>
      <c r="K268" s="1">
        <v>363</v>
      </c>
      <c r="L268" s="1" t="s">
        <v>144</v>
      </c>
      <c r="M268" s="1" t="s">
        <v>159</v>
      </c>
      <c r="N268" s="2">
        <v>46206</v>
      </c>
      <c r="P268" s="1" t="s">
        <v>516</v>
      </c>
      <c r="Q268" s="1" t="s">
        <v>193</v>
      </c>
      <c r="R268" s="1" t="s">
        <v>55</v>
      </c>
      <c r="S268" s="2">
        <v>46206</v>
      </c>
      <c r="T268" s="2">
        <v>46206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</row>
    <row r="269" spans="1:33" x14ac:dyDescent="0.25">
      <c r="A269" s="1">
        <v>363</v>
      </c>
      <c r="B269" s="1" t="s">
        <v>569</v>
      </c>
      <c r="C269" s="1" t="s">
        <v>567</v>
      </c>
      <c r="D269" s="1" t="s">
        <v>102</v>
      </c>
      <c r="E269" s="1" t="s">
        <v>53</v>
      </c>
      <c r="F269" s="3">
        <v>46225</v>
      </c>
      <c r="G269" s="3">
        <v>46226</v>
      </c>
      <c r="H269" s="4">
        <v>0</v>
      </c>
      <c r="J269" s="1">
        <v>362</v>
      </c>
      <c r="K269" s="1">
        <v>364</v>
      </c>
      <c r="L269" s="1" t="s">
        <v>144</v>
      </c>
      <c r="M269" s="1" t="s">
        <v>161</v>
      </c>
      <c r="N269" s="2">
        <v>46210</v>
      </c>
      <c r="P269" s="1" t="s">
        <v>516</v>
      </c>
      <c r="Q269" s="1" t="s">
        <v>193</v>
      </c>
      <c r="R269" s="1" t="s">
        <v>55</v>
      </c>
      <c r="S269" s="2">
        <v>46209</v>
      </c>
      <c r="T269" s="2">
        <v>46210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</row>
    <row r="270" spans="1:33" x14ac:dyDescent="0.25">
      <c r="A270" s="1">
        <v>364</v>
      </c>
      <c r="B270" s="1" t="s">
        <v>570</v>
      </c>
      <c r="C270" s="1" t="s">
        <v>567</v>
      </c>
      <c r="D270" s="1" t="s">
        <v>108</v>
      </c>
      <c r="E270" s="1" t="s">
        <v>53</v>
      </c>
      <c r="F270" s="3">
        <v>46226</v>
      </c>
      <c r="G270" s="3">
        <v>46227</v>
      </c>
      <c r="H270" s="4">
        <v>0</v>
      </c>
      <c r="J270" s="1">
        <v>363</v>
      </c>
      <c r="L270" s="1" t="s">
        <v>144</v>
      </c>
      <c r="M270" s="1" t="s">
        <v>163</v>
      </c>
      <c r="N270" s="2">
        <v>46211</v>
      </c>
      <c r="P270" s="1" t="s">
        <v>516</v>
      </c>
      <c r="Q270" s="1" t="s">
        <v>539</v>
      </c>
      <c r="R270" s="1" t="s">
        <v>55</v>
      </c>
      <c r="S270" s="2">
        <v>46211</v>
      </c>
      <c r="T270" s="2">
        <v>46211</v>
      </c>
      <c r="V270" s="1">
        <v>0</v>
      </c>
      <c r="W270" s="1">
        <v>0</v>
      </c>
      <c r="X270" s="1">
        <v>0</v>
      </c>
      <c r="Y270" s="1">
        <v>0</v>
      </c>
      <c r="Z270" s="1">
        <v>1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</row>
    <row r="271" spans="1:33" x14ac:dyDescent="0.25">
      <c r="A271" s="1">
        <v>365</v>
      </c>
      <c r="B271" s="1" t="s">
        <v>571</v>
      </c>
      <c r="C271" s="1" t="s">
        <v>518</v>
      </c>
      <c r="D271" s="1" t="s">
        <v>572</v>
      </c>
      <c r="E271" s="1" t="s">
        <v>136</v>
      </c>
      <c r="F271" s="3">
        <v>46218</v>
      </c>
      <c r="G271" s="3">
        <v>46227</v>
      </c>
      <c r="H271" s="4">
        <v>0</v>
      </c>
      <c r="L271" s="1" t="s">
        <v>144</v>
      </c>
      <c r="M271" s="1" t="s">
        <v>529</v>
      </c>
      <c r="N271" s="2">
        <v>46211</v>
      </c>
      <c r="P271" s="1" t="s">
        <v>516</v>
      </c>
      <c r="Q271" s="1" t="s">
        <v>151</v>
      </c>
      <c r="R271" s="1" t="s">
        <v>55</v>
      </c>
      <c r="S271" s="2">
        <v>46198</v>
      </c>
      <c r="T271" s="2">
        <v>46211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</row>
    <row r="272" spans="1:33" x14ac:dyDescent="0.25">
      <c r="A272" s="1">
        <v>366</v>
      </c>
      <c r="B272" s="1" t="s">
        <v>573</v>
      </c>
      <c r="C272" s="1" t="s">
        <v>574</v>
      </c>
      <c r="D272" s="1" t="s">
        <v>94</v>
      </c>
      <c r="E272" s="1" t="s">
        <v>553</v>
      </c>
      <c r="F272" s="3">
        <v>46218</v>
      </c>
      <c r="G272" s="3">
        <v>46224</v>
      </c>
      <c r="H272" s="4">
        <v>0</v>
      </c>
      <c r="J272" s="1">
        <v>333</v>
      </c>
      <c r="K272" s="1">
        <v>367</v>
      </c>
      <c r="L272" s="1" t="s">
        <v>144</v>
      </c>
      <c r="M272" s="1" t="s">
        <v>529</v>
      </c>
      <c r="N272" s="2">
        <v>46205</v>
      </c>
      <c r="P272" s="1" t="s">
        <v>516</v>
      </c>
      <c r="Q272" s="1" t="s">
        <v>151</v>
      </c>
      <c r="R272" s="1" t="s">
        <v>55</v>
      </c>
      <c r="S272" s="2">
        <v>46198</v>
      </c>
      <c r="T272" s="2">
        <v>46205</v>
      </c>
      <c r="V272" s="1">
        <v>0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</row>
    <row r="273" spans="1:33" x14ac:dyDescent="0.25">
      <c r="A273" s="1">
        <v>367</v>
      </c>
      <c r="B273" s="1" t="s">
        <v>575</v>
      </c>
      <c r="C273" s="1" t="s">
        <v>574</v>
      </c>
      <c r="D273" s="1" t="s">
        <v>98</v>
      </c>
      <c r="E273" s="1" t="s">
        <v>53</v>
      </c>
      <c r="F273" s="3">
        <v>46224</v>
      </c>
      <c r="G273" s="3">
        <v>46225</v>
      </c>
      <c r="H273" s="4">
        <v>0</v>
      </c>
      <c r="J273" s="1">
        <v>366</v>
      </c>
      <c r="K273" s="1">
        <v>368</v>
      </c>
      <c r="L273" s="1" t="s">
        <v>144</v>
      </c>
      <c r="M273" s="1" t="s">
        <v>159</v>
      </c>
      <c r="N273" s="2">
        <v>46206</v>
      </c>
      <c r="P273" s="1" t="s">
        <v>516</v>
      </c>
      <c r="Q273" s="1" t="s">
        <v>193</v>
      </c>
      <c r="R273" s="1" t="s">
        <v>55</v>
      </c>
      <c r="S273" s="2">
        <v>46206</v>
      </c>
      <c r="T273" s="2">
        <v>46206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</row>
    <row r="274" spans="1:33" x14ac:dyDescent="0.25">
      <c r="A274" s="1">
        <v>368</v>
      </c>
      <c r="B274" s="1" t="s">
        <v>576</v>
      </c>
      <c r="C274" s="1" t="s">
        <v>574</v>
      </c>
      <c r="D274" s="1" t="s">
        <v>102</v>
      </c>
      <c r="E274" s="1" t="s">
        <v>53</v>
      </c>
      <c r="F274" s="3">
        <v>46225</v>
      </c>
      <c r="G274" s="3">
        <v>46226</v>
      </c>
      <c r="H274" s="4">
        <v>0</v>
      </c>
      <c r="J274" s="1">
        <v>367</v>
      </c>
      <c r="K274" s="1">
        <v>369</v>
      </c>
      <c r="L274" s="1" t="s">
        <v>144</v>
      </c>
      <c r="M274" s="1" t="s">
        <v>161</v>
      </c>
      <c r="N274" s="2">
        <v>46210</v>
      </c>
      <c r="P274" s="1" t="s">
        <v>516</v>
      </c>
      <c r="Q274" s="1" t="s">
        <v>193</v>
      </c>
      <c r="R274" s="1" t="s">
        <v>55</v>
      </c>
      <c r="S274" s="2">
        <v>46209</v>
      </c>
      <c r="T274" s="2">
        <v>46210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</row>
    <row r="275" spans="1:33" x14ac:dyDescent="0.25">
      <c r="A275" s="1">
        <v>369</v>
      </c>
      <c r="B275" s="1" t="s">
        <v>577</v>
      </c>
      <c r="C275" s="1" t="s">
        <v>574</v>
      </c>
      <c r="D275" s="1" t="s">
        <v>108</v>
      </c>
      <c r="E275" s="1" t="s">
        <v>53</v>
      </c>
      <c r="F275" s="3">
        <v>46226</v>
      </c>
      <c r="G275" s="3">
        <v>46227</v>
      </c>
      <c r="H275" s="4">
        <v>0</v>
      </c>
      <c r="J275" s="1">
        <v>368</v>
      </c>
      <c r="L275" s="1" t="s">
        <v>144</v>
      </c>
      <c r="M275" s="1" t="s">
        <v>163</v>
      </c>
      <c r="N275" s="2">
        <v>46211</v>
      </c>
      <c r="P275" s="1" t="s">
        <v>516</v>
      </c>
      <c r="Q275" s="1" t="s">
        <v>539</v>
      </c>
      <c r="R275" s="1" t="s">
        <v>55</v>
      </c>
      <c r="S275" s="2">
        <v>46211</v>
      </c>
      <c r="T275" s="2">
        <v>46211</v>
      </c>
      <c r="V275" s="1">
        <v>0</v>
      </c>
      <c r="W275" s="1">
        <v>0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</row>
    <row r="276" spans="1:33" x14ac:dyDescent="0.25">
      <c r="A276" s="1">
        <v>370</v>
      </c>
      <c r="B276" s="1" t="s">
        <v>578</v>
      </c>
      <c r="C276" s="1" t="s">
        <v>518</v>
      </c>
      <c r="D276" s="1" t="s">
        <v>579</v>
      </c>
      <c r="E276" s="1" t="s">
        <v>136</v>
      </c>
      <c r="F276" s="3">
        <v>46218</v>
      </c>
      <c r="G276" s="3">
        <v>46227</v>
      </c>
      <c r="H276" s="4">
        <v>0</v>
      </c>
      <c r="L276" s="1" t="s">
        <v>144</v>
      </c>
      <c r="M276" s="1" t="s">
        <v>529</v>
      </c>
      <c r="N276" s="2">
        <v>46211</v>
      </c>
      <c r="P276" s="1" t="s">
        <v>516</v>
      </c>
      <c r="Q276" s="1" t="s">
        <v>151</v>
      </c>
      <c r="R276" s="1" t="s">
        <v>55</v>
      </c>
      <c r="S276" s="2">
        <v>46198</v>
      </c>
      <c r="T276" s="2">
        <v>46211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</row>
    <row r="277" spans="1:33" x14ac:dyDescent="0.25">
      <c r="A277" s="1">
        <v>371</v>
      </c>
      <c r="B277" s="1" t="s">
        <v>580</v>
      </c>
      <c r="C277" s="1" t="s">
        <v>581</v>
      </c>
      <c r="D277" s="1" t="s">
        <v>94</v>
      </c>
      <c r="E277" s="1" t="s">
        <v>553</v>
      </c>
      <c r="F277" s="3">
        <v>46218</v>
      </c>
      <c r="G277" s="3">
        <v>46224</v>
      </c>
      <c r="H277" s="4">
        <v>0</v>
      </c>
      <c r="J277" s="1">
        <v>333</v>
      </c>
      <c r="K277" s="1">
        <v>372</v>
      </c>
      <c r="L277" s="1" t="s">
        <v>144</v>
      </c>
      <c r="M277" s="1" t="s">
        <v>529</v>
      </c>
      <c r="N277" s="2">
        <v>46205</v>
      </c>
      <c r="P277" s="1" t="s">
        <v>516</v>
      </c>
      <c r="Q277" s="1" t="s">
        <v>151</v>
      </c>
      <c r="R277" s="1" t="s">
        <v>55</v>
      </c>
      <c r="S277" s="2">
        <v>46198</v>
      </c>
      <c r="T277" s="2">
        <v>46205</v>
      </c>
      <c r="V277" s="1">
        <v>0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</row>
    <row r="278" spans="1:33" x14ac:dyDescent="0.25">
      <c r="A278" s="1">
        <v>372</v>
      </c>
      <c r="B278" s="1" t="s">
        <v>582</v>
      </c>
      <c r="C278" s="1" t="s">
        <v>581</v>
      </c>
      <c r="D278" s="1" t="s">
        <v>98</v>
      </c>
      <c r="E278" s="1" t="s">
        <v>53</v>
      </c>
      <c r="F278" s="3">
        <v>46224</v>
      </c>
      <c r="G278" s="3">
        <v>46225</v>
      </c>
      <c r="H278" s="4">
        <v>0</v>
      </c>
      <c r="J278" s="1">
        <v>371</v>
      </c>
      <c r="K278" s="1">
        <v>373</v>
      </c>
      <c r="L278" s="1" t="s">
        <v>144</v>
      </c>
      <c r="M278" s="1" t="s">
        <v>159</v>
      </c>
      <c r="N278" s="2">
        <v>46206</v>
      </c>
      <c r="P278" s="1" t="s">
        <v>516</v>
      </c>
      <c r="Q278" s="1" t="s">
        <v>193</v>
      </c>
      <c r="R278" s="1" t="s">
        <v>55</v>
      </c>
      <c r="S278" s="2">
        <v>46206</v>
      </c>
      <c r="T278" s="2">
        <v>46206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</row>
    <row r="279" spans="1:33" x14ac:dyDescent="0.25">
      <c r="A279" s="1">
        <v>373</v>
      </c>
      <c r="B279" s="1" t="s">
        <v>583</v>
      </c>
      <c r="C279" s="1" t="s">
        <v>581</v>
      </c>
      <c r="D279" s="1" t="s">
        <v>102</v>
      </c>
      <c r="E279" s="1" t="s">
        <v>53</v>
      </c>
      <c r="F279" s="3">
        <v>46225</v>
      </c>
      <c r="G279" s="3">
        <v>46226</v>
      </c>
      <c r="H279" s="4">
        <v>0</v>
      </c>
      <c r="J279" s="1">
        <v>372</v>
      </c>
      <c r="K279" s="1">
        <v>374</v>
      </c>
      <c r="L279" s="1" t="s">
        <v>144</v>
      </c>
      <c r="M279" s="1" t="s">
        <v>161</v>
      </c>
      <c r="N279" s="2">
        <v>46210</v>
      </c>
      <c r="P279" s="1" t="s">
        <v>516</v>
      </c>
      <c r="Q279" s="1" t="s">
        <v>193</v>
      </c>
      <c r="R279" s="1" t="s">
        <v>55</v>
      </c>
      <c r="S279" s="2">
        <v>46209</v>
      </c>
      <c r="T279" s="2">
        <v>46210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</row>
    <row r="280" spans="1:33" x14ac:dyDescent="0.25">
      <c r="A280" s="1">
        <v>374</v>
      </c>
      <c r="B280" s="1" t="s">
        <v>584</v>
      </c>
      <c r="C280" s="1" t="s">
        <v>581</v>
      </c>
      <c r="D280" s="1" t="s">
        <v>108</v>
      </c>
      <c r="E280" s="1" t="s">
        <v>53</v>
      </c>
      <c r="F280" s="3">
        <v>46226</v>
      </c>
      <c r="G280" s="3">
        <v>46227</v>
      </c>
      <c r="H280" s="4">
        <v>0</v>
      </c>
      <c r="J280" s="1">
        <v>373</v>
      </c>
      <c r="L280" s="1" t="s">
        <v>144</v>
      </c>
      <c r="M280" s="1" t="s">
        <v>163</v>
      </c>
      <c r="N280" s="2">
        <v>46211</v>
      </c>
      <c r="P280" s="1" t="s">
        <v>516</v>
      </c>
      <c r="Q280" s="1" t="s">
        <v>539</v>
      </c>
      <c r="R280" s="1" t="s">
        <v>55</v>
      </c>
      <c r="S280" s="2">
        <v>46211</v>
      </c>
      <c r="T280" s="2">
        <v>46211</v>
      </c>
      <c r="V280" s="1">
        <v>0</v>
      </c>
      <c r="W280" s="1">
        <v>0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</row>
    <row r="281" spans="1:33" x14ac:dyDescent="0.25">
      <c r="A281" s="1">
        <v>375</v>
      </c>
      <c r="B281" s="1" t="s">
        <v>585</v>
      </c>
      <c r="C281" s="1" t="s">
        <v>518</v>
      </c>
      <c r="D281" s="1" t="s">
        <v>586</v>
      </c>
      <c r="E281" s="1" t="s">
        <v>136</v>
      </c>
      <c r="F281" s="3">
        <v>46218</v>
      </c>
      <c r="G281" s="3">
        <v>46227</v>
      </c>
      <c r="H281" s="4">
        <v>0</v>
      </c>
      <c r="L281" s="1" t="s">
        <v>144</v>
      </c>
      <c r="M281" s="1" t="s">
        <v>529</v>
      </c>
      <c r="N281" s="2">
        <v>46211</v>
      </c>
      <c r="P281" s="1" t="s">
        <v>516</v>
      </c>
      <c r="Q281" s="1" t="s">
        <v>151</v>
      </c>
      <c r="R281" s="1" t="s">
        <v>55</v>
      </c>
      <c r="S281" s="2">
        <v>46198</v>
      </c>
      <c r="T281" s="2">
        <v>46211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</row>
    <row r="282" spans="1:33" x14ac:dyDescent="0.25">
      <c r="A282" s="1">
        <v>376</v>
      </c>
      <c r="B282" s="1" t="s">
        <v>587</v>
      </c>
      <c r="C282" s="1" t="s">
        <v>588</v>
      </c>
      <c r="D282" s="1" t="s">
        <v>94</v>
      </c>
      <c r="E282" s="1" t="s">
        <v>553</v>
      </c>
      <c r="F282" s="3">
        <v>46218</v>
      </c>
      <c r="G282" s="3">
        <v>46224</v>
      </c>
      <c r="H282" s="4">
        <v>0</v>
      </c>
      <c r="J282" s="1">
        <v>333</v>
      </c>
      <c r="K282" s="1">
        <v>377</v>
      </c>
      <c r="L282" s="1" t="s">
        <v>144</v>
      </c>
      <c r="M282" s="1" t="s">
        <v>529</v>
      </c>
      <c r="N282" s="2">
        <v>46205</v>
      </c>
      <c r="P282" s="1" t="s">
        <v>516</v>
      </c>
      <c r="Q282" s="1" t="s">
        <v>151</v>
      </c>
      <c r="R282" s="1" t="s">
        <v>55</v>
      </c>
      <c r="S282" s="2">
        <v>46198</v>
      </c>
      <c r="T282" s="2">
        <v>46205</v>
      </c>
      <c r="V282" s="1">
        <v>0</v>
      </c>
      <c r="W282" s="1">
        <v>1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</row>
    <row r="283" spans="1:33" x14ac:dyDescent="0.25">
      <c r="A283" s="1">
        <v>377</v>
      </c>
      <c r="B283" s="1" t="s">
        <v>589</v>
      </c>
      <c r="C283" s="1" t="s">
        <v>588</v>
      </c>
      <c r="D283" s="1" t="s">
        <v>98</v>
      </c>
      <c r="E283" s="1" t="s">
        <v>53</v>
      </c>
      <c r="F283" s="3">
        <v>46224</v>
      </c>
      <c r="G283" s="3">
        <v>46225</v>
      </c>
      <c r="H283" s="4">
        <v>0</v>
      </c>
      <c r="J283" s="1">
        <v>376</v>
      </c>
      <c r="K283" s="1">
        <v>378</v>
      </c>
      <c r="L283" s="1" t="s">
        <v>144</v>
      </c>
      <c r="M283" s="1" t="s">
        <v>159</v>
      </c>
      <c r="N283" s="2">
        <v>46206</v>
      </c>
      <c r="P283" s="1" t="s">
        <v>516</v>
      </c>
      <c r="Q283" s="1" t="s">
        <v>193</v>
      </c>
      <c r="R283" s="1" t="s">
        <v>55</v>
      </c>
      <c r="S283" s="2">
        <v>46206</v>
      </c>
      <c r="T283" s="2">
        <v>46206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</row>
    <row r="284" spans="1:33" x14ac:dyDescent="0.25">
      <c r="A284" s="1">
        <v>378</v>
      </c>
      <c r="B284" s="1" t="s">
        <v>590</v>
      </c>
      <c r="C284" s="1" t="s">
        <v>588</v>
      </c>
      <c r="D284" s="1" t="s">
        <v>102</v>
      </c>
      <c r="E284" s="1" t="s">
        <v>53</v>
      </c>
      <c r="F284" s="3">
        <v>46225</v>
      </c>
      <c r="G284" s="3">
        <v>46226</v>
      </c>
      <c r="H284" s="4">
        <v>0</v>
      </c>
      <c r="J284" s="1">
        <v>377</v>
      </c>
      <c r="K284" s="1">
        <v>379</v>
      </c>
      <c r="L284" s="1" t="s">
        <v>144</v>
      </c>
      <c r="M284" s="1" t="s">
        <v>161</v>
      </c>
      <c r="N284" s="2">
        <v>46210</v>
      </c>
      <c r="P284" s="1" t="s">
        <v>516</v>
      </c>
      <c r="Q284" s="1" t="s">
        <v>193</v>
      </c>
      <c r="R284" s="1" t="s">
        <v>55</v>
      </c>
      <c r="S284" s="2">
        <v>46209</v>
      </c>
      <c r="T284" s="2">
        <v>46210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</row>
    <row r="285" spans="1:33" x14ac:dyDescent="0.25">
      <c r="A285" s="1">
        <v>379</v>
      </c>
      <c r="B285" s="1" t="s">
        <v>591</v>
      </c>
      <c r="C285" s="1" t="s">
        <v>588</v>
      </c>
      <c r="D285" s="1" t="s">
        <v>108</v>
      </c>
      <c r="E285" s="1" t="s">
        <v>53</v>
      </c>
      <c r="F285" s="3">
        <v>46226</v>
      </c>
      <c r="G285" s="3">
        <v>46227</v>
      </c>
      <c r="H285" s="4">
        <v>0</v>
      </c>
      <c r="J285" s="1">
        <v>378</v>
      </c>
      <c r="L285" s="1" t="s">
        <v>144</v>
      </c>
      <c r="M285" s="1" t="s">
        <v>163</v>
      </c>
      <c r="N285" s="2">
        <v>46211</v>
      </c>
      <c r="P285" s="1" t="s">
        <v>516</v>
      </c>
      <c r="Q285" s="1" t="s">
        <v>539</v>
      </c>
      <c r="R285" s="1" t="s">
        <v>55</v>
      </c>
      <c r="S285" s="2">
        <v>46211</v>
      </c>
      <c r="T285" s="2">
        <v>46211</v>
      </c>
      <c r="V285" s="1">
        <v>0</v>
      </c>
      <c r="W285" s="1">
        <v>0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</row>
    <row r="286" spans="1:33" x14ac:dyDescent="0.25">
      <c r="A286" s="1">
        <v>380</v>
      </c>
      <c r="B286" s="1" t="s">
        <v>592</v>
      </c>
      <c r="C286" s="1" t="s">
        <v>518</v>
      </c>
      <c r="D286" s="1" t="s">
        <v>593</v>
      </c>
      <c r="E286" s="1" t="s">
        <v>136</v>
      </c>
      <c r="F286" s="3">
        <v>46218</v>
      </c>
      <c r="G286" s="3">
        <v>46227</v>
      </c>
      <c r="H286" s="4">
        <v>0</v>
      </c>
      <c r="L286" s="1" t="s">
        <v>144</v>
      </c>
      <c r="M286" s="1" t="s">
        <v>529</v>
      </c>
      <c r="N286" s="2">
        <v>46211</v>
      </c>
      <c r="P286" s="1" t="s">
        <v>516</v>
      </c>
      <c r="Q286" s="1" t="s">
        <v>151</v>
      </c>
      <c r="R286" s="1" t="s">
        <v>55</v>
      </c>
      <c r="S286" s="2">
        <v>46198</v>
      </c>
      <c r="T286" s="2">
        <v>46211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</row>
    <row r="287" spans="1:33" x14ac:dyDescent="0.25">
      <c r="A287" s="1">
        <v>381</v>
      </c>
      <c r="B287" s="1" t="s">
        <v>594</v>
      </c>
      <c r="C287" s="1" t="s">
        <v>595</v>
      </c>
      <c r="D287" s="1" t="s">
        <v>94</v>
      </c>
      <c r="E287" s="1" t="s">
        <v>553</v>
      </c>
      <c r="F287" s="3">
        <v>46218</v>
      </c>
      <c r="G287" s="3">
        <v>46224</v>
      </c>
      <c r="H287" s="4">
        <v>0</v>
      </c>
      <c r="J287" s="1">
        <v>333</v>
      </c>
      <c r="K287" s="1">
        <v>382</v>
      </c>
      <c r="L287" s="1" t="s">
        <v>144</v>
      </c>
      <c r="M287" s="1" t="s">
        <v>529</v>
      </c>
      <c r="N287" s="2">
        <v>46205</v>
      </c>
      <c r="P287" s="1" t="s">
        <v>516</v>
      </c>
      <c r="Q287" s="1" t="s">
        <v>151</v>
      </c>
      <c r="R287" s="1" t="s">
        <v>55</v>
      </c>
      <c r="S287" s="2">
        <v>46198</v>
      </c>
      <c r="T287" s="2">
        <v>46205</v>
      </c>
      <c r="V287" s="1">
        <v>0</v>
      </c>
      <c r="W287" s="1">
        <v>1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</row>
    <row r="288" spans="1:33" x14ac:dyDescent="0.25">
      <c r="A288" s="1">
        <v>382</v>
      </c>
      <c r="B288" s="1" t="s">
        <v>596</v>
      </c>
      <c r="C288" s="1" t="s">
        <v>595</v>
      </c>
      <c r="D288" s="1" t="s">
        <v>98</v>
      </c>
      <c r="E288" s="1" t="s">
        <v>53</v>
      </c>
      <c r="F288" s="3">
        <v>46224</v>
      </c>
      <c r="G288" s="3">
        <v>46225</v>
      </c>
      <c r="H288" s="4">
        <v>0</v>
      </c>
      <c r="J288" s="1">
        <v>381</v>
      </c>
      <c r="K288" s="1">
        <v>383</v>
      </c>
      <c r="L288" s="1" t="s">
        <v>144</v>
      </c>
      <c r="M288" s="1" t="s">
        <v>159</v>
      </c>
      <c r="N288" s="2">
        <v>46206</v>
      </c>
      <c r="P288" s="1" t="s">
        <v>516</v>
      </c>
      <c r="Q288" s="1" t="s">
        <v>193</v>
      </c>
      <c r="R288" s="1" t="s">
        <v>55</v>
      </c>
      <c r="S288" s="2">
        <v>46206</v>
      </c>
      <c r="T288" s="2">
        <v>46206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</row>
    <row r="289" spans="1:33" x14ac:dyDescent="0.25">
      <c r="A289" s="1">
        <v>383</v>
      </c>
      <c r="B289" s="1" t="s">
        <v>597</v>
      </c>
      <c r="C289" s="1" t="s">
        <v>595</v>
      </c>
      <c r="D289" s="1" t="s">
        <v>102</v>
      </c>
      <c r="E289" s="1" t="s">
        <v>53</v>
      </c>
      <c r="F289" s="3">
        <v>46225</v>
      </c>
      <c r="G289" s="3">
        <v>46226</v>
      </c>
      <c r="H289" s="4">
        <v>0</v>
      </c>
      <c r="J289" s="1">
        <v>382</v>
      </c>
      <c r="K289" s="1">
        <v>384</v>
      </c>
      <c r="L289" s="1" t="s">
        <v>144</v>
      </c>
      <c r="M289" s="1" t="s">
        <v>161</v>
      </c>
      <c r="N289" s="2">
        <v>46210</v>
      </c>
      <c r="P289" s="1" t="s">
        <v>516</v>
      </c>
      <c r="Q289" s="1" t="s">
        <v>193</v>
      </c>
      <c r="R289" s="1" t="s">
        <v>55</v>
      </c>
      <c r="S289" s="2">
        <v>46209</v>
      </c>
      <c r="T289" s="2">
        <v>46210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</row>
    <row r="290" spans="1:33" x14ac:dyDescent="0.25">
      <c r="A290" s="1">
        <v>384</v>
      </c>
      <c r="B290" s="1" t="s">
        <v>598</v>
      </c>
      <c r="C290" s="1" t="s">
        <v>595</v>
      </c>
      <c r="D290" s="1" t="s">
        <v>108</v>
      </c>
      <c r="E290" s="1" t="s">
        <v>53</v>
      </c>
      <c r="F290" s="3">
        <v>46226</v>
      </c>
      <c r="G290" s="3">
        <v>46227</v>
      </c>
      <c r="H290" s="4">
        <v>0</v>
      </c>
      <c r="J290" s="1">
        <v>383</v>
      </c>
      <c r="L290" s="1" t="s">
        <v>144</v>
      </c>
      <c r="M290" s="1" t="s">
        <v>163</v>
      </c>
      <c r="N290" s="2">
        <v>46211</v>
      </c>
      <c r="P290" s="1" t="s">
        <v>516</v>
      </c>
      <c r="Q290" s="1" t="s">
        <v>539</v>
      </c>
      <c r="R290" s="1" t="s">
        <v>55</v>
      </c>
      <c r="S290" s="2">
        <v>46211</v>
      </c>
      <c r="T290" s="2">
        <v>46211</v>
      </c>
      <c r="V290" s="1">
        <v>0</v>
      </c>
      <c r="W290" s="1">
        <v>0</v>
      </c>
      <c r="X290" s="1">
        <v>0</v>
      </c>
      <c r="Y290" s="1">
        <v>0</v>
      </c>
      <c r="Z290" s="1">
        <v>1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</row>
    <row r="291" spans="1:33" x14ac:dyDescent="0.25">
      <c r="A291" s="1">
        <v>385</v>
      </c>
      <c r="B291" s="1" t="s">
        <v>599</v>
      </c>
      <c r="C291" s="1" t="s">
        <v>518</v>
      </c>
      <c r="D291" s="1" t="s">
        <v>600</v>
      </c>
      <c r="E291" s="1" t="s">
        <v>136</v>
      </c>
      <c r="F291" s="3">
        <v>46218</v>
      </c>
      <c r="G291" s="3">
        <v>46227</v>
      </c>
      <c r="H291" s="4">
        <v>0</v>
      </c>
      <c r="L291" s="1" t="s">
        <v>144</v>
      </c>
      <c r="M291" s="1" t="s">
        <v>529</v>
      </c>
      <c r="N291" s="2">
        <v>46211</v>
      </c>
      <c r="P291" s="1" t="s">
        <v>516</v>
      </c>
      <c r="Q291" s="1" t="s">
        <v>151</v>
      </c>
      <c r="R291" s="1" t="s">
        <v>55</v>
      </c>
      <c r="S291" s="2">
        <v>46198</v>
      </c>
      <c r="T291" s="2">
        <v>46211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</row>
    <row r="292" spans="1:33" x14ac:dyDescent="0.25">
      <c r="A292" s="1">
        <v>386</v>
      </c>
      <c r="B292" s="1" t="s">
        <v>601</v>
      </c>
      <c r="C292" s="1" t="s">
        <v>602</v>
      </c>
      <c r="D292" s="1" t="s">
        <v>94</v>
      </c>
      <c r="E292" s="1" t="s">
        <v>553</v>
      </c>
      <c r="F292" s="3">
        <v>46218</v>
      </c>
      <c r="G292" s="3">
        <v>46224</v>
      </c>
      <c r="H292" s="4">
        <v>0</v>
      </c>
      <c r="J292" s="1">
        <v>333</v>
      </c>
      <c r="K292" s="1">
        <v>387</v>
      </c>
      <c r="L292" s="1" t="s">
        <v>144</v>
      </c>
      <c r="M292" s="1" t="s">
        <v>529</v>
      </c>
      <c r="N292" s="2">
        <v>46205</v>
      </c>
      <c r="P292" s="1" t="s">
        <v>516</v>
      </c>
      <c r="Q292" s="1" t="s">
        <v>151</v>
      </c>
      <c r="R292" s="1" t="s">
        <v>55</v>
      </c>
      <c r="S292" s="2">
        <v>46198</v>
      </c>
      <c r="T292" s="2">
        <v>46205</v>
      </c>
      <c r="V292" s="1">
        <v>0</v>
      </c>
      <c r="W292" s="1">
        <v>1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</row>
    <row r="293" spans="1:33" x14ac:dyDescent="0.25">
      <c r="A293" s="1">
        <v>387</v>
      </c>
      <c r="B293" s="1" t="s">
        <v>603</v>
      </c>
      <c r="C293" s="1" t="s">
        <v>602</v>
      </c>
      <c r="D293" s="1" t="s">
        <v>98</v>
      </c>
      <c r="E293" s="1" t="s">
        <v>53</v>
      </c>
      <c r="F293" s="3">
        <v>46224</v>
      </c>
      <c r="G293" s="3">
        <v>46225</v>
      </c>
      <c r="H293" s="4">
        <v>0</v>
      </c>
      <c r="J293" s="1">
        <v>386</v>
      </c>
      <c r="K293" s="1">
        <v>388</v>
      </c>
      <c r="L293" s="1" t="s">
        <v>144</v>
      </c>
      <c r="M293" s="1" t="s">
        <v>159</v>
      </c>
      <c r="N293" s="2">
        <v>46206</v>
      </c>
      <c r="P293" s="1" t="s">
        <v>516</v>
      </c>
      <c r="Q293" s="1" t="s">
        <v>193</v>
      </c>
      <c r="R293" s="1" t="s">
        <v>55</v>
      </c>
      <c r="S293" s="2">
        <v>46206</v>
      </c>
      <c r="T293" s="2">
        <v>46206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</row>
    <row r="294" spans="1:33" x14ac:dyDescent="0.25">
      <c r="A294" s="1">
        <v>388</v>
      </c>
      <c r="B294" s="1" t="s">
        <v>604</v>
      </c>
      <c r="C294" s="1" t="s">
        <v>602</v>
      </c>
      <c r="D294" s="1" t="s">
        <v>102</v>
      </c>
      <c r="E294" s="1" t="s">
        <v>53</v>
      </c>
      <c r="F294" s="3">
        <v>46225</v>
      </c>
      <c r="G294" s="3">
        <v>46226</v>
      </c>
      <c r="H294" s="4">
        <v>0</v>
      </c>
      <c r="J294" s="1">
        <v>387</v>
      </c>
      <c r="K294" s="1">
        <v>389</v>
      </c>
      <c r="L294" s="1" t="s">
        <v>144</v>
      </c>
      <c r="M294" s="1" t="s">
        <v>161</v>
      </c>
      <c r="N294" s="2">
        <v>46210</v>
      </c>
      <c r="P294" s="1" t="s">
        <v>516</v>
      </c>
      <c r="Q294" s="1" t="s">
        <v>193</v>
      </c>
      <c r="R294" s="1" t="s">
        <v>55</v>
      </c>
      <c r="S294" s="2">
        <v>46209</v>
      </c>
      <c r="T294" s="2">
        <v>46210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</row>
    <row r="295" spans="1:33" x14ac:dyDescent="0.25">
      <c r="A295" s="1">
        <v>389</v>
      </c>
      <c r="B295" s="1" t="s">
        <v>605</v>
      </c>
      <c r="C295" s="1" t="s">
        <v>602</v>
      </c>
      <c r="D295" s="1" t="s">
        <v>108</v>
      </c>
      <c r="E295" s="1" t="s">
        <v>53</v>
      </c>
      <c r="F295" s="3">
        <v>46226</v>
      </c>
      <c r="G295" s="3">
        <v>46227</v>
      </c>
      <c r="H295" s="4">
        <v>0</v>
      </c>
      <c r="J295" s="1">
        <v>388</v>
      </c>
      <c r="L295" s="1" t="s">
        <v>144</v>
      </c>
      <c r="M295" s="1" t="s">
        <v>163</v>
      </c>
      <c r="N295" s="2">
        <v>46211</v>
      </c>
      <c r="P295" s="1" t="s">
        <v>516</v>
      </c>
      <c r="Q295" s="1" t="s">
        <v>539</v>
      </c>
      <c r="R295" s="1" t="s">
        <v>55</v>
      </c>
      <c r="S295" s="2">
        <v>46211</v>
      </c>
      <c r="T295" s="2">
        <v>46211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</row>
    <row r="296" spans="1:33" x14ac:dyDescent="0.25">
      <c r="A296" s="1">
        <v>390</v>
      </c>
      <c r="B296" s="1" t="s">
        <v>606</v>
      </c>
      <c r="C296" s="1" t="s">
        <v>518</v>
      </c>
      <c r="D296" s="1" t="s">
        <v>607</v>
      </c>
      <c r="E296" s="1" t="s">
        <v>136</v>
      </c>
      <c r="F296" s="3">
        <v>46218</v>
      </c>
      <c r="G296" s="3">
        <v>46227</v>
      </c>
      <c r="H296" s="4">
        <v>0</v>
      </c>
      <c r="L296" s="1" t="s">
        <v>144</v>
      </c>
      <c r="M296" s="1" t="s">
        <v>529</v>
      </c>
      <c r="N296" s="2">
        <v>46211</v>
      </c>
      <c r="P296" s="1" t="s">
        <v>516</v>
      </c>
      <c r="Q296" s="1" t="s">
        <v>151</v>
      </c>
      <c r="R296" s="1" t="s">
        <v>55</v>
      </c>
      <c r="S296" s="2">
        <v>46198</v>
      </c>
      <c r="T296" s="2">
        <v>46211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</row>
    <row r="297" spans="1:33" x14ac:dyDescent="0.25">
      <c r="A297" s="1">
        <v>391</v>
      </c>
      <c r="B297" s="1" t="s">
        <v>608</v>
      </c>
      <c r="C297" s="1" t="s">
        <v>609</v>
      </c>
      <c r="D297" s="1" t="s">
        <v>94</v>
      </c>
      <c r="E297" s="1" t="s">
        <v>553</v>
      </c>
      <c r="F297" s="3">
        <v>46218</v>
      </c>
      <c r="G297" s="3">
        <v>46224</v>
      </c>
      <c r="H297" s="4">
        <v>0</v>
      </c>
      <c r="J297" s="1">
        <v>333</v>
      </c>
      <c r="K297" s="1">
        <v>392</v>
      </c>
      <c r="L297" s="1" t="s">
        <v>144</v>
      </c>
      <c r="M297" s="1" t="s">
        <v>529</v>
      </c>
      <c r="N297" s="2">
        <v>46205</v>
      </c>
      <c r="P297" s="1" t="s">
        <v>516</v>
      </c>
      <c r="Q297" s="1" t="s">
        <v>151</v>
      </c>
      <c r="R297" s="1" t="s">
        <v>55</v>
      </c>
      <c r="S297" s="2">
        <v>46198</v>
      </c>
      <c r="T297" s="2">
        <v>46205</v>
      </c>
      <c r="V297" s="1">
        <v>0</v>
      </c>
      <c r="W297" s="1">
        <v>1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</row>
    <row r="298" spans="1:33" x14ac:dyDescent="0.25">
      <c r="A298" s="1">
        <v>392</v>
      </c>
      <c r="B298" s="1" t="s">
        <v>610</v>
      </c>
      <c r="C298" s="1" t="s">
        <v>609</v>
      </c>
      <c r="D298" s="1" t="s">
        <v>98</v>
      </c>
      <c r="E298" s="1" t="s">
        <v>53</v>
      </c>
      <c r="F298" s="3">
        <v>46224</v>
      </c>
      <c r="G298" s="3">
        <v>46225</v>
      </c>
      <c r="H298" s="4">
        <v>0</v>
      </c>
      <c r="J298" s="1">
        <v>391</v>
      </c>
      <c r="K298" s="1">
        <v>393</v>
      </c>
      <c r="L298" s="1" t="s">
        <v>144</v>
      </c>
      <c r="M298" s="1" t="s">
        <v>159</v>
      </c>
      <c r="N298" s="2">
        <v>46206</v>
      </c>
      <c r="P298" s="1" t="s">
        <v>516</v>
      </c>
      <c r="Q298" s="1" t="s">
        <v>193</v>
      </c>
      <c r="R298" s="1" t="s">
        <v>55</v>
      </c>
      <c r="S298" s="2">
        <v>46206</v>
      </c>
      <c r="T298" s="2">
        <v>46206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</row>
    <row r="299" spans="1:33" x14ac:dyDescent="0.25">
      <c r="A299" s="1">
        <v>393</v>
      </c>
      <c r="B299" s="1" t="s">
        <v>611</v>
      </c>
      <c r="C299" s="1" t="s">
        <v>609</v>
      </c>
      <c r="D299" s="1" t="s">
        <v>102</v>
      </c>
      <c r="E299" s="1" t="s">
        <v>53</v>
      </c>
      <c r="F299" s="3">
        <v>46225</v>
      </c>
      <c r="G299" s="3">
        <v>46226</v>
      </c>
      <c r="H299" s="4">
        <v>0</v>
      </c>
      <c r="J299" s="1">
        <v>392</v>
      </c>
      <c r="K299" s="1">
        <v>394</v>
      </c>
      <c r="L299" s="1" t="s">
        <v>144</v>
      </c>
      <c r="M299" s="1" t="s">
        <v>161</v>
      </c>
      <c r="N299" s="2">
        <v>46210</v>
      </c>
      <c r="P299" s="1" t="s">
        <v>516</v>
      </c>
      <c r="Q299" s="1" t="s">
        <v>193</v>
      </c>
      <c r="R299" s="1" t="s">
        <v>55</v>
      </c>
      <c r="S299" s="2">
        <v>46209</v>
      </c>
      <c r="T299" s="2">
        <v>46210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</row>
    <row r="300" spans="1:33" x14ac:dyDescent="0.25">
      <c r="A300" s="1">
        <v>394</v>
      </c>
      <c r="B300" s="1" t="s">
        <v>612</v>
      </c>
      <c r="C300" s="1" t="s">
        <v>609</v>
      </c>
      <c r="D300" s="1" t="s">
        <v>108</v>
      </c>
      <c r="E300" s="1" t="s">
        <v>53</v>
      </c>
      <c r="F300" s="3">
        <v>46226</v>
      </c>
      <c r="G300" s="3">
        <v>46227</v>
      </c>
      <c r="H300" s="4">
        <v>0</v>
      </c>
      <c r="J300" s="1">
        <v>393</v>
      </c>
      <c r="L300" s="1" t="s">
        <v>144</v>
      </c>
      <c r="M300" s="1" t="s">
        <v>163</v>
      </c>
      <c r="N300" s="2">
        <v>46211</v>
      </c>
      <c r="P300" s="1" t="s">
        <v>516</v>
      </c>
      <c r="Q300" s="1" t="s">
        <v>539</v>
      </c>
      <c r="R300" s="1" t="s">
        <v>55</v>
      </c>
      <c r="S300" s="2">
        <v>46211</v>
      </c>
      <c r="T300" s="2">
        <v>46211</v>
      </c>
      <c r="V300" s="1">
        <v>0</v>
      </c>
      <c r="W300" s="1">
        <v>0</v>
      </c>
      <c r="X300" s="1">
        <v>0</v>
      </c>
      <c r="Y300" s="1">
        <v>0</v>
      </c>
      <c r="Z300" s="1">
        <v>1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</row>
    <row r="301" spans="1:33" x14ac:dyDescent="0.25">
      <c r="A301" s="1">
        <v>395</v>
      </c>
      <c r="B301" s="1" t="s">
        <v>613</v>
      </c>
      <c r="C301" s="1" t="s">
        <v>518</v>
      </c>
      <c r="D301" s="1" t="s">
        <v>614</v>
      </c>
      <c r="E301" s="1" t="s">
        <v>136</v>
      </c>
      <c r="F301" s="3">
        <v>46218</v>
      </c>
      <c r="G301" s="3">
        <v>46227</v>
      </c>
      <c r="H301" s="4">
        <v>0</v>
      </c>
      <c r="L301" s="1" t="s">
        <v>144</v>
      </c>
      <c r="M301" s="1" t="s">
        <v>529</v>
      </c>
      <c r="N301" s="2">
        <v>46211</v>
      </c>
      <c r="P301" s="1" t="s">
        <v>516</v>
      </c>
      <c r="Q301" s="1" t="s">
        <v>151</v>
      </c>
      <c r="R301" s="1" t="s">
        <v>55</v>
      </c>
      <c r="S301" s="2">
        <v>46198</v>
      </c>
      <c r="T301" s="2">
        <v>46211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</row>
    <row r="302" spans="1:33" x14ac:dyDescent="0.25">
      <c r="A302" s="1">
        <v>396</v>
      </c>
      <c r="B302" s="1" t="s">
        <v>615</v>
      </c>
      <c r="C302" s="1" t="s">
        <v>616</v>
      </c>
      <c r="D302" s="1" t="s">
        <v>94</v>
      </c>
      <c r="E302" s="1" t="s">
        <v>553</v>
      </c>
      <c r="F302" s="3">
        <v>46218</v>
      </c>
      <c r="G302" s="3">
        <v>46224</v>
      </c>
      <c r="H302" s="4">
        <v>0</v>
      </c>
      <c r="J302" s="1">
        <v>333</v>
      </c>
      <c r="K302" s="1">
        <v>397</v>
      </c>
      <c r="L302" s="1" t="s">
        <v>144</v>
      </c>
      <c r="M302" s="1" t="s">
        <v>529</v>
      </c>
      <c r="N302" s="2">
        <v>46205</v>
      </c>
      <c r="P302" s="1" t="s">
        <v>516</v>
      </c>
      <c r="Q302" s="1" t="s">
        <v>151</v>
      </c>
      <c r="R302" s="1" t="s">
        <v>55</v>
      </c>
      <c r="S302" s="2">
        <v>46198</v>
      </c>
      <c r="T302" s="2">
        <v>46205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</row>
    <row r="303" spans="1:33" x14ac:dyDescent="0.25">
      <c r="A303" s="1">
        <v>397</v>
      </c>
      <c r="B303" s="1" t="s">
        <v>617</v>
      </c>
      <c r="C303" s="1" t="s">
        <v>616</v>
      </c>
      <c r="D303" s="1" t="s">
        <v>98</v>
      </c>
      <c r="E303" s="1" t="s">
        <v>53</v>
      </c>
      <c r="F303" s="3">
        <v>46224</v>
      </c>
      <c r="G303" s="3">
        <v>46225</v>
      </c>
      <c r="H303" s="4">
        <v>0</v>
      </c>
      <c r="J303" s="1">
        <v>396</v>
      </c>
      <c r="K303" s="1">
        <v>398</v>
      </c>
      <c r="L303" s="1" t="s">
        <v>144</v>
      </c>
      <c r="M303" s="1" t="s">
        <v>159</v>
      </c>
      <c r="N303" s="2">
        <v>46206</v>
      </c>
      <c r="P303" s="1" t="s">
        <v>516</v>
      </c>
      <c r="Q303" s="1" t="s">
        <v>193</v>
      </c>
      <c r="R303" s="1" t="s">
        <v>55</v>
      </c>
      <c r="S303" s="2">
        <v>46206</v>
      </c>
      <c r="T303" s="2">
        <v>46206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</row>
    <row r="304" spans="1:33" x14ac:dyDescent="0.25">
      <c r="A304" s="1">
        <v>398</v>
      </c>
      <c r="B304" s="1" t="s">
        <v>618</v>
      </c>
      <c r="C304" s="1" t="s">
        <v>616</v>
      </c>
      <c r="D304" s="1" t="s">
        <v>102</v>
      </c>
      <c r="E304" s="1" t="s">
        <v>53</v>
      </c>
      <c r="F304" s="3">
        <v>46225</v>
      </c>
      <c r="G304" s="3">
        <v>46226</v>
      </c>
      <c r="H304" s="4">
        <v>0</v>
      </c>
      <c r="J304" s="1">
        <v>397</v>
      </c>
      <c r="K304" s="1">
        <v>399</v>
      </c>
      <c r="L304" s="1" t="s">
        <v>144</v>
      </c>
      <c r="M304" s="1" t="s">
        <v>161</v>
      </c>
      <c r="N304" s="2">
        <v>46210</v>
      </c>
      <c r="P304" s="1" t="s">
        <v>516</v>
      </c>
      <c r="Q304" s="1" t="s">
        <v>193</v>
      </c>
      <c r="R304" s="1" t="s">
        <v>55</v>
      </c>
      <c r="S304" s="2">
        <v>46209</v>
      </c>
      <c r="T304" s="2">
        <v>46210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</row>
    <row r="305" spans="1:33" x14ac:dyDescent="0.25">
      <c r="A305" s="1">
        <v>399</v>
      </c>
      <c r="B305" s="1" t="s">
        <v>619</v>
      </c>
      <c r="C305" s="1" t="s">
        <v>616</v>
      </c>
      <c r="D305" s="1" t="s">
        <v>108</v>
      </c>
      <c r="E305" s="1" t="s">
        <v>53</v>
      </c>
      <c r="F305" s="3">
        <v>46226</v>
      </c>
      <c r="G305" s="3">
        <v>46227</v>
      </c>
      <c r="H305" s="4">
        <v>0</v>
      </c>
      <c r="J305" s="1">
        <v>398</v>
      </c>
      <c r="L305" s="1" t="s">
        <v>144</v>
      </c>
      <c r="M305" s="1" t="s">
        <v>163</v>
      </c>
      <c r="N305" s="2">
        <v>46211</v>
      </c>
      <c r="P305" s="1" t="s">
        <v>516</v>
      </c>
      <c r="Q305" s="1" t="s">
        <v>539</v>
      </c>
      <c r="R305" s="1" t="s">
        <v>55</v>
      </c>
      <c r="S305" s="2">
        <v>46211</v>
      </c>
      <c r="T305" s="2">
        <v>46211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</row>
    <row r="306" spans="1:33" x14ac:dyDescent="0.25">
      <c r="A306" s="1">
        <v>400</v>
      </c>
      <c r="B306" s="1" t="s">
        <v>620</v>
      </c>
      <c r="C306" s="1" t="s">
        <v>518</v>
      </c>
      <c r="D306" s="1" t="s">
        <v>621</v>
      </c>
      <c r="E306" s="1" t="s">
        <v>622</v>
      </c>
      <c r="F306" s="3">
        <v>46210</v>
      </c>
      <c r="G306" s="3">
        <v>46223</v>
      </c>
      <c r="H306" s="4">
        <v>0</v>
      </c>
      <c r="L306" s="1" t="s">
        <v>144</v>
      </c>
      <c r="M306" s="1" t="s">
        <v>529</v>
      </c>
      <c r="N306" s="2">
        <v>46210</v>
      </c>
      <c r="P306" s="1" t="s">
        <v>516</v>
      </c>
      <c r="Q306" s="1" t="s">
        <v>151</v>
      </c>
      <c r="R306" s="1" t="s">
        <v>55</v>
      </c>
      <c r="S306" s="2">
        <v>46198</v>
      </c>
      <c r="T306" s="2">
        <v>46210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</row>
    <row r="307" spans="1:33" x14ac:dyDescent="0.25">
      <c r="A307" s="1">
        <v>401</v>
      </c>
      <c r="B307" s="1" t="s">
        <v>623</v>
      </c>
      <c r="C307" s="1" t="s">
        <v>624</v>
      </c>
      <c r="D307" s="1" t="s">
        <v>94</v>
      </c>
      <c r="E307" s="1" t="s">
        <v>625</v>
      </c>
      <c r="F307" s="3">
        <v>46210</v>
      </c>
      <c r="G307" s="3">
        <v>46218</v>
      </c>
      <c r="H307" s="4">
        <v>0</v>
      </c>
      <c r="J307" s="1" t="s">
        <v>626</v>
      </c>
      <c r="K307" s="1">
        <v>402</v>
      </c>
      <c r="L307" s="1" t="s">
        <v>144</v>
      </c>
      <c r="M307" s="1" t="s">
        <v>529</v>
      </c>
      <c r="N307" s="2">
        <v>46204</v>
      </c>
      <c r="P307" s="1" t="s">
        <v>516</v>
      </c>
      <c r="Q307" s="1" t="s">
        <v>151</v>
      </c>
      <c r="R307" s="1" t="s">
        <v>55</v>
      </c>
      <c r="S307" s="2">
        <v>46198</v>
      </c>
      <c r="T307" s="2">
        <v>46204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</row>
    <row r="308" spans="1:33" x14ac:dyDescent="0.25">
      <c r="A308" s="1">
        <v>402</v>
      </c>
      <c r="B308" s="1" t="s">
        <v>627</v>
      </c>
      <c r="C308" s="1" t="s">
        <v>624</v>
      </c>
      <c r="D308" s="1" t="s">
        <v>98</v>
      </c>
      <c r="E308" s="1" t="s">
        <v>53</v>
      </c>
      <c r="F308" s="3">
        <v>46219</v>
      </c>
      <c r="G308" s="3">
        <v>46219</v>
      </c>
      <c r="H308" s="4">
        <v>0</v>
      </c>
      <c r="J308" s="1">
        <v>401</v>
      </c>
      <c r="K308" s="1">
        <v>403</v>
      </c>
      <c r="L308" s="1" t="s">
        <v>144</v>
      </c>
      <c r="M308" s="1" t="s">
        <v>535</v>
      </c>
      <c r="N308" s="2">
        <v>46205</v>
      </c>
      <c r="P308" s="1" t="s">
        <v>516</v>
      </c>
      <c r="Q308" s="1" t="s">
        <v>193</v>
      </c>
      <c r="R308" s="1" t="s">
        <v>55</v>
      </c>
      <c r="S308" s="2">
        <v>46205</v>
      </c>
      <c r="T308" s="2">
        <v>46205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</row>
    <row r="309" spans="1:33" x14ac:dyDescent="0.25">
      <c r="A309" s="1">
        <v>403</v>
      </c>
      <c r="B309" s="1" t="s">
        <v>628</v>
      </c>
      <c r="C309" s="1" t="s">
        <v>624</v>
      </c>
      <c r="D309" s="1" t="s">
        <v>102</v>
      </c>
      <c r="E309" s="1" t="s">
        <v>53</v>
      </c>
      <c r="F309" s="3">
        <v>46220</v>
      </c>
      <c r="G309" s="3">
        <v>46220</v>
      </c>
      <c r="H309" s="4">
        <v>0</v>
      </c>
      <c r="J309" s="1">
        <v>402</v>
      </c>
      <c r="K309" s="1">
        <v>404</v>
      </c>
      <c r="L309" s="1" t="s">
        <v>144</v>
      </c>
      <c r="M309" s="1" t="s">
        <v>159</v>
      </c>
      <c r="N309" s="2">
        <v>46209</v>
      </c>
      <c r="P309" s="1" t="s">
        <v>516</v>
      </c>
      <c r="Q309" s="1" t="s">
        <v>193</v>
      </c>
      <c r="R309" s="1" t="s">
        <v>55</v>
      </c>
      <c r="S309" s="2">
        <v>46206</v>
      </c>
      <c r="T309" s="2">
        <v>46209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</row>
    <row r="310" spans="1:33" x14ac:dyDescent="0.25">
      <c r="A310" s="1">
        <v>404</v>
      </c>
      <c r="B310" s="1" t="s">
        <v>629</v>
      </c>
      <c r="C310" s="1" t="s">
        <v>624</v>
      </c>
      <c r="D310" s="1" t="s">
        <v>108</v>
      </c>
      <c r="E310" s="1" t="s">
        <v>53</v>
      </c>
      <c r="F310" s="3">
        <v>46223</v>
      </c>
      <c r="G310" s="3">
        <v>46223</v>
      </c>
      <c r="H310" s="4">
        <v>0</v>
      </c>
      <c r="J310" s="1">
        <v>403</v>
      </c>
      <c r="L310" s="1" t="s">
        <v>144</v>
      </c>
      <c r="M310" s="1" t="s">
        <v>538</v>
      </c>
      <c r="N310" s="2">
        <v>46210</v>
      </c>
      <c r="P310" s="1" t="s">
        <v>516</v>
      </c>
      <c r="Q310" s="1" t="s">
        <v>193</v>
      </c>
      <c r="R310" s="1" t="s">
        <v>55</v>
      </c>
      <c r="S310" s="2">
        <v>46210</v>
      </c>
      <c r="T310" s="2">
        <v>46210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</row>
    <row r="311" spans="1:33" x14ac:dyDescent="0.25">
      <c r="A311" s="1">
        <v>405</v>
      </c>
      <c r="B311" s="1" t="s">
        <v>630</v>
      </c>
      <c r="C311" s="1" t="s">
        <v>73</v>
      </c>
      <c r="D311" s="1" t="s">
        <v>631</v>
      </c>
      <c r="E311" s="1" t="s">
        <v>632</v>
      </c>
      <c r="F311" s="3">
        <v>46170</v>
      </c>
      <c r="G311" s="3">
        <v>46217</v>
      </c>
      <c r="H311" s="4">
        <v>0.5</v>
      </c>
      <c r="L311" s="1" t="s">
        <v>35</v>
      </c>
      <c r="M311" s="1" t="s">
        <v>190</v>
      </c>
      <c r="N311" s="2">
        <v>46211</v>
      </c>
      <c r="P311" s="1" t="s">
        <v>633</v>
      </c>
      <c r="Q311" s="1" t="s">
        <v>110</v>
      </c>
      <c r="R311" s="1" t="s">
        <v>55</v>
      </c>
      <c r="S311" s="2">
        <v>46163</v>
      </c>
      <c r="T311" s="2">
        <v>46211</v>
      </c>
      <c r="V311" s="1">
        <v>0.5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</row>
    <row r="312" spans="1:33" x14ac:dyDescent="0.25">
      <c r="A312" s="1">
        <v>416</v>
      </c>
      <c r="B312" s="1" t="s">
        <v>634</v>
      </c>
      <c r="C312" s="1" t="s">
        <v>635</v>
      </c>
      <c r="D312" s="1" t="s">
        <v>636</v>
      </c>
      <c r="E312" s="1" t="s">
        <v>637</v>
      </c>
      <c r="F312" s="3">
        <v>46175</v>
      </c>
      <c r="G312" s="3">
        <v>46183</v>
      </c>
      <c r="H312" s="4">
        <v>0.7</v>
      </c>
      <c r="L312" s="1" t="s">
        <v>35</v>
      </c>
      <c r="M312" s="1" t="s">
        <v>210</v>
      </c>
      <c r="N312" s="2">
        <v>46176</v>
      </c>
      <c r="P312" s="1" t="s">
        <v>633</v>
      </c>
      <c r="Q312" s="1" t="s">
        <v>211</v>
      </c>
      <c r="R312" s="1" t="s">
        <v>55</v>
      </c>
      <c r="S312" s="2">
        <v>46168</v>
      </c>
      <c r="T312" s="2">
        <v>46176</v>
      </c>
      <c r="V312" s="1">
        <v>0.7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</row>
    <row r="313" spans="1:33" x14ac:dyDescent="0.25">
      <c r="A313" s="1">
        <v>417</v>
      </c>
      <c r="B313" s="1" t="s">
        <v>638</v>
      </c>
      <c r="C313" s="1" t="s">
        <v>639</v>
      </c>
      <c r="D313" s="1" t="s">
        <v>94</v>
      </c>
      <c r="E313" s="1" t="s">
        <v>121</v>
      </c>
      <c r="F313" s="3">
        <v>46175</v>
      </c>
      <c r="G313" s="3">
        <v>46176</v>
      </c>
      <c r="H313" s="4">
        <v>1</v>
      </c>
      <c r="I313" s="3">
        <v>46176</v>
      </c>
      <c r="J313" s="1" t="s">
        <v>640</v>
      </c>
      <c r="K313" s="1" t="s">
        <v>641</v>
      </c>
      <c r="L313" s="1" t="s">
        <v>59</v>
      </c>
      <c r="M313" s="1" t="s">
        <v>210</v>
      </c>
      <c r="N313" s="2">
        <v>46170</v>
      </c>
      <c r="P313" s="1" t="s">
        <v>633</v>
      </c>
      <c r="Q313" s="1" t="s">
        <v>211</v>
      </c>
      <c r="R313" s="1" t="s">
        <v>55</v>
      </c>
      <c r="S313" s="2">
        <v>46168</v>
      </c>
      <c r="T313" s="2">
        <v>46170</v>
      </c>
      <c r="V313" s="1">
        <v>1</v>
      </c>
      <c r="W313" s="1">
        <v>1</v>
      </c>
      <c r="X313" s="1">
        <v>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</row>
    <row r="314" spans="1:33" x14ac:dyDescent="0.25">
      <c r="A314" s="1">
        <v>418</v>
      </c>
      <c r="B314" s="1" t="s">
        <v>642</v>
      </c>
      <c r="C314" s="1" t="s">
        <v>639</v>
      </c>
      <c r="D314" s="1" t="s">
        <v>98</v>
      </c>
      <c r="E314" s="1" t="s">
        <v>53</v>
      </c>
      <c r="F314" s="3">
        <v>46182</v>
      </c>
      <c r="G314" s="3">
        <v>46182</v>
      </c>
      <c r="H314" s="4">
        <v>1</v>
      </c>
      <c r="I314" s="3">
        <v>46182</v>
      </c>
      <c r="J314" s="1">
        <v>417</v>
      </c>
      <c r="K314" s="1">
        <v>419</v>
      </c>
      <c r="L314" s="1" t="s">
        <v>59</v>
      </c>
      <c r="M314" s="1" t="s">
        <v>148</v>
      </c>
      <c r="N314" s="2">
        <v>46171</v>
      </c>
      <c r="P314" s="1" t="s">
        <v>633</v>
      </c>
      <c r="Q314" s="1" t="s">
        <v>65</v>
      </c>
      <c r="R314" s="1" t="s">
        <v>55</v>
      </c>
      <c r="S314" s="2">
        <v>46171</v>
      </c>
      <c r="T314" s="2">
        <v>46171</v>
      </c>
      <c r="V314" s="1">
        <v>1</v>
      </c>
      <c r="W314" s="1">
        <v>0</v>
      </c>
      <c r="X314" s="1">
        <v>0</v>
      </c>
      <c r="Y314" s="1">
        <v>0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</row>
    <row r="315" spans="1:33" x14ac:dyDescent="0.25">
      <c r="A315" s="1">
        <v>419</v>
      </c>
      <c r="B315" s="1" t="s">
        <v>643</v>
      </c>
      <c r="C315" s="1" t="s">
        <v>639</v>
      </c>
      <c r="D315" s="1" t="s">
        <v>102</v>
      </c>
      <c r="E315" s="1" t="s">
        <v>53</v>
      </c>
      <c r="F315" s="3">
        <v>46183</v>
      </c>
      <c r="G315" s="3">
        <v>46183</v>
      </c>
      <c r="H315" s="4">
        <v>0.5</v>
      </c>
      <c r="J315" s="1">
        <v>418</v>
      </c>
      <c r="K315" s="1" t="s">
        <v>644</v>
      </c>
      <c r="L315" s="1" t="s">
        <v>35</v>
      </c>
      <c r="M315" s="1" t="s">
        <v>645</v>
      </c>
      <c r="N315" s="2">
        <v>46175</v>
      </c>
      <c r="P315" s="1" t="s">
        <v>633</v>
      </c>
      <c r="Q315" s="1" t="s">
        <v>65</v>
      </c>
      <c r="R315" s="1" t="s">
        <v>55</v>
      </c>
      <c r="S315" s="2">
        <v>46174</v>
      </c>
      <c r="T315" s="2">
        <v>46175</v>
      </c>
      <c r="V315" s="1">
        <v>0.5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</v>
      </c>
      <c r="AE315" s="1">
        <v>0</v>
      </c>
      <c r="AF315" s="1">
        <v>0</v>
      </c>
      <c r="AG315" s="1">
        <v>0</v>
      </c>
    </row>
    <row r="316" spans="1:33" x14ac:dyDescent="0.25">
      <c r="A316" s="1">
        <v>420</v>
      </c>
      <c r="B316" s="1" t="s">
        <v>646</v>
      </c>
      <c r="C316" s="1" t="s">
        <v>639</v>
      </c>
      <c r="D316" s="1" t="s">
        <v>108</v>
      </c>
      <c r="E316" s="1" t="s">
        <v>53</v>
      </c>
      <c r="F316" s="3">
        <v>46183</v>
      </c>
      <c r="G316" s="3">
        <v>46183</v>
      </c>
      <c r="H316" s="4">
        <v>0</v>
      </c>
      <c r="J316" s="1" t="s">
        <v>647</v>
      </c>
      <c r="L316" s="1" t="s">
        <v>35</v>
      </c>
      <c r="M316" s="1" t="s">
        <v>218</v>
      </c>
      <c r="N316" s="2">
        <v>46176</v>
      </c>
      <c r="P316" s="1" t="s">
        <v>633</v>
      </c>
      <c r="Q316" s="1" t="s">
        <v>65</v>
      </c>
      <c r="R316" s="1" t="s">
        <v>55</v>
      </c>
      <c r="S316" s="2">
        <v>46176</v>
      </c>
      <c r="T316" s="2">
        <v>46176</v>
      </c>
      <c r="V316" s="1">
        <v>0</v>
      </c>
      <c r="W316" s="1">
        <v>0</v>
      </c>
      <c r="X316" s="1">
        <v>0</v>
      </c>
      <c r="Y316" s="1">
        <v>0</v>
      </c>
      <c r="Z316" s="1">
        <v>1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</row>
    <row r="317" spans="1:33" x14ac:dyDescent="0.25">
      <c r="A317" s="1">
        <v>426</v>
      </c>
      <c r="B317" s="1" t="s">
        <v>648</v>
      </c>
      <c r="C317" s="1" t="s">
        <v>635</v>
      </c>
      <c r="D317" s="1" t="s">
        <v>649</v>
      </c>
      <c r="E317" s="1" t="s">
        <v>637</v>
      </c>
      <c r="F317" s="3">
        <v>46170</v>
      </c>
      <c r="G317" s="3">
        <v>46176</v>
      </c>
      <c r="H317" s="4">
        <v>0.7</v>
      </c>
      <c r="L317" s="1" t="s">
        <v>35</v>
      </c>
      <c r="M317" s="1" t="s">
        <v>190</v>
      </c>
      <c r="N317" s="2">
        <v>46171</v>
      </c>
      <c r="P317" s="1" t="s">
        <v>633</v>
      </c>
      <c r="Q317" s="1" t="s">
        <v>110</v>
      </c>
      <c r="R317" s="1" t="s">
        <v>55</v>
      </c>
      <c r="S317" s="2">
        <v>46163</v>
      </c>
      <c r="T317" s="2">
        <v>46171</v>
      </c>
      <c r="V317" s="1">
        <v>0.7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</row>
    <row r="318" spans="1:33" x14ac:dyDescent="0.25">
      <c r="A318" s="1">
        <v>427</v>
      </c>
      <c r="B318" s="1" t="s">
        <v>650</v>
      </c>
      <c r="C318" s="1" t="s">
        <v>651</v>
      </c>
      <c r="D318" s="1" t="s">
        <v>94</v>
      </c>
      <c r="E318" s="1" t="s">
        <v>121</v>
      </c>
      <c r="F318" s="3">
        <v>46170</v>
      </c>
      <c r="G318" s="3">
        <v>46171</v>
      </c>
      <c r="H318" s="4">
        <v>1</v>
      </c>
      <c r="I318" s="3">
        <v>46171</v>
      </c>
      <c r="J318" s="1" t="s">
        <v>652</v>
      </c>
      <c r="K318" s="1" t="s">
        <v>653</v>
      </c>
      <c r="L318" s="1" t="s">
        <v>59</v>
      </c>
      <c r="M318" s="1" t="s">
        <v>190</v>
      </c>
      <c r="N318" s="2">
        <v>46167</v>
      </c>
      <c r="P318" s="1" t="s">
        <v>633</v>
      </c>
      <c r="Q318" s="1" t="s">
        <v>110</v>
      </c>
      <c r="R318" s="1" t="s">
        <v>55</v>
      </c>
      <c r="S318" s="2">
        <v>46163</v>
      </c>
      <c r="T318" s="2">
        <v>46167</v>
      </c>
      <c r="V318" s="1">
        <v>1</v>
      </c>
      <c r="W318" s="1">
        <v>1</v>
      </c>
      <c r="X318" s="1">
        <v>1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</row>
    <row r="319" spans="1:33" x14ac:dyDescent="0.25">
      <c r="A319" s="1">
        <v>428</v>
      </c>
      <c r="B319" s="1" t="s">
        <v>654</v>
      </c>
      <c r="C319" s="1" t="s">
        <v>651</v>
      </c>
      <c r="D319" s="1" t="s">
        <v>98</v>
      </c>
      <c r="E319" s="1" t="s">
        <v>53</v>
      </c>
      <c r="F319" s="3">
        <v>46175</v>
      </c>
      <c r="G319" s="3">
        <v>46175</v>
      </c>
      <c r="H319" s="4">
        <v>1</v>
      </c>
      <c r="I319" s="3">
        <v>46175</v>
      </c>
      <c r="J319" s="1">
        <v>427</v>
      </c>
      <c r="K319" s="1">
        <v>429</v>
      </c>
      <c r="L319" s="1" t="s">
        <v>59</v>
      </c>
      <c r="M319" s="1" t="s">
        <v>210</v>
      </c>
      <c r="N319" s="2">
        <v>46168</v>
      </c>
      <c r="P319" s="1" t="s">
        <v>633</v>
      </c>
      <c r="Q319" s="1" t="s">
        <v>211</v>
      </c>
      <c r="R319" s="1" t="s">
        <v>55</v>
      </c>
      <c r="S319" s="2">
        <v>46168</v>
      </c>
      <c r="T319" s="2">
        <v>46168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1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</row>
    <row r="320" spans="1:33" x14ac:dyDescent="0.25">
      <c r="A320" s="1">
        <v>429</v>
      </c>
      <c r="B320" s="1" t="s">
        <v>655</v>
      </c>
      <c r="C320" s="1" t="s">
        <v>651</v>
      </c>
      <c r="D320" s="1" t="s">
        <v>102</v>
      </c>
      <c r="E320" s="1" t="s">
        <v>53</v>
      </c>
      <c r="F320" s="3">
        <v>46176</v>
      </c>
      <c r="G320" s="3">
        <v>46176</v>
      </c>
      <c r="H320" s="4">
        <v>0.5</v>
      </c>
      <c r="J320" s="1">
        <v>428</v>
      </c>
      <c r="K320" s="1" t="s">
        <v>656</v>
      </c>
      <c r="L320" s="1" t="s">
        <v>35</v>
      </c>
      <c r="M320" s="1" t="s">
        <v>436</v>
      </c>
      <c r="N320" s="2">
        <v>46170</v>
      </c>
      <c r="P320" s="1" t="s">
        <v>633</v>
      </c>
      <c r="Q320" s="1" t="s">
        <v>211</v>
      </c>
      <c r="R320" s="1" t="s">
        <v>55</v>
      </c>
      <c r="S320" s="2">
        <v>46169</v>
      </c>
      <c r="T320" s="2">
        <v>46170</v>
      </c>
      <c r="V320" s="1">
        <v>0.5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</row>
    <row r="321" spans="1:33" x14ac:dyDescent="0.25">
      <c r="A321" s="1">
        <v>430</v>
      </c>
      <c r="B321" s="1" t="s">
        <v>657</v>
      </c>
      <c r="C321" s="1" t="s">
        <v>651</v>
      </c>
      <c r="D321" s="1" t="s">
        <v>108</v>
      </c>
      <c r="E321" s="1" t="s">
        <v>53</v>
      </c>
      <c r="F321" s="3">
        <v>46176</v>
      </c>
      <c r="G321" s="3">
        <v>46176</v>
      </c>
      <c r="H321" s="4">
        <v>0</v>
      </c>
      <c r="J321" s="1" t="s">
        <v>658</v>
      </c>
      <c r="L321" s="1" t="s">
        <v>35</v>
      </c>
      <c r="M321" s="1" t="s">
        <v>148</v>
      </c>
      <c r="N321" s="2">
        <v>46171</v>
      </c>
      <c r="P321" s="1" t="s">
        <v>633</v>
      </c>
      <c r="Q321" s="1" t="s">
        <v>211</v>
      </c>
      <c r="R321" s="1" t="s">
        <v>55</v>
      </c>
      <c r="S321" s="2">
        <v>46171</v>
      </c>
      <c r="T321" s="2">
        <v>46171</v>
      </c>
      <c r="V321" s="1">
        <v>0</v>
      </c>
      <c r="W321" s="1">
        <v>0</v>
      </c>
      <c r="X321" s="1">
        <v>0</v>
      </c>
      <c r="Y321" s="1">
        <v>0</v>
      </c>
      <c r="Z321" s="1">
        <v>1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</row>
    <row r="322" spans="1:33" x14ac:dyDescent="0.25">
      <c r="A322" s="1">
        <v>446</v>
      </c>
      <c r="B322" s="1" t="s">
        <v>659</v>
      </c>
      <c r="C322" s="1" t="s">
        <v>635</v>
      </c>
      <c r="D322" s="1" t="s">
        <v>660</v>
      </c>
      <c r="E322" s="1" t="s">
        <v>154</v>
      </c>
      <c r="F322" s="3">
        <v>46205</v>
      </c>
      <c r="G322" s="3">
        <v>46210</v>
      </c>
      <c r="H322" s="4">
        <v>0.4</v>
      </c>
      <c r="L322" s="1" t="s">
        <v>131</v>
      </c>
      <c r="M322" s="1" t="s">
        <v>445</v>
      </c>
      <c r="N322" s="2">
        <v>46191</v>
      </c>
      <c r="P322" s="1" t="s">
        <v>633</v>
      </c>
      <c r="Q322" s="1" t="s">
        <v>211</v>
      </c>
      <c r="R322" s="1" t="s">
        <v>55</v>
      </c>
      <c r="S322" s="2">
        <v>46181</v>
      </c>
      <c r="T322" s="2">
        <v>46191</v>
      </c>
      <c r="V322" s="1">
        <v>0.4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</row>
    <row r="323" spans="1:33" x14ac:dyDescent="0.25">
      <c r="A323" s="1">
        <v>447</v>
      </c>
      <c r="B323" s="1" t="s">
        <v>661</v>
      </c>
      <c r="C323" s="1" t="s">
        <v>662</v>
      </c>
      <c r="D323" s="1" t="s">
        <v>94</v>
      </c>
      <c r="E323" s="1" t="s">
        <v>121</v>
      </c>
      <c r="F323" s="3">
        <v>46205</v>
      </c>
      <c r="G323" s="3">
        <v>46206</v>
      </c>
      <c r="H323" s="4">
        <v>1</v>
      </c>
      <c r="I323" s="3">
        <v>46206</v>
      </c>
      <c r="J323" s="1" t="s">
        <v>663</v>
      </c>
      <c r="K323" s="1" t="s">
        <v>664</v>
      </c>
      <c r="L323" s="1" t="s">
        <v>59</v>
      </c>
      <c r="M323" s="1" t="s">
        <v>445</v>
      </c>
      <c r="N323" s="2">
        <v>46185</v>
      </c>
      <c r="P323" s="1" t="s">
        <v>633</v>
      </c>
      <c r="Q323" s="1" t="s">
        <v>211</v>
      </c>
      <c r="R323" s="1" t="s">
        <v>55</v>
      </c>
      <c r="S323" s="2">
        <v>46181</v>
      </c>
      <c r="T323" s="2">
        <v>46185</v>
      </c>
      <c r="V323" s="1">
        <v>1</v>
      </c>
      <c r="W323" s="1">
        <v>1</v>
      </c>
      <c r="X323" s="1">
        <v>1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</row>
    <row r="324" spans="1:33" x14ac:dyDescent="0.25">
      <c r="A324" s="1">
        <v>448</v>
      </c>
      <c r="B324" s="1" t="s">
        <v>665</v>
      </c>
      <c r="C324" s="1" t="s">
        <v>662</v>
      </c>
      <c r="D324" s="1" t="s">
        <v>98</v>
      </c>
      <c r="E324" s="1" t="s">
        <v>53</v>
      </c>
      <c r="F324" s="3">
        <v>46209</v>
      </c>
      <c r="G324" s="3">
        <v>46209</v>
      </c>
      <c r="H324" s="4">
        <v>0</v>
      </c>
      <c r="J324" s="1">
        <v>447</v>
      </c>
      <c r="K324" s="1">
        <v>449</v>
      </c>
      <c r="L324" s="1" t="s">
        <v>144</v>
      </c>
      <c r="M324" s="1" t="s">
        <v>296</v>
      </c>
      <c r="N324" s="2">
        <v>46188</v>
      </c>
      <c r="P324" s="1" t="s">
        <v>633</v>
      </c>
      <c r="Q324" s="1" t="s">
        <v>65</v>
      </c>
      <c r="R324" s="1" t="s">
        <v>55</v>
      </c>
      <c r="S324" s="2">
        <v>46188</v>
      </c>
      <c r="T324" s="2">
        <v>46188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</row>
    <row r="325" spans="1:33" x14ac:dyDescent="0.25">
      <c r="A325" s="1">
        <v>449</v>
      </c>
      <c r="B325" s="1" t="s">
        <v>666</v>
      </c>
      <c r="C325" s="1" t="s">
        <v>662</v>
      </c>
      <c r="D325" s="1" t="s">
        <v>102</v>
      </c>
      <c r="E325" s="1" t="s">
        <v>53</v>
      </c>
      <c r="F325" s="3">
        <v>46210</v>
      </c>
      <c r="G325" s="3">
        <v>46210</v>
      </c>
      <c r="H325" s="4">
        <v>0</v>
      </c>
      <c r="J325" s="1">
        <v>448</v>
      </c>
      <c r="K325" s="1" t="s">
        <v>667</v>
      </c>
      <c r="L325" s="1" t="s">
        <v>144</v>
      </c>
      <c r="M325" s="1" t="s">
        <v>174</v>
      </c>
      <c r="N325" s="2">
        <v>46190</v>
      </c>
      <c r="P325" s="1" t="s">
        <v>633</v>
      </c>
      <c r="Q325" s="1" t="s">
        <v>65</v>
      </c>
      <c r="R325" s="1" t="s">
        <v>55</v>
      </c>
      <c r="S325" s="2">
        <v>46189</v>
      </c>
      <c r="T325" s="2">
        <v>46190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</row>
    <row r="326" spans="1:33" x14ac:dyDescent="0.25">
      <c r="A326" s="1">
        <v>450</v>
      </c>
      <c r="B326" s="1" t="s">
        <v>668</v>
      </c>
      <c r="C326" s="1" t="s">
        <v>662</v>
      </c>
      <c r="D326" s="1" t="s">
        <v>108</v>
      </c>
      <c r="E326" s="1" t="s">
        <v>53</v>
      </c>
      <c r="F326" s="3">
        <v>46210</v>
      </c>
      <c r="G326" s="3">
        <v>46210</v>
      </c>
      <c r="H326" s="4">
        <v>0</v>
      </c>
      <c r="J326" s="1" t="s">
        <v>669</v>
      </c>
      <c r="L326" s="1" t="s">
        <v>144</v>
      </c>
      <c r="M326" s="1" t="s">
        <v>386</v>
      </c>
      <c r="N326" s="2">
        <v>46191</v>
      </c>
      <c r="P326" s="1" t="s">
        <v>633</v>
      </c>
      <c r="Q326" s="1" t="s">
        <v>65</v>
      </c>
      <c r="R326" s="1" t="s">
        <v>55</v>
      </c>
      <c r="S326" s="2">
        <v>46191</v>
      </c>
      <c r="T326" s="2">
        <v>46191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</row>
    <row r="327" spans="1:33" x14ac:dyDescent="0.25">
      <c r="A327" s="1">
        <v>451</v>
      </c>
      <c r="B327" s="1" t="s">
        <v>670</v>
      </c>
      <c r="C327" s="1" t="s">
        <v>635</v>
      </c>
      <c r="D327" s="1" t="s">
        <v>671</v>
      </c>
      <c r="E327" s="1" t="s">
        <v>154</v>
      </c>
      <c r="F327" s="3">
        <v>46205</v>
      </c>
      <c r="G327" s="3">
        <v>46210</v>
      </c>
      <c r="H327" s="4">
        <v>0.4</v>
      </c>
      <c r="L327" s="1" t="s">
        <v>131</v>
      </c>
      <c r="M327" s="1" t="s">
        <v>672</v>
      </c>
      <c r="N327" s="2">
        <v>46205</v>
      </c>
      <c r="P327" s="1" t="s">
        <v>633</v>
      </c>
      <c r="Q327" s="1" t="s">
        <v>673</v>
      </c>
      <c r="R327" s="1" t="s">
        <v>55</v>
      </c>
      <c r="S327" s="2">
        <v>46197</v>
      </c>
      <c r="T327" s="2">
        <v>46205</v>
      </c>
      <c r="V327" s="1">
        <v>0.4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</row>
    <row r="328" spans="1:33" x14ac:dyDescent="0.25">
      <c r="A328" s="1">
        <v>452</v>
      </c>
      <c r="B328" s="1" t="s">
        <v>674</v>
      </c>
      <c r="C328" s="1" t="s">
        <v>675</v>
      </c>
      <c r="D328" s="1" t="s">
        <v>94</v>
      </c>
      <c r="E328" s="1" t="s">
        <v>121</v>
      </c>
      <c r="F328" s="3">
        <v>46205</v>
      </c>
      <c r="G328" s="3">
        <v>46206</v>
      </c>
      <c r="H328" s="4">
        <v>1</v>
      </c>
      <c r="I328" s="3">
        <v>46206</v>
      </c>
      <c r="J328" s="1" t="s">
        <v>676</v>
      </c>
      <c r="K328" s="1">
        <v>453</v>
      </c>
      <c r="L328" s="1" t="s">
        <v>59</v>
      </c>
      <c r="M328" s="1" t="s">
        <v>672</v>
      </c>
      <c r="N328" s="2">
        <v>46199</v>
      </c>
      <c r="P328" s="1" t="s">
        <v>633</v>
      </c>
      <c r="Q328" s="1" t="s">
        <v>673</v>
      </c>
      <c r="R328" s="1" t="s">
        <v>55</v>
      </c>
      <c r="S328" s="2">
        <v>46197</v>
      </c>
      <c r="T328" s="2">
        <v>46199</v>
      </c>
      <c r="V328" s="1">
        <v>1</v>
      </c>
      <c r="W328" s="1">
        <v>1</v>
      </c>
      <c r="X328" s="1">
        <v>1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</row>
    <row r="329" spans="1:33" x14ac:dyDescent="0.25">
      <c r="A329" s="1">
        <v>453</v>
      </c>
      <c r="B329" s="1" t="s">
        <v>677</v>
      </c>
      <c r="C329" s="1" t="s">
        <v>675</v>
      </c>
      <c r="D329" s="1" t="s">
        <v>98</v>
      </c>
      <c r="E329" s="1" t="s">
        <v>53</v>
      </c>
      <c r="F329" s="3">
        <v>46209</v>
      </c>
      <c r="G329" s="3">
        <v>46209</v>
      </c>
      <c r="H329" s="4">
        <v>0</v>
      </c>
      <c r="J329" s="1">
        <v>452</v>
      </c>
      <c r="K329" s="1" t="s">
        <v>678</v>
      </c>
      <c r="L329" s="1" t="s">
        <v>144</v>
      </c>
      <c r="M329" s="1" t="s">
        <v>424</v>
      </c>
      <c r="N329" s="2">
        <v>46202</v>
      </c>
      <c r="P329" s="1" t="s">
        <v>633</v>
      </c>
      <c r="Q329" s="1" t="s">
        <v>673</v>
      </c>
      <c r="R329" s="1" t="s">
        <v>55</v>
      </c>
      <c r="S329" s="2">
        <v>46202</v>
      </c>
      <c r="T329" s="2">
        <v>46202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</row>
    <row r="330" spans="1:33" x14ac:dyDescent="0.25">
      <c r="A330" s="1">
        <v>454</v>
      </c>
      <c r="B330" s="1" t="s">
        <v>679</v>
      </c>
      <c r="C330" s="1" t="s">
        <v>675</v>
      </c>
      <c r="D330" s="1" t="s">
        <v>102</v>
      </c>
      <c r="E330" s="1" t="s">
        <v>53</v>
      </c>
      <c r="F330" s="3">
        <v>46210</v>
      </c>
      <c r="G330" s="3">
        <v>46210</v>
      </c>
      <c r="H330" s="4">
        <v>0</v>
      </c>
      <c r="J330" s="1">
        <v>453</v>
      </c>
      <c r="K330" s="1" t="s">
        <v>680</v>
      </c>
      <c r="L330" s="1" t="s">
        <v>144</v>
      </c>
      <c r="M330" s="1" t="s">
        <v>155</v>
      </c>
      <c r="N330" s="2">
        <v>46204</v>
      </c>
      <c r="P330" s="1" t="s">
        <v>633</v>
      </c>
      <c r="Q330" s="1" t="s">
        <v>673</v>
      </c>
      <c r="R330" s="1" t="s">
        <v>55</v>
      </c>
      <c r="S330" s="2">
        <v>46203</v>
      </c>
      <c r="T330" s="2">
        <v>46204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</row>
    <row r="331" spans="1:33" x14ac:dyDescent="0.25">
      <c r="A331" s="1">
        <v>455</v>
      </c>
      <c r="B331" s="1" t="s">
        <v>681</v>
      </c>
      <c r="C331" s="1" t="s">
        <v>675</v>
      </c>
      <c r="D331" s="1" t="s">
        <v>108</v>
      </c>
      <c r="E331" s="1" t="s">
        <v>53</v>
      </c>
      <c r="F331" s="3">
        <v>46210</v>
      </c>
      <c r="G331" s="3">
        <v>46210</v>
      </c>
      <c r="H331" s="4">
        <v>0</v>
      </c>
      <c r="J331" s="1" t="s">
        <v>682</v>
      </c>
      <c r="L331" s="1" t="s">
        <v>144</v>
      </c>
      <c r="M331" s="1" t="s">
        <v>535</v>
      </c>
      <c r="N331" s="2">
        <v>46205</v>
      </c>
      <c r="P331" s="1" t="s">
        <v>633</v>
      </c>
      <c r="Q331" s="1" t="s">
        <v>673</v>
      </c>
      <c r="R331" s="1" t="s">
        <v>55</v>
      </c>
      <c r="S331" s="2">
        <v>46205</v>
      </c>
      <c r="T331" s="2">
        <v>46205</v>
      </c>
      <c r="V331" s="1">
        <v>0</v>
      </c>
      <c r="W331" s="1">
        <v>0</v>
      </c>
      <c r="X331" s="1">
        <v>0</v>
      </c>
      <c r="Y331" s="1">
        <v>0</v>
      </c>
      <c r="Z331" s="1">
        <v>1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</row>
    <row r="332" spans="1:33" x14ac:dyDescent="0.25">
      <c r="A332" s="1">
        <v>461</v>
      </c>
      <c r="B332" s="1" t="s">
        <v>683</v>
      </c>
      <c r="C332" s="1" t="s">
        <v>635</v>
      </c>
      <c r="D332" s="1" t="s">
        <v>684</v>
      </c>
      <c r="E332" s="1" t="s">
        <v>154</v>
      </c>
      <c r="F332" s="3">
        <v>46210</v>
      </c>
      <c r="G332" s="3">
        <v>46217</v>
      </c>
      <c r="H332" s="4">
        <v>0.28000000000000003</v>
      </c>
      <c r="L332" s="1" t="s">
        <v>144</v>
      </c>
      <c r="M332" s="1" t="s">
        <v>672</v>
      </c>
      <c r="N332" s="2">
        <v>46206</v>
      </c>
      <c r="P332" s="1" t="s">
        <v>633</v>
      </c>
      <c r="Q332" s="1" t="s">
        <v>673</v>
      </c>
      <c r="R332" s="1" t="s">
        <v>55</v>
      </c>
      <c r="S332" s="2">
        <v>46197</v>
      </c>
      <c r="T332" s="2">
        <v>46206</v>
      </c>
      <c r="V332" s="1">
        <v>0.28000000000000003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</row>
    <row r="333" spans="1:33" x14ac:dyDescent="0.25">
      <c r="A333" s="1">
        <v>462</v>
      </c>
      <c r="B333" s="1" t="s">
        <v>685</v>
      </c>
      <c r="C333" s="1" t="s">
        <v>686</v>
      </c>
      <c r="D333" s="1" t="s">
        <v>94</v>
      </c>
      <c r="E333" s="1" t="s">
        <v>121</v>
      </c>
      <c r="F333" s="3">
        <v>46210</v>
      </c>
      <c r="G333" s="3">
        <v>46211</v>
      </c>
      <c r="H333" s="4">
        <v>0.7</v>
      </c>
      <c r="J333" s="1" t="s">
        <v>687</v>
      </c>
      <c r="K333" s="1">
        <v>463</v>
      </c>
      <c r="L333" s="1" t="s">
        <v>144</v>
      </c>
      <c r="M333" s="1" t="s">
        <v>672</v>
      </c>
      <c r="N333" s="2">
        <v>46202</v>
      </c>
      <c r="P333" s="1" t="s">
        <v>633</v>
      </c>
      <c r="Q333" s="1" t="s">
        <v>673</v>
      </c>
      <c r="R333" s="1" t="s">
        <v>55</v>
      </c>
      <c r="S333" s="2">
        <v>46197</v>
      </c>
      <c r="T333" s="2">
        <v>46202</v>
      </c>
      <c r="V333" s="1">
        <v>0.7</v>
      </c>
      <c r="W333" s="1">
        <v>1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</row>
    <row r="334" spans="1:33" x14ac:dyDescent="0.25">
      <c r="A334" s="1">
        <v>463</v>
      </c>
      <c r="B334" s="1" t="s">
        <v>688</v>
      </c>
      <c r="C334" s="1" t="s">
        <v>686</v>
      </c>
      <c r="D334" s="1" t="s">
        <v>98</v>
      </c>
      <c r="E334" s="1" t="s">
        <v>53</v>
      </c>
      <c r="F334" s="3">
        <v>46216</v>
      </c>
      <c r="G334" s="3">
        <v>46216</v>
      </c>
      <c r="H334" s="4">
        <v>0</v>
      </c>
      <c r="J334" s="1">
        <v>462</v>
      </c>
      <c r="K334" s="1">
        <v>464</v>
      </c>
      <c r="L334" s="1" t="s">
        <v>144</v>
      </c>
      <c r="M334" s="1" t="s">
        <v>155</v>
      </c>
      <c r="N334" s="2">
        <v>46203</v>
      </c>
      <c r="P334" s="1" t="s">
        <v>633</v>
      </c>
      <c r="Q334" s="1" t="s">
        <v>673</v>
      </c>
      <c r="R334" s="1" t="s">
        <v>55</v>
      </c>
      <c r="S334" s="2">
        <v>46203</v>
      </c>
      <c r="T334" s="2">
        <v>46203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</row>
    <row r="335" spans="1:33" x14ac:dyDescent="0.25">
      <c r="A335" s="1">
        <v>464</v>
      </c>
      <c r="B335" s="1" t="s">
        <v>689</v>
      </c>
      <c r="C335" s="1" t="s">
        <v>686</v>
      </c>
      <c r="D335" s="1" t="s">
        <v>102</v>
      </c>
      <c r="E335" s="1" t="s">
        <v>53</v>
      </c>
      <c r="F335" s="3">
        <v>46217</v>
      </c>
      <c r="G335" s="3">
        <v>46217</v>
      </c>
      <c r="H335" s="4">
        <v>0</v>
      </c>
      <c r="J335" s="1">
        <v>463</v>
      </c>
      <c r="K335" s="1" t="s">
        <v>690</v>
      </c>
      <c r="L335" s="1" t="s">
        <v>144</v>
      </c>
      <c r="M335" s="1" t="s">
        <v>426</v>
      </c>
      <c r="N335" s="2">
        <v>46205</v>
      </c>
      <c r="P335" s="1" t="s">
        <v>633</v>
      </c>
      <c r="Q335" s="1" t="s">
        <v>673</v>
      </c>
      <c r="R335" s="1" t="s">
        <v>55</v>
      </c>
      <c r="S335" s="2">
        <v>46204</v>
      </c>
      <c r="T335" s="2">
        <v>46205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</row>
    <row r="336" spans="1:33" x14ac:dyDescent="0.25">
      <c r="A336" s="1">
        <v>465</v>
      </c>
      <c r="B336" s="1" t="s">
        <v>691</v>
      </c>
      <c r="C336" s="1" t="s">
        <v>686</v>
      </c>
      <c r="D336" s="1" t="s">
        <v>108</v>
      </c>
      <c r="E336" s="1" t="s">
        <v>53</v>
      </c>
      <c r="F336" s="3">
        <v>46217</v>
      </c>
      <c r="G336" s="3">
        <v>46217</v>
      </c>
      <c r="H336" s="4">
        <v>0</v>
      </c>
      <c r="J336" s="1" t="s">
        <v>692</v>
      </c>
      <c r="L336" s="1" t="s">
        <v>144</v>
      </c>
      <c r="M336" s="1" t="s">
        <v>159</v>
      </c>
      <c r="N336" s="2">
        <v>46206</v>
      </c>
      <c r="P336" s="1" t="s">
        <v>633</v>
      </c>
      <c r="Q336" s="1" t="s">
        <v>673</v>
      </c>
      <c r="R336" s="1" t="s">
        <v>55</v>
      </c>
      <c r="S336" s="2">
        <v>46206</v>
      </c>
      <c r="T336" s="2">
        <v>46206</v>
      </c>
      <c r="V336" s="1">
        <v>0</v>
      </c>
      <c r="W336" s="1">
        <v>0</v>
      </c>
      <c r="X336" s="1">
        <v>0</v>
      </c>
      <c r="Y336" s="1">
        <v>0</v>
      </c>
      <c r="Z336" s="1">
        <v>1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</row>
    <row r="337" spans="1:33" x14ac:dyDescent="0.25">
      <c r="A337" s="1">
        <v>471</v>
      </c>
      <c r="B337" s="1" t="s">
        <v>693</v>
      </c>
      <c r="C337" s="1" t="s">
        <v>73</v>
      </c>
      <c r="D337" s="1" t="s">
        <v>694</v>
      </c>
      <c r="E337" s="1" t="s">
        <v>695</v>
      </c>
      <c r="F337" s="3">
        <v>46174</v>
      </c>
      <c r="G337" s="3">
        <v>46225</v>
      </c>
      <c r="H337" s="4">
        <v>0.64</v>
      </c>
      <c r="L337" s="1" t="s">
        <v>35</v>
      </c>
      <c r="M337" s="1" t="s">
        <v>187</v>
      </c>
      <c r="N337" s="2">
        <v>46211</v>
      </c>
      <c r="P337" s="1" t="s">
        <v>696</v>
      </c>
      <c r="Q337" s="1" t="s">
        <v>211</v>
      </c>
      <c r="R337" s="1" t="s">
        <v>55</v>
      </c>
      <c r="S337" s="2">
        <v>46162</v>
      </c>
      <c r="T337" s="2">
        <v>46211</v>
      </c>
      <c r="V337" s="1">
        <v>0.64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</row>
    <row r="338" spans="1:33" x14ac:dyDescent="0.25">
      <c r="A338" s="1">
        <v>477</v>
      </c>
      <c r="B338" s="1" t="s">
        <v>697</v>
      </c>
      <c r="C338" s="1" t="s">
        <v>698</v>
      </c>
      <c r="D338" s="1" t="s">
        <v>699</v>
      </c>
      <c r="E338" s="1" t="s">
        <v>700</v>
      </c>
      <c r="F338" s="3">
        <v>46202</v>
      </c>
      <c r="G338" s="3">
        <v>46216</v>
      </c>
      <c r="H338" s="4">
        <v>0.56000000000000005</v>
      </c>
      <c r="K338" s="1">
        <v>558</v>
      </c>
      <c r="L338" s="1" t="s">
        <v>131</v>
      </c>
      <c r="M338" s="1" t="s">
        <v>62</v>
      </c>
      <c r="N338" s="2">
        <v>46174</v>
      </c>
      <c r="P338" s="1" t="s">
        <v>696</v>
      </c>
      <c r="Q338" s="1" t="s">
        <v>138</v>
      </c>
      <c r="R338" s="1" t="s">
        <v>55</v>
      </c>
      <c r="S338" s="2">
        <v>46164</v>
      </c>
      <c r="T338" s="2">
        <v>46174</v>
      </c>
      <c r="V338" s="1">
        <v>0.56000000000000005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</row>
    <row r="339" spans="1:33" x14ac:dyDescent="0.25">
      <c r="A339" s="1">
        <v>478</v>
      </c>
      <c r="B339" s="1" t="s">
        <v>701</v>
      </c>
      <c r="C339" s="1" t="s">
        <v>702</v>
      </c>
      <c r="D339" s="1" t="s">
        <v>94</v>
      </c>
      <c r="E339" s="1" t="s">
        <v>625</v>
      </c>
      <c r="F339" s="3">
        <v>46202</v>
      </c>
      <c r="G339" s="3">
        <v>46206</v>
      </c>
      <c r="H339" s="4">
        <v>1</v>
      </c>
      <c r="I339" s="3">
        <v>46206</v>
      </c>
      <c r="J339" s="1">
        <v>513</v>
      </c>
      <c r="K339" s="1" t="s">
        <v>703</v>
      </c>
      <c r="L339" s="1" t="s">
        <v>59</v>
      </c>
      <c r="M339" s="1" t="s">
        <v>62</v>
      </c>
      <c r="N339" s="2">
        <v>46168</v>
      </c>
      <c r="P339" s="1" t="s">
        <v>696</v>
      </c>
      <c r="Q339" s="1" t="s">
        <v>138</v>
      </c>
      <c r="R339" s="1" t="s">
        <v>55</v>
      </c>
      <c r="S339" s="2">
        <v>46164</v>
      </c>
      <c r="T339" s="2">
        <v>46168</v>
      </c>
      <c r="V339" s="1">
        <v>1</v>
      </c>
      <c r="W339" s="1">
        <v>1</v>
      </c>
      <c r="X339" s="1">
        <v>1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1</v>
      </c>
    </row>
    <row r="340" spans="1:33" x14ac:dyDescent="0.25">
      <c r="A340" s="1">
        <v>479</v>
      </c>
      <c r="B340" s="1" t="s">
        <v>704</v>
      </c>
      <c r="C340" s="1" t="s">
        <v>702</v>
      </c>
      <c r="D340" s="1" t="s">
        <v>98</v>
      </c>
      <c r="E340" s="1" t="s">
        <v>53</v>
      </c>
      <c r="F340" s="3">
        <v>46209</v>
      </c>
      <c r="G340" s="3">
        <v>46209</v>
      </c>
      <c r="H340" s="4">
        <v>0</v>
      </c>
      <c r="J340" s="1">
        <v>478</v>
      </c>
      <c r="K340" s="1">
        <v>480</v>
      </c>
      <c r="L340" s="1" t="s">
        <v>144</v>
      </c>
      <c r="M340" s="1" t="s">
        <v>436</v>
      </c>
      <c r="N340" s="2">
        <v>46169</v>
      </c>
      <c r="P340" s="1" t="s">
        <v>696</v>
      </c>
      <c r="Q340" s="1" t="s">
        <v>146</v>
      </c>
      <c r="R340" s="1" t="s">
        <v>55</v>
      </c>
      <c r="S340" s="2">
        <v>46169</v>
      </c>
      <c r="T340" s="2">
        <v>46169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</row>
    <row r="341" spans="1:33" x14ac:dyDescent="0.25">
      <c r="A341" s="1">
        <v>480</v>
      </c>
      <c r="B341" s="1" t="s">
        <v>705</v>
      </c>
      <c r="C341" s="1" t="s">
        <v>702</v>
      </c>
      <c r="D341" s="1" t="s">
        <v>102</v>
      </c>
      <c r="E341" s="1" t="s">
        <v>121</v>
      </c>
      <c r="F341" s="3">
        <v>46210</v>
      </c>
      <c r="G341" s="3">
        <v>46211</v>
      </c>
      <c r="H341" s="4">
        <v>0</v>
      </c>
      <c r="J341" s="1">
        <v>479</v>
      </c>
      <c r="K341" s="1">
        <v>481</v>
      </c>
      <c r="L341" s="1" t="s">
        <v>144</v>
      </c>
      <c r="M341" s="1" t="s">
        <v>145</v>
      </c>
      <c r="N341" s="2">
        <v>46171</v>
      </c>
      <c r="P341" s="1" t="s">
        <v>696</v>
      </c>
      <c r="Q341" s="1" t="s">
        <v>146</v>
      </c>
      <c r="R341" s="1" t="s">
        <v>55</v>
      </c>
      <c r="S341" s="2">
        <v>46170</v>
      </c>
      <c r="T341" s="2">
        <v>46171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</row>
    <row r="342" spans="1:33" x14ac:dyDescent="0.25">
      <c r="A342" s="1">
        <v>481</v>
      </c>
      <c r="B342" s="1" t="s">
        <v>706</v>
      </c>
      <c r="C342" s="1" t="s">
        <v>702</v>
      </c>
      <c r="D342" s="1" t="s">
        <v>108</v>
      </c>
      <c r="E342" s="1" t="s">
        <v>53</v>
      </c>
      <c r="F342" s="3">
        <v>46216</v>
      </c>
      <c r="G342" s="3">
        <v>46216</v>
      </c>
      <c r="H342" s="4">
        <v>0</v>
      </c>
      <c r="J342" s="1">
        <v>480</v>
      </c>
      <c r="L342" s="1" t="s">
        <v>144</v>
      </c>
      <c r="M342" s="1" t="s">
        <v>645</v>
      </c>
      <c r="N342" s="2">
        <v>46174</v>
      </c>
      <c r="P342" s="1" t="s">
        <v>696</v>
      </c>
      <c r="Q342" s="1" t="s">
        <v>151</v>
      </c>
      <c r="R342" s="1" t="s">
        <v>55</v>
      </c>
      <c r="S342" s="2">
        <v>46174</v>
      </c>
      <c r="T342" s="2">
        <v>46174</v>
      </c>
      <c r="V342" s="1">
        <v>0</v>
      </c>
      <c r="W342" s="1">
        <v>0</v>
      </c>
      <c r="X342" s="1">
        <v>0</v>
      </c>
      <c r="Y342" s="1">
        <v>0</v>
      </c>
      <c r="Z342" s="1">
        <v>1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</row>
    <row r="343" spans="1:33" x14ac:dyDescent="0.25">
      <c r="A343" s="1">
        <v>482</v>
      </c>
      <c r="B343" s="1" t="s">
        <v>707</v>
      </c>
      <c r="C343" s="1" t="s">
        <v>698</v>
      </c>
      <c r="D343" s="1" t="s">
        <v>708</v>
      </c>
      <c r="E343" s="1" t="s">
        <v>622</v>
      </c>
      <c r="F343" s="3">
        <v>46203</v>
      </c>
      <c r="G343" s="3">
        <v>46216</v>
      </c>
      <c r="H343" s="4">
        <v>0.5</v>
      </c>
      <c r="L343" s="1" t="s">
        <v>131</v>
      </c>
      <c r="M343" s="1" t="s">
        <v>418</v>
      </c>
      <c r="N343" s="2">
        <v>46204</v>
      </c>
      <c r="P343" s="1" t="s">
        <v>696</v>
      </c>
      <c r="Q343" s="1" t="s">
        <v>146</v>
      </c>
      <c r="R343" s="1" t="s">
        <v>55</v>
      </c>
      <c r="S343" s="2">
        <v>46196</v>
      </c>
      <c r="T343" s="2">
        <v>46204</v>
      </c>
      <c r="V343" s="1">
        <v>0.5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</row>
    <row r="344" spans="1:33" x14ac:dyDescent="0.25">
      <c r="A344" s="1">
        <v>483</v>
      </c>
      <c r="B344" s="1" t="s">
        <v>709</v>
      </c>
      <c r="C344" s="1" t="s">
        <v>710</v>
      </c>
      <c r="D344" s="1" t="s">
        <v>94</v>
      </c>
      <c r="E344" s="1" t="s">
        <v>553</v>
      </c>
      <c r="F344" s="3">
        <v>46203</v>
      </c>
      <c r="G344" s="3">
        <v>46206</v>
      </c>
      <c r="H344" s="4">
        <v>1</v>
      </c>
      <c r="I344" s="3">
        <v>46206</v>
      </c>
      <c r="K344" s="1">
        <v>484</v>
      </c>
      <c r="L344" s="1" t="s">
        <v>59</v>
      </c>
      <c r="M344" s="1" t="s">
        <v>418</v>
      </c>
      <c r="N344" s="2">
        <v>46198</v>
      </c>
      <c r="P344" s="1" t="s">
        <v>696</v>
      </c>
      <c r="Q344" s="1" t="s">
        <v>146</v>
      </c>
      <c r="R344" s="1" t="s">
        <v>55</v>
      </c>
      <c r="S344" s="2">
        <v>46196</v>
      </c>
      <c r="T344" s="2">
        <v>46198</v>
      </c>
      <c r="V344" s="1">
        <v>1</v>
      </c>
      <c r="W344" s="1">
        <v>1</v>
      </c>
      <c r="X344" s="1">
        <v>1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1</v>
      </c>
    </row>
    <row r="345" spans="1:33" x14ac:dyDescent="0.25">
      <c r="A345" s="1">
        <v>484</v>
      </c>
      <c r="B345" s="1" t="s">
        <v>711</v>
      </c>
      <c r="C345" s="1" t="s">
        <v>710</v>
      </c>
      <c r="D345" s="1" t="s">
        <v>98</v>
      </c>
      <c r="E345" s="1" t="s">
        <v>53</v>
      </c>
      <c r="F345" s="3">
        <v>46209</v>
      </c>
      <c r="G345" s="3">
        <v>46209</v>
      </c>
      <c r="H345" s="4">
        <v>0</v>
      </c>
      <c r="J345" s="1">
        <v>483</v>
      </c>
      <c r="K345" s="1">
        <v>485</v>
      </c>
      <c r="L345" s="1" t="s">
        <v>144</v>
      </c>
      <c r="M345" s="1" t="s">
        <v>422</v>
      </c>
      <c r="N345" s="2">
        <v>46199</v>
      </c>
      <c r="P345" s="1" t="s">
        <v>696</v>
      </c>
      <c r="Q345" s="1" t="s">
        <v>151</v>
      </c>
      <c r="R345" s="1" t="s">
        <v>55</v>
      </c>
      <c r="S345" s="2">
        <v>46199</v>
      </c>
      <c r="T345" s="2">
        <v>46199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</row>
    <row r="346" spans="1:33" x14ac:dyDescent="0.25">
      <c r="A346" s="1">
        <v>485</v>
      </c>
      <c r="B346" s="1" t="s">
        <v>712</v>
      </c>
      <c r="C346" s="1" t="s">
        <v>710</v>
      </c>
      <c r="D346" s="1" t="s">
        <v>102</v>
      </c>
      <c r="E346" s="1" t="s">
        <v>121</v>
      </c>
      <c r="F346" s="3">
        <v>46210</v>
      </c>
      <c r="G346" s="3">
        <v>46211</v>
      </c>
      <c r="H346" s="4">
        <v>0</v>
      </c>
      <c r="J346" s="1">
        <v>484</v>
      </c>
      <c r="K346" s="1">
        <v>486</v>
      </c>
      <c r="L346" s="1" t="s">
        <v>144</v>
      </c>
      <c r="M346" s="1" t="s">
        <v>424</v>
      </c>
      <c r="N346" s="2">
        <v>46203</v>
      </c>
      <c r="P346" s="1" t="s">
        <v>696</v>
      </c>
      <c r="Q346" s="1" t="s">
        <v>151</v>
      </c>
      <c r="R346" s="1" t="s">
        <v>55</v>
      </c>
      <c r="S346" s="2">
        <v>46202</v>
      </c>
      <c r="T346" s="2">
        <v>46203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</row>
    <row r="347" spans="1:33" x14ac:dyDescent="0.25">
      <c r="A347" s="1">
        <v>486</v>
      </c>
      <c r="B347" s="1" t="s">
        <v>713</v>
      </c>
      <c r="C347" s="1" t="s">
        <v>710</v>
      </c>
      <c r="D347" s="1" t="s">
        <v>108</v>
      </c>
      <c r="E347" s="1" t="s">
        <v>53</v>
      </c>
      <c r="F347" s="3">
        <v>46216</v>
      </c>
      <c r="G347" s="3">
        <v>46216</v>
      </c>
      <c r="H347" s="4">
        <v>0</v>
      </c>
      <c r="J347" s="1">
        <v>485</v>
      </c>
      <c r="L347" s="1" t="s">
        <v>144</v>
      </c>
      <c r="M347" s="1" t="s">
        <v>426</v>
      </c>
      <c r="N347" s="2">
        <v>46204</v>
      </c>
      <c r="P347" s="1" t="s">
        <v>696</v>
      </c>
      <c r="Q347" s="1" t="s">
        <v>193</v>
      </c>
      <c r="R347" s="1" t="s">
        <v>55</v>
      </c>
      <c r="S347" s="2">
        <v>46204</v>
      </c>
      <c r="T347" s="2">
        <v>46204</v>
      </c>
      <c r="V347" s="1">
        <v>0</v>
      </c>
      <c r="W347" s="1">
        <v>0</v>
      </c>
      <c r="X347" s="1">
        <v>0</v>
      </c>
      <c r="Y347" s="1">
        <v>0</v>
      </c>
      <c r="Z347" s="1">
        <v>1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</row>
    <row r="348" spans="1:33" x14ac:dyDescent="0.25">
      <c r="A348" s="1">
        <v>487</v>
      </c>
      <c r="B348" s="1" t="s">
        <v>714</v>
      </c>
      <c r="C348" s="1" t="s">
        <v>698</v>
      </c>
      <c r="D348" s="1" t="s">
        <v>715</v>
      </c>
      <c r="E348" s="1" t="s">
        <v>622</v>
      </c>
      <c r="F348" s="3">
        <v>46203</v>
      </c>
      <c r="G348" s="3">
        <v>46216</v>
      </c>
      <c r="H348" s="4">
        <v>0.5</v>
      </c>
      <c r="L348" s="1" t="s">
        <v>131</v>
      </c>
      <c r="M348" s="1" t="s">
        <v>296</v>
      </c>
      <c r="N348" s="2">
        <v>46196</v>
      </c>
      <c r="P348" s="1" t="s">
        <v>696</v>
      </c>
      <c r="Q348" s="1" t="s">
        <v>146</v>
      </c>
      <c r="R348" s="1" t="s">
        <v>55</v>
      </c>
      <c r="S348" s="2">
        <v>46188</v>
      </c>
      <c r="T348" s="2">
        <v>46196</v>
      </c>
      <c r="U348" s="1" t="s">
        <v>320</v>
      </c>
      <c r="V348" s="1">
        <v>0.5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</row>
    <row r="349" spans="1:33" x14ac:dyDescent="0.25">
      <c r="A349" s="1">
        <v>488</v>
      </c>
      <c r="B349" s="1" t="s">
        <v>716</v>
      </c>
      <c r="C349" s="1" t="s">
        <v>717</v>
      </c>
      <c r="D349" s="1" t="s">
        <v>94</v>
      </c>
      <c r="E349" s="1" t="s">
        <v>553</v>
      </c>
      <c r="F349" s="3">
        <v>46203</v>
      </c>
      <c r="G349" s="3">
        <v>46206</v>
      </c>
      <c r="H349" s="4">
        <v>1</v>
      </c>
      <c r="I349" s="3">
        <v>46206</v>
      </c>
      <c r="J349" s="1">
        <v>543</v>
      </c>
      <c r="K349" s="1" t="s">
        <v>718</v>
      </c>
      <c r="L349" s="1" t="s">
        <v>59</v>
      </c>
      <c r="M349" s="1" t="s">
        <v>296</v>
      </c>
      <c r="N349" s="2">
        <v>46190</v>
      </c>
      <c r="P349" s="1" t="s">
        <v>696</v>
      </c>
      <c r="Q349" s="1" t="s">
        <v>146</v>
      </c>
      <c r="R349" s="1" t="s">
        <v>55</v>
      </c>
      <c r="S349" s="2">
        <v>46188</v>
      </c>
      <c r="T349" s="2">
        <v>46190</v>
      </c>
      <c r="V349" s="1">
        <v>1</v>
      </c>
      <c r="W349" s="1">
        <v>1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1</v>
      </c>
    </row>
    <row r="350" spans="1:33" x14ac:dyDescent="0.25">
      <c r="A350" s="1">
        <v>489</v>
      </c>
      <c r="B350" s="1" t="s">
        <v>719</v>
      </c>
      <c r="C350" s="1" t="s">
        <v>717</v>
      </c>
      <c r="D350" s="1" t="s">
        <v>98</v>
      </c>
      <c r="E350" s="1" t="s">
        <v>53</v>
      </c>
      <c r="F350" s="3">
        <v>46209</v>
      </c>
      <c r="G350" s="3">
        <v>46209</v>
      </c>
      <c r="H350" s="4">
        <v>0</v>
      </c>
      <c r="J350" s="1">
        <v>488</v>
      </c>
      <c r="K350" s="1">
        <v>490</v>
      </c>
      <c r="L350" s="1" t="s">
        <v>144</v>
      </c>
      <c r="M350" s="1" t="s">
        <v>386</v>
      </c>
      <c r="N350" s="2">
        <v>46191</v>
      </c>
      <c r="P350" s="1" t="s">
        <v>696</v>
      </c>
      <c r="Q350" s="1" t="s">
        <v>151</v>
      </c>
      <c r="R350" s="1" t="s">
        <v>55</v>
      </c>
      <c r="S350" s="2">
        <v>46191</v>
      </c>
      <c r="T350" s="2">
        <v>46191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</row>
    <row r="351" spans="1:33" x14ac:dyDescent="0.25">
      <c r="A351" s="1">
        <v>490</v>
      </c>
      <c r="B351" s="1" t="s">
        <v>720</v>
      </c>
      <c r="C351" s="1" t="s">
        <v>717</v>
      </c>
      <c r="D351" s="1" t="s">
        <v>102</v>
      </c>
      <c r="E351" s="1" t="s">
        <v>121</v>
      </c>
      <c r="F351" s="3">
        <v>46210</v>
      </c>
      <c r="G351" s="3">
        <v>46211</v>
      </c>
      <c r="H351" s="4">
        <v>0</v>
      </c>
      <c r="J351" s="1">
        <v>489</v>
      </c>
      <c r="K351" s="1">
        <v>491</v>
      </c>
      <c r="L351" s="1" t="s">
        <v>144</v>
      </c>
      <c r="M351" s="1" t="s">
        <v>721</v>
      </c>
      <c r="N351" s="2">
        <v>46195</v>
      </c>
      <c r="P351" s="1" t="s">
        <v>696</v>
      </c>
      <c r="Q351" s="1" t="s">
        <v>151</v>
      </c>
      <c r="R351" s="1" t="s">
        <v>55</v>
      </c>
      <c r="S351" s="2">
        <v>46192</v>
      </c>
      <c r="T351" s="2">
        <v>46195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</row>
    <row r="352" spans="1:33" x14ac:dyDescent="0.25">
      <c r="A352" s="1">
        <v>491</v>
      </c>
      <c r="B352" s="1" t="s">
        <v>722</v>
      </c>
      <c r="C352" s="1" t="s">
        <v>717</v>
      </c>
      <c r="D352" s="1" t="s">
        <v>108</v>
      </c>
      <c r="E352" s="1" t="s">
        <v>53</v>
      </c>
      <c r="F352" s="3">
        <v>46216</v>
      </c>
      <c r="G352" s="3">
        <v>46216</v>
      </c>
      <c r="H352" s="4">
        <v>0</v>
      </c>
      <c r="J352" s="1">
        <v>490</v>
      </c>
      <c r="L352" s="1" t="s">
        <v>144</v>
      </c>
      <c r="M352" s="1" t="s">
        <v>418</v>
      </c>
      <c r="N352" s="2">
        <v>46196</v>
      </c>
      <c r="P352" s="1" t="s">
        <v>696</v>
      </c>
      <c r="Q352" s="1" t="s">
        <v>193</v>
      </c>
      <c r="R352" s="1" t="s">
        <v>55</v>
      </c>
      <c r="S352" s="2">
        <v>46196</v>
      </c>
      <c r="T352" s="2">
        <v>46196</v>
      </c>
      <c r="V352" s="1">
        <v>0</v>
      </c>
      <c r="W352" s="1">
        <v>0</v>
      </c>
      <c r="X352" s="1">
        <v>0</v>
      </c>
      <c r="Y352" s="1">
        <v>0</v>
      </c>
      <c r="Z352" s="1">
        <v>1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</row>
    <row r="353" spans="1:33" x14ac:dyDescent="0.25">
      <c r="A353" s="1">
        <v>502</v>
      </c>
      <c r="B353" s="1" t="s">
        <v>723</v>
      </c>
      <c r="C353" s="1" t="s">
        <v>698</v>
      </c>
      <c r="D353" s="1" t="s">
        <v>724</v>
      </c>
      <c r="E353" s="1" t="s">
        <v>622</v>
      </c>
      <c r="F353" s="3">
        <v>46206</v>
      </c>
      <c r="G353" s="3">
        <v>46219</v>
      </c>
      <c r="H353" s="4">
        <v>0.31</v>
      </c>
      <c r="L353" s="1" t="s">
        <v>131</v>
      </c>
      <c r="M353" s="1" t="s">
        <v>535</v>
      </c>
      <c r="N353" s="2">
        <v>46211</v>
      </c>
      <c r="P353" s="1" t="s">
        <v>696</v>
      </c>
      <c r="Q353" s="1" t="s">
        <v>146</v>
      </c>
      <c r="R353" s="1" t="s">
        <v>55</v>
      </c>
      <c r="S353" s="2">
        <v>46205</v>
      </c>
      <c r="T353" s="2">
        <v>46211</v>
      </c>
      <c r="V353" s="1">
        <v>0.31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</row>
    <row r="354" spans="1:33" x14ac:dyDescent="0.25">
      <c r="A354" s="1">
        <v>503</v>
      </c>
      <c r="B354" s="1" t="s">
        <v>725</v>
      </c>
      <c r="C354" s="1" t="s">
        <v>726</v>
      </c>
      <c r="D354" s="1" t="s">
        <v>94</v>
      </c>
      <c r="E354" s="1" t="s">
        <v>625</v>
      </c>
      <c r="F354" s="3">
        <v>46206</v>
      </c>
      <c r="G354" s="3">
        <v>46216</v>
      </c>
      <c r="H354" s="4">
        <v>0.5</v>
      </c>
      <c r="J354" s="1" t="s">
        <v>727</v>
      </c>
      <c r="K354" s="1">
        <v>504</v>
      </c>
      <c r="L354" s="1" t="s">
        <v>131</v>
      </c>
      <c r="M354" s="1" t="s">
        <v>535</v>
      </c>
      <c r="N354" s="2">
        <v>46205</v>
      </c>
      <c r="P354" s="1" t="s">
        <v>696</v>
      </c>
      <c r="Q354" s="1" t="s">
        <v>146</v>
      </c>
      <c r="R354" s="1" t="s">
        <v>55</v>
      </c>
      <c r="S354" s="2">
        <v>46205</v>
      </c>
      <c r="T354" s="2">
        <v>46205</v>
      </c>
      <c r="V354" s="1">
        <v>0.5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</row>
    <row r="355" spans="1:33" x14ac:dyDescent="0.25">
      <c r="A355" s="1">
        <v>504</v>
      </c>
      <c r="B355" s="1" t="s">
        <v>728</v>
      </c>
      <c r="C355" s="1" t="s">
        <v>726</v>
      </c>
      <c r="D355" s="1" t="s">
        <v>98</v>
      </c>
      <c r="E355" s="1" t="s">
        <v>53</v>
      </c>
      <c r="F355" s="3">
        <v>46217</v>
      </c>
      <c r="G355" s="3">
        <v>46217</v>
      </c>
      <c r="H355" s="4">
        <v>0</v>
      </c>
      <c r="J355" s="1">
        <v>503</v>
      </c>
      <c r="K355" s="1">
        <v>505</v>
      </c>
      <c r="L355" s="1" t="s">
        <v>144</v>
      </c>
      <c r="M355" s="1" t="s">
        <v>159</v>
      </c>
      <c r="N355" s="2">
        <v>46206</v>
      </c>
      <c r="P355" s="1" t="s">
        <v>696</v>
      </c>
      <c r="Q355" s="1" t="s">
        <v>151</v>
      </c>
      <c r="R355" s="1" t="s">
        <v>55</v>
      </c>
      <c r="S355" s="2">
        <v>46206</v>
      </c>
      <c r="T355" s="2">
        <v>46206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</row>
    <row r="356" spans="1:33" x14ac:dyDescent="0.25">
      <c r="A356" s="1">
        <v>505</v>
      </c>
      <c r="B356" s="1" t="s">
        <v>729</v>
      </c>
      <c r="C356" s="1" t="s">
        <v>726</v>
      </c>
      <c r="D356" s="1" t="s">
        <v>102</v>
      </c>
      <c r="E356" s="1" t="s">
        <v>53</v>
      </c>
      <c r="F356" s="3">
        <v>46218</v>
      </c>
      <c r="G356" s="3">
        <v>46218</v>
      </c>
      <c r="H356" s="4">
        <v>0</v>
      </c>
      <c r="J356" s="1">
        <v>504</v>
      </c>
      <c r="K356" s="1">
        <v>506</v>
      </c>
      <c r="L356" s="1" t="s">
        <v>144</v>
      </c>
      <c r="M356" s="1" t="s">
        <v>161</v>
      </c>
      <c r="N356" s="2">
        <v>46210</v>
      </c>
      <c r="P356" s="1" t="s">
        <v>696</v>
      </c>
      <c r="Q356" s="1" t="s">
        <v>193</v>
      </c>
      <c r="R356" s="1" t="s">
        <v>55</v>
      </c>
      <c r="S356" s="2">
        <v>46209</v>
      </c>
      <c r="T356" s="2">
        <v>46210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</row>
    <row r="357" spans="1:33" x14ac:dyDescent="0.25">
      <c r="A357" s="1">
        <v>506</v>
      </c>
      <c r="B357" s="1" t="s">
        <v>730</v>
      </c>
      <c r="C357" s="1" t="s">
        <v>726</v>
      </c>
      <c r="D357" s="1" t="s">
        <v>108</v>
      </c>
      <c r="E357" s="1" t="s">
        <v>53</v>
      </c>
      <c r="F357" s="3">
        <v>46219</v>
      </c>
      <c r="G357" s="3">
        <v>46219</v>
      </c>
      <c r="H357" s="4">
        <v>0</v>
      </c>
      <c r="J357" s="1">
        <v>505</v>
      </c>
      <c r="L357" s="1" t="s">
        <v>144</v>
      </c>
      <c r="M357" s="1" t="s">
        <v>163</v>
      </c>
      <c r="N357" s="2">
        <v>46211</v>
      </c>
      <c r="P357" s="1" t="s">
        <v>696</v>
      </c>
      <c r="Q357" s="1" t="s">
        <v>193</v>
      </c>
      <c r="R357" s="1" t="s">
        <v>55</v>
      </c>
      <c r="S357" s="2">
        <v>46211</v>
      </c>
      <c r="T357" s="2">
        <v>46211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</row>
    <row r="358" spans="1:33" x14ac:dyDescent="0.25">
      <c r="A358" s="1">
        <v>507</v>
      </c>
      <c r="B358" s="1" t="s">
        <v>731</v>
      </c>
      <c r="C358" s="1" t="s">
        <v>698</v>
      </c>
      <c r="D358" s="1" t="s">
        <v>732</v>
      </c>
      <c r="E358" s="1" t="s">
        <v>287</v>
      </c>
      <c r="F358" s="3">
        <v>46174</v>
      </c>
      <c r="G358" s="3">
        <v>46191</v>
      </c>
      <c r="H358" s="4">
        <v>0.8</v>
      </c>
      <c r="L358" s="1" t="s">
        <v>35</v>
      </c>
      <c r="M358" s="1" t="s">
        <v>187</v>
      </c>
      <c r="N358" s="2">
        <v>46169</v>
      </c>
      <c r="P358" s="1" t="s">
        <v>696</v>
      </c>
      <c r="Q358" s="1" t="s">
        <v>211</v>
      </c>
      <c r="R358" s="1" t="s">
        <v>55</v>
      </c>
      <c r="S358" s="2">
        <v>46162</v>
      </c>
      <c r="T358" s="2">
        <v>46169</v>
      </c>
      <c r="V358" s="1">
        <v>0.8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</row>
    <row r="359" spans="1:33" x14ac:dyDescent="0.25">
      <c r="A359" s="1">
        <v>508</v>
      </c>
      <c r="B359" s="1" t="s">
        <v>733</v>
      </c>
      <c r="C359" s="1" t="s">
        <v>734</v>
      </c>
      <c r="D359" s="1" t="s">
        <v>94</v>
      </c>
      <c r="E359" s="1" t="s">
        <v>103</v>
      </c>
      <c r="F359" s="3">
        <v>46174</v>
      </c>
      <c r="G359" s="3">
        <v>46185</v>
      </c>
      <c r="H359" s="4">
        <v>1</v>
      </c>
      <c r="I359" s="3">
        <v>46185</v>
      </c>
      <c r="J359" s="1" t="s">
        <v>735</v>
      </c>
      <c r="K359" s="1">
        <v>509</v>
      </c>
      <c r="L359" s="1" t="s">
        <v>59</v>
      </c>
      <c r="M359" s="1" t="s">
        <v>187</v>
      </c>
      <c r="N359" s="2">
        <v>46163</v>
      </c>
      <c r="P359" s="1" t="s">
        <v>696</v>
      </c>
      <c r="Q359" s="1" t="s">
        <v>211</v>
      </c>
      <c r="R359" s="1" t="s">
        <v>55</v>
      </c>
      <c r="S359" s="2">
        <v>46162</v>
      </c>
      <c r="T359" s="2">
        <v>46163</v>
      </c>
      <c r="V359" s="1">
        <v>1</v>
      </c>
      <c r="W359" s="1">
        <v>1</v>
      </c>
      <c r="X359" s="1">
        <v>1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</v>
      </c>
    </row>
    <row r="360" spans="1:33" x14ac:dyDescent="0.25">
      <c r="A360" s="1">
        <v>509</v>
      </c>
      <c r="B360" s="1" t="s">
        <v>736</v>
      </c>
      <c r="C360" s="1" t="s">
        <v>734</v>
      </c>
      <c r="D360" s="1" t="s">
        <v>98</v>
      </c>
      <c r="E360" s="1" t="s">
        <v>53</v>
      </c>
      <c r="F360" s="3">
        <v>46188</v>
      </c>
      <c r="G360" s="3">
        <v>46188</v>
      </c>
      <c r="H360" s="4">
        <v>1</v>
      </c>
      <c r="I360" s="3">
        <v>46188</v>
      </c>
      <c r="J360" s="1">
        <v>508</v>
      </c>
      <c r="K360" s="1">
        <v>510</v>
      </c>
      <c r="L360" s="1" t="s">
        <v>59</v>
      </c>
      <c r="M360" s="1" t="s">
        <v>62</v>
      </c>
      <c r="N360" s="2">
        <v>46164</v>
      </c>
      <c r="P360" s="1" t="s">
        <v>696</v>
      </c>
      <c r="Q360" s="1" t="s">
        <v>138</v>
      </c>
      <c r="R360" s="1" t="s">
        <v>55</v>
      </c>
      <c r="S360" s="2">
        <v>46164</v>
      </c>
      <c r="T360" s="2">
        <v>46164</v>
      </c>
      <c r="V360" s="1">
        <v>1</v>
      </c>
      <c r="W360" s="1">
        <v>0</v>
      </c>
      <c r="X360" s="1">
        <v>0</v>
      </c>
      <c r="Y360" s="1">
        <v>0</v>
      </c>
      <c r="Z360" s="1">
        <v>0</v>
      </c>
      <c r="AA360" s="1">
        <v>1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</row>
    <row r="361" spans="1:33" x14ac:dyDescent="0.25">
      <c r="A361" s="1">
        <v>510</v>
      </c>
      <c r="B361" s="1" t="s">
        <v>737</v>
      </c>
      <c r="C361" s="1" t="s">
        <v>734</v>
      </c>
      <c r="D361" s="1" t="s">
        <v>102</v>
      </c>
      <c r="E361" s="1" t="s">
        <v>121</v>
      </c>
      <c r="F361" s="3">
        <v>46189</v>
      </c>
      <c r="G361" s="3">
        <v>46190</v>
      </c>
      <c r="H361" s="4">
        <v>0.5</v>
      </c>
      <c r="J361" s="1">
        <v>509</v>
      </c>
      <c r="K361" s="1">
        <v>511</v>
      </c>
      <c r="L361" s="1" t="s">
        <v>35</v>
      </c>
      <c r="M361" s="1" t="s">
        <v>137</v>
      </c>
      <c r="N361" s="2">
        <v>46168</v>
      </c>
      <c r="P361" s="1" t="s">
        <v>696</v>
      </c>
      <c r="Q361" s="1" t="s">
        <v>138</v>
      </c>
      <c r="R361" s="1" t="s">
        <v>55</v>
      </c>
      <c r="S361" s="2">
        <v>46167</v>
      </c>
      <c r="T361" s="2">
        <v>46168</v>
      </c>
      <c r="V361" s="1">
        <v>0.5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1</v>
      </c>
      <c r="AE361" s="1">
        <v>0</v>
      </c>
      <c r="AF361" s="1">
        <v>0</v>
      </c>
      <c r="AG361" s="1">
        <v>0</v>
      </c>
    </row>
    <row r="362" spans="1:33" x14ac:dyDescent="0.25">
      <c r="A362" s="1">
        <v>511</v>
      </c>
      <c r="B362" s="1" t="s">
        <v>738</v>
      </c>
      <c r="C362" s="1" t="s">
        <v>734</v>
      </c>
      <c r="D362" s="1" t="s">
        <v>108</v>
      </c>
      <c r="E362" s="1" t="s">
        <v>53</v>
      </c>
      <c r="F362" s="3">
        <v>46191</v>
      </c>
      <c r="G362" s="3">
        <v>46191</v>
      </c>
      <c r="H362" s="4">
        <v>0</v>
      </c>
      <c r="J362" s="1">
        <v>510</v>
      </c>
      <c r="L362" s="1" t="s">
        <v>35</v>
      </c>
      <c r="M362" s="1" t="s">
        <v>436</v>
      </c>
      <c r="N362" s="2">
        <v>46169</v>
      </c>
      <c r="P362" s="1" t="s">
        <v>696</v>
      </c>
      <c r="Q362" s="1" t="s">
        <v>138</v>
      </c>
      <c r="R362" s="1" t="s">
        <v>55</v>
      </c>
      <c r="S362" s="2">
        <v>46169</v>
      </c>
      <c r="T362" s="2">
        <v>46169</v>
      </c>
      <c r="V362" s="1">
        <v>0</v>
      </c>
      <c r="W362" s="1">
        <v>0</v>
      </c>
      <c r="X362" s="1">
        <v>0</v>
      </c>
      <c r="Y362" s="1">
        <v>0</v>
      </c>
      <c r="Z362" s="1">
        <v>1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</row>
    <row r="363" spans="1:33" x14ac:dyDescent="0.25">
      <c r="A363" s="1">
        <v>512</v>
      </c>
      <c r="B363" s="1" t="s">
        <v>739</v>
      </c>
      <c r="C363" s="1" t="s">
        <v>698</v>
      </c>
      <c r="D363" s="1" t="s">
        <v>740</v>
      </c>
      <c r="E363" s="1" t="s">
        <v>741</v>
      </c>
      <c r="F363" s="3">
        <v>46176</v>
      </c>
      <c r="G363" s="3">
        <v>46191</v>
      </c>
      <c r="H363" s="4">
        <v>0.8</v>
      </c>
      <c r="L363" s="1" t="s">
        <v>35</v>
      </c>
      <c r="M363" s="1" t="s">
        <v>187</v>
      </c>
      <c r="N363" s="2">
        <v>46169</v>
      </c>
      <c r="P363" s="1" t="s">
        <v>696</v>
      </c>
      <c r="Q363" s="1" t="s">
        <v>211</v>
      </c>
      <c r="R363" s="1" t="s">
        <v>55</v>
      </c>
      <c r="S363" s="2">
        <v>46162</v>
      </c>
      <c r="T363" s="2">
        <v>46169</v>
      </c>
      <c r="V363" s="1">
        <v>0.8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</row>
    <row r="364" spans="1:33" x14ac:dyDescent="0.25">
      <c r="A364" s="1">
        <v>513</v>
      </c>
      <c r="B364" s="1" t="s">
        <v>742</v>
      </c>
      <c r="C364" s="1" t="s">
        <v>743</v>
      </c>
      <c r="D364" s="1" t="s">
        <v>94</v>
      </c>
      <c r="E364" s="1" t="s">
        <v>103</v>
      </c>
      <c r="F364" s="3">
        <v>46176</v>
      </c>
      <c r="G364" s="3">
        <v>46185</v>
      </c>
      <c r="H364" s="4">
        <v>1</v>
      </c>
      <c r="I364" s="3">
        <v>46185</v>
      </c>
      <c r="J364" s="1" t="s">
        <v>735</v>
      </c>
      <c r="K364" s="1" t="s">
        <v>744</v>
      </c>
      <c r="L364" s="1" t="s">
        <v>59</v>
      </c>
      <c r="M364" s="1" t="s">
        <v>187</v>
      </c>
      <c r="N364" s="2">
        <v>46163</v>
      </c>
      <c r="P364" s="1" t="s">
        <v>696</v>
      </c>
      <c r="Q364" s="1" t="s">
        <v>211</v>
      </c>
      <c r="R364" s="1" t="s">
        <v>55</v>
      </c>
      <c r="S364" s="2">
        <v>46162</v>
      </c>
      <c r="T364" s="2">
        <v>46163</v>
      </c>
      <c r="V364" s="1">
        <v>1</v>
      </c>
      <c r="W364" s="1">
        <v>1</v>
      </c>
      <c r="X364" s="1">
        <v>1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1</v>
      </c>
    </row>
    <row r="365" spans="1:33" x14ac:dyDescent="0.25">
      <c r="A365" s="1">
        <v>514</v>
      </c>
      <c r="B365" s="1" t="s">
        <v>745</v>
      </c>
      <c r="C365" s="1" t="s">
        <v>743</v>
      </c>
      <c r="D365" s="1" t="s">
        <v>98</v>
      </c>
      <c r="E365" s="1" t="s">
        <v>53</v>
      </c>
      <c r="F365" s="3">
        <v>46188</v>
      </c>
      <c r="G365" s="3">
        <v>46188</v>
      </c>
      <c r="H365" s="4">
        <v>1</v>
      </c>
      <c r="I365" s="3">
        <v>46188</v>
      </c>
      <c r="J365" s="1">
        <v>513</v>
      </c>
      <c r="K365" s="1">
        <v>515</v>
      </c>
      <c r="L365" s="1" t="s">
        <v>59</v>
      </c>
      <c r="M365" s="1" t="s">
        <v>62</v>
      </c>
      <c r="N365" s="2">
        <v>46164</v>
      </c>
      <c r="P365" s="1" t="s">
        <v>696</v>
      </c>
      <c r="Q365" s="1" t="s">
        <v>138</v>
      </c>
      <c r="R365" s="1" t="s">
        <v>55</v>
      </c>
      <c r="S365" s="2">
        <v>46164</v>
      </c>
      <c r="T365" s="2">
        <v>46164</v>
      </c>
      <c r="V365" s="1">
        <v>1</v>
      </c>
      <c r="W365" s="1">
        <v>0</v>
      </c>
      <c r="X365" s="1">
        <v>0</v>
      </c>
      <c r="Y365" s="1">
        <v>0</v>
      </c>
      <c r="Z365" s="1">
        <v>0</v>
      </c>
      <c r="AA365" s="1">
        <v>1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</row>
    <row r="366" spans="1:33" x14ac:dyDescent="0.25">
      <c r="A366" s="1">
        <v>515</v>
      </c>
      <c r="B366" s="1" t="s">
        <v>746</v>
      </c>
      <c r="C366" s="1" t="s">
        <v>743</v>
      </c>
      <c r="D366" s="1" t="s">
        <v>102</v>
      </c>
      <c r="E366" s="1" t="s">
        <v>121</v>
      </c>
      <c r="F366" s="3">
        <v>46189</v>
      </c>
      <c r="G366" s="3">
        <v>46190</v>
      </c>
      <c r="H366" s="4">
        <v>0.5</v>
      </c>
      <c r="J366" s="1">
        <v>514</v>
      </c>
      <c r="K366" s="1">
        <v>516</v>
      </c>
      <c r="L366" s="1" t="s">
        <v>35</v>
      </c>
      <c r="M366" s="1" t="s">
        <v>137</v>
      </c>
      <c r="N366" s="2">
        <v>46168</v>
      </c>
      <c r="P366" s="1" t="s">
        <v>696</v>
      </c>
      <c r="Q366" s="1" t="s">
        <v>138</v>
      </c>
      <c r="R366" s="1" t="s">
        <v>55</v>
      </c>
      <c r="S366" s="2">
        <v>46167</v>
      </c>
      <c r="T366" s="2">
        <v>46168</v>
      </c>
      <c r="V366" s="1">
        <v>0.5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1</v>
      </c>
      <c r="AE366" s="1">
        <v>0</v>
      </c>
      <c r="AF366" s="1">
        <v>0</v>
      </c>
      <c r="AG366" s="1">
        <v>0</v>
      </c>
    </row>
    <row r="367" spans="1:33" x14ac:dyDescent="0.25">
      <c r="A367" s="1">
        <v>516</v>
      </c>
      <c r="B367" s="1" t="s">
        <v>747</v>
      </c>
      <c r="C367" s="1" t="s">
        <v>743</v>
      </c>
      <c r="D367" s="1" t="s">
        <v>108</v>
      </c>
      <c r="E367" s="1" t="s">
        <v>53</v>
      </c>
      <c r="F367" s="3">
        <v>46191</v>
      </c>
      <c r="G367" s="3">
        <v>46191</v>
      </c>
      <c r="H367" s="4">
        <v>0</v>
      </c>
      <c r="J367" s="1">
        <v>515</v>
      </c>
      <c r="L367" s="1" t="s">
        <v>35</v>
      </c>
      <c r="M367" s="1" t="s">
        <v>436</v>
      </c>
      <c r="N367" s="2">
        <v>46169</v>
      </c>
      <c r="P367" s="1" t="s">
        <v>696</v>
      </c>
      <c r="Q367" s="1" t="s">
        <v>138</v>
      </c>
      <c r="R367" s="1" t="s">
        <v>55</v>
      </c>
      <c r="S367" s="2">
        <v>46169</v>
      </c>
      <c r="T367" s="2">
        <v>46169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</v>
      </c>
      <c r="AG367" s="1">
        <v>0</v>
      </c>
    </row>
    <row r="368" spans="1:33" x14ac:dyDescent="0.25">
      <c r="A368" s="1">
        <v>517</v>
      </c>
      <c r="B368" s="1" t="s">
        <v>748</v>
      </c>
      <c r="C368" s="1" t="s">
        <v>698</v>
      </c>
      <c r="D368" s="1" t="s">
        <v>749</v>
      </c>
      <c r="E368" s="1" t="s">
        <v>741</v>
      </c>
      <c r="F368" s="3">
        <v>46176</v>
      </c>
      <c r="G368" s="3">
        <v>46191</v>
      </c>
      <c r="H368" s="4">
        <v>0.8</v>
      </c>
      <c r="L368" s="1" t="s">
        <v>35</v>
      </c>
      <c r="M368" s="1" t="s">
        <v>187</v>
      </c>
      <c r="N368" s="2">
        <v>46169</v>
      </c>
      <c r="P368" s="1" t="s">
        <v>696</v>
      </c>
      <c r="Q368" s="1" t="s">
        <v>211</v>
      </c>
      <c r="R368" s="1" t="s">
        <v>55</v>
      </c>
      <c r="S368" s="2">
        <v>46162</v>
      </c>
      <c r="T368" s="2">
        <v>46169</v>
      </c>
      <c r="V368" s="1">
        <v>0.8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</row>
    <row r="369" spans="1:33" x14ac:dyDescent="0.25">
      <c r="A369" s="1">
        <v>518</v>
      </c>
      <c r="B369" s="1" t="s">
        <v>750</v>
      </c>
      <c r="C369" s="1" t="s">
        <v>751</v>
      </c>
      <c r="D369" s="1" t="s">
        <v>94</v>
      </c>
      <c r="E369" s="1" t="s">
        <v>103</v>
      </c>
      <c r="F369" s="3">
        <v>46176</v>
      </c>
      <c r="G369" s="3">
        <v>46185</v>
      </c>
      <c r="H369" s="4">
        <v>1</v>
      </c>
      <c r="I369" s="3">
        <v>46185</v>
      </c>
      <c r="J369" s="1" t="s">
        <v>735</v>
      </c>
      <c r="K369" s="1">
        <v>519</v>
      </c>
      <c r="L369" s="1" t="s">
        <v>59</v>
      </c>
      <c r="M369" s="1" t="s">
        <v>187</v>
      </c>
      <c r="N369" s="2">
        <v>46163</v>
      </c>
      <c r="P369" s="1" t="s">
        <v>696</v>
      </c>
      <c r="Q369" s="1" t="s">
        <v>211</v>
      </c>
      <c r="R369" s="1" t="s">
        <v>55</v>
      </c>
      <c r="S369" s="2">
        <v>46162</v>
      </c>
      <c r="T369" s="2">
        <v>46163</v>
      </c>
      <c r="V369" s="1">
        <v>1</v>
      </c>
      <c r="W369" s="1">
        <v>1</v>
      </c>
      <c r="X369" s="1">
        <v>1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</row>
    <row r="370" spans="1:33" x14ac:dyDescent="0.25">
      <c r="A370" s="1">
        <v>519</v>
      </c>
      <c r="B370" s="1" t="s">
        <v>752</v>
      </c>
      <c r="C370" s="1" t="s">
        <v>751</v>
      </c>
      <c r="D370" s="1" t="s">
        <v>98</v>
      </c>
      <c r="E370" s="1" t="s">
        <v>53</v>
      </c>
      <c r="F370" s="3">
        <v>46188</v>
      </c>
      <c r="G370" s="3">
        <v>46188</v>
      </c>
      <c r="H370" s="4">
        <v>1</v>
      </c>
      <c r="I370" s="3">
        <v>46188</v>
      </c>
      <c r="J370" s="1">
        <v>518</v>
      </c>
      <c r="K370" s="1">
        <v>520</v>
      </c>
      <c r="L370" s="1" t="s">
        <v>59</v>
      </c>
      <c r="M370" s="1" t="s">
        <v>62</v>
      </c>
      <c r="N370" s="2">
        <v>46164</v>
      </c>
      <c r="P370" s="1" t="s">
        <v>696</v>
      </c>
      <c r="Q370" s="1" t="s">
        <v>138</v>
      </c>
      <c r="R370" s="1" t="s">
        <v>55</v>
      </c>
      <c r="S370" s="2">
        <v>46164</v>
      </c>
      <c r="T370" s="2">
        <v>46164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1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</row>
    <row r="371" spans="1:33" x14ac:dyDescent="0.25">
      <c r="A371" s="1">
        <v>520</v>
      </c>
      <c r="B371" s="1" t="s">
        <v>753</v>
      </c>
      <c r="C371" s="1" t="s">
        <v>751</v>
      </c>
      <c r="D371" s="1" t="s">
        <v>102</v>
      </c>
      <c r="E371" s="1" t="s">
        <v>121</v>
      </c>
      <c r="F371" s="3">
        <v>46189</v>
      </c>
      <c r="G371" s="3">
        <v>46190</v>
      </c>
      <c r="H371" s="4">
        <v>0.5</v>
      </c>
      <c r="J371" s="1">
        <v>519</v>
      </c>
      <c r="K371" s="1">
        <v>521</v>
      </c>
      <c r="L371" s="1" t="s">
        <v>35</v>
      </c>
      <c r="M371" s="1" t="s">
        <v>137</v>
      </c>
      <c r="N371" s="2">
        <v>46168</v>
      </c>
      <c r="P371" s="1" t="s">
        <v>696</v>
      </c>
      <c r="Q371" s="1" t="s">
        <v>138</v>
      </c>
      <c r="R371" s="1" t="s">
        <v>55</v>
      </c>
      <c r="S371" s="2">
        <v>46167</v>
      </c>
      <c r="T371" s="2">
        <v>46168</v>
      </c>
      <c r="V371" s="1">
        <v>0.5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</row>
    <row r="372" spans="1:33" x14ac:dyDescent="0.25">
      <c r="A372" s="1">
        <v>521</v>
      </c>
      <c r="B372" s="1" t="s">
        <v>754</v>
      </c>
      <c r="C372" s="1" t="s">
        <v>751</v>
      </c>
      <c r="D372" s="1" t="s">
        <v>108</v>
      </c>
      <c r="E372" s="1" t="s">
        <v>53</v>
      </c>
      <c r="F372" s="3">
        <v>46191</v>
      </c>
      <c r="G372" s="3">
        <v>46191</v>
      </c>
      <c r="H372" s="4">
        <v>0</v>
      </c>
      <c r="J372" s="1">
        <v>520</v>
      </c>
      <c r="L372" s="1" t="s">
        <v>35</v>
      </c>
      <c r="M372" s="1" t="s">
        <v>436</v>
      </c>
      <c r="N372" s="2">
        <v>46169</v>
      </c>
      <c r="P372" s="1" t="s">
        <v>696</v>
      </c>
      <c r="Q372" s="1" t="s">
        <v>138</v>
      </c>
      <c r="R372" s="1" t="s">
        <v>55</v>
      </c>
      <c r="S372" s="2">
        <v>46169</v>
      </c>
      <c r="T372" s="2">
        <v>46169</v>
      </c>
      <c r="V372" s="1">
        <v>0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</row>
    <row r="373" spans="1:33" x14ac:dyDescent="0.25">
      <c r="A373" s="1">
        <v>522</v>
      </c>
      <c r="B373" s="1" t="s">
        <v>755</v>
      </c>
      <c r="C373" s="1" t="s">
        <v>698</v>
      </c>
      <c r="D373" s="1" t="s">
        <v>756</v>
      </c>
      <c r="E373" s="1" t="s">
        <v>741</v>
      </c>
      <c r="F373" s="3">
        <v>46195</v>
      </c>
      <c r="G373" s="3">
        <v>46206</v>
      </c>
      <c r="H373" s="4">
        <v>0.56000000000000005</v>
      </c>
      <c r="L373" s="1" t="s">
        <v>35</v>
      </c>
      <c r="M373" s="1" t="s">
        <v>436</v>
      </c>
      <c r="N373" s="2">
        <v>46188</v>
      </c>
      <c r="P373" s="1" t="s">
        <v>696</v>
      </c>
      <c r="Q373" s="1" t="s">
        <v>146</v>
      </c>
      <c r="R373" s="1" t="s">
        <v>55</v>
      </c>
      <c r="S373" s="2">
        <v>46169</v>
      </c>
      <c r="T373" s="2">
        <v>46188</v>
      </c>
      <c r="V373" s="1">
        <v>0.56000000000000005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</row>
    <row r="374" spans="1:33" x14ac:dyDescent="0.25">
      <c r="A374" s="1">
        <v>523</v>
      </c>
      <c r="B374" s="1" t="s">
        <v>757</v>
      </c>
      <c r="C374" s="1" t="s">
        <v>758</v>
      </c>
      <c r="D374" s="1" t="s">
        <v>94</v>
      </c>
      <c r="E374" s="1" t="s">
        <v>553</v>
      </c>
      <c r="F374" s="3">
        <v>46195</v>
      </c>
      <c r="G374" s="3">
        <v>46198</v>
      </c>
      <c r="H374" s="4">
        <v>1</v>
      </c>
      <c r="I374" s="3">
        <v>46198</v>
      </c>
      <c r="J374" s="1">
        <v>478</v>
      </c>
      <c r="K374" s="1">
        <v>524</v>
      </c>
      <c r="L374" s="1" t="s">
        <v>59</v>
      </c>
      <c r="M374" s="1" t="s">
        <v>436</v>
      </c>
      <c r="N374" s="2">
        <v>46182</v>
      </c>
      <c r="P374" s="1" t="s">
        <v>696</v>
      </c>
      <c r="Q374" s="1" t="s">
        <v>146</v>
      </c>
      <c r="R374" s="1" t="s">
        <v>55</v>
      </c>
      <c r="S374" s="2">
        <v>46169</v>
      </c>
      <c r="T374" s="2">
        <v>46182</v>
      </c>
      <c r="V374" s="1">
        <v>1</v>
      </c>
      <c r="W374" s="1">
        <v>1</v>
      </c>
      <c r="X374" s="1">
        <v>1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1</v>
      </c>
    </row>
    <row r="375" spans="1:33" x14ac:dyDescent="0.25">
      <c r="A375" s="1">
        <v>524</v>
      </c>
      <c r="B375" s="1" t="s">
        <v>759</v>
      </c>
      <c r="C375" s="1" t="s">
        <v>758</v>
      </c>
      <c r="D375" s="1" t="s">
        <v>98</v>
      </c>
      <c r="E375" s="1" t="s">
        <v>53</v>
      </c>
      <c r="F375" s="3">
        <v>46199</v>
      </c>
      <c r="G375" s="3">
        <v>46199</v>
      </c>
      <c r="H375" s="4">
        <v>0.5</v>
      </c>
      <c r="J375" s="1">
        <v>523</v>
      </c>
      <c r="K375" s="1">
        <v>525</v>
      </c>
      <c r="L375" s="1" t="s">
        <v>35</v>
      </c>
      <c r="M375" s="1" t="s">
        <v>292</v>
      </c>
      <c r="N375" s="2">
        <v>46183</v>
      </c>
      <c r="P375" s="1" t="s">
        <v>696</v>
      </c>
      <c r="Q375" s="1" t="s">
        <v>151</v>
      </c>
      <c r="R375" s="1" t="s">
        <v>55</v>
      </c>
      <c r="S375" s="2">
        <v>46183</v>
      </c>
      <c r="T375" s="2">
        <v>46183</v>
      </c>
      <c r="V375" s="1">
        <v>0.5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</row>
    <row r="376" spans="1:33" x14ac:dyDescent="0.25">
      <c r="A376" s="1">
        <v>525</v>
      </c>
      <c r="B376" s="1" t="s">
        <v>760</v>
      </c>
      <c r="C376" s="1" t="s">
        <v>758</v>
      </c>
      <c r="D376" s="1" t="s">
        <v>102</v>
      </c>
      <c r="E376" s="1" t="s">
        <v>121</v>
      </c>
      <c r="F376" s="3">
        <v>46202</v>
      </c>
      <c r="G376" s="3">
        <v>46203</v>
      </c>
      <c r="H376" s="4">
        <v>0</v>
      </c>
      <c r="J376" s="1">
        <v>524</v>
      </c>
      <c r="K376" s="1">
        <v>526</v>
      </c>
      <c r="L376" s="1" t="s">
        <v>35</v>
      </c>
      <c r="M376" s="1" t="s">
        <v>294</v>
      </c>
      <c r="N376" s="2">
        <v>46185</v>
      </c>
      <c r="P376" s="1" t="s">
        <v>696</v>
      </c>
      <c r="Q376" s="1" t="s">
        <v>151</v>
      </c>
      <c r="R376" s="1" t="s">
        <v>55</v>
      </c>
      <c r="S376" s="2">
        <v>46184</v>
      </c>
      <c r="T376" s="2">
        <v>46185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1</v>
      </c>
      <c r="AE376" s="1">
        <v>0</v>
      </c>
      <c r="AF376" s="1">
        <v>0</v>
      </c>
      <c r="AG376" s="1">
        <v>0</v>
      </c>
    </row>
    <row r="377" spans="1:33" x14ac:dyDescent="0.25">
      <c r="A377" s="1">
        <v>526</v>
      </c>
      <c r="B377" s="1" t="s">
        <v>761</v>
      </c>
      <c r="C377" s="1" t="s">
        <v>758</v>
      </c>
      <c r="D377" s="1" t="s">
        <v>108</v>
      </c>
      <c r="E377" s="1" t="s">
        <v>53</v>
      </c>
      <c r="F377" s="3">
        <v>46206</v>
      </c>
      <c r="G377" s="3">
        <v>46206</v>
      </c>
      <c r="H377" s="4">
        <v>0</v>
      </c>
      <c r="J377" s="1">
        <v>525</v>
      </c>
      <c r="L377" s="1" t="s">
        <v>131</v>
      </c>
      <c r="M377" s="1" t="s">
        <v>296</v>
      </c>
      <c r="N377" s="2">
        <v>46188</v>
      </c>
      <c r="P377" s="1" t="s">
        <v>696</v>
      </c>
      <c r="Q377" s="1" t="s">
        <v>151</v>
      </c>
      <c r="R377" s="1" t="s">
        <v>55</v>
      </c>
      <c r="S377" s="2">
        <v>46188</v>
      </c>
      <c r="T377" s="2">
        <v>46188</v>
      </c>
      <c r="V377" s="1">
        <v>0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</row>
    <row r="378" spans="1:33" x14ac:dyDescent="0.25">
      <c r="A378" s="1">
        <v>527</v>
      </c>
      <c r="B378" s="1" t="s">
        <v>762</v>
      </c>
      <c r="C378" s="1" t="s">
        <v>698</v>
      </c>
      <c r="D378" s="1" t="s">
        <v>763</v>
      </c>
      <c r="E378" s="1" t="s">
        <v>741</v>
      </c>
      <c r="F378" s="3">
        <v>46192</v>
      </c>
      <c r="G378" s="3">
        <v>46205</v>
      </c>
      <c r="H378" s="4">
        <v>0.56000000000000005</v>
      </c>
      <c r="L378" s="1" t="s">
        <v>35</v>
      </c>
      <c r="M378" s="1" t="s">
        <v>436</v>
      </c>
      <c r="N378" s="2">
        <v>46188</v>
      </c>
      <c r="P378" s="1" t="s">
        <v>696</v>
      </c>
      <c r="Q378" s="1" t="s">
        <v>138</v>
      </c>
      <c r="R378" s="1" t="s">
        <v>55</v>
      </c>
      <c r="S378" s="2">
        <v>46169</v>
      </c>
      <c r="T378" s="2">
        <v>46188</v>
      </c>
      <c r="V378" s="1">
        <v>0.56000000000000005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</row>
    <row r="379" spans="1:33" x14ac:dyDescent="0.25">
      <c r="A379" s="1">
        <v>528</v>
      </c>
      <c r="B379" s="1" t="s">
        <v>764</v>
      </c>
      <c r="C379" s="1" t="s">
        <v>765</v>
      </c>
      <c r="D379" s="1" t="s">
        <v>94</v>
      </c>
      <c r="E379" s="1" t="s">
        <v>553</v>
      </c>
      <c r="F379" s="3">
        <v>46192</v>
      </c>
      <c r="G379" s="3">
        <v>46197</v>
      </c>
      <c r="H379" s="4">
        <v>1</v>
      </c>
      <c r="I379" s="3">
        <v>46197</v>
      </c>
      <c r="J379" s="1">
        <v>478</v>
      </c>
      <c r="K379" s="1">
        <v>529</v>
      </c>
      <c r="L379" s="1" t="s">
        <v>59</v>
      </c>
      <c r="M379" s="1" t="s">
        <v>436</v>
      </c>
      <c r="N379" s="2">
        <v>46182</v>
      </c>
      <c r="P379" s="1" t="s">
        <v>696</v>
      </c>
      <c r="Q379" s="1" t="s">
        <v>138</v>
      </c>
      <c r="R379" s="1" t="s">
        <v>55</v>
      </c>
      <c r="S379" s="2">
        <v>46169</v>
      </c>
      <c r="T379" s="2">
        <v>46182</v>
      </c>
      <c r="V379" s="1">
        <v>1</v>
      </c>
      <c r="W379" s="1">
        <v>1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</row>
    <row r="380" spans="1:33" x14ac:dyDescent="0.25">
      <c r="A380" s="1">
        <v>529</v>
      </c>
      <c r="B380" s="1" t="s">
        <v>766</v>
      </c>
      <c r="C380" s="1" t="s">
        <v>765</v>
      </c>
      <c r="D380" s="1" t="s">
        <v>98</v>
      </c>
      <c r="E380" s="1" t="s">
        <v>53</v>
      </c>
      <c r="F380" s="3">
        <v>46198</v>
      </c>
      <c r="G380" s="3">
        <v>46198</v>
      </c>
      <c r="H380" s="4">
        <v>0.5</v>
      </c>
      <c r="J380" s="1">
        <v>528</v>
      </c>
      <c r="K380" s="1">
        <v>530</v>
      </c>
      <c r="L380" s="1" t="s">
        <v>35</v>
      </c>
      <c r="M380" s="1" t="s">
        <v>292</v>
      </c>
      <c r="N380" s="2">
        <v>46183</v>
      </c>
      <c r="P380" s="1" t="s">
        <v>696</v>
      </c>
      <c r="Q380" s="1" t="s">
        <v>146</v>
      </c>
      <c r="R380" s="1" t="s">
        <v>55</v>
      </c>
      <c r="S380" s="2">
        <v>46183</v>
      </c>
      <c r="T380" s="2">
        <v>46183</v>
      </c>
      <c r="V380" s="1">
        <v>0.5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</row>
    <row r="381" spans="1:33" x14ac:dyDescent="0.25">
      <c r="A381" s="1">
        <v>530</v>
      </c>
      <c r="B381" s="1" t="s">
        <v>767</v>
      </c>
      <c r="C381" s="1" t="s">
        <v>765</v>
      </c>
      <c r="D381" s="1" t="s">
        <v>102</v>
      </c>
      <c r="E381" s="1" t="s">
        <v>121</v>
      </c>
      <c r="F381" s="3">
        <v>46199</v>
      </c>
      <c r="G381" s="3">
        <v>46202</v>
      </c>
      <c r="H381" s="4">
        <v>0</v>
      </c>
      <c r="J381" s="1">
        <v>529</v>
      </c>
      <c r="K381" s="1">
        <v>531</v>
      </c>
      <c r="L381" s="1" t="s">
        <v>35</v>
      </c>
      <c r="M381" s="1" t="s">
        <v>294</v>
      </c>
      <c r="N381" s="2">
        <v>46185</v>
      </c>
      <c r="P381" s="1" t="s">
        <v>696</v>
      </c>
      <c r="Q381" s="1" t="s">
        <v>146</v>
      </c>
      <c r="R381" s="1" t="s">
        <v>55</v>
      </c>
      <c r="S381" s="2">
        <v>46184</v>
      </c>
      <c r="T381" s="2">
        <v>46185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</row>
    <row r="382" spans="1:33" x14ac:dyDescent="0.25">
      <c r="A382" s="1">
        <v>531</v>
      </c>
      <c r="B382" s="1" t="s">
        <v>768</v>
      </c>
      <c r="C382" s="1" t="s">
        <v>765</v>
      </c>
      <c r="D382" s="1" t="s">
        <v>108</v>
      </c>
      <c r="E382" s="1" t="s">
        <v>53</v>
      </c>
      <c r="F382" s="3">
        <v>46205</v>
      </c>
      <c r="G382" s="3">
        <v>46205</v>
      </c>
      <c r="H382" s="4">
        <v>0</v>
      </c>
      <c r="J382" s="1">
        <v>530</v>
      </c>
      <c r="L382" s="1" t="s">
        <v>35</v>
      </c>
      <c r="M382" s="1" t="s">
        <v>296</v>
      </c>
      <c r="N382" s="2">
        <v>46188</v>
      </c>
      <c r="P382" s="1" t="s">
        <v>696</v>
      </c>
      <c r="Q382" s="1" t="s">
        <v>151</v>
      </c>
      <c r="R382" s="1" t="s">
        <v>55</v>
      </c>
      <c r="S382" s="2">
        <v>46188</v>
      </c>
      <c r="T382" s="2">
        <v>46188</v>
      </c>
      <c r="V382" s="1">
        <v>0</v>
      </c>
      <c r="W382" s="1">
        <v>0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</row>
    <row r="383" spans="1:33" x14ac:dyDescent="0.25">
      <c r="A383" s="1">
        <v>532</v>
      </c>
      <c r="B383" s="1" t="s">
        <v>769</v>
      </c>
      <c r="C383" s="1" t="s">
        <v>698</v>
      </c>
      <c r="D383" s="1" t="s">
        <v>770</v>
      </c>
      <c r="E383" s="1" t="s">
        <v>136</v>
      </c>
      <c r="F383" s="3">
        <v>46197</v>
      </c>
      <c r="G383" s="3">
        <v>46205</v>
      </c>
      <c r="H383" s="4">
        <v>0.5</v>
      </c>
      <c r="L383" s="1" t="s">
        <v>35</v>
      </c>
      <c r="M383" s="1" t="s">
        <v>436</v>
      </c>
      <c r="N383" s="2">
        <v>46188</v>
      </c>
      <c r="P383" s="1" t="s">
        <v>696</v>
      </c>
      <c r="Q383" s="1" t="s">
        <v>146</v>
      </c>
      <c r="R383" s="1" t="s">
        <v>55</v>
      </c>
      <c r="S383" s="2">
        <v>46169</v>
      </c>
      <c r="T383" s="2">
        <v>46188</v>
      </c>
      <c r="V383" s="1">
        <v>0.5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</row>
    <row r="384" spans="1:33" x14ac:dyDescent="0.25">
      <c r="A384" s="1">
        <v>533</v>
      </c>
      <c r="B384" s="1" t="s">
        <v>771</v>
      </c>
      <c r="C384" s="1" t="s">
        <v>772</v>
      </c>
      <c r="D384" s="1" t="s">
        <v>94</v>
      </c>
      <c r="E384" s="1" t="s">
        <v>95</v>
      </c>
      <c r="F384" s="3">
        <v>46197</v>
      </c>
      <c r="G384" s="3">
        <v>46199</v>
      </c>
      <c r="H384" s="4">
        <v>1</v>
      </c>
      <c r="I384" s="3">
        <v>46199</v>
      </c>
      <c r="J384" s="1">
        <v>478</v>
      </c>
      <c r="K384" s="1">
        <v>534</v>
      </c>
      <c r="L384" s="1" t="s">
        <v>59</v>
      </c>
      <c r="M384" s="1" t="s">
        <v>436</v>
      </c>
      <c r="N384" s="2">
        <v>46182</v>
      </c>
      <c r="P384" s="1" t="s">
        <v>696</v>
      </c>
      <c r="Q384" s="1" t="s">
        <v>146</v>
      </c>
      <c r="R384" s="1" t="s">
        <v>55</v>
      </c>
      <c r="S384" s="2">
        <v>46169</v>
      </c>
      <c r="T384" s="2">
        <v>46182</v>
      </c>
      <c r="V384" s="1">
        <v>1</v>
      </c>
      <c r="W384" s="1">
        <v>1</v>
      </c>
      <c r="X384" s="1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1</v>
      </c>
    </row>
    <row r="385" spans="1:33" x14ac:dyDescent="0.25">
      <c r="A385" s="1">
        <v>534</v>
      </c>
      <c r="B385" s="1" t="s">
        <v>773</v>
      </c>
      <c r="C385" s="1" t="s">
        <v>772</v>
      </c>
      <c r="D385" s="1" t="s">
        <v>98</v>
      </c>
      <c r="E385" s="1" t="s">
        <v>53</v>
      </c>
      <c r="F385" s="3">
        <v>46202</v>
      </c>
      <c r="G385" s="3">
        <v>46202</v>
      </c>
      <c r="H385" s="4">
        <v>0.5</v>
      </c>
      <c r="J385" s="1">
        <v>533</v>
      </c>
      <c r="K385" s="1">
        <v>535</v>
      </c>
      <c r="L385" s="1" t="s">
        <v>35</v>
      </c>
      <c r="M385" s="1" t="s">
        <v>292</v>
      </c>
      <c r="N385" s="2">
        <v>46183</v>
      </c>
      <c r="P385" s="1" t="s">
        <v>696</v>
      </c>
      <c r="Q385" s="1" t="s">
        <v>151</v>
      </c>
      <c r="R385" s="1" t="s">
        <v>55</v>
      </c>
      <c r="S385" s="2">
        <v>46183</v>
      </c>
      <c r="T385" s="2">
        <v>46183</v>
      </c>
      <c r="V385" s="1">
        <v>0.5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</row>
    <row r="386" spans="1:33" x14ac:dyDescent="0.25">
      <c r="A386" s="1">
        <v>535</v>
      </c>
      <c r="B386" s="1" t="s">
        <v>774</v>
      </c>
      <c r="C386" s="1" t="s">
        <v>772</v>
      </c>
      <c r="D386" s="1" t="s">
        <v>102</v>
      </c>
      <c r="E386" s="1" t="s">
        <v>121</v>
      </c>
      <c r="F386" s="3">
        <v>46203</v>
      </c>
      <c r="G386" s="3">
        <v>46204</v>
      </c>
      <c r="H386" s="4">
        <v>0</v>
      </c>
      <c r="J386" s="1">
        <v>534</v>
      </c>
      <c r="K386" s="1">
        <v>536</v>
      </c>
      <c r="L386" s="1" t="s">
        <v>35</v>
      </c>
      <c r="M386" s="1" t="s">
        <v>294</v>
      </c>
      <c r="N386" s="2">
        <v>46185</v>
      </c>
      <c r="P386" s="1" t="s">
        <v>696</v>
      </c>
      <c r="Q386" s="1" t="s">
        <v>151</v>
      </c>
      <c r="R386" s="1" t="s">
        <v>55</v>
      </c>
      <c r="S386" s="2">
        <v>46184</v>
      </c>
      <c r="T386" s="2">
        <v>46185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1</v>
      </c>
      <c r="AE386" s="1">
        <v>0</v>
      </c>
      <c r="AF386" s="1">
        <v>0</v>
      </c>
      <c r="AG386" s="1">
        <v>0</v>
      </c>
    </row>
    <row r="387" spans="1:33" x14ac:dyDescent="0.25">
      <c r="A387" s="1">
        <v>536</v>
      </c>
      <c r="B387" s="1" t="s">
        <v>775</v>
      </c>
      <c r="C387" s="1" t="s">
        <v>772</v>
      </c>
      <c r="D387" s="1" t="s">
        <v>108</v>
      </c>
      <c r="E387" s="1" t="s">
        <v>53</v>
      </c>
      <c r="F387" s="3">
        <v>46205</v>
      </c>
      <c r="G387" s="3">
        <v>46205</v>
      </c>
      <c r="H387" s="4">
        <v>0</v>
      </c>
      <c r="J387" s="1">
        <v>535</v>
      </c>
      <c r="L387" s="1" t="s">
        <v>35</v>
      </c>
      <c r="M387" s="1" t="s">
        <v>296</v>
      </c>
      <c r="N387" s="2">
        <v>46188</v>
      </c>
      <c r="P387" s="1" t="s">
        <v>696</v>
      </c>
      <c r="Q387" s="1" t="s">
        <v>151</v>
      </c>
      <c r="R387" s="1" t="s">
        <v>55</v>
      </c>
      <c r="S387" s="2">
        <v>46188</v>
      </c>
      <c r="T387" s="2">
        <v>46188</v>
      </c>
      <c r="V387" s="1">
        <v>0</v>
      </c>
      <c r="W387" s="1">
        <v>0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</row>
    <row r="388" spans="1:33" x14ac:dyDescent="0.25">
      <c r="A388" s="1">
        <v>537</v>
      </c>
      <c r="B388" s="1" t="s">
        <v>776</v>
      </c>
      <c r="C388" s="1" t="s">
        <v>698</v>
      </c>
      <c r="D388" s="1" t="s">
        <v>777</v>
      </c>
      <c r="E388" s="1" t="s">
        <v>622</v>
      </c>
      <c r="F388" s="3">
        <v>46192</v>
      </c>
      <c r="G388" s="3">
        <v>46203</v>
      </c>
      <c r="H388" s="4">
        <v>0.56000000000000005</v>
      </c>
      <c r="L388" s="1" t="s">
        <v>35</v>
      </c>
      <c r="M388" s="1" t="s">
        <v>436</v>
      </c>
      <c r="N388" s="2">
        <v>46188</v>
      </c>
      <c r="P388" s="1" t="s">
        <v>696</v>
      </c>
      <c r="Q388" s="1" t="s">
        <v>138</v>
      </c>
      <c r="R388" s="1" t="s">
        <v>55</v>
      </c>
      <c r="S388" s="2">
        <v>46169</v>
      </c>
      <c r="T388" s="2">
        <v>46188</v>
      </c>
      <c r="V388" s="1">
        <v>0.56000000000000005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</row>
    <row r="389" spans="1:33" x14ac:dyDescent="0.25">
      <c r="A389" s="1">
        <v>538</v>
      </c>
      <c r="B389" s="1" t="s">
        <v>778</v>
      </c>
      <c r="C389" s="1" t="s">
        <v>779</v>
      </c>
      <c r="D389" s="1" t="s">
        <v>94</v>
      </c>
      <c r="E389" s="1" t="s">
        <v>553</v>
      </c>
      <c r="F389" s="3">
        <v>46192</v>
      </c>
      <c r="G389" s="3">
        <v>46197</v>
      </c>
      <c r="H389" s="4">
        <v>1</v>
      </c>
      <c r="I389" s="3">
        <v>46197</v>
      </c>
      <c r="J389" s="1">
        <v>478</v>
      </c>
      <c r="K389" s="1">
        <v>539</v>
      </c>
      <c r="L389" s="1" t="s">
        <v>59</v>
      </c>
      <c r="M389" s="1" t="s">
        <v>436</v>
      </c>
      <c r="N389" s="2">
        <v>46182</v>
      </c>
      <c r="P389" s="1" t="s">
        <v>696</v>
      </c>
      <c r="Q389" s="1" t="s">
        <v>138</v>
      </c>
      <c r="R389" s="1" t="s">
        <v>55</v>
      </c>
      <c r="S389" s="2">
        <v>46169</v>
      </c>
      <c r="T389" s="2">
        <v>46182</v>
      </c>
      <c r="V389" s="1">
        <v>1</v>
      </c>
      <c r="W389" s="1">
        <v>1</v>
      </c>
      <c r="X389" s="1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1</v>
      </c>
    </row>
    <row r="390" spans="1:33" x14ac:dyDescent="0.25">
      <c r="A390" s="1">
        <v>539</v>
      </c>
      <c r="B390" s="1" t="s">
        <v>780</v>
      </c>
      <c r="C390" s="1" t="s">
        <v>779</v>
      </c>
      <c r="D390" s="1" t="s">
        <v>98</v>
      </c>
      <c r="E390" s="1" t="s">
        <v>53</v>
      </c>
      <c r="F390" s="3">
        <v>46198</v>
      </c>
      <c r="G390" s="3">
        <v>46198</v>
      </c>
      <c r="H390" s="4">
        <v>0.5</v>
      </c>
      <c r="J390" s="1">
        <v>538</v>
      </c>
      <c r="K390" s="1">
        <v>540</v>
      </c>
      <c r="L390" s="1" t="s">
        <v>35</v>
      </c>
      <c r="M390" s="1" t="s">
        <v>292</v>
      </c>
      <c r="N390" s="2">
        <v>46183</v>
      </c>
      <c r="P390" s="1" t="s">
        <v>696</v>
      </c>
      <c r="Q390" s="1" t="s">
        <v>146</v>
      </c>
      <c r="R390" s="1" t="s">
        <v>55</v>
      </c>
      <c r="S390" s="2">
        <v>46183</v>
      </c>
      <c r="T390" s="2">
        <v>46183</v>
      </c>
      <c r="V390" s="1">
        <v>0.5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1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</row>
    <row r="391" spans="1:33" x14ac:dyDescent="0.25">
      <c r="A391" s="1">
        <v>540</v>
      </c>
      <c r="B391" s="1" t="s">
        <v>781</v>
      </c>
      <c r="C391" s="1" t="s">
        <v>779</v>
      </c>
      <c r="D391" s="1" t="s">
        <v>102</v>
      </c>
      <c r="E391" s="1" t="s">
        <v>121</v>
      </c>
      <c r="F391" s="3">
        <v>46199</v>
      </c>
      <c r="G391" s="3">
        <v>46202</v>
      </c>
      <c r="H391" s="4">
        <v>0</v>
      </c>
      <c r="J391" s="1">
        <v>539</v>
      </c>
      <c r="K391" s="1">
        <v>541</v>
      </c>
      <c r="L391" s="1" t="s">
        <v>35</v>
      </c>
      <c r="M391" s="1" t="s">
        <v>294</v>
      </c>
      <c r="N391" s="2">
        <v>46185</v>
      </c>
      <c r="P391" s="1" t="s">
        <v>696</v>
      </c>
      <c r="Q391" s="1" t="s">
        <v>146</v>
      </c>
      <c r="R391" s="1" t="s">
        <v>55</v>
      </c>
      <c r="S391" s="2">
        <v>46184</v>
      </c>
      <c r="T391" s="2">
        <v>46185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1</v>
      </c>
      <c r="AE391" s="1">
        <v>0</v>
      </c>
      <c r="AF391" s="1">
        <v>0</v>
      </c>
      <c r="AG391" s="1">
        <v>0</v>
      </c>
    </row>
    <row r="392" spans="1:33" x14ac:dyDescent="0.25">
      <c r="A392" s="1">
        <v>541</v>
      </c>
      <c r="B392" s="1" t="s">
        <v>782</v>
      </c>
      <c r="C392" s="1" t="s">
        <v>779</v>
      </c>
      <c r="D392" s="1" t="s">
        <v>108</v>
      </c>
      <c r="E392" s="1" t="s">
        <v>53</v>
      </c>
      <c r="F392" s="3">
        <v>46203</v>
      </c>
      <c r="G392" s="3">
        <v>46203</v>
      </c>
      <c r="H392" s="4">
        <v>0</v>
      </c>
      <c r="J392" s="1">
        <v>540</v>
      </c>
      <c r="L392" s="1" t="s">
        <v>35</v>
      </c>
      <c r="M392" s="1" t="s">
        <v>296</v>
      </c>
      <c r="N392" s="2">
        <v>46188</v>
      </c>
      <c r="P392" s="1" t="s">
        <v>696</v>
      </c>
      <c r="Q392" s="1" t="s">
        <v>151</v>
      </c>
      <c r="R392" s="1" t="s">
        <v>55</v>
      </c>
      <c r="S392" s="2">
        <v>46188</v>
      </c>
      <c r="T392" s="2">
        <v>46188</v>
      </c>
      <c r="V392" s="1">
        <v>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</v>
      </c>
      <c r="AG392" s="1">
        <v>0</v>
      </c>
    </row>
    <row r="393" spans="1:33" x14ac:dyDescent="0.25">
      <c r="A393" s="1">
        <v>542</v>
      </c>
      <c r="B393" s="1" t="s">
        <v>783</v>
      </c>
      <c r="C393" s="1" t="s">
        <v>698</v>
      </c>
      <c r="D393" s="1" t="s">
        <v>784</v>
      </c>
      <c r="E393" s="1" t="s">
        <v>622</v>
      </c>
      <c r="F393" s="3">
        <v>46204</v>
      </c>
      <c r="G393" s="3">
        <v>46217</v>
      </c>
      <c r="H393" s="4">
        <v>0.25</v>
      </c>
      <c r="L393" s="1" t="s">
        <v>131</v>
      </c>
      <c r="M393" s="1" t="s">
        <v>292</v>
      </c>
      <c r="N393" s="2">
        <v>46191</v>
      </c>
      <c r="P393" s="1" t="s">
        <v>696</v>
      </c>
      <c r="Q393" s="1" t="s">
        <v>138</v>
      </c>
      <c r="R393" s="1" t="s">
        <v>55</v>
      </c>
      <c r="S393" s="2">
        <v>46183</v>
      </c>
      <c r="T393" s="2">
        <v>46191</v>
      </c>
      <c r="V393" s="1">
        <v>0.25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</row>
    <row r="394" spans="1:33" x14ac:dyDescent="0.25">
      <c r="A394" s="1">
        <v>543</v>
      </c>
      <c r="B394" s="1" t="s">
        <v>785</v>
      </c>
      <c r="C394" s="1" t="s">
        <v>786</v>
      </c>
      <c r="D394" s="1" t="s">
        <v>94</v>
      </c>
      <c r="E394" s="1" t="s">
        <v>553</v>
      </c>
      <c r="F394" s="3">
        <v>46204</v>
      </c>
      <c r="G394" s="3">
        <v>46209</v>
      </c>
      <c r="H394" s="4">
        <v>0.5</v>
      </c>
      <c r="K394" s="1" t="s">
        <v>787</v>
      </c>
      <c r="L394" s="1" t="s">
        <v>131</v>
      </c>
      <c r="M394" s="1" t="s">
        <v>292</v>
      </c>
      <c r="N394" s="2">
        <v>46185</v>
      </c>
      <c r="P394" s="1" t="s">
        <v>696</v>
      </c>
      <c r="Q394" s="1" t="s">
        <v>138</v>
      </c>
      <c r="R394" s="1" t="s">
        <v>55</v>
      </c>
      <c r="S394" s="2">
        <v>46183</v>
      </c>
      <c r="T394" s="2">
        <v>46185</v>
      </c>
      <c r="V394" s="1">
        <v>0.5</v>
      </c>
      <c r="W394" s="1">
        <v>1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</row>
    <row r="395" spans="1:33" x14ac:dyDescent="0.25">
      <c r="A395" s="1">
        <v>544</v>
      </c>
      <c r="B395" s="1" t="s">
        <v>788</v>
      </c>
      <c r="C395" s="1" t="s">
        <v>786</v>
      </c>
      <c r="D395" s="1" t="s">
        <v>98</v>
      </c>
      <c r="E395" s="1" t="s">
        <v>53</v>
      </c>
      <c r="F395" s="3">
        <v>46210</v>
      </c>
      <c r="G395" s="3">
        <v>46210</v>
      </c>
      <c r="H395" s="4">
        <v>0</v>
      </c>
      <c r="J395" s="1">
        <v>543</v>
      </c>
      <c r="K395" s="1">
        <v>545</v>
      </c>
      <c r="L395" s="1" t="s">
        <v>144</v>
      </c>
      <c r="M395" s="1" t="s">
        <v>296</v>
      </c>
      <c r="N395" s="2">
        <v>46188</v>
      </c>
      <c r="P395" s="1" t="s">
        <v>696</v>
      </c>
      <c r="Q395" s="1" t="s">
        <v>146</v>
      </c>
      <c r="R395" s="1" t="s">
        <v>55</v>
      </c>
      <c r="S395" s="2">
        <v>46188</v>
      </c>
      <c r="T395" s="2">
        <v>46188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</row>
    <row r="396" spans="1:33" x14ac:dyDescent="0.25">
      <c r="A396" s="1">
        <v>545</v>
      </c>
      <c r="B396" s="1" t="s">
        <v>789</v>
      </c>
      <c r="C396" s="1" t="s">
        <v>786</v>
      </c>
      <c r="D396" s="1" t="s">
        <v>102</v>
      </c>
      <c r="E396" s="1" t="s">
        <v>121</v>
      </c>
      <c r="F396" s="3">
        <v>46211</v>
      </c>
      <c r="G396" s="3">
        <v>46216</v>
      </c>
      <c r="H396" s="4">
        <v>0</v>
      </c>
      <c r="J396" s="1">
        <v>544</v>
      </c>
      <c r="K396" s="1">
        <v>546</v>
      </c>
      <c r="L396" s="1" t="s">
        <v>144</v>
      </c>
      <c r="M396" s="1" t="s">
        <v>174</v>
      </c>
      <c r="N396" s="2">
        <v>46190</v>
      </c>
      <c r="P396" s="1" t="s">
        <v>696</v>
      </c>
      <c r="Q396" s="1" t="s">
        <v>146</v>
      </c>
      <c r="R396" s="1" t="s">
        <v>55</v>
      </c>
      <c r="S396" s="2">
        <v>46189</v>
      </c>
      <c r="T396" s="2">
        <v>46190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</row>
    <row r="397" spans="1:33" x14ac:dyDescent="0.25">
      <c r="A397" s="1">
        <v>546</v>
      </c>
      <c r="B397" s="1" t="s">
        <v>790</v>
      </c>
      <c r="C397" s="1" t="s">
        <v>786</v>
      </c>
      <c r="D397" s="1" t="s">
        <v>108</v>
      </c>
      <c r="E397" s="1" t="s">
        <v>53</v>
      </c>
      <c r="F397" s="3">
        <v>46217</v>
      </c>
      <c r="G397" s="3">
        <v>46217</v>
      </c>
      <c r="H397" s="4">
        <v>0</v>
      </c>
      <c r="J397" s="1">
        <v>545</v>
      </c>
      <c r="L397" s="1" t="s">
        <v>144</v>
      </c>
      <c r="M397" s="1" t="s">
        <v>386</v>
      </c>
      <c r="N397" s="2">
        <v>46191</v>
      </c>
      <c r="P397" s="1" t="s">
        <v>696</v>
      </c>
      <c r="Q397" s="1" t="s">
        <v>146</v>
      </c>
      <c r="R397" s="1" t="s">
        <v>55</v>
      </c>
      <c r="S397" s="2">
        <v>46191</v>
      </c>
      <c r="T397" s="2">
        <v>46191</v>
      </c>
      <c r="V397" s="1">
        <v>0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</row>
    <row r="398" spans="1:33" x14ac:dyDescent="0.25">
      <c r="A398" s="1">
        <v>557</v>
      </c>
      <c r="B398" s="1" t="s">
        <v>791</v>
      </c>
      <c r="C398" s="1" t="s">
        <v>698</v>
      </c>
      <c r="D398" s="1" t="s">
        <v>792</v>
      </c>
      <c r="E398" s="1" t="s">
        <v>136</v>
      </c>
      <c r="F398" s="3">
        <v>46217</v>
      </c>
      <c r="G398" s="3">
        <v>46225</v>
      </c>
      <c r="H398" s="4">
        <v>0</v>
      </c>
      <c r="L398" s="1" t="s">
        <v>144</v>
      </c>
      <c r="M398" s="1" t="s">
        <v>426</v>
      </c>
      <c r="N398" s="2">
        <v>46210</v>
      </c>
      <c r="P398" s="1" t="s">
        <v>696</v>
      </c>
      <c r="Q398" s="1" t="s">
        <v>146</v>
      </c>
      <c r="R398" s="1" t="s">
        <v>55</v>
      </c>
      <c r="S398" s="2">
        <v>46204</v>
      </c>
      <c r="T398" s="2">
        <v>46210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</row>
    <row r="399" spans="1:33" x14ac:dyDescent="0.25">
      <c r="A399" s="1">
        <v>558</v>
      </c>
      <c r="B399" s="1" t="s">
        <v>793</v>
      </c>
      <c r="C399" s="1" t="s">
        <v>794</v>
      </c>
      <c r="D399" s="1" t="s">
        <v>94</v>
      </c>
      <c r="E399" s="1" t="s">
        <v>553</v>
      </c>
      <c r="F399" s="3">
        <v>46217</v>
      </c>
      <c r="G399" s="3">
        <v>46220</v>
      </c>
      <c r="H399" s="4">
        <v>0</v>
      </c>
      <c r="J399" s="1" t="s">
        <v>795</v>
      </c>
      <c r="K399" s="1" t="s">
        <v>796</v>
      </c>
      <c r="L399" s="1" t="s">
        <v>144</v>
      </c>
      <c r="M399" s="1" t="s">
        <v>426</v>
      </c>
      <c r="N399" s="2">
        <v>46204</v>
      </c>
      <c r="P399" s="1" t="s">
        <v>696</v>
      </c>
      <c r="Q399" s="1" t="s">
        <v>146</v>
      </c>
      <c r="R399" s="1" t="s">
        <v>55</v>
      </c>
      <c r="S399" s="2">
        <v>46204</v>
      </c>
      <c r="T399" s="2">
        <v>46204</v>
      </c>
      <c r="V399" s="1">
        <v>0</v>
      </c>
      <c r="W399" s="1">
        <v>1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</row>
    <row r="400" spans="1:33" x14ac:dyDescent="0.25">
      <c r="A400" s="1">
        <v>559</v>
      </c>
      <c r="B400" s="1" t="s">
        <v>797</v>
      </c>
      <c r="C400" s="1" t="s">
        <v>794</v>
      </c>
      <c r="D400" s="1" t="s">
        <v>98</v>
      </c>
      <c r="E400" s="1" t="s">
        <v>53</v>
      </c>
      <c r="F400" s="3">
        <v>46223</v>
      </c>
      <c r="G400" s="3">
        <v>46223</v>
      </c>
      <c r="H400" s="4">
        <v>0</v>
      </c>
      <c r="J400" s="1">
        <v>558</v>
      </c>
      <c r="K400" s="1">
        <v>560</v>
      </c>
      <c r="L400" s="1" t="s">
        <v>144</v>
      </c>
      <c r="M400" s="1" t="s">
        <v>535</v>
      </c>
      <c r="N400" s="2">
        <v>46205</v>
      </c>
      <c r="P400" s="1" t="s">
        <v>696</v>
      </c>
      <c r="Q400" s="1" t="s">
        <v>151</v>
      </c>
      <c r="R400" s="1" t="s">
        <v>55</v>
      </c>
      <c r="S400" s="2">
        <v>46205</v>
      </c>
      <c r="T400" s="2">
        <v>46205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</row>
    <row r="401" spans="1:33" x14ac:dyDescent="0.25">
      <c r="A401" s="1">
        <v>560</v>
      </c>
      <c r="B401" s="1" t="s">
        <v>798</v>
      </c>
      <c r="C401" s="1" t="s">
        <v>794</v>
      </c>
      <c r="D401" s="1" t="s">
        <v>102</v>
      </c>
      <c r="E401" s="1" t="s">
        <v>53</v>
      </c>
      <c r="F401" s="3">
        <v>46224</v>
      </c>
      <c r="G401" s="3">
        <v>46224</v>
      </c>
      <c r="H401" s="4">
        <v>0</v>
      </c>
      <c r="J401" s="1">
        <v>559</v>
      </c>
      <c r="K401" s="1">
        <v>561</v>
      </c>
      <c r="L401" s="1" t="s">
        <v>144</v>
      </c>
      <c r="M401" s="1" t="s">
        <v>159</v>
      </c>
      <c r="N401" s="2">
        <v>46209</v>
      </c>
      <c r="P401" s="1" t="s">
        <v>696</v>
      </c>
      <c r="Q401" s="1" t="s">
        <v>151</v>
      </c>
      <c r="R401" s="1" t="s">
        <v>55</v>
      </c>
      <c r="S401" s="2">
        <v>46206</v>
      </c>
      <c r="T401" s="2">
        <v>46209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</row>
    <row r="402" spans="1:33" x14ac:dyDescent="0.25">
      <c r="A402" s="1">
        <v>561</v>
      </c>
      <c r="B402" s="1" t="s">
        <v>799</v>
      </c>
      <c r="C402" s="1" t="s">
        <v>794</v>
      </c>
      <c r="D402" s="1" t="s">
        <v>108</v>
      </c>
      <c r="E402" s="1" t="s">
        <v>53</v>
      </c>
      <c r="F402" s="3">
        <v>46225</v>
      </c>
      <c r="G402" s="3">
        <v>46225</v>
      </c>
      <c r="H402" s="4">
        <v>0</v>
      </c>
      <c r="J402" s="1">
        <v>560</v>
      </c>
      <c r="L402" s="1" t="s">
        <v>144</v>
      </c>
      <c r="M402" s="1" t="s">
        <v>538</v>
      </c>
      <c r="N402" s="2">
        <v>46210</v>
      </c>
      <c r="P402" s="1" t="s">
        <v>696</v>
      </c>
      <c r="Q402" s="1" t="s">
        <v>193</v>
      </c>
      <c r="R402" s="1" t="s">
        <v>55</v>
      </c>
      <c r="S402" s="2">
        <v>46210</v>
      </c>
      <c r="T402" s="2">
        <v>46210</v>
      </c>
      <c r="V402" s="1">
        <v>0</v>
      </c>
      <c r="W402" s="1">
        <v>0</v>
      </c>
      <c r="X402" s="1">
        <v>0</v>
      </c>
      <c r="Y402" s="1">
        <v>0</v>
      </c>
      <c r="Z402" s="1">
        <v>1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</row>
    <row r="403" spans="1:33" x14ac:dyDescent="0.25">
      <c r="A403" s="1">
        <v>562</v>
      </c>
      <c r="B403" s="1" t="s">
        <v>800</v>
      </c>
      <c r="C403" s="1" t="s">
        <v>698</v>
      </c>
      <c r="D403" s="1" t="s">
        <v>801</v>
      </c>
      <c r="E403" s="1" t="s">
        <v>136</v>
      </c>
      <c r="F403" s="3">
        <v>46210</v>
      </c>
      <c r="G403" s="3">
        <v>46220</v>
      </c>
      <c r="H403" s="4">
        <v>0</v>
      </c>
      <c r="L403" s="1" t="s">
        <v>144</v>
      </c>
      <c r="M403" s="1" t="s">
        <v>386</v>
      </c>
      <c r="N403" s="2">
        <v>46199</v>
      </c>
      <c r="P403" s="1" t="s">
        <v>696</v>
      </c>
      <c r="Q403" s="1" t="s">
        <v>146</v>
      </c>
      <c r="R403" s="1" t="s">
        <v>55</v>
      </c>
      <c r="S403" s="2">
        <v>46191</v>
      </c>
      <c r="T403" s="2">
        <v>46199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</row>
    <row r="404" spans="1:33" x14ac:dyDescent="0.25">
      <c r="A404" s="1">
        <v>563</v>
      </c>
      <c r="B404" s="1" t="s">
        <v>802</v>
      </c>
      <c r="C404" s="1" t="s">
        <v>803</v>
      </c>
      <c r="D404" s="1" t="s">
        <v>94</v>
      </c>
      <c r="E404" s="1" t="s">
        <v>95</v>
      </c>
      <c r="F404" s="3">
        <v>46210</v>
      </c>
      <c r="G404" s="3">
        <v>46216</v>
      </c>
      <c r="H404" s="4">
        <v>0</v>
      </c>
      <c r="J404" s="1" t="s">
        <v>804</v>
      </c>
      <c r="K404" s="1">
        <v>564</v>
      </c>
      <c r="L404" s="1" t="s">
        <v>144</v>
      </c>
      <c r="M404" s="1" t="s">
        <v>386</v>
      </c>
      <c r="N404" s="2">
        <v>46195</v>
      </c>
      <c r="P404" s="1" t="s">
        <v>696</v>
      </c>
      <c r="Q404" s="1" t="s">
        <v>146</v>
      </c>
      <c r="R404" s="1" t="s">
        <v>55</v>
      </c>
      <c r="S404" s="2">
        <v>46191</v>
      </c>
      <c r="T404" s="2">
        <v>46195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</row>
    <row r="405" spans="1:33" x14ac:dyDescent="0.25">
      <c r="A405" s="1">
        <v>564</v>
      </c>
      <c r="B405" s="1" t="s">
        <v>805</v>
      </c>
      <c r="C405" s="1" t="s">
        <v>803</v>
      </c>
      <c r="D405" s="1" t="s">
        <v>98</v>
      </c>
      <c r="E405" s="1" t="s">
        <v>53</v>
      </c>
      <c r="F405" s="3">
        <v>46217</v>
      </c>
      <c r="G405" s="3">
        <v>46217</v>
      </c>
      <c r="H405" s="4">
        <v>0</v>
      </c>
      <c r="J405" s="1">
        <v>563</v>
      </c>
      <c r="K405" s="1">
        <v>565</v>
      </c>
      <c r="L405" s="1" t="s">
        <v>144</v>
      </c>
      <c r="M405" s="1" t="s">
        <v>418</v>
      </c>
      <c r="N405" s="2">
        <v>46196</v>
      </c>
      <c r="P405" s="1" t="s">
        <v>696</v>
      </c>
      <c r="Q405" s="1" t="s">
        <v>151</v>
      </c>
      <c r="R405" s="1" t="s">
        <v>55</v>
      </c>
      <c r="S405" s="2">
        <v>46196</v>
      </c>
      <c r="T405" s="2">
        <v>46196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</row>
    <row r="406" spans="1:33" x14ac:dyDescent="0.25">
      <c r="A406" s="1">
        <v>565</v>
      </c>
      <c r="B406" s="1" t="s">
        <v>806</v>
      </c>
      <c r="C406" s="1" t="s">
        <v>803</v>
      </c>
      <c r="D406" s="1" t="s">
        <v>102</v>
      </c>
      <c r="E406" s="1" t="s">
        <v>121</v>
      </c>
      <c r="F406" s="3">
        <v>46218</v>
      </c>
      <c r="G406" s="3">
        <v>46219</v>
      </c>
      <c r="H406" s="4">
        <v>0</v>
      </c>
      <c r="J406" s="1">
        <v>564</v>
      </c>
      <c r="K406" s="1">
        <v>566</v>
      </c>
      <c r="L406" s="1" t="s">
        <v>144</v>
      </c>
      <c r="M406" s="1" t="s">
        <v>672</v>
      </c>
      <c r="N406" s="2">
        <v>46198</v>
      </c>
      <c r="P406" s="1" t="s">
        <v>696</v>
      </c>
      <c r="Q406" s="1" t="s">
        <v>151</v>
      </c>
      <c r="R406" s="1" t="s">
        <v>55</v>
      </c>
      <c r="S406" s="2">
        <v>46197</v>
      </c>
      <c r="T406" s="2">
        <v>46198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</row>
    <row r="407" spans="1:33" x14ac:dyDescent="0.25">
      <c r="A407" s="1">
        <v>566</v>
      </c>
      <c r="B407" s="1" t="s">
        <v>807</v>
      </c>
      <c r="C407" s="1" t="s">
        <v>803</v>
      </c>
      <c r="D407" s="1" t="s">
        <v>108</v>
      </c>
      <c r="E407" s="1" t="s">
        <v>53</v>
      </c>
      <c r="F407" s="3">
        <v>46220</v>
      </c>
      <c r="G407" s="3">
        <v>46220</v>
      </c>
      <c r="H407" s="4">
        <v>0</v>
      </c>
      <c r="J407" s="1">
        <v>565</v>
      </c>
      <c r="L407" s="1" t="s">
        <v>144</v>
      </c>
      <c r="M407" s="1" t="s">
        <v>422</v>
      </c>
      <c r="N407" s="2">
        <v>46199</v>
      </c>
      <c r="P407" s="1" t="s">
        <v>696</v>
      </c>
      <c r="Q407" s="1" t="s">
        <v>193</v>
      </c>
      <c r="R407" s="1" t="s">
        <v>55</v>
      </c>
      <c r="S407" s="2">
        <v>46199</v>
      </c>
      <c r="T407" s="2">
        <v>46199</v>
      </c>
      <c r="V407" s="1">
        <v>0</v>
      </c>
      <c r="W407" s="1">
        <v>0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</row>
    <row r="408" spans="1:33" x14ac:dyDescent="0.25">
      <c r="A408" s="1">
        <v>567</v>
      </c>
      <c r="B408" s="1" t="s">
        <v>808</v>
      </c>
      <c r="C408" s="1" t="s">
        <v>698</v>
      </c>
      <c r="D408" s="1" t="s">
        <v>809</v>
      </c>
      <c r="E408" s="1" t="s">
        <v>741</v>
      </c>
      <c r="F408" s="3">
        <v>46188</v>
      </c>
      <c r="G408" s="3">
        <v>46199</v>
      </c>
      <c r="H408" s="4">
        <v>0.75</v>
      </c>
      <c r="L408" s="1" t="s">
        <v>35</v>
      </c>
      <c r="M408" s="1" t="s">
        <v>386</v>
      </c>
      <c r="N408" s="2">
        <v>46210</v>
      </c>
      <c r="P408" s="1" t="s">
        <v>696</v>
      </c>
      <c r="Q408" s="1" t="s">
        <v>138</v>
      </c>
      <c r="R408" s="1" t="s">
        <v>55</v>
      </c>
      <c r="S408" s="2">
        <v>46191</v>
      </c>
      <c r="T408" s="2">
        <v>46210</v>
      </c>
      <c r="V408" s="1">
        <v>0.75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</row>
    <row r="409" spans="1:33" x14ac:dyDescent="0.25">
      <c r="A409" s="1">
        <v>568</v>
      </c>
      <c r="B409" s="1" t="s">
        <v>810</v>
      </c>
      <c r="C409" s="1" t="s">
        <v>811</v>
      </c>
      <c r="D409" s="1" t="s">
        <v>94</v>
      </c>
      <c r="E409" s="1" t="s">
        <v>812</v>
      </c>
      <c r="F409" s="3">
        <v>46188</v>
      </c>
      <c r="G409" s="3">
        <v>46196</v>
      </c>
      <c r="H409" s="4">
        <v>1</v>
      </c>
      <c r="I409" s="3">
        <v>46196</v>
      </c>
      <c r="K409" s="1" t="s">
        <v>813</v>
      </c>
      <c r="L409" s="1" t="s">
        <v>59</v>
      </c>
      <c r="M409" s="1" t="s">
        <v>386</v>
      </c>
      <c r="N409" s="2">
        <v>46204</v>
      </c>
      <c r="P409" s="1" t="s">
        <v>696</v>
      </c>
      <c r="Q409" s="1" t="s">
        <v>138</v>
      </c>
      <c r="R409" s="1" t="s">
        <v>55</v>
      </c>
      <c r="S409" s="2">
        <v>46191</v>
      </c>
      <c r="T409" s="2">
        <v>46204</v>
      </c>
      <c r="V409" s="1">
        <v>1</v>
      </c>
      <c r="W409" s="1">
        <v>1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1</v>
      </c>
    </row>
    <row r="410" spans="1:33" x14ac:dyDescent="0.25">
      <c r="A410" s="1">
        <v>569</v>
      </c>
      <c r="B410" s="1" t="s">
        <v>814</v>
      </c>
      <c r="C410" s="1" t="s">
        <v>811</v>
      </c>
      <c r="D410" s="1" t="s">
        <v>98</v>
      </c>
      <c r="E410" s="1" t="s">
        <v>53</v>
      </c>
      <c r="F410" s="3">
        <v>46197</v>
      </c>
      <c r="G410" s="3">
        <v>46197</v>
      </c>
      <c r="H410" s="4">
        <v>0.5</v>
      </c>
      <c r="J410" s="1">
        <v>568</v>
      </c>
      <c r="K410" s="1">
        <v>570</v>
      </c>
      <c r="L410" s="1" t="s">
        <v>35</v>
      </c>
      <c r="M410" s="1" t="s">
        <v>535</v>
      </c>
      <c r="N410" s="2">
        <v>46205</v>
      </c>
      <c r="P410" s="1" t="s">
        <v>696</v>
      </c>
      <c r="Q410" s="1" t="s">
        <v>146</v>
      </c>
      <c r="R410" s="1" t="s">
        <v>55</v>
      </c>
      <c r="S410" s="2">
        <v>46205</v>
      </c>
      <c r="T410" s="2">
        <v>46205</v>
      </c>
      <c r="V410" s="1">
        <v>0.5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1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</row>
    <row r="411" spans="1:33" x14ac:dyDescent="0.25">
      <c r="A411" s="1">
        <v>570</v>
      </c>
      <c r="B411" s="1" t="s">
        <v>815</v>
      </c>
      <c r="C411" s="1" t="s">
        <v>811</v>
      </c>
      <c r="D411" s="1" t="s">
        <v>102</v>
      </c>
      <c r="E411" s="1" t="s">
        <v>53</v>
      </c>
      <c r="F411" s="3">
        <v>46198</v>
      </c>
      <c r="G411" s="3">
        <v>46198</v>
      </c>
      <c r="H411" s="4">
        <v>0</v>
      </c>
      <c r="J411" s="1">
        <v>569</v>
      </c>
      <c r="K411" s="1">
        <v>571</v>
      </c>
      <c r="L411" s="1" t="s">
        <v>35</v>
      </c>
      <c r="M411" s="1" t="s">
        <v>159</v>
      </c>
      <c r="N411" s="2">
        <v>46209</v>
      </c>
      <c r="P411" s="1" t="s">
        <v>696</v>
      </c>
      <c r="Q411" s="1" t="s">
        <v>146</v>
      </c>
      <c r="R411" s="1" t="s">
        <v>55</v>
      </c>
      <c r="S411" s="2">
        <v>46206</v>
      </c>
      <c r="T411" s="2">
        <v>46209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</row>
    <row r="412" spans="1:33" x14ac:dyDescent="0.25">
      <c r="A412" s="1">
        <v>571</v>
      </c>
      <c r="B412" s="1" t="s">
        <v>816</v>
      </c>
      <c r="C412" s="1" t="s">
        <v>811</v>
      </c>
      <c r="D412" s="1" t="s">
        <v>108</v>
      </c>
      <c r="E412" s="1" t="s">
        <v>53</v>
      </c>
      <c r="F412" s="3">
        <v>46199</v>
      </c>
      <c r="G412" s="3">
        <v>46199</v>
      </c>
      <c r="H412" s="4">
        <v>0</v>
      </c>
      <c r="J412" s="1">
        <v>570</v>
      </c>
      <c r="L412" s="1" t="s">
        <v>35</v>
      </c>
      <c r="M412" s="1" t="s">
        <v>538</v>
      </c>
      <c r="N412" s="2">
        <v>46210</v>
      </c>
      <c r="P412" s="1" t="s">
        <v>696</v>
      </c>
      <c r="Q412" s="1" t="s">
        <v>146</v>
      </c>
      <c r="R412" s="1" t="s">
        <v>55</v>
      </c>
      <c r="S412" s="2">
        <v>46210</v>
      </c>
      <c r="T412" s="2">
        <v>46210</v>
      </c>
      <c r="V412" s="1">
        <v>0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</row>
    <row r="413" spans="1:33" x14ac:dyDescent="0.25">
      <c r="A413" s="1">
        <v>572</v>
      </c>
      <c r="B413" s="1" t="s">
        <v>817</v>
      </c>
      <c r="C413" s="1" t="s">
        <v>698</v>
      </c>
      <c r="D413" s="1" t="s">
        <v>818</v>
      </c>
      <c r="E413" s="1" t="s">
        <v>741</v>
      </c>
      <c r="F413" s="3">
        <v>46189</v>
      </c>
      <c r="G413" s="3">
        <v>46202</v>
      </c>
      <c r="H413" s="4">
        <v>0.75</v>
      </c>
      <c r="L413" s="1" t="s">
        <v>35</v>
      </c>
      <c r="M413" s="1" t="s">
        <v>386</v>
      </c>
      <c r="N413" s="2">
        <v>46210</v>
      </c>
      <c r="P413" s="1" t="s">
        <v>696</v>
      </c>
      <c r="Q413" s="1" t="s">
        <v>138</v>
      </c>
      <c r="R413" s="1" t="s">
        <v>55</v>
      </c>
      <c r="S413" s="2">
        <v>46191</v>
      </c>
      <c r="T413" s="2">
        <v>46210</v>
      </c>
      <c r="V413" s="1">
        <v>0.75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</row>
    <row r="414" spans="1:33" x14ac:dyDescent="0.25">
      <c r="A414" s="1">
        <v>573</v>
      </c>
      <c r="B414" s="1" t="s">
        <v>819</v>
      </c>
      <c r="C414" s="1" t="s">
        <v>820</v>
      </c>
      <c r="D414" s="1" t="s">
        <v>94</v>
      </c>
      <c r="E414" s="1" t="s">
        <v>812</v>
      </c>
      <c r="F414" s="3">
        <v>46189</v>
      </c>
      <c r="G414" s="3">
        <v>46197</v>
      </c>
      <c r="H414" s="4">
        <v>1</v>
      </c>
      <c r="I414" s="3">
        <v>46197</v>
      </c>
      <c r="J414" s="1" t="s">
        <v>821</v>
      </c>
      <c r="K414" s="1">
        <v>574</v>
      </c>
      <c r="L414" s="1" t="s">
        <v>59</v>
      </c>
      <c r="M414" s="1" t="s">
        <v>386</v>
      </c>
      <c r="N414" s="2">
        <v>46204</v>
      </c>
      <c r="P414" s="1" t="s">
        <v>696</v>
      </c>
      <c r="Q414" s="1" t="s">
        <v>138</v>
      </c>
      <c r="R414" s="1" t="s">
        <v>55</v>
      </c>
      <c r="S414" s="2">
        <v>46191</v>
      </c>
      <c r="T414" s="2">
        <v>46204</v>
      </c>
      <c r="V414" s="1">
        <v>1</v>
      </c>
      <c r="W414" s="1">
        <v>1</v>
      </c>
      <c r="X414" s="1">
        <v>1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1</v>
      </c>
    </row>
    <row r="415" spans="1:33" x14ac:dyDescent="0.25">
      <c r="A415" s="1">
        <v>574</v>
      </c>
      <c r="B415" s="1" t="s">
        <v>822</v>
      </c>
      <c r="C415" s="1" t="s">
        <v>820</v>
      </c>
      <c r="D415" s="1" t="s">
        <v>98</v>
      </c>
      <c r="E415" s="1" t="s">
        <v>53</v>
      </c>
      <c r="F415" s="3">
        <v>46198</v>
      </c>
      <c r="G415" s="3">
        <v>46198</v>
      </c>
      <c r="H415" s="4">
        <v>0.5</v>
      </c>
      <c r="J415" s="1">
        <v>573</v>
      </c>
      <c r="K415" s="1">
        <v>575</v>
      </c>
      <c r="L415" s="1" t="s">
        <v>35</v>
      </c>
      <c r="M415" s="1" t="s">
        <v>535</v>
      </c>
      <c r="N415" s="2">
        <v>46205</v>
      </c>
      <c r="P415" s="1" t="s">
        <v>696</v>
      </c>
      <c r="Q415" s="1" t="s">
        <v>146</v>
      </c>
      <c r="R415" s="1" t="s">
        <v>55</v>
      </c>
      <c r="S415" s="2">
        <v>46205</v>
      </c>
      <c r="T415" s="2">
        <v>46205</v>
      </c>
      <c r="V415" s="1">
        <v>0.5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1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</row>
    <row r="416" spans="1:33" x14ac:dyDescent="0.25">
      <c r="A416" s="1">
        <v>575</v>
      </c>
      <c r="B416" s="1" t="s">
        <v>823</v>
      </c>
      <c r="C416" s="1" t="s">
        <v>820</v>
      </c>
      <c r="D416" s="1" t="s">
        <v>102</v>
      </c>
      <c r="E416" s="1" t="s">
        <v>53</v>
      </c>
      <c r="F416" s="3">
        <v>46199</v>
      </c>
      <c r="G416" s="3">
        <v>46199</v>
      </c>
      <c r="H416" s="4">
        <v>0</v>
      </c>
      <c r="J416" s="1">
        <v>574</v>
      </c>
      <c r="K416" s="1">
        <v>576</v>
      </c>
      <c r="L416" s="1" t="s">
        <v>35</v>
      </c>
      <c r="M416" s="1" t="s">
        <v>159</v>
      </c>
      <c r="N416" s="2">
        <v>46209</v>
      </c>
      <c r="P416" s="1" t="s">
        <v>696</v>
      </c>
      <c r="Q416" s="1" t="s">
        <v>146</v>
      </c>
      <c r="R416" s="1" t="s">
        <v>55</v>
      </c>
      <c r="S416" s="2">
        <v>46206</v>
      </c>
      <c r="T416" s="2">
        <v>46209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1</v>
      </c>
      <c r="AE416" s="1">
        <v>0</v>
      </c>
      <c r="AF416" s="1">
        <v>0</v>
      </c>
      <c r="AG416" s="1">
        <v>0</v>
      </c>
    </row>
    <row r="417" spans="1:33" x14ac:dyDescent="0.25">
      <c r="A417" s="1">
        <v>576</v>
      </c>
      <c r="B417" s="1" t="s">
        <v>824</v>
      </c>
      <c r="C417" s="1" t="s">
        <v>820</v>
      </c>
      <c r="D417" s="1" t="s">
        <v>108</v>
      </c>
      <c r="E417" s="1" t="s">
        <v>53</v>
      </c>
      <c r="F417" s="3">
        <v>46202</v>
      </c>
      <c r="G417" s="3">
        <v>46202</v>
      </c>
      <c r="H417" s="4">
        <v>0</v>
      </c>
      <c r="J417" s="1">
        <v>575</v>
      </c>
      <c r="L417" s="1" t="s">
        <v>35</v>
      </c>
      <c r="M417" s="1" t="s">
        <v>538</v>
      </c>
      <c r="N417" s="2">
        <v>46210</v>
      </c>
      <c r="P417" s="1" t="s">
        <v>696</v>
      </c>
      <c r="Q417" s="1" t="s">
        <v>151</v>
      </c>
      <c r="R417" s="1" t="s">
        <v>55</v>
      </c>
      <c r="S417" s="2">
        <v>46210</v>
      </c>
      <c r="T417" s="2">
        <v>46210</v>
      </c>
      <c r="V417" s="1">
        <v>0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</row>
    <row r="418" spans="1:33" x14ac:dyDescent="0.25">
      <c r="A418" s="1">
        <v>577</v>
      </c>
      <c r="B418" s="1" t="s">
        <v>825</v>
      </c>
      <c r="C418" s="1" t="s">
        <v>698</v>
      </c>
      <c r="D418" s="1" t="s">
        <v>826</v>
      </c>
      <c r="E418" s="1" t="s">
        <v>741</v>
      </c>
      <c r="F418" s="3">
        <v>46189</v>
      </c>
      <c r="G418" s="3">
        <v>46202</v>
      </c>
      <c r="H418" s="4">
        <v>0.75</v>
      </c>
      <c r="L418" s="1" t="s">
        <v>35</v>
      </c>
      <c r="M418" s="1" t="s">
        <v>386</v>
      </c>
      <c r="N418" s="2">
        <v>46210</v>
      </c>
      <c r="P418" s="1" t="s">
        <v>696</v>
      </c>
      <c r="Q418" s="1" t="s">
        <v>138</v>
      </c>
      <c r="R418" s="1" t="s">
        <v>55</v>
      </c>
      <c r="S418" s="2">
        <v>46191</v>
      </c>
      <c r="T418" s="2">
        <v>46210</v>
      </c>
      <c r="V418" s="1">
        <v>0.75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</row>
    <row r="419" spans="1:33" x14ac:dyDescent="0.25">
      <c r="A419" s="1">
        <v>578</v>
      </c>
      <c r="B419" s="1" t="s">
        <v>827</v>
      </c>
      <c r="C419" s="1" t="s">
        <v>828</v>
      </c>
      <c r="D419" s="1" t="s">
        <v>94</v>
      </c>
      <c r="E419" s="1" t="s">
        <v>812</v>
      </c>
      <c r="F419" s="3">
        <v>46189</v>
      </c>
      <c r="G419" s="3">
        <v>46197</v>
      </c>
      <c r="H419" s="4">
        <v>1</v>
      </c>
      <c r="I419" s="3">
        <v>46197</v>
      </c>
      <c r="J419" s="1" t="s">
        <v>821</v>
      </c>
      <c r="K419" s="1">
        <v>579</v>
      </c>
      <c r="L419" s="1" t="s">
        <v>59</v>
      </c>
      <c r="M419" s="1" t="s">
        <v>386</v>
      </c>
      <c r="N419" s="2">
        <v>46204</v>
      </c>
      <c r="P419" s="1" t="s">
        <v>696</v>
      </c>
      <c r="Q419" s="1" t="s">
        <v>138</v>
      </c>
      <c r="R419" s="1" t="s">
        <v>55</v>
      </c>
      <c r="S419" s="2">
        <v>46191</v>
      </c>
      <c r="T419" s="2">
        <v>46204</v>
      </c>
      <c r="V419" s="1">
        <v>1</v>
      </c>
      <c r="W419" s="1">
        <v>1</v>
      </c>
      <c r="X419" s="1">
        <v>1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</v>
      </c>
    </row>
    <row r="420" spans="1:33" x14ac:dyDescent="0.25">
      <c r="A420" s="1">
        <v>579</v>
      </c>
      <c r="B420" s="1" t="s">
        <v>829</v>
      </c>
      <c r="C420" s="1" t="s">
        <v>828</v>
      </c>
      <c r="D420" s="1" t="s">
        <v>98</v>
      </c>
      <c r="E420" s="1" t="s">
        <v>53</v>
      </c>
      <c r="F420" s="3">
        <v>46198</v>
      </c>
      <c r="G420" s="3">
        <v>46198</v>
      </c>
      <c r="H420" s="4">
        <v>0.5</v>
      </c>
      <c r="J420" s="1">
        <v>578</v>
      </c>
      <c r="K420" s="1">
        <v>580</v>
      </c>
      <c r="L420" s="1" t="s">
        <v>35</v>
      </c>
      <c r="M420" s="1" t="s">
        <v>535</v>
      </c>
      <c r="N420" s="2">
        <v>46205</v>
      </c>
      <c r="P420" s="1" t="s">
        <v>696</v>
      </c>
      <c r="Q420" s="1" t="s">
        <v>146</v>
      </c>
      <c r="R420" s="1" t="s">
        <v>55</v>
      </c>
      <c r="S420" s="2">
        <v>46205</v>
      </c>
      <c r="T420" s="2">
        <v>46205</v>
      </c>
      <c r="V420" s="1">
        <v>0.5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</row>
    <row r="421" spans="1:33" x14ac:dyDescent="0.25">
      <c r="A421" s="1">
        <v>580</v>
      </c>
      <c r="B421" s="1" t="s">
        <v>830</v>
      </c>
      <c r="C421" s="1" t="s">
        <v>828</v>
      </c>
      <c r="D421" s="1" t="s">
        <v>102</v>
      </c>
      <c r="E421" s="1" t="s">
        <v>53</v>
      </c>
      <c r="F421" s="3">
        <v>46199</v>
      </c>
      <c r="G421" s="3">
        <v>46199</v>
      </c>
      <c r="H421" s="4">
        <v>0</v>
      </c>
      <c r="J421" s="1">
        <v>579</v>
      </c>
      <c r="K421" s="1">
        <v>581</v>
      </c>
      <c r="L421" s="1" t="s">
        <v>35</v>
      </c>
      <c r="M421" s="1" t="s">
        <v>159</v>
      </c>
      <c r="N421" s="2">
        <v>46209</v>
      </c>
      <c r="P421" s="1" t="s">
        <v>696</v>
      </c>
      <c r="Q421" s="1" t="s">
        <v>146</v>
      </c>
      <c r="R421" s="1" t="s">
        <v>55</v>
      </c>
      <c r="S421" s="2">
        <v>46206</v>
      </c>
      <c r="T421" s="2">
        <v>46209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1</v>
      </c>
      <c r="AE421" s="1">
        <v>0</v>
      </c>
      <c r="AF421" s="1">
        <v>0</v>
      </c>
      <c r="AG421" s="1">
        <v>0</v>
      </c>
    </row>
    <row r="422" spans="1:33" x14ac:dyDescent="0.25">
      <c r="A422" s="1">
        <v>581</v>
      </c>
      <c r="B422" s="1" t="s">
        <v>831</v>
      </c>
      <c r="C422" s="1" t="s">
        <v>828</v>
      </c>
      <c r="D422" s="1" t="s">
        <v>108</v>
      </c>
      <c r="E422" s="1" t="s">
        <v>53</v>
      </c>
      <c r="F422" s="3">
        <v>46202</v>
      </c>
      <c r="G422" s="3">
        <v>46202</v>
      </c>
      <c r="H422" s="4">
        <v>0</v>
      </c>
      <c r="J422" s="1">
        <v>580</v>
      </c>
      <c r="L422" s="1" t="s">
        <v>35</v>
      </c>
      <c r="M422" s="1" t="s">
        <v>538</v>
      </c>
      <c r="N422" s="2">
        <v>46210</v>
      </c>
      <c r="P422" s="1" t="s">
        <v>696</v>
      </c>
      <c r="Q422" s="1" t="s">
        <v>151</v>
      </c>
      <c r="R422" s="1" t="s">
        <v>55</v>
      </c>
      <c r="S422" s="2">
        <v>46210</v>
      </c>
      <c r="T422" s="2">
        <v>46210</v>
      </c>
      <c r="V422" s="1">
        <v>0</v>
      </c>
      <c r="W422" s="1">
        <v>0</v>
      </c>
      <c r="X422" s="1">
        <v>0</v>
      </c>
      <c r="Y422" s="1">
        <v>0</v>
      </c>
      <c r="Z422" s="1">
        <v>1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</row>
    <row r="423" spans="1:33" x14ac:dyDescent="0.25">
      <c r="A423" s="1">
        <v>582</v>
      </c>
      <c r="B423" s="1" t="s">
        <v>832</v>
      </c>
      <c r="C423" s="1" t="s">
        <v>698</v>
      </c>
      <c r="D423" s="1" t="s">
        <v>833</v>
      </c>
      <c r="E423" s="1" t="s">
        <v>741</v>
      </c>
      <c r="F423" s="3">
        <v>46189</v>
      </c>
      <c r="G423" s="3">
        <v>46202</v>
      </c>
      <c r="H423" s="4">
        <v>0.75</v>
      </c>
      <c r="L423" s="1" t="s">
        <v>35</v>
      </c>
      <c r="M423" s="1" t="s">
        <v>386</v>
      </c>
      <c r="N423" s="2">
        <v>46210</v>
      </c>
      <c r="P423" s="1" t="s">
        <v>696</v>
      </c>
      <c r="Q423" s="1" t="s">
        <v>138</v>
      </c>
      <c r="R423" s="1" t="s">
        <v>55</v>
      </c>
      <c r="S423" s="2">
        <v>46191</v>
      </c>
      <c r="T423" s="2">
        <v>46210</v>
      </c>
      <c r="V423" s="1">
        <v>0.75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</row>
    <row r="424" spans="1:33" x14ac:dyDescent="0.25">
      <c r="A424" s="1">
        <v>583</v>
      </c>
      <c r="B424" s="1" t="s">
        <v>834</v>
      </c>
      <c r="C424" s="1" t="s">
        <v>835</v>
      </c>
      <c r="D424" s="1" t="s">
        <v>94</v>
      </c>
      <c r="E424" s="1" t="s">
        <v>812</v>
      </c>
      <c r="F424" s="3">
        <v>46189</v>
      </c>
      <c r="G424" s="3">
        <v>46197</v>
      </c>
      <c r="H424" s="4">
        <v>1</v>
      </c>
      <c r="I424" s="3">
        <v>46197</v>
      </c>
      <c r="J424" s="1" t="s">
        <v>821</v>
      </c>
      <c r="K424" s="1">
        <v>584</v>
      </c>
      <c r="L424" s="1" t="s">
        <v>59</v>
      </c>
      <c r="M424" s="1" t="s">
        <v>386</v>
      </c>
      <c r="N424" s="2">
        <v>46204</v>
      </c>
      <c r="P424" s="1" t="s">
        <v>696</v>
      </c>
      <c r="Q424" s="1" t="s">
        <v>138</v>
      </c>
      <c r="R424" s="1" t="s">
        <v>55</v>
      </c>
      <c r="S424" s="2">
        <v>46191</v>
      </c>
      <c r="T424" s="2">
        <v>46204</v>
      </c>
      <c r="V424" s="1">
        <v>1</v>
      </c>
      <c r="W424" s="1">
        <v>1</v>
      </c>
      <c r="X424" s="1">
        <v>1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1</v>
      </c>
    </row>
    <row r="425" spans="1:33" x14ac:dyDescent="0.25">
      <c r="A425" s="1">
        <v>584</v>
      </c>
      <c r="B425" s="1" t="s">
        <v>836</v>
      </c>
      <c r="C425" s="1" t="s">
        <v>835</v>
      </c>
      <c r="D425" s="1" t="s">
        <v>98</v>
      </c>
      <c r="E425" s="1" t="s">
        <v>53</v>
      </c>
      <c r="F425" s="3">
        <v>46198</v>
      </c>
      <c r="G425" s="3">
        <v>46198</v>
      </c>
      <c r="H425" s="4">
        <v>0.5</v>
      </c>
      <c r="J425" s="1">
        <v>583</v>
      </c>
      <c r="K425" s="1">
        <v>585</v>
      </c>
      <c r="L425" s="1" t="s">
        <v>35</v>
      </c>
      <c r="M425" s="1" t="s">
        <v>535</v>
      </c>
      <c r="N425" s="2">
        <v>46205</v>
      </c>
      <c r="P425" s="1" t="s">
        <v>696</v>
      </c>
      <c r="Q425" s="1" t="s">
        <v>146</v>
      </c>
      <c r="R425" s="1" t="s">
        <v>55</v>
      </c>
      <c r="S425" s="2">
        <v>46205</v>
      </c>
      <c r="T425" s="2">
        <v>46205</v>
      </c>
      <c r="V425" s="1">
        <v>0.5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1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</row>
    <row r="426" spans="1:33" x14ac:dyDescent="0.25">
      <c r="A426" s="1">
        <v>585</v>
      </c>
      <c r="B426" s="1" t="s">
        <v>837</v>
      </c>
      <c r="C426" s="1" t="s">
        <v>835</v>
      </c>
      <c r="D426" s="1" t="s">
        <v>102</v>
      </c>
      <c r="E426" s="1" t="s">
        <v>53</v>
      </c>
      <c r="F426" s="3">
        <v>46199</v>
      </c>
      <c r="G426" s="3">
        <v>46199</v>
      </c>
      <c r="H426" s="4">
        <v>0</v>
      </c>
      <c r="J426" s="1">
        <v>584</v>
      </c>
      <c r="K426" s="1">
        <v>586</v>
      </c>
      <c r="L426" s="1" t="s">
        <v>35</v>
      </c>
      <c r="M426" s="1" t="s">
        <v>159</v>
      </c>
      <c r="N426" s="2">
        <v>46209</v>
      </c>
      <c r="P426" s="1" t="s">
        <v>696</v>
      </c>
      <c r="Q426" s="1" t="s">
        <v>146</v>
      </c>
      <c r="R426" s="1" t="s">
        <v>55</v>
      </c>
      <c r="S426" s="2">
        <v>46206</v>
      </c>
      <c r="T426" s="2">
        <v>46209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1</v>
      </c>
      <c r="AE426" s="1">
        <v>0</v>
      </c>
      <c r="AF426" s="1">
        <v>0</v>
      </c>
      <c r="AG426" s="1">
        <v>0</v>
      </c>
    </row>
    <row r="427" spans="1:33" x14ac:dyDescent="0.25">
      <c r="A427" s="1">
        <v>586</v>
      </c>
      <c r="B427" s="1" t="s">
        <v>838</v>
      </c>
      <c r="C427" s="1" t="s">
        <v>835</v>
      </c>
      <c r="D427" s="1" t="s">
        <v>108</v>
      </c>
      <c r="E427" s="1" t="s">
        <v>53</v>
      </c>
      <c r="F427" s="3">
        <v>46202</v>
      </c>
      <c r="G427" s="3">
        <v>46202</v>
      </c>
      <c r="H427" s="4">
        <v>0</v>
      </c>
      <c r="J427" s="1">
        <v>585</v>
      </c>
      <c r="L427" s="1" t="s">
        <v>35</v>
      </c>
      <c r="M427" s="1" t="s">
        <v>538</v>
      </c>
      <c r="N427" s="2">
        <v>46210</v>
      </c>
      <c r="P427" s="1" t="s">
        <v>696</v>
      </c>
      <c r="Q427" s="1" t="s">
        <v>151</v>
      </c>
      <c r="R427" s="1" t="s">
        <v>55</v>
      </c>
      <c r="S427" s="2">
        <v>46210</v>
      </c>
      <c r="T427" s="2">
        <v>46210</v>
      </c>
      <c r="V427" s="1">
        <v>0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</row>
    <row r="428" spans="1:33" x14ac:dyDescent="0.25">
      <c r="A428" s="1">
        <v>587</v>
      </c>
      <c r="B428" s="1" t="s">
        <v>839</v>
      </c>
      <c r="C428" s="1" t="s">
        <v>698</v>
      </c>
      <c r="D428" s="1" t="s">
        <v>840</v>
      </c>
      <c r="E428" s="1" t="s">
        <v>741</v>
      </c>
      <c r="F428" s="3">
        <v>46189</v>
      </c>
      <c r="G428" s="3">
        <v>46202</v>
      </c>
      <c r="H428" s="4">
        <v>0.75</v>
      </c>
      <c r="L428" s="1" t="s">
        <v>35</v>
      </c>
      <c r="M428" s="1" t="s">
        <v>386</v>
      </c>
      <c r="N428" s="2">
        <v>46210</v>
      </c>
      <c r="P428" s="1" t="s">
        <v>696</v>
      </c>
      <c r="Q428" s="1" t="s">
        <v>138</v>
      </c>
      <c r="R428" s="1" t="s">
        <v>55</v>
      </c>
      <c r="S428" s="2">
        <v>46191</v>
      </c>
      <c r="T428" s="2">
        <v>46210</v>
      </c>
      <c r="V428" s="1">
        <v>0.75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</row>
    <row r="429" spans="1:33" x14ac:dyDescent="0.25">
      <c r="A429" s="1">
        <v>588</v>
      </c>
      <c r="B429" s="1" t="s">
        <v>841</v>
      </c>
      <c r="C429" s="1" t="s">
        <v>842</v>
      </c>
      <c r="D429" s="1" t="s">
        <v>94</v>
      </c>
      <c r="E429" s="1" t="s">
        <v>812</v>
      </c>
      <c r="F429" s="3">
        <v>46189</v>
      </c>
      <c r="G429" s="3">
        <v>46197</v>
      </c>
      <c r="H429" s="4">
        <v>1</v>
      </c>
      <c r="I429" s="3">
        <v>46197</v>
      </c>
      <c r="J429" s="1" t="s">
        <v>821</v>
      </c>
      <c r="K429" s="1">
        <v>589</v>
      </c>
      <c r="L429" s="1" t="s">
        <v>59</v>
      </c>
      <c r="M429" s="1" t="s">
        <v>386</v>
      </c>
      <c r="N429" s="2">
        <v>46204</v>
      </c>
      <c r="P429" s="1" t="s">
        <v>696</v>
      </c>
      <c r="Q429" s="1" t="s">
        <v>138</v>
      </c>
      <c r="R429" s="1" t="s">
        <v>55</v>
      </c>
      <c r="S429" s="2">
        <v>46191</v>
      </c>
      <c r="T429" s="2">
        <v>46204</v>
      </c>
      <c r="V429" s="1">
        <v>1</v>
      </c>
      <c r="W429" s="1">
        <v>1</v>
      </c>
      <c r="X429" s="1">
        <v>1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1</v>
      </c>
    </row>
    <row r="430" spans="1:33" x14ac:dyDescent="0.25">
      <c r="A430" s="1">
        <v>589</v>
      </c>
      <c r="B430" s="1" t="s">
        <v>843</v>
      </c>
      <c r="C430" s="1" t="s">
        <v>842</v>
      </c>
      <c r="D430" s="1" t="s">
        <v>98</v>
      </c>
      <c r="E430" s="1" t="s">
        <v>53</v>
      </c>
      <c r="F430" s="3">
        <v>46198</v>
      </c>
      <c r="G430" s="3">
        <v>46198</v>
      </c>
      <c r="H430" s="4">
        <v>0.5</v>
      </c>
      <c r="J430" s="1">
        <v>588</v>
      </c>
      <c r="K430" s="1">
        <v>590</v>
      </c>
      <c r="L430" s="1" t="s">
        <v>35</v>
      </c>
      <c r="M430" s="1" t="s">
        <v>535</v>
      </c>
      <c r="N430" s="2">
        <v>46205</v>
      </c>
      <c r="P430" s="1" t="s">
        <v>696</v>
      </c>
      <c r="Q430" s="1" t="s">
        <v>146</v>
      </c>
      <c r="R430" s="1" t="s">
        <v>55</v>
      </c>
      <c r="S430" s="2">
        <v>46205</v>
      </c>
      <c r="T430" s="2">
        <v>46205</v>
      </c>
      <c r="V430" s="1">
        <v>0.5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</row>
    <row r="431" spans="1:33" x14ac:dyDescent="0.25">
      <c r="A431" s="1">
        <v>590</v>
      </c>
      <c r="B431" s="1" t="s">
        <v>844</v>
      </c>
      <c r="C431" s="1" t="s">
        <v>842</v>
      </c>
      <c r="D431" s="1" t="s">
        <v>102</v>
      </c>
      <c r="E431" s="1" t="s">
        <v>53</v>
      </c>
      <c r="F431" s="3">
        <v>46199</v>
      </c>
      <c r="G431" s="3">
        <v>46199</v>
      </c>
      <c r="H431" s="4">
        <v>0</v>
      </c>
      <c r="J431" s="1">
        <v>589</v>
      </c>
      <c r="K431" s="1">
        <v>591</v>
      </c>
      <c r="L431" s="1" t="s">
        <v>35</v>
      </c>
      <c r="M431" s="1" t="s">
        <v>159</v>
      </c>
      <c r="N431" s="2">
        <v>46209</v>
      </c>
      <c r="P431" s="1" t="s">
        <v>696</v>
      </c>
      <c r="Q431" s="1" t="s">
        <v>146</v>
      </c>
      <c r="R431" s="1" t="s">
        <v>55</v>
      </c>
      <c r="S431" s="2">
        <v>46206</v>
      </c>
      <c r="T431" s="2">
        <v>46209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1</v>
      </c>
      <c r="AE431" s="1">
        <v>0</v>
      </c>
      <c r="AF431" s="1">
        <v>0</v>
      </c>
      <c r="AG431" s="1">
        <v>0</v>
      </c>
    </row>
    <row r="432" spans="1:33" x14ac:dyDescent="0.25">
      <c r="A432" s="1">
        <v>591</v>
      </c>
      <c r="B432" s="1" t="s">
        <v>845</v>
      </c>
      <c r="C432" s="1" t="s">
        <v>842</v>
      </c>
      <c r="D432" s="1" t="s">
        <v>108</v>
      </c>
      <c r="E432" s="1" t="s">
        <v>53</v>
      </c>
      <c r="F432" s="3">
        <v>46202</v>
      </c>
      <c r="G432" s="3">
        <v>46202</v>
      </c>
      <c r="H432" s="4">
        <v>0</v>
      </c>
      <c r="J432" s="1">
        <v>590</v>
      </c>
      <c r="L432" s="1" t="s">
        <v>35</v>
      </c>
      <c r="M432" s="1" t="s">
        <v>538</v>
      </c>
      <c r="N432" s="2">
        <v>46210</v>
      </c>
      <c r="P432" s="1" t="s">
        <v>696</v>
      </c>
      <c r="Q432" s="1" t="s">
        <v>151</v>
      </c>
      <c r="R432" s="1" t="s">
        <v>55</v>
      </c>
      <c r="S432" s="2">
        <v>46210</v>
      </c>
      <c r="T432" s="2">
        <v>46210</v>
      </c>
      <c r="V432" s="1">
        <v>0</v>
      </c>
      <c r="W432" s="1">
        <v>0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</row>
    <row r="433" spans="1:33" x14ac:dyDescent="0.25">
      <c r="A433" s="1">
        <v>592</v>
      </c>
      <c r="B433" s="1" t="s">
        <v>846</v>
      </c>
      <c r="C433" s="1" t="s">
        <v>698</v>
      </c>
      <c r="D433" s="1" t="s">
        <v>847</v>
      </c>
      <c r="E433" s="1" t="s">
        <v>741</v>
      </c>
      <c r="F433" s="3">
        <v>46189</v>
      </c>
      <c r="G433" s="3">
        <v>46202</v>
      </c>
      <c r="H433" s="4">
        <v>0.75</v>
      </c>
      <c r="L433" s="1" t="s">
        <v>35</v>
      </c>
      <c r="M433" s="1" t="s">
        <v>386</v>
      </c>
      <c r="N433" s="2">
        <v>46210</v>
      </c>
      <c r="P433" s="1" t="s">
        <v>696</v>
      </c>
      <c r="Q433" s="1" t="s">
        <v>138</v>
      </c>
      <c r="R433" s="1" t="s">
        <v>55</v>
      </c>
      <c r="S433" s="2">
        <v>46191</v>
      </c>
      <c r="T433" s="2">
        <v>46210</v>
      </c>
      <c r="V433" s="1">
        <v>0.75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</row>
    <row r="434" spans="1:33" x14ac:dyDescent="0.25">
      <c r="A434" s="1">
        <v>593</v>
      </c>
      <c r="B434" s="1" t="s">
        <v>848</v>
      </c>
      <c r="C434" s="1" t="s">
        <v>849</v>
      </c>
      <c r="D434" s="1" t="s">
        <v>94</v>
      </c>
      <c r="E434" s="1" t="s">
        <v>812</v>
      </c>
      <c r="F434" s="3">
        <v>46189</v>
      </c>
      <c r="G434" s="3">
        <v>46197</v>
      </c>
      <c r="H434" s="4">
        <v>1</v>
      </c>
      <c r="I434" s="3">
        <v>46197</v>
      </c>
      <c r="J434" s="1" t="s">
        <v>821</v>
      </c>
      <c r="K434" s="1">
        <v>594</v>
      </c>
      <c r="L434" s="1" t="s">
        <v>59</v>
      </c>
      <c r="M434" s="1" t="s">
        <v>386</v>
      </c>
      <c r="N434" s="2">
        <v>46204</v>
      </c>
      <c r="P434" s="1" t="s">
        <v>696</v>
      </c>
      <c r="Q434" s="1" t="s">
        <v>138</v>
      </c>
      <c r="R434" s="1" t="s">
        <v>55</v>
      </c>
      <c r="S434" s="2">
        <v>46191</v>
      </c>
      <c r="T434" s="2">
        <v>46204</v>
      </c>
      <c r="V434" s="1">
        <v>1</v>
      </c>
      <c r="W434" s="1">
        <v>1</v>
      </c>
      <c r="X434" s="1">
        <v>1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</row>
    <row r="435" spans="1:33" x14ac:dyDescent="0.25">
      <c r="A435" s="1">
        <v>594</v>
      </c>
      <c r="B435" s="1" t="s">
        <v>850</v>
      </c>
      <c r="C435" s="1" t="s">
        <v>849</v>
      </c>
      <c r="D435" s="1" t="s">
        <v>98</v>
      </c>
      <c r="E435" s="1" t="s">
        <v>53</v>
      </c>
      <c r="F435" s="3">
        <v>46198</v>
      </c>
      <c r="G435" s="3">
        <v>46198</v>
      </c>
      <c r="H435" s="4">
        <v>0.5</v>
      </c>
      <c r="J435" s="1">
        <v>593</v>
      </c>
      <c r="K435" s="1">
        <v>595</v>
      </c>
      <c r="L435" s="1" t="s">
        <v>35</v>
      </c>
      <c r="M435" s="1" t="s">
        <v>535</v>
      </c>
      <c r="N435" s="2">
        <v>46205</v>
      </c>
      <c r="P435" s="1" t="s">
        <v>696</v>
      </c>
      <c r="Q435" s="1" t="s">
        <v>146</v>
      </c>
      <c r="R435" s="1" t="s">
        <v>55</v>
      </c>
      <c r="S435" s="2">
        <v>46205</v>
      </c>
      <c r="T435" s="2">
        <v>46205</v>
      </c>
      <c r="V435" s="1">
        <v>0.5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1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</row>
    <row r="436" spans="1:33" x14ac:dyDescent="0.25">
      <c r="A436" s="1">
        <v>595</v>
      </c>
      <c r="B436" s="1" t="s">
        <v>851</v>
      </c>
      <c r="C436" s="1" t="s">
        <v>849</v>
      </c>
      <c r="D436" s="1" t="s">
        <v>102</v>
      </c>
      <c r="E436" s="1" t="s">
        <v>53</v>
      </c>
      <c r="F436" s="3">
        <v>46199</v>
      </c>
      <c r="G436" s="3">
        <v>46199</v>
      </c>
      <c r="H436" s="4">
        <v>0</v>
      </c>
      <c r="J436" s="1">
        <v>594</v>
      </c>
      <c r="K436" s="1">
        <v>596</v>
      </c>
      <c r="L436" s="1" t="s">
        <v>35</v>
      </c>
      <c r="M436" s="1" t="s">
        <v>159</v>
      </c>
      <c r="N436" s="2">
        <v>46209</v>
      </c>
      <c r="P436" s="1" t="s">
        <v>696</v>
      </c>
      <c r="Q436" s="1" t="s">
        <v>146</v>
      </c>
      <c r="R436" s="1" t="s">
        <v>55</v>
      </c>
      <c r="S436" s="2">
        <v>46206</v>
      </c>
      <c r="T436" s="2">
        <v>46209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1</v>
      </c>
      <c r="AE436" s="1">
        <v>0</v>
      </c>
      <c r="AF436" s="1">
        <v>0</v>
      </c>
      <c r="AG436" s="1">
        <v>0</v>
      </c>
    </row>
    <row r="437" spans="1:33" x14ac:dyDescent="0.25">
      <c r="A437" s="1">
        <v>596</v>
      </c>
      <c r="B437" s="1" t="s">
        <v>852</v>
      </c>
      <c r="C437" s="1" t="s">
        <v>849</v>
      </c>
      <c r="D437" s="1" t="s">
        <v>108</v>
      </c>
      <c r="E437" s="1" t="s">
        <v>53</v>
      </c>
      <c r="F437" s="3">
        <v>46202</v>
      </c>
      <c r="G437" s="3">
        <v>46202</v>
      </c>
      <c r="H437" s="4">
        <v>0</v>
      </c>
      <c r="J437" s="1">
        <v>595</v>
      </c>
      <c r="L437" s="1" t="s">
        <v>35</v>
      </c>
      <c r="M437" s="1" t="s">
        <v>538</v>
      </c>
      <c r="N437" s="2">
        <v>46210</v>
      </c>
      <c r="P437" s="1" t="s">
        <v>696</v>
      </c>
      <c r="Q437" s="1" t="s">
        <v>151</v>
      </c>
      <c r="R437" s="1" t="s">
        <v>55</v>
      </c>
      <c r="S437" s="2">
        <v>46210</v>
      </c>
      <c r="T437" s="2">
        <v>46210</v>
      </c>
      <c r="V437" s="1">
        <v>0</v>
      </c>
      <c r="W437" s="1">
        <v>0</v>
      </c>
      <c r="X437" s="1">
        <v>0</v>
      </c>
      <c r="Y437" s="1">
        <v>0</v>
      </c>
      <c r="Z437" s="1">
        <v>1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</row>
    <row r="438" spans="1:33" x14ac:dyDescent="0.25">
      <c r="A438" s="1">
        <v>597</v>
      </c>
      <c r="B438" s="1" t="s">
        <v>853</v>
      </c>
      <c r="C438" s="1" t="s">
        <v>698</v>
      </c>
      <c r="D438" s="1" t="s">
        <v>854</v>
      </c>
      <c r="E438" s="1" t="s">
        <v>741</v>
      </c>
      <c r="F438" s="3">
        <v>46189</v>
      </c>
      <c r="G438" s="3">
        <v>46202</v>
      </c>
      <c r="H438" s="4">
        <v>0.75</v>
      </c>
      <c r="L438" s="1" t="s">
        <v>35</v>
      </c>
      <c r="M438" s="1" t="s">
        <v>386</v>
      </c>
      <c r="N438" s="2">
        <v>46210</v>
      </c>
      <c r="P438" s="1" t="s">
        <v>696</v>
      </c>
      <c r="Q438" s="1" t="s">
        <v>138</v>
      </c>
      <c r="R438" s="1" t="s">
        <v>55</v>
      </c>
      <c r="S438" s="2">
        <v>46191</v>
      </c>
      <c r="T438" s="2">
        <v>46210</v>
      </c>
      <c r="V438" s="1">
        <v>0.75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</row>
    <row r="439" spans="1:33" x14ac:dyDescent="0.25">
      <c r="A439" s="1">
        <v>598</v>
      </c>
      <c r="B439" s="1" t="s">
        <v>855</v>
      </c>
      <c r="C439" s="1" t="s">
        <v>856</v>
      </c>
      <c r="D439" s="1" t="s">
        <v>94</v>
      </c>
      <c r="E439" s="1" t="s">
        <v>812</v>
      </c>
      <c r="F439" s="3">
        <v>46189</v>
      </c>
      <c r="G439" s="3">
        <v>46197</v>
      </c>
      <c r="H439" s="4">
        <v>1</v>
      </c>
      <c r="I439" s="3">
        <v>46197</v>
      </c>
      <c r="J439" s="1" t="s">
        <v>821</v>
      </c>
      <c r="K439" s="1">
        <v>599</v>
      </c>
      <c r="L439" s="1" t="s">
        <v>59</v>
      </c>
      <c r="M439" s="1" t="s">
        <v>386</v>
      </c>
      <c r="N439" s="2">
        <v>46204</v>
      </c>
      <c r="P439" s="1" t="s">
        <v>696</v>
      </c>
      <c r="Q439" s="1" t="s">
        <v>138</v>
      </c>
      <c r="R439" s="1" t="s">
        <v>55</v>
      </c>
      <c r="S439" s="2">
        <v>46191</v>
      </c>
      <c r="T439" s="2">
        <v>46204</v>
      </c>
      <c r="V439" s="1">
        <v>1</v>
      </c>
      <c r="W439" s="1">
        <v>1</v>
      </c>
      <c r="X439" s="1">
        <v>1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1</v>
      </c>
    </row>
    <row r="440" spans="1:33" x14ac:dyDescent="0.25">
      <c r="A440" s="1">
        <v>599</v>
      </c>
      <c r="B440" s="1" t="s">
        <v>857</v>
      </c>
      <c r="C440" s="1" t="s">
        <v>856</v>
      </c>
      <c r="D440" s="1" t="s">
        <v>98</v>
      </c>
      <c r="E440" s="1" t="s">
        <v>53</v>
      </c>
      <c r="F440" s="3">
        <v>46198</v>
      </c>
      <c r="G440" s="3">
        <v>46198</v>
      </c>
      <c r="H440" s="4">
        <v>0.5</v>
      </c>
      <c r="J440" s="1">
        <v>598</v>
      </c>
      <c r="K440" s="1">
        <v>600</v>
      </c>
      <c r="L440" s="1" t="s">
        <v>35</v>
      </c>
      <c r="M440" s="1" t="s">
        <v>535</v>
      </c>
      <c r="N440" s="2">
        <v>46205</v>
      </c>
      <c r="P440" s="1" t="s">
        <v>696</v>
      </c>
      <c r="Q440" s="1" t="s">
        <v>146</v>
      </c>
      <c r="R440" s="1" t="s">
        <v>55</v>
      </c>
      <c r="S440" s="2">
        <v>46205</v>
      </c>
      <c r="T440" s="2">
        <v>46205</v>
      </c>
      <c r="V440" s="1">
        <v>0.5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</row>
    <row r="441" spans="1:33" x14ac:dyDescent="0.25">
      <c r="A441" s="1">
        <v>600</v>
      </c>
      <c r="B441" s="1" t="s">
        <v>858</v>
      </c>
      <c r="C441" s="1" t="s">
        <v>856</v>
      </c>
      <c r="D441" s="1" t="s">
        <v>102</v>
      </c>
      <c r="E441" s="1" t="s">
        <v>53</v>
      </c>
      <c r="F441" s="3">
        <v>46199</v>
      </c>
      <c r="G441" s="3">
        <v>46199</v>
      </c>
      <c r="H441" s="4">
        <v>0</v>
      </c>
      <c r="J441" s="1">
        <v>599</v>
      </c>
      <c r="K441" s="1">
        <v>601</v>
      </c>
      <c r="L441" s="1" t="s">
        <v>35</v>
      </c>
      <c r="M441" s="1" t="s">
        <v>159</v>
      </c>
      <c r="N441" s="2">
        <v>46209</v>
      </c>
      <c r="P441" s="1" t="s">
        <v>696</v>
      </c>
      <c r="Q441" s="1" t="s">
        <v>146</v>
      </c>
      <c r="R441" s="1" t="s">
        <v>55</v>
      </c>
      <c r="S441" s="2">
        <v>46206</v>
      </c>
      <c r="T441" s="2">
        <v>46209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1</v>
      </c>
      <c r="AE441" s="1">
        <v>0</v>
      </c>
      <c r="AF441" s="1">
        <v>0</v>
      </c>
      <c r="AG441" s="1">
        <v>0</v>
      </c>
    </row>
    <row r="442" spans="1:33" x14ac:dyDescent="0.25">
      <c r="A442" s="1">
        <v>601</v>
      </c>
      <c r="B442" s="1" t="s">
        <v>859</v>
      </c>
      <c r="C442" s="1" t="s">
        <v>856</v>
      </c>
      <c r="D442" s="1" t="s">
        <v>108</v>
      </c>
      <c r="E442" s="1" t="s">
        <v>53</v>
      </c>
      <c r="F442" s="3">
        <v>46202</v>
      </c>
      <c r="G442" s="3">
        <v>46202</v>
      </c>
      <c r="H442" s="4">
        <v>0</v>
      </c>
      <c r="J442" s="1">
        <v>600</v>
      </c>
      <c r="L442" s="1" t="s">
        <v>35</v>
      </c>
      <c r="M442" s="1" t="s">
        <v>538</v>
      </c>
      <c r="N442" s="2">
        <v>46210</v>
      </c>
      <c r="P442" s="1" t="s">
        <v>696</v>
      </c>
      <c r="Q442" s="1" t="s">
        <v>151</v>
      </c>
      <c r="R442" s="1" t="s">
        <v>55</v>
      </c>
      <c r="S442" s="2">
        <v>46210</v>
      </c>
      <c r="T442" s="2">
        <v>46210</v>
      </c>
      <c r="V442" s="1">
        <v>0</v>
      </c>
      <c r="W442" s="1">
        <v>0</v>
      </c>
      <c r="X442" s="1">
        <v>0</v>
      </c>
      <c r="Y442" s="1">
        <v>0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</row>
    <row r="443" spans="1:33" x14ac:dyDescent="0.25">
      <c r="A443" s="1">
        <v>602</v>
      </c>
      <c r="B443" s="1" t="s">
        <v>860</v>
      </c>
      <c r="C443" s="1" t="s">
        <v>698</v>
      </c>
      <c r="D443" s="1" t="s">
        <v>861</v>
      </c>
      <c r="E443" s="1" t="s">
        <v>741</v>
      </c>
      <c r="F443" s="3">
        <v>46189</v>
      </c>
      <c r="G443" s="3">
        <v>46202</v>
      </c>
      <c r="H443" s="4">
        <v>0.75</v>
      </c>
      <c r="L443" s="1" t="s">
        <v>35</v>
      </c>
      <c r="M443" s="1" t="s">
        <v>386</v>
      </c>
      <c r="N443" s="2">
        <v>46210</v>
      </c>
      <c r="P443" s="1" t="s">
        <v>696</v>
      </c>
      <c r="Q443" s="1" t="s">
        <v>138</v>
      </c>
      <c r="R443" s="1" t="s">
        <v>55</v>
      </c>
      <c r="S443" s="2">
        <v>46191</v>
      </c>
      <c r="T443" s="2">
        <v>46210</v>
      </c>
      <c r="V443" s="1">
        <v>0.75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</row>
    <row r="444" spans="1:33" x14ac:dyDescent="0.25">
      <c r="A444" s="1">
        <v>603</v>
      </c>
      <c r="B444" s="1" t="s">
        <v>862</v>
      </c>
      <c r="C444" s="1" t="s">
        <v>863</v>
      </c>
      <c r="D444" s="1" t="s">
        <v>94</v>
      </c>
      <c r="E444" s="1" t="s">
        <v>812</v>
      </c>
      <c r="F444" s="3">
        <v>46189</v>
      </c>
      <c r="G444" s="3">
        <v>46197</v>
      </c>
      <c r="H444" s="4">
        <v>1</v>
      </c>
      <c r="I444" s="3">
        <v>46197</v>
      </c>
      <c r="J444" s="1" t="s">
        <v>821</v>
      </c>
      <c r="K444" s="1">
        <v>604</v>
      </c>
      <c r="L444" s="1" t="s">
        <v>59</v>
      </c>
      <c r="M444" s="1" t="s">
        <v>386</v>
      </c>
      <c r="N444" s="2">
        <v>46204</v>
      </c>
      <c r="P444" s="1" t="s">
        <v>696</v>
      </c>
      <c r="Q444" s="1" t="s">
        <v>138</v>
      </c>
      <c r="R444" s="1" t="s">
        <v>55</v>
      </c>
      <c r="S444" s="2">
        <v>46191</v>
      </c>
      <c r="T444" s="2">
        <v>46204</v>
      </c>
      <c r="V444" s="1">
        <v>1</v>
      </c>
      <c r="W444" s="1">
        <v>1</v>
      </c>
      <c r="X444" s="1">
        <v>1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</row>
    <row r="445" spans="1:33" x14ac:dyDescent="0.25">
      <c r="A445" s="1">
        <v>604</v>
      </c>
      <c r="B445" s="1" t="s">
        <v>864</v>
      </c>
      <c r="C445" s="1" t="s">
        <v>863</v>
      </c>
      <c r="D445" s="1" t="s">
        <v>98</v>
      </c>
      <c r="E445" s="1" t="s">
        <v>53</v>
      </c>
      <c r="F445" s="3">
        <v>46198</v>
      </c>
      <c r="G445" s="3">
        <v>46198</v>
      </c>
      <c r="H445" s="4">
        <v>0.5</v>
      </c>
      <c r="J445" s="1">
        <v>603</v>
      </c>
      <c r="K445" s="1">
        <v>605</v>
      </c>
      <c r="L445" s="1" t="s">
        <v>35</v>
      </c>
      <c r="M445" s="1" t="s">
        <v>535</v>
      </c>
      <c r="N445" s="2">
        <v>46205</v>
      </c>
      <c r="P445" s="1" t="s">
        <v>696</v>
      </c>
      <c r="Q445" s="1" t="s">
        <v>146</v>
      </c>
      <c r="R445" s="1" t="s">
        <v>55</v>
      </c>
      <c r="S445" s="2">
        <v>46205</v>
      </c>
      <c r="T445" s="2">
        <v>46205</v>
      </c>
      <c r="V445" s="1">
        <v>0.5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</row>
    <row r="446" spans="1:33" x14ac:dyDescent="0.25">
      <c r="A446" s="1">
        <v>605</v>
      </c>
      <c r="B446" s="1" t="s">
        <v>865</v>
      </c>
      <c r="C446" s="1" t="s">
        <v>863</v>
      </c>
      <c r="D446" s="1" t="s">
        <v>102</v>
      </c>
      <c r="E446" s="1" t="s">
        <v>53</v>
      </c>
      <c r="F446" s="3">
        <v>46199</v>
      </c>
      <c r="G446" s="3">
        <v>46199</v>
      </c>
      <c r="H446" s="4">
        <v>0</v>
      </c>
      <c r="J446" s="1">
        <v>604</v>
      </c>
      <c r="K446" s="1">
        <v>606</v>
      </c>
      <c r="L446" s="1" t="s">
        <v>35</v>
      </c>
      <c r="M446" s="1" t="s">
        <v>159</v>
      </c>
      <c r="N446" s="2">
        <v>46209</v>
      </c>
      <c r="P446" s="1" t="s">
        <v>696</v>
      </c>
      <c r="Q446" s="1" t="s">
        <v>146</v>
      </c>
      <c r="R446" s="1" t="s">
        <v>55</v>
      </c>
      <c r="S446" s="2">
        <v>46206</v>
      </c>
      <c r="T446" s="2">
        <v>46209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0</v>
      </c>
      <c r="AF446" s="1">
        <v>0</v>
      </c>
      <c r="AG446" s="1">
        <v>0</v>
      </c>
    </row>
    <row r="447" spans="1:33" x14ac:dyDescent="0.25">
      <c r="A447" s="1">
        <v>606</v>
      </c>
      <c r="B447" s="1" t="s">
        <v>866</v>
      </c>
      <c r="C447" s="1" t="s">
        <v>863</v>
      </c>
      <c r="D447" s="1" t="s">
        <v>108</v>
      </c>
      <c r="E447" s="1" t="s">
        <v>53</v>
      </c>
      <c r="F447" s="3">
        <v>46202</v>
      </c>
      <c r="G447" s="3">
        <v>46202</v>
      </c>
      <c r="H447" s="4">
        <v>0</v>
      </c>
      <c r="J447" s="1">
        <v>605</v>
      </c>
      <c r="L447" s="1" t="s">
        <v>35</v>
      </c>
      <c r="M447" s="1" t="s">
        <v>538</v>
      </c>
      <c r="N447" s="2">
        <v>46210</v>
      </c>
      <c r="P447" s="1" t="s">
        <v>696</v>
      </c>
      <c r="Q447" s="1" t="s">
        <v>151</v>
      </c>
      <c r="R447" s="1" t="s">
        <v>55</v>
      </c>
      <c r="S447" s="2">
        <v>46210</v>
      </c>
      <c r="T447" s="2">
        <v>46210</v>
      </c>
      <c r="V447" s="1">
        <v>0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</row>
    <row r="448" spans="1:33" x14ac:dyDescent="0.25">
      <c r="A448" s="1">
        <v>607</v>
      </c>
      <c r="B448" s="1" t="s">
        <v>867</v>
      </c>
      <c r="C448" s="1" t="s">
        <v>698</v>
      </c>
      <c r="D448" s="1" t="s">
        <v>868</v>
      </c>
      <c r="E448" s="1" t="s">
        <v>741</v>
      </c>
      <c r="F448" s="3">
        <v>46188</v>
      </c>
      <c r="G448" s="3">
        <v>46199</v>
      </c>
      <c r="H448" s="4">
        <v>0.72</v>
      </c>
      <c r="L448" s="1" t="s">
        <v>35</v>
      </c>
      <c r="M448" s="1" t="s">
        <v>386</v>
      </c>
      <c r="N448" s="2">
        <v>46210</v>
      </c>
      <c r="P448" s="1" t="s">
        <v>696</v>
      </c>
      <c r="Q448" s="1" t="s">
        <v>138</v>
      </c>
      <c r="R448" s="1" t="s">
        <v>55</v>
      </c>
      <c r="S448" s="2">
        <v>46191</v>
      </c>
      <c r="T448" s="2">
        <v>46210</v>
      </c>
      <c r="V448" s="1">
        <v>0.72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</row>
    <row r="449" spans="1:33" x14ac:dyDescent="0.25">
      <c r="A449" s="1">
        <v>608</v>
      </c>
      <c r="B449" s="1" t="s">
        <v>869</v>
      </c>
      <c r="C449" s="1" t="s">
        <v>870</v>
      </c>
      <c r="D449" s="1" t="s">
        <v>94</v>
      </c>
      <c r="E449" s="1" t="s">
        <v>812</v>
      </c>
      <c r="F449" s="3">
        <v>46188</v>
      </c>
      <c r="G449" s="3">
        <v>46196</v>
      </c>
      <c r="H449" s="4">
        <v>1</v>
      </c>
      <c r="I449" s="3">
        <v>46196</v>
      </c>
      <c r="J449" s="1" t="s">
        <v>821</v>
      </c>
      <c r="K449" s="1">
        <v>609</v>
      </c>
      <c r="L449" s="1" t="s">
        <v>59</v>
      </c>
      <c r="M449" s="1" t="s">
        <v>386</v>
      </c>
      <c r="N449" s="2">
        <v>46204</v>
      </c>
      <c r="P449" s="1" t="s">
        <v>696</v>
      </c>
      <c r="Q449" s="1" t="s">
        <v>138</v>
      </c>
      <c r="R449" s="1" t="s">
        <v>55</v>
      </c>
      <c r="S449" s="2">
        <v>46191</v>
      </c>
      <c r="T449" s="2">
        <v>46204</v>
      </c>
      <c r="V449" s="1">
        <v>1</v>
      </c>
      <c r="W449" s="1">
        <v>1</v>
      </c>
      <c r="X449" s="1">
        <v>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</row>
    <row r="450" spans="1:33" x14ac:dyDescent="0.25">
      <c r="A450" s="1">
        <v>609</v>
      </c>
      <c r="B450" s="1" t="s">
        <v>871</v>
      </c>
      <c r="C450" s="1" t="s">
        <v>870</v>
      </c>
      <c r="D450" s="1" t="s">
        <v>98</v>
      </c>
      <c r="E450" s="1" t="s">
        <v>53</v>
      </c>
      <c r="F450" s="3">
        <v>46197</v>
      </c>
      <c r="G450" s="3">
        <v>46197</v>
      </c>
      <c r="H450" s="4">
        <v>0.15</v>
      </c>
      <c r="J450" s="1">
        <v>608</v>
      </c>
      <c r="K450" s="1">
        <v>610</v>
      </c>
      <c r="L450" s="1" t="s">
        <v>35</v>
      </c>
      <c r="M450" s="1" t="s">
        <v>535</v>
      </c>
      <c r="N450" s="2">
        <v>46205</v>
      </c>
      <c r="P450" s="1" t="s">
        <v>696</v>
      </c>
      <c r="Q450" s="1" t="s">
        <v>146</v>
      </c>
      <c r="R450" s="1" t="s">
        <v>55</v>
      </c>
      <c r="S450" s="2">
        <v>46205</v>
      </c>
      <c r="T450" s="2">
        <v>46205</v>
      </c>
      <c r="V450" s="1">
        <v>0.15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</row>
    <row r="451" spans="1:33" x14ac:dyDescent="0.25">
      <c r="A451" s="1">
        <v>610</v>
      </c>
      <c r="B451" s="1" t="s">
        <v>872</v>
      </c>
      <c r="C451" s="1" t="s">
        <v>870</v>
      </c>
      <c r="D451" s="1" t="s">
        <v>102</v>
      </c>
      <c r="E451" s="1" t="s">
        <v>53</v>
      </c>
      <c r="F451" s="3">
        <v>46198</v>
      </c>
      <c r="G451" s="3">
        <v>46198</v>
      </c>
      <c r="H451" s="4">
        <v>0</v>
      </c>
      <c r="J451" s="1">
        <v>609</v>
      </c>
      <c r="K451" s="1">
        <v>611</v>
      </c>
      <c r="L451" s="1" t="s">
        <v>35</v>
      </c>
      <c r="M451" s="1" t="s">
        <v>159</v>
      </c>
      <c r="N451" s="2">
        <v>46209</v>
      </c>
      <c r="P451" s="1" t="s">
        <v>696</v>
      </c>
      <c r="Q451" s="1" t="s">
        <v>146</v>
      </c>
      <c r="R451" s="1" t="s">
        <v>55</v>
      </c>
      <c r="S451" s="2">
        <v>46206</v>
      </c>
      <c r="T451" s="2">
        <v>46209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1</v>
      </c>
      <c r="AE451" s="1">
        <v>0</v>
      </c>
      <c r="AF451" s="1">
        <v>0</v>
      </c>
      <c r="AG451" s="1">
        <v>0</v>
      </c>
    </row>
    <row r="452" spans="1:33" x14ac:dyDescent="0.25">
      <c r="A452" s="1">
        <v>611</v>
      </c>
      <c r="B452" s="1" t="s">
        <v>873</v>
      </c>
      <c r="C452" s="1" t="s">
        <v>870</v>
      </c>
      <c r="D452" s="1" t="s">
        <v>108</v>
      </c>
      <c r="E452" s="1" t="s">
        <v>53</v>
      </c>
      <c r="F452" s="3">
        <v>46199</v>
      </c>
      <c r="G452" s="3">
        <v>46199</v>
      </c>
      <c r="H452" s="4">
        <v>0</v>
      </c>
      <c r="J452" s="1">
        <v>610</v>
      </c>
      <c r="L452" s="1" t="s">
        <v>35</v>
      </c>
      <c r="M452" s="1" t="s">
        <v>538</v>
      </c>
      <c r="N452" s="2">
        <v>46210</v>
      </c>
      <c r="P452" s="1" t="s">
        <v>696</v>
      </c>
      <c r="Q452" s="1" t="s">
        <v>146</v>
      </c>
      <c r="R452" s="1" t="s">
        <v>55</v>
      </c>
      <c r="S452" s="2">
        <v>46210</v>
      </c>
      <c r="T452" s="2">
        <v>46210</v>
      </c>
      <c r="V452" s="1">
        <v>0</v>
      </c>
      <c r="W452" s="1">
        <v>0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</row>
    <row r="453" spans="1:33" x14ac:dyDescent="0.25">
      <c r="A453" s="1">
        <v>612</v>
      </c>
      <c r="B453" s="1" t="s">
        <v>874</v>
      </c>
      <c r="C453" s="1" t="s">
        <v>698</v>
      </c>
      <c r="D453" s="1" t="s">
        <v>875</v>
      </c>
      <c r="E453" s="1" t="s">
        <v>741</v>
      </c>
      <c r="F453" s="3">
        <v>46188</v>
      </c>
      <c r="G453" s="3">
        <v>46199</v>
      </c>
      <c r="H453" s="4">
        <v>0.72</v>
      </c>
      <c r="L453" s="1" t="s">
        <v>35</v>
      </c>
      <c r="M453" s="1" t="s">
        <v>386</v>
      </c>
      <c r="N453" s="2">
        <v>46210</v>
      </c>
      <c r="P453" s="1" t="s">
        <v>696</v>
      </c>
      <c r="Q453" s="1" t="s">
        <v>138</v>
      </c>
      <c r="R453" s="1" t="s">
        <v>55</v>
      </c>
      <c r="S453" s="2">
        <v>46191</v>
      </c>
      <c r="T453" s="2">
        <v>46210</v>
      </c>
      <c r="V453" s="1">
        <v>0.72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</row>
    <row r="454" spans="1:33" x14ac:dyDescent="0.25">
      <c r="A454" s="1">
        <v>613</v>
      </c>
      <c r="B454" s="1" t="s">
        <v>876</v>
      </c>
      <c r="C454" s="1" t="s">
        <v>877</v>
      </c>
      <c r="D454" s="1" t="s">
        <v>94</v>
      </c>
      <c r="E454" s="1" t="s">
        <v>812</v>
      </c>
      <c r="F454" s="3">
        <v>46188</v>
      </c>
      <c r="G454" s="3">
        <v>46196</v>
      </c>
      <c r="H454" s="4">
        <v>1</v>
      </c>
      <c r="I454" s="3">
        <v>46196</v>
      </c>
      <c r="J454" s="1" t="s">
        <v>821</v>
      </c>
      <c r="K454" s="1">
        <v>614</v>
      </c>
      <c r="L454" s="1" t="s">
        <v>59</v>
      </c>
      <c r="M454" s="1" t="s">
        <v>386</v>
      </c>
      <c r="N454" s="2">
        <v>46204</v>
      </c>
      <c r="P454" s="1" t="s">
        <v>696</v>
      </c>
      <c r="Q454" s="1" t="s">
        <v>138</v>
      </c>
      <c r="R454" s="1" t="s">
        <v>55</v>
      </c>
      <c r="S454" s="2">
        <v>46191</v>
      </c>
      <c r="T454" s="2">
        <v>46204</v>
      </c>
      <c r="V454" s="1">
        <v>1</v>
      </c>
      <c r="W454" s="1">
        <v>1</v>
      </c>
      <c r="X454" s="1">
        <v>1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</v>
      </c>
    </row>
    <row r="455" spans="1:33" x14ac:dyDescent="0.25">
      <c r="A455" s="1">
        <v>614</v>
      </c>
      <c r="B455" s="1" t="s">
        <v>878</v>
      </c>
      <c r="C455" s="1" t="s">
        <v>877</v>
      </c>
      <c r="D455" s="1" t="s">
        <v>98</v>
      </c>
      <c r="E455" s="1" t="s">
        <v>53</v>
      </c>
      <c r="F455" s="3">
        <v>46197</v>
      </c>
      <c r="G455" s="3">
        <v>46197</v>
      </c>
      <c r="H455" s="4">
        <v>0.15</v>
      </c>
      <c r="J455" s="1">
        <v>613</v>
      </c>
      <c r="K455" s="1">
        <v>615</v>
      </c>
      <c r="L455" s="1" t="s">
        <v>35</v>
      </c>
      <c r="M455" s="1" t="s">
        <v>535</v>
      </c>
      <c r="N455" s="2">
        <v>46205</v>
      </c>
      <c r="P455" s="1" t="s">
        <v>696</v>
      </c>
      <c r="Q455" s="1" t="s">
        <v>146</v>
      </c>
      <c r="R455" s="1" t="s">
        <v>55</v>
      </c>
      <c r="S455" s="2">
        <v>46205</v>
      </c>
      <c r="T455" s="2">
        <v>46205</v>
      </c>
      <c r="V455" s="1">
        <v>0.15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1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</row>
    <row r="456" spans="1:33" x14ac:dyDescent="0.25">
      <c r="A456" s="1">
        <v>615</v>
      </c>
      <c r="B456" s="1" t="s">
        <v>879</v>
      </c>
      <c r="C456" s="1" t="s">
        <v>877</v>
      </c>
      <c r="D456" s="1" t="s">
        <v>102</v>
      </c>
      <c r="E456" s="1" t="s">
        <v>53</v>
      </c>
      <c r="F456" s="3">
        <v>46198</v>
      </c>
      <c r="G456" s="3">
        <v>46198</v>
      </c>
      <c r="H456" s="4">
        <v>0</v>
      </c>
      <c r="J456" s="1">
        <v>614</v>
      </c>
      <c r="K456" s="1">
        <v>616</v>
      </c>
      <c r="L456" s="1" t="s">
        <v>35</v>
      </c>
      <c r="M456" s="1" t="s">
        <v>159</v>
      </c>
      <c r="N456" s="2">
        <v>46209</v>
      </c>
      <c r="P456" s="1" t="s">
        <v>696</v>
      </c>
      <c r="Q456" s="1" t="s">
        <v>146</v>
      </c>
      <c r="R456" s="1" t="s">
        <v>55</v>
      </c>
      <c r="S456" s="2">
        <v>46206</v>
      </c>
      <c r="T456" s="2">
        <v>46209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</row>
    <row r="457" spans="1:33" x14ac:dyDescent="0.25">
      <c r="A457" s="1">
        <v>616</v>
      </c>
      <c r="B457" s="1" t="s">
        <v>880</v>
      </c>
      <c r="C457" s="1" t="s">
        <v>877</v>
      </c>
      <c r="D457" s="1" t="s">
        <v>108</v>
      </c>
      <c r="E457" s="1" t="s">
        <v>53</v>
      </c>
      <c r="F457" s="3">
        <v>46199</v>
      </c>
      <c r="G457" s="3">
        <v>46199</v>
      </c>
      <c r="H457" s="4">
        <v>0</v>
      </c>
      <c r="J457" s="1">
        <v>615</v>
      </c>
      <c r="L457" s="1" t="s">
        <v>35</v>
      </c>
      <c r="M457" s="1" t="s">
        <v>538</v>
      </c>
      <c r="N457" s="2">
        <v>46210</v>
      </c>
      <c r="P457" s="1" t="s">
        <v>696</v>
      </c>
      <c r="Q457" s="1" t="s">
        <v>146</v>
      </c>
      <c r="R457" s="1" t="s">
        <v>55</v>
      </c>
      <c r="S457" s="2">
        <v>46210</v>
      </c>
      <c r="T457" s="2">
        <v>46210</v>
      </c>
      <c r="V457" s="1">
        <v>0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</row>
    <row r="458" spans="1:33" x14ac:dyDescent="0.25">
      <c r="A458" s="1">
        <v>617</v>
      </c>
      <c r="B458" s="1" t="s">
        <v>881</v>
      </c>
      <c r="C458" s="1" t="s">
        <v>698</v>
      </c>
      <c r="D458" s="1" t="s">
        <v>882</v>
      </c>
      <c r="E458" s="1" t="s">
        <v>741</v>
      </c>
      <c r="F458" s="3">
        <v>46188</v>
      </c>
      <c r="G458" s="3">
        <v>46199</v>
      </c>
      <c r="H458" s="4">
        <v>0.72</v>
      </c>
      <c r="L458" s="1" t="s">
        <v>35</v>
      </c>
      <c r="M458" s="1" t="s">
        <v>386</v>
      </c>
      <c r="N458" s="2">
        <v>46210</v>
      </c>
      <c r="P458" s="1" t="s">
        <v>696</v>
      </c>
      <c r="Q458" s="1" t="s">
        <v>138</v>
      </c>
      <c r="R458" s="1" t="s">
        <v>55</v>
      </c>
      <c r="S458" s="2">
        <v>46191</v>
      </c>
      <c r="T458" s="2">
        <v>46210</v>
      </c>
      <c r="V458" s="1">
        <v>0.72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</row>
    <row r="459" spans="1:33" x14ac:dyDescent="0.25">
      <c r="A459" s="1">
        <v>618</v>
      </c>
      <c r="B459" s="1" t="s">
        <v>883</v>
      </c>
      <c r="C459" s="1" t="s">
        <v>884</v>
      </c>
      <c r="D459" s="1" t="s">
        <v>94</v>
      </c>
      <c r="E459" s="1" t="s">
        <v>812</v>
      </c>
      <c r="F459" s="3">
        <v>46188</v>
      </c>
      <c r="G459" s="3">
        <v>46196</v>
      </c>
      <c r="H459" s="4">
        <v>1</v>
      </c>
      <c r="I459" s="3">
        <v>46196</v>
      </c>
      <c r="J459" s="1" t="s">
        <v>821</v>
      </c>
      <c r="K459" s="1">
        <v>619</v>
      </c>
      <c r="L459" s="1" t="s">
        <v>59</v>
      </c>
      <c r="M459" s="1" t="s">
        <v>386</v>
      </c>
      <c r="N459" s="2">
        <v>46204</v>
      </c>
      <c r="P459" s="1" t="s">
        <v>696</v>
      </c>
      <c r="Q459" s="1" t="s">
        <v>138</v>
      </c>
      <c r="R459" s="1" t="s">
        <v>55</v>
      </c>
      <c r="S459" s="2">
        <v>46191</v>
      </c>
      <c r="T459" s="2">
        <v>46204</v>
      </c>
      <c r="V459" s="1">
        <v>1</v>
      </c>
      <c r="W459" s="1">
        <v>1</v>
      </c>
      <c r="X459" s="1">
        <v>1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</row>
    <row r="460" spans="1:33" x14ac:dyDescent="0.25">
      <c r="A460" s="1">
        <v>619</v>
      </c>
      <c r="B460" s="1" t="s">
        <v>885</v>
      </c>
      <c r="C460" s="1" t="s">
        <v>884</v>
      </c>
      <c r="D460" s="1" t="s">
        <v>98</v>
      </c>
      <c r="E460" s="1" t="s">
        <v>53</v>
      </c>
      <c r="F460" s="3">
        <v>46197</v>
      </c>
      <c r="G460" s="3">
        <v>46197</v>
      </c>
      <c r="H460" s="4">
        <v>0.15</v>
      </c>
      <c r="J460" s="1">
        <v>618</v>
      </c>
      <c r="K460" s="1">
        <v>620</v>
      </c>
      <c r="L460" s="1" t="s">
        <v>35</v>
      </c>
      <c r="M460" s="1" t="s">
        <v>535</v>
      </c>
      <c r="N460" s="2">
        <v>46205</v>
      </c>
      <c r="P460" s="1" t="s">
        <v>696</v>
      </c>
      <c r="Q460" s="1" t="s">
        <v>146</v>
      </c>
      <c r="R460" s="1" t="s">
        <v>55</v>
      </c>
      <c r="S460" s="2">
        <v>46205</v>
      </c>
      <c r="T460" s="2">
        <v>46205</v>
      </c>
      <c r="V460" s="1">
        <v>0.15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</row>
    <row r="461" spans="1:33" x14ac:dyDescent="0.25">
      <c r="A461" s="1">
        <v>620</v>
      </c>
      <c r="B461" s="1" t="s">
        <v>886</v>
      </c>
      <c r="C461" s="1" t="s">
        <v>884</v>
      </c>
      <c r="D461" s="1" t="s">
        <v>102</v>
      </c>
      <c r="E461" s="1" t="s">
        <v>53</v>
      </c>
      <c r="F461" s="3">
        <v>46198</v>
      </c>
      <c r="G461" s="3">
        <v>46198</v>
      </c>
      <c r="H461" s="4">
        <v>0</v>
      </c>
      <c r="J461" s="1">
        <v>619</v>
      </c>
      <c r="K461" s="1">
        <v>621</v>
      </c>
      <c r="L461" s="1" t="s">
        <v>35</v>
      </c>
      <c r="M461" s="1" t="s">
        <v>159</v>
      </c>
      <c r="N461" s="2">
        <v>46209</v>
      </c>
      <c r="P461" s="1" t="s">
        <v>696</v>
      </c>
      <c r="Q461" s="1" t="s">
        <v>146</v>
      </c>
      <c r="R461" s="1" t="s">
        <v>55</v>
      </c>
      <c r="S461" s="2">
        <v>46206</v>
      </c>
      <c r="T461" s="2">
        <v>46209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1</v>
      </c>
      <c r="AE461" s="1">
        <v>0</v>
      </c>
      <c r="AF461" s="1">
        <v>0</v>
      </c>
      <c r="AG461" s="1">
        <v>0</v>
      </c>
    </row>
    <row r="462" spans="1:33" x14ac:dyDescent="0.25">
      <c r="A462" s="1">
        <v>621</v>
      </c>
      <c r="B462" s="1" t="s">
        <v>887</v>
      </c>
      <c r="C462" s="1" t="s">
        <v>884</v>
      </c>
      <c r="D462" s="1" t="s">
        <v>108</v>
      </c>
      <c r="E462" s="1" t="s">
        <v>53</v>
      </c>
      <c r="F462" s="3">
        <v>46199</v>
      </c>
      <c r="G462" s="3">
        <v>46199</v>
      </c>
      <c r="H462" s="4">
        <v>0</v>
      </c>
      <c r="J462" s="1">
        <v>620</v>
      </c>
      <c r="L462" s="1" t="s">
        <v>35</v>
      </c>
      <c r="M462" s="1" t="s">
        <v>538</v>
      </c>
      <c r="N462" s="2">
        <v>46210</v>
      </c>
      <c r="P462" s="1" t="s">
        <v>696</v>
      </c>
      <c r="Q462" s="1" t="s">
        <v>146</v>
      </c>
      <c r="R462" s="1" t="s">
        <v>55</v>
      </c>
      <c r="S462" s="2">
        <v>46210</v>
      </c>
      <c r="T462" s="2">
        <v>46210</v>
      </c>
      <c r="V462" s="1">
        <v>0</v>
      </c>
      <c r="W462" s="1">
        <v>0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</row>
    <row r="463" spans="1:33" x14ac:dyDescent="0.25">
      <c r="A463" s="1">
        <v>622</v>
      </c>
      <c r="B463" s="1" t="s">
        <v>888</v>
      </c>
      <c r="C463" s="1" t="s">
        <v>698</v>
      </c>
      <c r="D463" s="1" t="s">
        <v>889</v>
      </c>
      <c r="E463" s="1" t="s">
        <v>741</v>
      </c>
      <c r="F463" s="3">
        <v>46191</v>
      </c>
      <c r="G463" s="3">
        <v>46204</v>
      </c>
      <c r="H463" s="4">
        <v>0.72</v>
      </c>
      <c r="L463" s="1" t="s">
        <v>35</v>
      </c>
      <c r="M463" s="1" t="s">
        <v>386</v>
      </c>
      <c r="N463" s="2">
        <v>46210</v>
      </c>
      <c r="P463" s="1" t="s">
        <v>696</v>
      </c>
      <c r="Q463" s="1" t="s">
        <v>138</v>
      </c>
      <c r="R463" s="1" t="s">
        <v>55</v>
      </c>
      <c r="S463" s="2">
        <v>46191</v>
      </c>
      <c r="T463" s="2">
        <v>46210</v>
      </c>
      <c r="V463" s="1">
        <v>0.72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</row>
    <row r="464" spans="1:33" x14ac:dyDescent="0.25">
      <c r="A464" s="1">
        <v>623</v>
      </c>
      <c r="B464" s="1" t="s">
        <v>890</v>
      </c>
      <c r="C464" s="1" t="s">
        <v>891</v>
      </c>
      <c r="D464" s="1" t="s">
        <v>94</v>
      </c>
      <c r="E464" s="1" t="s">
        <v>812</v>
      </c>
      <c r="F464" s="3">
        <v>46191</v>
      </c>
      <c r="G464" s="3">
        <v>46199</v>
      </c>
      <c r="H464" s="4">
        <v>1</v>
      </c>
      <c r="I464" s="3">
        <v>46199</v>
      </c>
      <c r="J464" s="1" t="s">
        <v>821</v>
      </c>
      <c r="K464" s="1">
        <v>624</v>
      </c>
      <c r="L464" s="1" t="s">
        <v>59</v>
      </c>
      <c r="M464" s="1" t="s">
        <v>386</v>
      </c>
      <c r="N464" s="2">
        <v>46204</v>
      </c>
      <c r="P464" s="1" t="s">
        <v>696</v>
      </c>
      <c r="Q464" s="1" t="s">
        <v>138</v>
      </c>
      <c r="R464" s="1" t="s">
        <v>55</v>
      </c>
      <c r="S464" s="2">
        <v>46191</v>
      </c>
      <c r="T464" s="2">
        <v>46204</v>
      </c>
      <c r="V464" s="1">
        <v>1</v>
      </c>
      <c r="W464" s="1">
        <v>1</v>
      </c>
      <c r="X464" s="1">
        <v>1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</row>
    <row r="465" spans="1:33" x14ac:dyDescent="0.25">
      <c r="A465" s="1">
        <v>624</v>
      </c>
      <c r="B465" s="1" t="s">
        <v>892</v>
      </c>
      <c r="C465" s="1" t="s">
        <v>891</v>
      </c>
      <c r="D465" s="1" t="s">
        <v>98</v>
      </c>
      <c r="E465" s="1" t="s">
        <v>53</v>
      </c>
      <c r="F465" s="3">
        <v>46202</v>
      </c>
      <c r="G465" s="3">
        <v>46202</v>
      </c>
      <c r="H465" s="4">
        <v>0.15</v>
      </c>
      <c r="J465" s="1">
        <v>623</v>
      </c>
      <c r="K465" s="1">
        <v>625</v>
      </c>
      <c r="L465" s="1" t="s">
        <v>35</v>
      </c>
      <c r="M465" s="1" t="s">
        <v>535</v>
      </c>
      <c r="N465" s="2">
        <v>46205</v>
      </c>
      <c r="P465" s="1" t="s">
        <v>696</v>
      </c>
      <c r="Q465" s="1" t="s">
        <v>146</v>
      </c>
      <c r="R465" s="1" t="s">
        <v>55</v>
      </c>
      <c r="S465" s="2">
        <v>46205</v>
      </c>
      <c r="T465" s="2">
        <v>46205</v>
      </c>
      <c r="V465" s="1">
        <v>0.15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1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</row>
    <row r="466" spans="1:33" x14ac:dyDescent="0.25">
      <c r="A466" s="1">
        <v>625</v>
      </c>
      <c r="B466" s="1" t="s">
        <v>893</v>
      </c>
      <c r="C466" s="1" t="s">
        <v>891</v>
      </c>
      <c r="D466" s="1" t="s">
        <v>102</v>
      </c>
      <c r="E466" s="1" t="s">
        <v>53</v>
      </c>
      <c r="F466" s="3">
        <v>46203</v>
      </c>
      <c r="G466" s="3">
        <v>46203</v>
      </c>
      <c r="H466" s="4">
        <v>0</v>
      </c>
      <c r="J466" s="1">
        <v>624</v>
      </c>
      <c r="K466" s="1">
        <v>626</v>
      </c>
      <c r="L466" s="1" t="s">
        <v>35</v>
      </c>
      <c r="M466" s="1" t="s">
        <v>159</v>
      </c>
      <c r="N466" s="2">
        <v>46209</v>
      </c>
      <c r="P466" s="1" t="s">
        <v>696</v>
      </c>
      <c r="Q466" s="1" t="s">
        <v>146</v>
      </c>
      <c r="R466" s="1" t="s">
        <v>55</v>
      </c>
      <c r="S466" s="2">
        <v>46206</v>
      </c>
      <c r="T466" s="2">
        <v>46209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1</v>
      </c>
      <c r="AE466" s="1">
        <v>0</v>
      </c>
      <c r="AF466" s="1">
        <v>0</v>
      </c>
      <c r="AG466" s="1">
        <v>0</v>
      </c>
    </row>
    <row r="467" spans="1:33" x14ac:dyDescent="0.25">
      <c r="A467" s="1">
        <v>626</v>
      </c>
      <c r="B467" s="1" t="s">
        <v>894</v>
      </c>
      <c r="C467" s="1" t="s">
        <v>891</v>
      </c>
      <c r="D467" s="1" t="s">
        <v>108</v>
      </c>
      <c r="E467" s="1" t="s">
        <v>53</v>
      </c>
      <c r="F467" s="3">
        <v>46204</v>
      </c>
      <c r="G467" s="3">
        <v>46204</v>
      </c>
      <c r="H467" s="4">
        <v>0</v>
      </c>
      <c r="J467" s="1">
        <v>625</v>
      </c>
      <c r="L467" s="1" t="s">
        <v>35</v>
      </c>
      <c r="M467" s="1" t="s">
        <v>538</v>
      </c>
      <c r="N467" s="2">
        <v>46210</v>
      </c>
      <c r="P467" s="1" t="s">
        <v>696</v>
      </c>
      <c r="Q467" s="1" t="s">
        <v>146</v>
      </c>
      <c r="R467" s="1" t="s">
        <v>55</v>
      </c>
      <c r="S467" s="2">
        <v>46210</v>
      </c>
      <c r="T467" s="2">
        <v>46210</v>
      </c>
      <c r="V467" s="1">
        <v>0</v>
      </c>
      <c r="W467" s="1">
        <v>0</v>
      </c>
      <c r="X467" s="1">
        <v>0</v>
      </c>
      <c r="Y467" s="1">
        <v>0</v>
      </c>
      <c r="Z467" s="1">
        <v>1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</row>
    <row r="468" spans="1:33" x14ac:dyDescent="0.25">
      <c r="A468" s="1">
        <v>627</v>
      </c>
      <c r="B468" s="1" t="s">
        <v>895</v>
      </c>
      <c r="C468" s="1" t="s">
        <v>698</v>
      </c>
      <c r="D468" s="1" t="s">
        <v>896</v>
      </c>
      <c r="E468" s="1" t="s">
        <v>741</v>
      </c>
      <c r="F468" s="3">
        <v>46191</v>
      </c>
      <c r="G468" s="3">
        <v>46204</v>
      </c>
      <c r="H468" s="4">
        <v>0.72</v>
      </c>
      <c r="L468" s="1" t="s">
        <v>35</v>
      </c>
      <c r="M468" s="1" t="s">
        <v>386</v>
      </c>
      <c r="N468" s="2">
        <v>46210</v>
      </c>
      <c r="P468" s="1" t="s">
        <v>696</v>
      </c>
      <c r="Q468" s="1" t="s">
        <v>138</v>
      </c>
      <c r="R468" s="1" t="s">
        <v>55</v>
      </c>
      <c r="S468" s="2">
        <v>46191</v>
      </c>
      <c r="T468" s="2">
        <v>46210</v>
      </c>
      <c r="V468" s="1">
        <v>0.72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</row>
    <row r="469" spans="1:33" x14ac:dyDescent="0.25">
      <c r="A469" s="1">
        <v>628</v>
      </c>
      <c r="B469" s="1" t="s">
        <v>897</v>
      </c>
      <c r="C469" s="1" t="s">
        <v>898</v>
      </c>
      <c r="D469" s="1" t="s">
        <v>94</v>
      </c>
      <c r="E469" s="1" t="s">
        <v>812</v>
      </c>
      <c r="F469" s="3">
        <v>46191</v>
      </c>
      <c r="G469" s="3">
        <v>46199</v>
      </c>
      <c r="H469" s="4">
        <v>1</v>
      </c>
      <c r="I469" s="3">
        <v>46199</v>
      </c>
      <c r="J469" s="1" t="s">
        <v>821</v>
      </c>
      <c r="K469" s="1">
        <v>629</v>
      </c>
      <c r="L469" s="1" t="s">
        <v>59</v>
      </c>
      <c r="M469" s="1" t="s">
        <v>386</v>
      </c>
      <c r="N469" s="2">
        <v>46204</v>
      </c>
      <c r="P469" s="1" t="s">
        <v>696</v>
      </c>
      <c r="Q469" s="1" t="s">
        <v>138</v>
      </c>
      <c r="R469" s="1" t="s">
        <v>55</v>
      </c>
      <c r="S469" s="2">
        <v>46191</v>
      </c>
      <c r="T469" s="2">
        <v>46204</v>
      </c>
      <c r="V469" s="1">
        <v>1</v>
      </c>
      <c r="W469" s="1">
        <v>1</v>
      </c>
      <c r="X469" s="1">
        <v>1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1</v>
      </c>
    </row>
    <row r="470" spans="1:33" x14ac:dyDescent="0.25">
      <c r="A470" s="1">
        <v>629</v>
      </c>
      <c r="B470" s="1" t="s">
        <v>899</v>
      </c>
      <c r="C470" s="1" t="s">
        <v>898</v>
      </c>
      <c r="D470" s="1" t="s">
        <v>98</v>
      </c>
      <c r="E470" s="1" t="s">
        <v>53</v>
      </c>
      <c r="F470" s="3">
        <v>46202</v>
      </c>
      <c r="G470" s="3">
        <v>46202</v>
      </c>
      <c r="H470" s="4">
        <v>0.15</v>
      </c>
      <c r="J470" s="1">
        <v>628</v>
      </c>
      <c r="K470" s="1">
        <v>630</v>
      </c>
      <c r="L470" s="1" t="s">
        <v>35</v>
      </c>
      <c r="M470" s="1" t="s">
        <v>535</v>
      </c>
      <c r="N470" s="2">
        <v>46205</v>
      </c>
      <c r="P470" s="1" t="s">
        <v>696</v>
      </c>
      <c r="Q470" s="1" t="s">
        <v>146</v>
      </c>
      <c r="R470" s="1" t="s">
        <v>55</v>
      </c>
      <c r="S470" s="2">
        <v>46205</v>
      </c>
      <c r="T470" s="2">
        <v>46205</v>
      </c>
      <c r="V470" s="1">
        <v>0.15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</row>
    <row r="471" spans="1:33" x14ac:dyDescent="0.25">
      <c r="A471" s="1">
        <v>630</v>
      </c>
      <c r="B471" s="1" t="s">
        <v>900</v>
      </c>
      <c r="C471" s="1" t="s">
        <v>898</v>
      </c>
      <c r="D471" s="1" t="s">
        <v>102</v>
      </c>
      <c r="E471" s="1" t="s">
        <v>53</v>
      </c>
      <c r="F471" s="3">
        <v>46203</v>
      </c>
      <c r="G471" s="3">
        <v>46203</v>
      </c>
      <c r="H471" s="4">
        <v>0</v>
      </c>
      <c r="J471" s="1">
        <v>629</v>
      </c>
      <c r="K471" s="1">
        <v>631</v>
      </c>
      <c r="L471" s="1" t="s">
        <v>35</v>
      </c>
      <c r="M471" s="1" t="s">
        <v>159</v>
      </c>
      <c r="N471" s="2">
        <v>46209</v>
      </c>
      <c r="P471" s="1" t="s">
        <v>696</v>
      </c>
      <c r="Q471" s="1" t="s">
        <v>146</v>
      </c>
      <c r="R471" s="1" t="s">
        <v>55</v>
      </c>
      <c r="S471" s="2">
        <v>46206</v>
      </c>
      <c r="T471" s="2">
        <v>46209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</row>
    <row r="472" spans="1:33" x14ac:dyDescent="0.25">
      <c r="A472" s="1">
        <v>631</v>
      </c>
      <c r="B472" s="1" t="s">
        <v>901</v>
      </c>
      <c r="C472" s="1" t="s">
        <v>898</v>
      </c>
      <c r="D472" s="1" t="s">
        <v>108</v>
      </c>
      <c r="E472" s="1" t="s">
        <v>53</v>
      </c>
      <c r="F472" s="3">
        <v>46204</v>
      </c>
      <c r="G472" s="3">
        <v>46204</v>
      </c>
      <c r="H472" s="4">
        <v>0</v>
      </c>
      <c r="J472" s="1">
        <v>630</v>
      </c>
      <c r="L472" s="1" t="s">
        <v>35</v>
      </c>
      <c r="M472" s="1" t="s">
        <v>538</v>
      </c>
      <c r="N472" s="2">
        <v>46210</v>
      </c>
      <c r="P472" s="1" t="s">
        <v>696</v>
      </c>
      <c r="Q472" s="1" t="s">
        <v>146</v>
      </c>
      <c r="R472" s="1" t="s">
        <v>55</v>
      </c>
      <c r="S472" s="2">
        <v>46210</v>
      </c>
      <c r="T472" s="2">
        <v>46210</v>
      </c>
      <c r="V472" s="1">
        <v>0</v>
      </c>
      <c r="W472" s="1">
        <v>0</v>
      </c>
      <c r="X472" s="1">
        <v>0</v>
      </c>
      <c r="Y472" s="1">
        <v>0</v>
      </c>
      <c r="Z472" s="1">
        <v>1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</row>
    <row r="473" spans="1:33" x14ac:dyDescent="0.25">
      <c r="A473" s="1">
        <v>632</v>
      </c>
      <c r="B473" s="1" t="s">
        <v>902</v>
      </c>
      <c r="C473" s="1" t="s">
        <v>698</v>
      </c>
      <c r="D473" s="1" t="s">
        <v>903</v>
      </c>
      <c r="E473" s="1" t="s">
        <v>741</v>
      </c>
      <c r="F473" s="3">
        <v>46191</v>
      </c>
      <c r="G473" s="3">
        <v>46204</v>
      </c>
      <c r="H473" s="4">
        <v>0.72</v>
      </c>
      <c r="L473" s="1" t="s">
        <v>35</v>
      </c>
      <c r="M473" s="1" t="s">
        <v>386</v>
      </c>
      <c r="N473" s="2">
        <v>46210</v>
      </c>
      <c r="P473" s="1" t="s">
        <v>696</v>
      </c>
      <c r="Q473" s="1" t="s">
        <v>138</v>
      </c>
      <c r="R473" s="1" t="s">
        <v>55</v>
      </c>
      <c r="S473" s="2">
        <v>46191</v>
      </c>
      <c r="T473" s="2">
        <v>46210</v>
      </c>
      <c r="V473" s="1">
        <v>0.72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</row>
    <row r="474" spans="1:33" x14ac:dyDescent="0.25">
      <c r="A474" s="1">
        <v>633</v>
      </c>
      <c r="B474" s="1" t="s">
        <v>904</v>
      </c>
      <c r="C474" s="1" t="s">
        <v>905</v>
      </c>
      <c r="D474" s="1" t="s">
        <v>94</v>
      </c>
      <c r="E474" s="1" t="s">
        <v>812</v>
      </c>
      <c r="F474" s="3">
        <v>46191</v>
      </c>
      <c r="G474" s="3">
        <v>46199</v>
      </c>
      <c r="H474" s="4">
        <v>1</v>
      </c>
      <c r="I474" s="3">
        <v>46199</v>
      </c>
      <c r="J474" s="1" t="s">
        <v>821</v>
      </c>
      <c r="K474" s="1">
        <v>634</v>
      </c>
      <c r="L474" s="1" t="s">
        <v>59</v>
      </c>
      <c r="M474" s="1" t="s">
        <v>386</v>
      </c>
      <c r="N474" s="2">
        <v>46204</v>
      </c>
      <c r="P474" s="1" t="s">
        <v>696</v>
      </c>
      <c r="Q474" s="1" t="s">
        <v>138</v>
      </c>
      <c r="R474" s="1" t="s">
        <v>55</v>
      </c>
      <c r="S474" s="2">
        <v>46191</v>
      </c>
      <c r="T474" s="2">
        <v>46204</v>
      </c>
      <c r="V474" s="1">
        <v>1</v>
      </c>
      <c r="W474" s="1">
        <v>1</v>
      </c>
      <c r="X474" s="1">
        <v>1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1</v>
      </c>
    </row>
    <row r="475" spans="1:33" x14ac:dyDescent="0.25">
      <c r="A475" s="1">
        <v>634</v>
      </c>
      <c r="B475" s="1" t="s">
        <v>906</v>
      </c>
      <c r="C475" s="1" t="s">
        <v>905</v>
      </c>
      <c r="D475" s="1" t="s">
        <v>98</v>
      </c>
      <c r="E475" s="1" t="s">
        <v>53</v>
      </c>
      <c r="F475" s="3">
        <v>46202</v>
      </c>
      <c r="G475" s="3">
        <v>46202</v>
      </c>
      <c r="H475" s="4">
        <v>0.15</v>
      </c>
      <c r="J475" s="1">
        <v>633</v>
      </c>
      <c r="K475" s="1">
        <v>635</v>
      </c>
      <c r="L475" s="1" t="s">
        <v>35</v>
      </c>
      <c r="M475" s="1" t="s">
        <v>535</v>
      </c>
      <c r="N475" s="2">
        <v>46205</v>
      </c>
      <c r="P475" s="1" t="s">
        <v>696</v>
      </c>
      <c r="Q475" s="1" t="s">
        <v>146</v>
      </c>
      <c r="R475" s="1" t="s">
        <v>55</v>
      </c>
      <c r="S475" s="2">
        <v>46205</v>
      </c>
      <c r="T475" s="2">
        <v>46205</v>
      </c>
      <c r="V475" s="1">
        <v>0.15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1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</row>
    <row r="476" spans="1:33" x14ac:dyDescent="0.25">
      <c r="A476" s="1">
        <v>635</v>
      </c>
      <c r="B476" s="1" t="s">
        <v>907</v>
      </c>
      <c r="C476" s="1" t="s">
        <v>905</v>
      </c>
      <c r="D476" s="1" t="s">
        <v>102</v>
      </c>
      <c r="E476" s="1" t="s">
        <v>53</v>
      </c>
      <c r="F476" s="3">
        <v>46203</v>
      </c>
      <c r="G476" s="3">
        <v>46203</v>
      </c>
      <c r="H476" s="4">
        <v>0</v>
      </c>
      <c r="J476" s="1">
        <v>634</v>
      </c>
      <c r="K476" s="1">
        <v>636</v>
      </c>
      <c r="L476" s="1" t="s">
        <v>35</v>
      </c>
      <c r="M476" s="1" t="s">
        <v>159</v>
      </c>
      <c r="N476" s="2">
        <v>46209</v>
      </c>
      <c r="P476" s="1" t="s">
        <v>696</v>
      </c>
      <c r="Q476" s="1" t="s">
        <v>146</v>
      </c>
      <c r="R476" s="1" t="s">
        <v>55</v>
      </c>
      <c r="S476" s="2">
        <v>46206</v>
      </c>
      <c r="T476" s="2">
        <v>46209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1</v>
      </c>
      <c r="AE476" s="1">
        <v>0</v>
      </c>
      <c r="AF476" s="1">
        <v>0</v>
      </c>
      <c r="AG476" s="1">
        <v>0</v>
      </c>
    </row>
    <row r="477" spans="1:33" x14ac:dyDescent="0.25">
      <c r="A477" s="1">
        <v>636</v>
      </c>
      <c r="B477" s="1" t="s">
        <v>908</v>
      </c>
      <c r="C477" s="1" t="s">
        <v>905</v>
      </c>
      <c r="D477" s="1" t="s">
        <v>108</v>
      </c>
      <c r="E477" s="1" t="s">
        <v>53</v>
      </c>
      <c r="F477" s="3">
        <v>46204</v>
      </c>
      <c r="G477" s="3">
        <v>46204</v>
      </c>
      <c r="H477" s="4">
        <v>0</v>
      </c>
      <c r="J477" s="1">
        <v>635</v>
      </c>
      <c r="L477" s="1" t="s">
        <v>35</v>
      </c>
      <c r="M477" s="1" t="s">
        <v>538</v>
      </c>
      <c r="N477" s="2">
        <v>46210</v>
      </c>
      <c r="P477" s="1" t="s">
        <v>696</v>
      </c>
      <c r="Q477" s="1" t="s">
        <v>146</v>
      </c>
      <c r="R477" s="1" t="s">
        <v>55</v>
      </c>
      <c r="S477" s="2">
        <v>46210</v>
      </c>
      <c r="T477" s="2">
        <v>46210</v>
      </c>
      <c r="V477" s="1">
        <v>0</v>
      </c>
      <c r="W477" s="1">
        <v>0</v>
      </c>
      <c r="X477" s="1">
        <v>0</v>
      </c>
      <c r="Y477" s="1">
        <v>0</v>
      </c>
      <c r="Z477" s="1">
        <v>1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</row>
    <row r="478" spans="1:33" x14ac:dyDescent="0.25">
      <c r="A478" s="1">
        <v>637</v>
      </c>
      <c r="B478" s="1" t="s">
        <v>909</v>
      </c>
      <c r="C478" s="1" t="s">
        <v>698</v>
      </c>
      <c r="D478" s="1" t="s">
        <v>910</v>
      </c>
      <c r="E478" s="1" t="s">
        <v>741</v>
      </c>
      <c r="F478" s="3">
        <v>46188</v>
      </c>
      <c r="G478" s="3">
        <v>46199</v>
      </c>
      <c r="H478" s="4">
        <v>0.72</v>
      </c>
      <c r="L478" s="1" t="s">
        <v>35</v>
      </c>
      <c r="M478" s="1" t="s">
        <v>386</v>
      </c>
      <c r="N478" s="2">
        <v>46210</v>
      </c>
      <c r="P478" s="1" t="s">
        <v>696</v>
      </c>
      <c r="Q478" s="1" t="s">
        <v>138</v>
      </c>
      <c r="R478" s="1" t="s">
        <v>55</v>
      </c>
      <c r="S478" s="2">
        <v>46191</v>
      </c>
      <c r="T478" s="2">
        <v>46210</v>
      </c>
      <c r="V478" s="1">
        <v>0.72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</row>
    <row r="479" spans="1:33" x14ac:dyDescent="0.25">
      <c r="A479" s="1">
        <v>638</v>
      </c>
      <c r="B479" s="1" t="s">
        <v>911</v>
      </c>
      <c r="C479" s="1" t="s">
        <v>912</v>
      </c>
      <c r="D479" s="1" t="s">
        <v>94</v>
      </c>
      <c r="E479" s="1" t="s">
        <v>812</v>
      </c>
      <c r="F479" s="3">
        <v>46188</v>
      </c>
      <c r="G479" s="3">
        <v>46196</v>
      </c>
      <c r="H479" s="4">
        <v>1</v>
      </c>
      <c r="I479" s="3">
        <v>46196</v>
      </c>
      <c r="J479" s="1" t="s">
        <v>821</v>
      </c>
      <c r="K479" s="1">
        <v>639</v>
      </c>
      <c r="L479" s="1" t="s">
        <v>59</v>
      </c>
      <c r="M479" s="1" t="s">
        <v>386</v>
      </c>
      <c r="N479" s="2">
        <v>46204</v>
      </c>
      <c r="P479" s="1" t="s">
        <v>696</v>
      </c>
      <c r="Q479" s="1" t="s">
        <v>138</v>
      </c>
      <c r="R479" s="1" t="s">
        <v>55</v>
      </c>
      <c r="S479" s="2">
        <v>46191</v>
      </c>
      <c r="T479" s="2">
        <v>46204</v>
      </c>
      <c r="V479" s="1">
        <v>1</v>
      </c>
      <c r="W479" s="1">
        <v>1</v>
      </c>
      <c r="X479" s="1">
        <v>1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</row>
    <row r="480" spans="1:33" x14ac:dyDescent="0.25">
      <c r="A480" s="1">
        <v>639</v>
      </c>
      <c r="B480" s="1" t="s">
        <v>913</v>
      </c>
      <c r="C480" s="1" t="s">
        <v>912</v>
      </c>
      <c r="D480" s="1" t="s">
        <v>98</v>
      </c>
      <c r="E480" s="1" t="s">
        <v>53</v>
      </c>
      <c r="F480" s="3">
        <v>46197</v>
      </c>
      <c r="G480" s="3">
        <v>46197</v>
      </c>
      <c r="H480" s="4">
        <v>0.15</v>
      </c>
      <c r="J480" s="1">
        <v>638</v>
      </c>
      <c r="K480" s="1">
        <v>640</v>
      </c>
      <c r="L480" s="1" t="s">
        <v>35</v>
      </c>
      <c r="M480" s="1" t="s">
        <v>535</v>
      </c>
      <c r="N480" s="2">
        <v>46205</v>
      </c>
      <c r="P480" s="1" t="s">
        <v>696</v>
      </c>
      <c r="Q480" s="1" t="s">
        <v>146</v>
      </c>
      <c r="R480" s="1" t="s">
        <v>55</v>
      </c>
      <c r="S480" s="2">
        <v>46205</v>
      </c>
      <c r="T480" s="2">
        <v>46205</v>
      </c>
      <c r="V480" s="1">
        <v>0.15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</row>
    <row r="481" spans="1:33" x14ac:dyDescent="0.25">
      <c r="A481" s="1">
        <v>640</v>
      </c>
      <c r="B481" s="1" t="s">
        <v>914</v>
      </c>
      <c r="C481" s="1" t="s">
        <v>912</v>
      </c>
      <c r="D481" s="1" t="s">
        <v>102</v>
      </c>
      <c r="E481" s="1" t="s">
        <v>53</v>
      </c>
      <c r="F481" s="3">
        <v>46198</v>
      </c>
      <c r="G481" s="3">
        <v>46198</v>
      </c>
      <c r="H481" s="4">
        <v>0</v>
      </c>
      <c r="J481" s="1">
        <v>639</v>
      </c>
      <c r="K481" s="1">
        <v>641</v>
      </c>
      <c r="L481" s="1" t="s">
        <v>35</v>
      </c>
      <c r="M481" s="1" t="s">
        <v>159</v>
      </c>
      <c r="N481" s="2">
        <v>46209</v>
      </c>
      <c r="P481" s="1" t="s">
        <v>696</v>
      </c>
      <c r="Q481" s="1" t="s">
        <v>146</v>
      </c>
      <c r="R481" s="1" t="s">
        <v>55</v>
      </c>
      <c r="S481" s="2">
        <v>46206</v>
      </c>
      <c r="T481" s="2">
        <v>46209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1</v>
      </c>
      <c r="AE481" s="1">
        <v>0</v>
      </c>
      <c r="AF481" s="1">
        <v>0</v>
      </c>
      <c r="AG481" s="1">
        <v>0</v>
      </c>
    </row>
    <row r="482" spans="1:33" x14ac:dyDescent="0.25">
      <c r="A482" s="1">
        <v>641</v>
      </c>
      <c r="B482" s="1" t="s">
        <v>915</v>
      </c>
      <c r="C482" s="1" t="s">
        <v>912</v>
      </c>
      <c r="D482" s="1" t="s">
        <v>108</v>
      </c>
      <c r="E482" s="1" t="s">
        <v>53</v>
      </c>
      <c r="F482" s="3">
        <v>46199</v>
      </c>
      <c r="G482" s="3">
        <v>46199</v>
      </c>
      <c r="H482" s="4">
        <v>0</v>
      </c>
      <c r="J482" s="1">
        <v>640</v>
      </c>
      <c r="L482" s="1" t="s">
        <v>35</v>
      </c>
      <c r="M482" s="1" t="s">
        <v>538</v>
      </c>
      <c r="N482" s="2">
        <v>46210</v>
      </c>
      <c r="P482" s="1" t="s">
        <v>696</v>
      </c>
      <c r="Q482" s="1" t="s">
        <v>146</v>
      </c>
      <c r="R482" s="1" t="s">
        <v>55</v>
      </c>
      <c r="S482" s="2">
        <v>46210</v>
      </c>
      <c r="T482" s="2">
        <v>46210</v>
      </c>
      <c r="V482" s="1">
        <v>0</v>
      </c>
      <c r="W482" s="1">
        <v>0</v>
      </c>
      <c r="X482" s="1">
        <v>0</v>
      </c>
      <c r="Y482" s="1">
        <v>0</v>
      </c>
      <c r="Z482" s="1">
        <v>1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1</v>
      </c>
      <c r="AG482" s="1">
        <v>0</v>
      </c>
    </row>
    <row r="483" spans="1:33" x14ac:dyDescent="0.25">
      <c r="A483" s="1">
        <v>642</v>
      </c>
      <c r="B483" s="1" t="s">
        <v>916</v>
      </c>
      <c r="C483" s="1" t="s">
        <v>698</v>
      </c>
      <c r="D483" s="1" t="s">
        <v>917</v>
      </c>
      <c r="E483" s="1" t="s">
        <v>741</v>
      </c>
      <c r="F483" s="3">
        <v>46188</v>
      </c>
      <c r="G483" s="3">
        <v>46199</v>
      </c>
      <c r="H483" s="4">
        <v>0.72</v>
      </c>
      <c r="L483" s="1" t="s">
        <v>35</v>
      </c>
      <c r="M483" s="1" t="s">
        <v>386</v>
      </c>
      <c r="N483" s="2">
        <v>46210</v>
      </c>
      <c r="P483" s="1" t="s">
        <v>696</v>
      </c>
      <c r="Q483" s="1" t="s">
        <v>138</v>
      </c>
      <c r="R483" s="1" t="s">
        <v>55</v>
      </c>
      <c r="S483" s="2">
        <v>46191</v>
      </c>
      <c r="T483" s="2">
        <v>46210</v>
      </c>
      <c r="V483" s="1">
        <v>0.72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</row>
    <row r="484" spans="1:33" x14ac:dyDescent="0.25">
      <c r="A484" s="1">
        <v>643</v>
      </c>
      <c r="B484" s="1" t="s">
        <v>918</v>
      </c>
      <c r="C484" s="1" t="s">
        <v>919</v>
      </c>
      <c r="D484" s="1" t="s">
        <v>94</v>
      </c>
      <c r="E484" s="1" t="s">
        <v>812</v>
      </c>
      <c r="F484" s="3">
        <v>46188</v>
      </c>
      <c r="G484" s="3">
        <v>46196</v>
      </c>
      <c r="H484" s="4">
        <v>1</v>
      </c>
      <c r="I484" s="3">
        <v>46196</v>
      </c>
      <c r="J484" s="1" t="s">
        <v>821</v>
      </c>
      <c r="K484" s="1">
        <v>644</v>
      </c>
      <c r="L484" s="1" t="s">
        <v>59</v>
      </c>
      <c r="M484" s="1" t="s">
        <v>386</v>
      </c>
      <c r="N484" s="2">
        <v>46204</v>
      </c>
      <c r="P484" s="1" t="s">
        <v>696</v>
      </c>
      <c r="Q484" s="1" t="s">
        <v>138</v>
      </c>
      <c r="R484" s="1" t="s">
        <v>55</v>
      </c>
      <c r="S484" s="2">
        <v>46191</v>
      </c>
      <c r="T484" s="2">
        <v>46204</v>
      </c>
      <c r="V484" s="1">
        <v>1</v>
      </c>
      <c r="W484" s="1">
        <v>1</v>
      </c>
      <c r="X484" s="1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</row>
    <row r="485" spans="1:33" x14ac:dyDescent="0.25">
      <c r="A485" s="1">
        <v>644</v>
      </c>
      <c r="B485" s="1" t="s">
        <v>920</v>
      </c>
      <c r="C485" s="1" t="s">
        <v>919</v>
      </c>
      <c r="D485" s="1" t="s">
        <v>98</v>
      </c>
      <c r="E485" s="1" t="s">
        <v>53</v>
      </c>
      <c r="F485" s="3">
        <v>46197</v>
      </c>
      <c r="G485" s="3">
        <v>46197</v>
      </c>
      <c r="H485" s="4">
        <v>0.15</v>
      </c>
      <c r="J485" s="1">
        <v>643</v>
      </c>
      <c r="K485" s="1">
        <v>645</v>
      </c>
      <c r="L485" s="1" t="s">
        <v>35</v>
      </c>
      <c r="M485" s="1" t="s">
        <v>535</v>
      </c>
      <c r="N485" s="2">
        <v>46205</v>
      </c>
      <c r="P485" s="1" t="s">
        <v>696</v>
      </c>
      <c r="Q485" s="1" t="s">
        <v>146</v>
      </c>
      <c r="R485" s="1" t="s">
        <v>55</v>
      </c>
      <c r="S485" s="2">
        <v>46205</v>
      </c>
      <c r="T485" s="2">
        <v>46205</v>
      </c>
      <c r="V485" s="1">
        <v>0.15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1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</row>
    <row r="486" spans="1:33" x14ac:dyDescent="0.25">
      <c r="A486" s="1">
        <v>645</v>
      </c>
      <c r="B486" s="1" t="s">
        <v>921</v>
      </c>
      <c r="C486" s="1" t="s">
        <v>919</v>
      </c>
      <c r="D486" s="1" t="s">
        <v>102</v>
      </c>
      <c r="E486" s="1" t="s">
        <v>53</v>
      </c>
      <c r="F486" s="3">
        <v>46198</v>
      </c>
      <c r="G486" s="3">
        <v>46198</v>
      </c>
      <c r="H486" s="4">
        <v>0</v>
      </c>
      <c r="J486" s="1">
        <v>644</v>
      </c>
      <c r="K486" s="1">
        <v>646</v>
      </c>
      <c r="L486" s="1" t="s">
        <v>35</v>
      </c>
      <c r="M486" s="1" t="s">
        <v>159</v>
      </c>
      <c r="N486" s="2">
        <v>46209</v>
      </c>
      <c r="P486" s="1" t="s">
        <v>696</v>
      </c>
      <c r="Q486" s="1" t="s">
        <v>146</v>
      </c>
      <c r="R486" s="1" t="s">
        <v>55</v>
      </c>
      <c r="S486" s="2">
        <v>46206</v>
      </c>
      <c r="T486" s="2">
        <v>46209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1</v>
      </c>
      <c r="AE486" s="1">
        <v>0</v>
      </c>
      <c r="AF486" s="1">
        <v>0</v>
      </c>
      <c r="AG486" s="1">
        <v>0</v>
      </c>
    </row>
    <row r="487" spans="1:33" x14ac:dyDescent="0.25">
      <c r="A487" s="1">
        <v>646</v>
      </c>
      <c r="B487" s="1" t="s">
        <v>922</v>
      </c>
      <c r="C487" s="1" t="s">
        <v>919</v>
      </c>
      <c r="D487" s="1" t="s">
        <v>108</v>
      </c>
      <c r="E487" s="1" t="s">
        <v>53</v>
      </c>
      <c r="F487" s="3">
        <v>46199</v>
      </c>
      <c r="G487" s="3">
        <v>46199</v>
      </c>
      <c r="H487" s="4">
        <v>0</v>
      </c>
      <c r="J487" s="1">
        <v>645</v>
      </c>
      <c r="L487" s="1" t="s">
        <v>35</v>
      </c>
      <c r="M487" s="1" t="s">
        <v>538</v>
      </c>
      <c r="N487" s="2">
        <v>46210</v>
      </c>
      <c r="P487" s="1" t="s">
        <v>696</v>
      </c>
      <c r="Q487" s="1" t="s">
        <v>146</v>
      </c>
      <c r="R487" s="1" t="s">
        <v>55</v>
      </c>
      <c r="S487" s="2">
        <v>46210</v>
      </c>
      <c r="T487" s="2">
        <v>46210</v>
      </c>
      <c r="V487" s="1">
        <v>0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</row>
    <row r="488" spans="1:33" x14ac:dyDescent="0.25">
      <c r="A488" s="1">
        <v>647</v>
      </c>
      <c r="B488" s="1" t="s">
        <v>923</v>
      </c>
      <c r="C488" s="1" t="s">
        <v>698</v>
      </c>
      <c r="D488" s="1" t="s">
        <v>924</v>
      </c>
      <c r="E488" s="1" t="s">
        <v>741</v>
      </c>
      <c r="F488" s="3">
        <v>46188</v>
      </c>
      <c r="G488" s="3">
        <v>46199</v>
      </c>
      <c r="H488" s="4">
        <v>0.72</v>
      </c>
      <c r="L488" s="1" t="s">
        <v>35</v>
      </c>
      <c r="M488" s="1" t="s">
        <v>386</v>
      </c>
      <c r="N488" s="2">
        <v>46210</v>
      </c>
      <c r="P488" s="1" t="s">
        <v>696</v>
      </c>
      <c r="Q488" s="1" t="s">
        <v>138</v>
      </c>
      <c r="R488" s="1" t="s">
        <v>55</v>
      </c>
      <c r="S488" s="2">
        <v>46191</v>
      </c>
      <c r="T488" s="2">
        <v>46210</v>
      </c>
      <c r="U488" s="1" t="s">
        <v>320</v>
      </c>
      <c r="V488" s="1">
        <v>0.72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</row>
    <row r="489" spans="1:33" x14ac:dyDescent="0.25">
      <c r="A489" s="1">
        <v>648</v>
      </c>
      <c r="B489" s="1" t="s">
        <v>925</v>
      </c>
      <c r="C489" s="1" t="s">
        <v>926</v>
      </c>
      <c r="D489" s="1" t="s">
        <v>94</v>
      </c>
      <c r="E489" s="1" t="s">
        <v>812</v>
      </c>
      <c r="F489" s="3">
        <v>46188</v>
      </c>
      <c r="G489" s="3">
        <v>46196</v>
      </c>
      <c r="H489" s="4">
        <v>1</v>
      </c>
      <c r="I489" s="3">
        <v>46196</v>
      </c>
      <c r="J489" s="1" t="s">
        <v>821</v>
      </c>
      <c r="K489" s="1">
        <v>649</v>
      </c>
      <c r="L489" s="1" t="s">
        <v>59</v>
      </c>
      <c r="M489" s="1" t="s">
        <v>386</v>
      </c>
      <c r="N489" s="2">
        <v>46204</v>
      </c>
      <c r="P489" s="1" t="s">
        <v>696</v>
      </c>
      <c r="Q489" s="1" t="s">
        <v>138</v>
      </c>
      <c r="R489" s="1" t="s">
        <v>55</v>
      </c>
      <c r="S489" s="2">
        <v>46191</v>
      </c>
      <c r="T489" s="2">
        <v>46204</v>
      </c>
      <c r="V489" s="1">
        <v>1</v>
      </c>
      <c r="W489" s="1">
        <v>1</v>
      </c>
      <c r="X489" s="1">
        <v>1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</v>
      </c>
    </row>
    <row r="490" spans="1:33" x14ac:dyDescent="0.25">
      <c r="A490" s="1">
        <v>649</v>
      </c>
      <c r="B490" s="1" t="s">
        <v>927</v>
      </c>
      <c r="C490" s="1" t="s">
        <v>926</v>
      </c>
      <c r="D490" s="1" t="s">
        <v>98</v>
      </c>
      <c r="E490" s="1" t="s">
        <v>53</v>
      </c>
      <c r="F490" s="3">
        <v>46197</v>
      </c>
      <c r="G490" s="3">
        <v>46197</v>
      </c>
      <c r="H490" s="4">
        <v>0.15</v>
      </c>
      <c r="J490" s="1">
        <v>648</v>
      </c>
      <c r="K490" s="1">
        <v>650</v>
      </c>
      <c r="L490" s="1" t="s">
        <v>35</v>
      </c>
      <c r="M490" s="1" t="s">
        <v>535</v>
      </c>
      <c r="N490" s="2">
        <v>46205</v>
      </c>
      <c r="P490" s="1" t="s">
        <v>696</v>
      </c>
      <c r="Q490" s="1" t="s">
        <v>146</v>
      </c>
      <c r="R490" s="1" t="s">
        <v>55</v>
      </c>
      <c r="S490" s="2">
        <v>46205</v>
      </c>
      <c r="T490" s="2">
        <v>46205</v>
      </c>
      <c r="V490" s="1">
        <v>0.15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1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</row>
    <row r="491" spans="1:33" x14ac:dyDescent="0.25">
      <c r="A491" s="1">
        <v>650</v>
      </c>
      <c r="B491" s="1" t="s">
        <v>928</v>
      </c>
      <c r="C491" s="1" t="s">
        <v>926</v>
      </c>
      <c r="D491" s="1" t="s">
        <v>102</v>
      </c>
      <c r="E491" s="1" t="s">
        <v>53</v>
      </c>
      <c r="F491" s="3">
        <v>46198</v>
      </c>
      <c r="G491" s="3">
        <v>46198</v>
      </c>
      <c r="H491" s="4">
        <v>0</v>
      </c>
      <c r="J491" s="1">
        <v>649</v>
      </c>
      <c r="K491" s="1">
        <v>651</v>
      </c>
      <c r="L491" s="1" t="s">
        <v>35</v>
      </c>
      <c r="M491" s="1" t="s">
        <v>159</v>
      </c>
      <c r="N491" s="2">
        <v>46209</v>
      </c>
      <c r="P491" s="1" t="s">
        <v>696</v>
      </c>
      <c r="Q491" s="1" t="s">
        <v>146</v>
      </c>
      <c r="R491" s="1" t="s">
        <v>55</v>
      </c>
      <c r="S491" s="2">
        <v>46206</v>
      </c>
      <c r="T491" s="2">
        <v>46209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</v>
      </c>
      <c r="AE491" s="1">
        <v>0</v>
      </c>
      <c r="AF491" s="1">
        <v>0</v>
      </c>
      <c r="AG491" s="1">
        <v>0</v>
      </c>
    </row>
    <row r="492" spans="1:33" x14ac:dyDescent="0.25">
      <c r="A492" s="1">
        <v>651</v>
      </c>
      <c r="B492" s="1" t="s">
        <v>929</v>
      </c>
      <c r="C492" s="1" t="s">
        <v>926</v>
      </c>
      <c r="D492" s="1" t="s">
        <v>108</v>
      </c>
      <c r="E492" s="1" t="s">
        <v>53</v>
      </c>
      <c r="F492" s="3">
        <v>46199</v>
      </c>
      <c r="G492" s="3">
        <v>46199</v>
      </c>
      <c r="H492" s="4">
        <v>0</v>
      </c>
      <c r="J492" s="1">
        <v>650</v>
      </c>
      <c r="L492" s="1" t="s">
        <v>35</v>
      </c>
      <c r="M492" s="1" t="s">
        <v>538</v>
      </c>
      <c r="N492" s="2">
        <v>46210</v>
      </c>
      <c r="P492" s="1" t="s">
        <v>696</v>
      </c>
      <c r="Q492" s="1" t="s">
        <v>146</v>
      </c>
      <c r="R492" s="1" t="s">
        <v>55</v>
      </c>
      <c r="S492" s="2">
        <v>46210</v>
      </c>
      <c r="T492" s="2">
        <v>46210</v>
      </c>
      <c r="V492" s="1">
        <v>0</v>
      </c>
      <c r="W492" s="1">
        <v>0</v>
      </c>
      <c r="X492" s="1">
        <v>0</v>
      </c>
      <c r="Y492" s="1">
        <v>0</v>
      </c>
      <c r="Z492" s="1">
        <v>1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</row>
    <row r="493" spans="1:33" x14ac:dyDescent="0.25">
      <c r="A493" s="1">
        <v>652</v>
      </c>
      <c r="B493" s="1" t="s">
        <v>930</v>
      </c>
      <c r="C493" s="1" t="s">
        <v>698</v>
      </c>
      <c r="D493" s="1" t="s">
        <v>931</v>
      </c>
      <c r="E493" s="1" t="s">
        <v>741</v>
      </c>
      <c r="F493" s="3">
        <v>46188</v>
      </c>
      <c r="G493" s="3">
        <v>46199</v>
      </c>
      <c r="H493" s="4">
        <v>0.72</v>
      </c>
      <c r="L493" s="1" t="s">
        <v>35</v>
      </c>
      <c r="M493" s="1" t="s">
        <v>386</v>
      </c>
      <c r="N493" s="2">
        <v>46210</v>
      </c>
      <c r="P493" s="1" t="s">
        <v>696</v>
      </c>
      <c r="Q493" s="1" t="s">
        <v>138</v>
      </c>
      <c r="R493" s="1" t="s">
        <v>55</v>
      </c>
      <c r="S493" s="2">
        <v>46191</v>
      </c>
      <c r="T493" s="2">
        <v>46210</v>
      </c>
      <c r="U493" s="1" t="s">
        <v>320</v>
      </c>
      <c r="V493" s="1">
        <v>0.72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</row>
    <row r="494" spans="1:33" x14ac:dyDescent="0.25">
      <c r="A494" s="1">
        <v>653</v>
      </c>
      <c r="B494" s="1" t="s">
        <v>932</v>
      </c>
      <c r="C494" s="1" t="s">
        <v>933</v>
      </c>
      <c r="D494" s="1" t="s">
        <v>94</v>
      </c>
      <c r="E494" s="1" t="s">
        <v>812</v>
      </c>
      <c r="F494" s="3">
        <v>46188</v>
      </c>
      <c r="G494" s="3">
        <v>46196</v>
      </c>
      <c r="H494" s="4">
        <v>1</v>
      </c>
      <c r="I494" s="3">
        <v>46196</v>
      </c>
      <c r="J494" s="1" t="s">
        <v>821</v>
      </c>
      <c r="K494" s="1">
        <v>654</v>
      </c>
      <c r="L494" s="1" t="s">
        <v>59</v>
      </c>
      <c r="M494" s="1" t="s">
        <v>386</v>
      </c>
      <c r="N494" s="2">
        <v>46204</v>
      </c>
      <c r="P494" s="1" t="s">
        <v>696</v>
      </c>
      <c r="Q494" s="1" t="s">
        <v>138</v>
      </c>
      <c r="R494" s="1" t="s">
        <v>55</v>
      </c>
      <c r="S494" s="2">
        <v>46191</v>
      </c>
      <c r="T494" s="2">
        <v>46204</v>
      </c>
      <c r="V494" s="1">
        <v>1</v>
      </c>
      <c r="W494" s="1">
        <v>1</v>
      </c>
      <c r="X494" s="1">
        <v>1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1</v>
      </c>
    </row>
    <row r="495" spans="1:33" x14ac:dyDescent="0.25">
      <c r="A495" s="1">
        <v>654</v>
      </c>
      <c r="B495" s="1" t="s">
        <v>934</v>
      </c>
      <c r="C495" s="1" t="s">
        <v>933</v>
      </c>
      <c r="D495" s="1" t="s">
        <v>98</v>
      </c>
      <c r="E495" s="1" t="s">
        <v>53</v>
      </c>
      <c r="F495" s="3">
        <v>46197</v>
      </c>
      <c r="G495" s="3">
        <v>46197</v>
      </c>
      <c r="H495" s="4">
        <v>0.15</v>
      </c>
      <c r="J495" s="1">
        <v>653</v>
      </c>
      <c r="K495" s="1">
        <v>655</v>
      </c>
      <c r="L495" s="1" t="s">
        <v>35</v>
      </c>
      <c r="M495" s="1" t="s">
        <v>535</v>
      </c>
      <c r="N495" s="2">
        <v>46205</v>
      </c>
      <c r="P495" s="1" t="s">
        <v>696</v>
      </c>
      <c r="Q495" s="1" t="s">
        <v>146</v>
      </c>
      <c r="R495" s="1" t="s">
        <v>55</v>
      </c>
      <c r="S495" s="2">
        <v>46205</v>
      </c>
      <c r="T495" s="2">
        <v>46205</v>
      </c>
      <c r="V495" s="1">
        <v>0.15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1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</row>
    <row r="496" spans="1:33" x14ac:dyDescent="0.25">
      <c r="A496" s="1">
        <v>655</v>
      </c>
      <c r="B496" s="1" t="s">
        <v>935</v>
      </c>
      <c r="C496" s="1" t="s">
        <v>933</v>
      </c>
      <c r="D496" s="1" t="s">
        <v>102</v>
      </c>
      <c r="E496" s="1" t="s">
        <v>53</v>
      </c>
      <c r="F496" s="3">
        <v>46198</v>
      </c>
      <c r="G496" s="3">
        <v>46198</v>
      </c>
      <c r="H496" s="4">
        <v>0</v>
      </c>
      <c r="J496" s="1">
        <v>654</v>
      </c>
      <c r="K496" s="1">
        <v>656</v>
      </c>
      <c r="L496" s="1" t="s">
        <v>35</v>
      </c>
      <c r="M496" s="1" t="s">
        <v>159</v>
      </c>
      <c r="N496" s="2">
        <v>46209</v>
      </c>
      <c r="P496" s="1" t="s">
        <v>696</v>
      </c>
      <c r="Q496" s="1" t="s">
        <v>146</v>
      </c>
      <c r="R496" s="1" t="s">
        <v>55</v>
      </c>
      <c r="S496" s="2">
        <v>46206</v>
      </c>
      <c r="T496" s="2">
        <v>46209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1</v>
      </c>
      <c r="AE496" s="1">
        <v>0</v>
      </c>
      <c r="AF496" s="1">
        <v>0</v>
      </c>
      <c r="AG496" s="1">
        <v>0</v>
      </c>
    </row>
    <row r="497" spans="1:33" x14ac:dyDescent="0.25">
      <c r="A497" s="1">
        <v>656</v>
      </c>
      <c r="B497" s="1" t="s">
        <v>936</v>
      </c>
      <c r="C497" s="1" t="s">
        <v>933</v>
      </c>
      <c r="D497" s="1" t="s">
        <v>108</v>
      </c>
      <c r="E497" s="1" t="s">
        <v>53</v>
      </c>
      <c r="F497" s="3">
        <v>46199</v>
      </c>
      <c r="G497" s="3">
        <v>46199</v>
      </c>
      <c r="H497" s="4">
        <v>0</v>
      </c>
      <c r="J497" s="1">
        <v>655</v>
      </c>
      <c r="L497" s="1" t="s">
        <v>35</v>
      </c>
      <c r="M497" s="1" t="s">
        <v>538</v>
      </c>
      <c r="N497" s="2">
        <v>46210</v>
      </c>
      <c r="P497" s="1" t="s">
        <v>696</v>
      </c>
      <c r="Q497" s="1" t="s">
        <v>146</v>
      </c>
      <c r="R497" s="1" t="s">
        <v>55</v>
      </c>
      <c r="S497" s="2">
        <v>46210</v>
      </c>
      <c r="T497" s="2">
        <v>46210</v>
      </c>
      <c r="V497" s="1">
        <v>0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</row>
    <row r="498" spans="1:33" x14ac:dyDescent="0.25">
      <c r="A498" s="1">
        <v>657</v>
      </c>
      <c r="B498" s="1" t="s">
        <v>937</v>
      </c>
      <c r="C498" s="1" t="s">
        <v>698</v>
      </c>
      <c r="D498" s="1" t="s">
        <v>938</v>
      </c>
      <c r="E498" s="1" t="s">
        <v>741</v>
      </c>
      <c r="F498" s="3">
        <v>46188</v>
      </c>
      <c r="G498" s="3">
        <v>46199</v>
      </c>
      <c r="H498" s="4">
        <v>0.72</v>
      </c>
      <c r="L498" s="1" t="s">
        <v>35</v>
      </c>
      <c r="M498" s="1" t="s">
        <v>386</v>
      </c>
      <c r="N498" s="2">
        <v>46210</v>
      </c>
      <c r="P498" s="1" t="s">
        <v>696</v>
      </c>
      <c r="Q498" s="1" t="s">
        <v>138</v>
      </c>
      <c r="R498" s="1" t="s">
        <v>55</v>
      </c>
      <c r="S498" s="2">
        <v>46191</v>
      </c>
      <c r="T498" s="2">
        <v>46210</v>
      </c>
      <c r="U498" s="1" t="s">
        <v>320</v>
      </c>
      <c r="V498" s="1">
        <v>0.72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</row>
    <row r="499" spans="1:33" x14ac:dyDescent="0.25">
      <c r="A499" s="1">
        <v>658</v>
      </c>
      <c r="B499" s="1" t="s">
        <v>939</v>
      </c>
      <c r="C499" s="1" t="s">
        <v>940</v>
      </c>
      <c r="D499" s="1" t="s">
        <v>94</v>
      </c>
      <c r="E499" s="1" t="s">
        <v>812</v>
      </c>
      <c r="F499" s="3">
        <v>46188</v>
      </c>
      <c r="G499" s="3">
        <v>46196</v>
      </c>
      <c r="H499" s="4">
        <v>1</v>
      </c>
      <c r="I499" s="3">
        <v>46196</v>
      </c>
      <c r="J499" s="1" t="s">
        <v>821</v>
      </c>
      <c r="K499" s="1">
        <v>659</v>
      </c>
      <c r="L499" s="1" t="s">
        <v>59</v>
      </c>
      <c r="M499" s="1" t="s">
        <v>386</v>
      </c>
      <c r="N499" s="2">
        <v>46204</v>
      </c>
      <c r="P499" s="1" t="s">
        <v>696</v>
      </c>
      <c r="Q499" s="1" t="s">
        <v>138</v>
      </c>
      <c r="R499" s="1" t="s">
        <v>55</v>
      </c>
      <c r="S499" s="2">
        <v>46191</v>
      </c>
      <c r="T499" s="2">
        <v>46204</v>
      </c>
      <c r="V499" s="1">
        <v>1</v>
      </c>
      <c r="W499" s="1">
        <v>1</v>
      </c>
      <c r="X499" s="1">
        <v>1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</row>
    <row r="500" spans="1:33" x14ac:dyDescent="0.25">
      <c r="A500" s="1">
        <v>659</v>
      </c>
      <c r="B500" s="1" t="s">
        <v>941</v>
      </c>
      <c r="C500" s="1" t="s">
        <v>940</v>
      </c>
      <c r="D500" s="1" t="s">
        <v>98</v>
      </c>
      <c r="E500" s="1" t="s">
        <v>53</v>
      </c>
      <c r="F500" s="3">
        <v>46197</v>
      </c>
      <c r="G500" s="3">
        <v>46197</v>
      </c>
      <c r="H500" s="4">
        <v>0.15</v>
      </c>
      <c r="J500" s="1">
        <v>658</v>
      </c>
      <c r="K500" s="1">
        <v>660</v>
      </c>
      <c r="L500" s="1" t="s">
        <v>35</v>
      </c>
      <c r="M500" s="1" t="s">
        <v>535</v>
      </c>
      <c r="N500" s="2">
        <v>46205</v>
      </c>
      <c r="P500" s="1" t="s">
        <v>696</v>
      </c>
      <c r="Q500" s="1" t="s">
        <v>146</v>
      </c>
      <c r="R500" s="1" t="s">
        <v>55</v>
      </c>
      <c r="S500" s="2">
        <v>46205</v>
      </c>
      <c r="T500" s="2">
        <v>46205</v>
      </c>
      <c r="V500" s="1">
        <v>0.15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</row>
    <row r="501" spans="1:33" x14ac:dyDescent="0.25">
      <c r="A501" s="1">
        <v>660</v>
      </c>
      <c r="B501" s="1" t="s">
        <v>942</v>
      </c>
      <c r="C501" s="1" t="s">
        <v>940</v>
      </c>
      <c r="D501" s="1" t="s">
        <v>102</v>
      </c>
      <c r="E501" s="1" t="s">
        <v>53</v>
      </c>
      <c r="F501" s="3">
        <v>46198</v>
      </c>
      <c r="G501" s="3">
        <v>46198</v>
      </c>
      <c r="H501" s="4">
        <v>0</v>
      </c>
      <c r="J501" s="1">
        <v>659</v>
      </c>
      <c r="K501" s="1">
        <v>661</v>
      </c>
      <c r="L501" s="1" t="s">
        <v>35</v>
      </c>
      <c r="M501" s="1" t="s">
        <v>159</v>
      </c>
      <c r="N501" s="2">
        <v>46209</v>
      </c>
      <c r="P501" s="1" t="s">
        <v>696</v>
      </c>
      <c r="Q501" s="1" t="s">
        <v>146</v>
      </c>
      <c r="R501" s="1" t="s">
        <v>55</v>
      </c>
      <c r="S501" s="2">
        <v>46206</v>
      </c>
      <c r="T501" s="2">
        <v>46209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1</v>
      </c>
      <c r="AE501" s="1">
        <v>0</v>
      </c>
      <c r="AF501" s="1">
        <v>0</v>
      </c>
      <c r="AG501" s="1">
        <v>0</v>
      </c>
    </row>
    <row r="502" spans="1:33" x14ac:dyDescent="0.25">
      <c r="A502" s="1">
        <v>661</v>
      </c>
      <c r="B502" s="1" t="s">
        <v>943</v>
      </c>
      <c r="C502" s="1" t="s">
        <v>940</v>
      </c>
      <c r="D502" s="1" t="s">
        <v>108</v>
      </c>
      <c r="E502" s="1" t="s">
        <v>53</v>
      </c>
      <c r="F502" s="3">
        <v>46199</v>
      </c>
      <c r="G502" s="3">
        <v>46199</v>
      </c>
      <c r="H502" s="4">
        <v>0</v>
      </c>
      <c r="J502" s="1">
        <v>660</v>
      </c>
      <c r="L502" s="1" t="s">
        <v>35</v>
      </c>
      <c r="M502" s="1" t="s">
        <v>538</v>
      </c>
      <c r="N502" s="2">
        <v>46210</v>
      </c>
      <c r="P502" s="1" t="s">
        <v>696</v>
      </c>
      <c r="Q502" s="1" t="s">
        <v>146</v>
      </c>
      <c r="R502" s="1" t="s">
        <v>55</v>
      </c>
      <c r="S502" s="2">
        <v>46210</v>
      </c>
      <c r="T502" s="2">
        <v>46210</v>
      </c>
      <c r="V502" s="1">
        <v>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</row>
    <row r="503" spans="1:33" x14ac:dyDescent="0.25">
      <c r="A503" s="1">
        <v>662</v>
      </c>
      <c r="B503" s="1" t="s">
        <v>944</v>
      </c>
      <c r="C503" s="1" t="s">
        <v>698</v>
      </c>
      <c r="D503" s="1" t="s">
        <v>945</v>
      </c>
      <c r="E503" s="1" t="s">
        <v>741</v>
      </c>
      <c r="F503" s="3">
        <v>46188</v>
      </c>
      <c r="G503" s="3">
        <v>46199</v>
      </c>
      <c r="H503" s="4">
        <v>0.72</v>
      </c>
      <c r="L503" s="1" t="s">
        <v>35</v>
      </c>
      <c r="M503" s="1" t="s">
        <v>386</v>
      </c>
      <c r="N503" s="2">
        <v>46210</v>
      </c>
      <c r="P503" s="1" t="s">
        <v>696</v>
      </c>
      <c r="Q503" s="1" t="s">
        <v>138</v>
      </c>
      <c r="R503" s="1" t="s">
        <v>55</v>
      </c>
      <c r="S503" s="2">
        <v>46191</v>
      </c>
      <c r="T503" s="2">
        <v>46210</v>
      </c>
      <c r="U503" s="1" t="s">
        <v>320</v>
      </c>
      <c r="V503" s="1">
        <v>0.72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</row>
    <row r="504" spans="1:33" x14ac:dyDescent="0.25">
      <c r="A504" s="1">
        <v>663</v>
      </c>
      <c r="B504" s="1" t="s">
        <v>946</v>
      </c>
      <c r="C504" s="1" t="s">
        <v>947</v>
      </c>
      <c r="D504" s="1" t="s">
        <v>94</v>
      </c>
      <c r="E504" s="1" t="s">
        <v>812</v>
      </c>
      <c r="F504" s="3">
        <v>46188</v>
      </c>
      <c r="G504" s="3">
        <v>46196</v>
      </c>
      <c r="H504" s="4">
        <v>1</v>
      </c>
      <c r="I504" s="3">
        <v>46196</v>
      </c>
      <c r="J504" s="1" t="s">
        <v>821</v>
      </c>
      <c r="K504" s="1">
        <v>664</v>
      </c>
      <c r="L504" s="1" t="s">
        <v>59</v>
      </c>
      <c r="M504" s="1" t="s">
        <v>386</v>
      </c>
      <c r="N504" s="2">
        <v>46204</v>
      </c>
      <c r="P504" s="1" t="s">
        <v>696</v>
      </c>
      <c r="Q504" s="1" t="s">
        <v>138</v>
      </c>
      <c r="R504" s="1" t="s">
        <v>55</v>
      </c>
      <c r="S504" s="2">
        <v>46191</v>
      </c>
      <c r="T504" s="2">
        <v>46204</v>
      </c>
      <c r="V504" s="1">
        <v>1</v>
      </c>
      <c r="W504" s="1">
        <v>1</v>
      </c>
      <c r="X504" s="1">
        <v>1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</row>
    <row r="505" spans="1:33" x14ac:dyDescent="0.25">
      <c r="A505" s="1">
        <v>664</v>
      </c>
      <c r="B505" s="1" t="s">
        <v>948</v>
      </c>
      <c r="C505" s="1" t="s">
        <v>947</v>
      </c>
      <c r="D505" s="1" t="s">
        <v>98</v>
      </c>
      <c r="E505" s="1" t="s">
        <v>53</v>
      </c>
      <c r="F505" s="3">
        <v>46197</v>
      </c>
      <c r="G505" s="3">
        <v>46197</v>
      </c>
      <c r="H505" s="4">
        <v>0.15</v>
      </c>
      <c r="J505" s="1">
        <v>663</v>
      </c>
      <c r="K505" s="1">
        <v>665</v>
      </c>
      <c r="L505" s="1" t="s">
        <v>35</v>
      </c>
      <c r="M505" s="1" t="s">
        <v>535</v>
      </c>
      <c r="N505" s="2">
        <v>46205</v>
      </c>
      <c r="P505" s="1" t="s">
        <v>696</v>
      </c>
      <c r="Q505" s="1" t="s">
        <v>146</v>
      </c>
      <c r="R505" s="1" t="s">
        <v>55</v>
      </c>
      <c r="S505" s="2">
        <v>46205</v>
      </c>
      <c r="T505" s="2">
        <v>46205</v>
      </c>
      <c r="V505" s="1">
        <v>0.15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</row>
    <row r="506" spans="1:33" x14ac:dyDescent="0.25">
      <c r="A506" s="1">
        <v>665</v>
      </c>
      <c r="B506" s="1" t="s">
        <v>949</v>
      </c>
      <c r="C506" s="1" t="s">
        <v>947</v>
      </c>
      <c r="D506" s="1" t="s">
        <v>102</v>
      </c>
      <c r="E506" s="1" t="s">
        <v>53</v>
      </c>
      <c r="F506" s="3">
        <v>46198</v>
      </c>
      <c r="G506" s="3">
        <v>46198</v>
      </c>
      <c r="H506" s="4">
        <v>0</v>
      </c>
      <c r="J506" s="1">
        <v>664</v>
      </c>
      <c r="K506" s="1">
        <v>666</v>
      </c>
      <c r="L506" s="1" t="s">
        <v>35</v>
      </c>
      <c r="M506" s="1" t="s">
        <v>159</v>
      </c>
      <c r="N506" s="2">
        <v>46209</v>
      </c>
      <c r="P506" s="1" t="s">
        <v>696</v>
      </c>
      <c r="Q506" s="1" t="s">
        <v>146</v>
      </c>
      <c r="R506" s="1" t="s">
        <v>55</v>
      </c>
      <c r="S506" s="2">
        <v>46206</v>
      </c>
      <c r="T506" s="2">
        <v>46209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1</v>
      </c>
      <c r="AE506" s="1">
        <v>0</v>
      </c>
      <c r="AF506" s="1">
        <v>0</v>
      </c>
      <c r="AG506" s="1">
        <v>0</v>
      </c>
    </row>
    <row r="507" spans="1:33" x14ac:dyDescent="0.25">
      <c r="A507" s="1">
        <v>666</v>
      </c>
      <c r="B507" s="1" t="s">
        <v>950</v>
      </c>
      <c r="C507" s="1" t="s">
        <v>947</v>
      </c>
      <c r="D507" s="1" t="s">
        <v>108</v>
      </c>
      <c r="E507" s="1" t="s">
        <v>53</v>
      </c>
      <c r="F507" s="3">
        <v>46199</v>
      </c>
      <c r="G507" s="3">
        <v>46199</v>
      </c>
      <c r="H507" s="4">
        <v>0</v>
      </c>
      <c r="J507" s="1">
        <v>665</v>
      </c>
      <c r="L507" s="1" t="s">
        <v>35</v>
      </c>
      <c r="M507" s="1" t="s">
        <v>538</v>
      </c>
      <c r="N507" s="2">
        <v>46210</v>
      </c>
      <c r="P507" s="1" t="s">
        <v>696</v>
      </c>
      <c r="Q507" s="1" t="s">
        <v>146</v>
      </c>
      <c r="R507" s="1" t="s">
        <v>55</v>
      </c>
      <c r="S507" s="2">
        <v>46210</v>
      </c>
      <c r="T507" s="2">
        <v>46210</v>
      </c>
      <c r="V507" s="1">
        <v>0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</row>
    <row r="508" spans="1:33" x14ac:dyDescent="0.25">
      <c r="A508" s="1">
        <v>667</v>
      </c>
      <c r="B508" s="1" t="s">
        <v>951</v>
      </c>
      <c r="C508" s="1" t="s">
        <v>698</v>
      </c>
      <c r="D508" s="1" t="s">
        <v>952</v>
      </c>
      <c r="E508" s="1" t="s">
        <v>741</v>
      </c>
      <c r="F508" s="3">
        <v>46188</v>
      </c>
      <c r="G508" s="3">
        <v>46199</v>
      </c>
      <c r="H508" s="4">
        <v>0.72</v>
      </c>
      <c r="L508" s="1" t="s">
        <v>35</v>
      </c>
      <c r="M508" s="1" t="s">
        <v>386</v>
      </c>
      <c r="N508" s="2">
        <v>46210</v>
      </c>
      <c r="P508" s="1" t="s">
        <v>696</v>
      </c>
      <c r="Q508" s="1" t="s">
        <v>138</v>
      </c>
      <c r="R508" s="1" t="s">
        <v>55</v>
      </c>
      <c r="S508" s="2">
        <v>46191</v>
      </c>
      <c r="T508" s="2">
        <v>46210</v>
      </c>
      <c r="U508" s="1" t="s">
        <v>320</v>
      </c>
      <c r="V508" s="1">
        <v>0.72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</row>
    <row r="509" spans="1:33" x14ac:dyDescent="0.25">
      <c r="A509" s="1">
        <v>668</v>
      </c>
      <c r="B509" s="1" t="s">
        <v>953</v>
      </c>
      <c r="C509" s="1" t="s">
        <v>954</v>
      </c>
      <c r="D509" s="1" t="s">
        <v>94</v>
      </c>
      <c r="E509" s="1" t="s">
        <v>812</v>
      </c>
      <c r="F509" s="3">
        <v>46188</v>
      </c>
      <c r="G509" s="3">
        <v>46196</v>
      </c>
      <c r="H509" s="4">
        <v>1</v>
      </c>
      <c r="I509" s="3">
        <v>46196</v>
      </c>
      <c r="J509" s="1" t="s">
        <v>821</v>
      </c>
      <c r="K509" s="1">
        <v>669</v>
      </c>
      <c r="L509" s="1" t="s">
        <v>59</v>
      </c>
      <c r="M509" s="1" t="s">
        <v>386</v>
      </c>
      <c r="N509" s="2">
        <v>46204</v>
      </c>
      <c r="P509" s="1" t="s">
        <v>696</v>
      </c>
      <c r="Q509" s="1" t="s">
        <v>138</v>
      </c>
      <c r="R509" s="1" t="s">
        <v>55</v>
      </c>
      <c r="S509" s="2">
        <v>46191</v>
      </c>
      <c r="T509" s="2">
        <v>46204</v>
      </c>
      <c r="V509" s="1">
        <v>1</v>
      </c>
      <c r="W509" s="1">
        <v>1</v>
      </c>
      <c r="X509" s="1">
        <v>1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</v>
      </c>
    </row>
    <row r="510" spans="1:33" x14ac:dyDescent="0.25">
      <c r="A510" s="1">
        <v>669</v>
      </c>
      <c r="B510" s="1" t="s">
        <v>955</v>
      </c>
      <c r="C510" s="1" t="s">
        <v>954</v>
      </c>
      <c r="D510" s="1" t="s">
        <v>98</v>
      </c>
      <c r="E510" s="1" t="s">
        <v>53</v>
      </c>
      <c r="F510" s="3">
        <v>46197</v>
      </c>
      <c r="G510" s="3">
        <v>46197</v>
      </c>
      <c r="H510" s="4">
        <v>0.15</v>
      </c>
      <c r="J510" s="1">
        <v>668</v>
      </c>
      <c r="K510" s="1">
        <v>670</v>
      </c>
      <c r="L510" s="1" t="s">
        <v>35</v>
      </c>
      <c r="M510" s="1" t="s">
        <v>535</v>
      </c>
      <c r="N510" s="2">
        <v>46205</v>
      </c>
      <c r="P510" s="1" t="s">
        <v>696</v>
      </c>
      <c r="Q510" s="1" t="s">
        <v>146</v>
      </c>
      <c r="R510" s="1" t="s">
        <v>55</v>
      </c>
      <c r="S510" s="2">
        <v>46205</v>
      </c>
      <c r="T510" s="2">
        <v>46205</v>
      </c>
      <c r="V510" s="1">
        <v>0.15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1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</row>
    <row r="511" spans="1:33" x14ac:dyDescent="0.25">
      <c r="A511" s="1">
        <v>670</v>
      </c>
      <c r="B511" s="1" t="s">
        <v>956</v>
      </c>
      <c r="C511" s="1" t="s">
        <v>954</v>
      </c>
      <c r="D511" s="1" t="s">
        <v>102</v>
      </c>
      <c r="E511" s="1" t="s">
        <v>53</v>
      </c>
      <c r="F511" s="3">
        <v>46198</v>
      </c>
      <c r="G511" s="3">
        <v>46198</v>
      </c>
      <c r="H511" s="4">
        <v>0</v>
      </c>
      <c r="J511" s="1">
        <v>669</v>
      </c>
      <c r="K511" s="1">
        <v>671</v>
      </c>
      <c r="L511" s="1" t="s">
        <v>35</v>
      </c>
      <c r="M511" s="1" t="s">
        <v>159</v>
      </c>
      <c r="N511" s="2">
        <v>46209</v>
      </c>
      <c r="P511" s="1" t="s">
        <v>696</v>
      </c>
      <c r="Q511" s="1" t="s">
        <v>146</v>
      </c>
      <c r="R511" s="1" t="s">
        <v>55</v>
      </c>
      <c r="S511" s="2">
        <v>46206</v>
      </c>
      <c r="T511" s="2">
        <v>46209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</row>
    <row r="512" spans="1:33" x14ac:dyDescent="0.25">
      <c r="A512" s="1">
        <v>671</v>
      </c>
      <c r="B512" s="1" t="s">
        <v>957</v>
      </c>
      <c r="C512" s="1" t="s">
        <v>954</v>
      </c>
      <c r="D512" s="1" t="s">
        <v>108</v>
      </c>
      <c r="E512" s="1" t="s">
        <v>53</v>
      </c>
      <c r="F512" s="3">
        <v>46199</v>
      </c>
      <c r="G512" s="3">
        <v>46199</v>
      </c>
      <c r="H512" s="4">
        <v>0</v>
      </c>
      <c r="J512" s="1">
        <v>670</v>
      </c>
      <c r="L512" s="1" t="s">
        <v>35</v>
      </c>
      <c r="M512" s="1" t="s">
        <v>538</v>
      </c>
      <c r="N512" s="2">
        <v>46210</v>
      </c>
      <c r="P512" s="1" t="s">
        <v>696</v>
      </c>
      <c r="Q512" s="1" t="s">
        <v>146</v>
      </c>
      <c r="R512" s="1" t="s">
        <v>55</v>
      </c>
      <c r="S512" s="2">
        <v>46210</v>
      </c>
      <c r="T512" s="2">
        <v>46210</v>
      </c>
      <c r="V512" s="1">
        <v>0</v>
      </c>
      <c r="W512" s="1">
        <v>0</v>
      </c>
      <c r="X512" s="1">
        <v>0</v>
      </c>
      <c r="Y512" s="1">
        <v>0</v>
      </c>
      <c r="Z512" s="1">
        <v>1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</v>
      </c>
      <c r="AG512" s="1">
        <v>0</v>
      </c>
    </row>
    <row r="513" spans="1:33" x14ac:dyDescent="0.25">
      <c r="A513" s="1">
        <v>672</v>
      </c>
      <c r="B513" s="1" t="s">
        <v>958</v>
      </c>
      <c r="C513" s="1" t="s">
        <v>698</v>
      </c>
      <c r="D513" s="1" t="s">
        <v>959</v>
      </c>
      <c r="E513" s="1" t="s">
        <v>960</v>
      </c>
      <c r="F513" s="3">
        <v>46192</v>
      </c>
      <c r="G513" s="3">
        <v>46205</v>
      </c>
      <c r="H513" s="4">
        <v>0.72</v>
      </c>
      <c r="L513" s="1" t="s">
        <v>35</v>
      </c>
      <c r="M513" s="1" t="s">
        <v>386</v>
      </c>
      <c r="N513" s="2">
        <v>46210</v>
      </c>
      <c r="P513" s="1" t="s">
        <v>696</v>
      </c>
      <c r="Q513" s="1" t="s">
        <v>138</v>
      </c>
      <c r="R513" s="1" t="s">
        <v>55</v>
      </c>
      <c r="S513" s="2">
        <v>46191</v>
      </c>
      <c r="T513" s="2">
        <v>46210</v>
      </c>
      <c r="U513" s="1" t="s">
        <v>320</v>
      </c>
      <c r="V513" s="1">
        <v>0.72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</row>
    <row r="514" spans="1:33" x14ac:dyDescent="0.25">
      <c r="A514" s="1">
        <v>673</v>
      </c>
      <c r="B514" s="1" t="s">
        <v>961</v>
      </c>
      <c r="C514" s="1" t="s">
        <v>962</v>
      </c>
      <c r="D514" s="1" t="s">
        <v>94</v>
      </c>
      <c r="E514" s="1" t="s">
        <v>812</v>
      </c>
      <c r="F514" s="3">
        <v>46192</v>
      </c>
      <c r="G514" s="3">
        <v>46202</v>
      </c>
      <c r="H514" s="4">
        <v>1</v>
      </c>
      <c r="I514" s="3">
        <v>46202</v>
      </c>
      <c r="J514" s="1" t="s">
        <v>821</v>
      </c>
      <c r="K514" s="1">
        <v>674</v>
      </c>
      <c r="L514" s="1" t="s">
        <v>59</v>
      </c>
      <c r="M514" s="1" t="s">
        <v>386</v>
      </c>
      <c r="N514" s="2">
        <v>46204</v>
      </c>
      <c r="P514" s="1" t="s">
        <v>696</v>
      </c>
      <c r="Q514" s="1" t="s">
        <v>138</v>
      </c>
      <c r="R514" s="1" t="s">
        <v>55</v>
      </c>
      <c r="S514" s="2">
        <v>46191</v>
      </c>
      <c r="T514" s="2">
        <v>46204</v>
      </c>
      <c r="V514" s="1">
        <v>1</v>
      </c>
      <c r="W514" s="1">
        <v>1</v>
      </c>
      <c r="X514" s="1">
        <v>1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</row>
    <row r="515" spans="1:33" x14ac:dyDescent="0.25">
      <c r="A515" s="1">
        <v>674</v>
      </c>
      <c r="B515" s="1" t="s">
        <v>963</v>
      </c>
      <c r="C515" s="1" t="s">
        <v>962</v>
      </c>
      <c r="D515" s="1" t="s">
        <v>98</v>
      </c>
      <c r="E515" s="1" t="s">
        <v>53</v>
      </c>
      <c r="F515" s="3">
        <v>46197</v>
      </c>
      <c r="G515" s="3">
        <v>46203</v>
      </c>
      <c r="H515" s="4">
        <v>0.15</v>
      </c>
      <c r="J515" s="1">
        <v>673</v>
      </c>
      <c r="K515" s="1">
        <v>675</v>
      </c>
      <c r="L515" s="1" t="s">
        <v>35</v>
      </c>
      <c r="M515" s="1" t="s">
        <v>535</v>
      </c>
      <c r="N515" s="2">
        <v>46205</v>
      </c>
      <c r="P515" s="1" t="s">
        <v>696</v>
      </c>
      <c r="Q515" s="1" t="s">
        <v>146</v>
      </c>
      <c r="R515" s="1" t="s">
        <v>55</v>
      </c>
      <c r="S515" s="2">
        <v>46205</v>
      </c>
      <c r="T515" s="2">
        <v>46205</v>
      </c>
      <c r="V515" s="1">
        <v>0.15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1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</row>
    <row r="516" spans="1:33" x14ac:dyDescent="0.25">
      <c r="A516" s="1">
        <v>675</v>
      </c>
      <c r="B516" s="1" t="s">
        <v>964</v>
      </c>
      <c r="C516" s="1" t="s">
        <v>962</v>
      </c>
      <c r="D516" s="1" t="s">
        <v>102</v>
      </c>
      <c r="E516" s="1" t="s">
        <v>53</v>
      </c>
      <c r="F516" s="3">
        <v>46203</v>
      </c>
      <c r="G516" s="3">
        <v>46204</v>
      </c>
      <c r="H516" s="4">
        <v>0</v>
      </c>
      <c r="J516" s="1">
        <v>674</v>
      </c>
      <c r="K516" s="1">
        <v>676</v>
      </c>
      <c r="L516" s="1" t="s">
        <v>35</v>
      </c>
      <c r="M516" s="1" t="s">
        <v>159</v>
      </c>
      <c r="N516" s="2">
        <v>46209</v>
      </c>
      <c r="P516" s="1" t="s">
        <v>696</v>
      </c>
      <c r="Q516" s="1" t="s">
        <v>146</v>
      </c>
      <c r="R516" s="1" t="s">
        <v>55</v>
      </c>
      <c r="S516" s="2">
        <v>46206</v>
      </c>
      <c r="T516" s="2">
        <v>46209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</v>
      </c>
      <c r="AE516" s="1">
        <v>0</v>
      </c>
      <c r="AF516" s="1">
        <v>0</v>
      </c>
      <c r="AG516" s="1">
        <v>0</v>
      </c>
    </row>
    <row r="517" spans="1:33" x14ac:dyDescent="0.25">
      <c r="A517" s="1">
        <v>676</v>
      </c>
      <c r="B517" s="1" t="s">
        <v>965</v>
      </c>
      <c r="C517" s="1" t="s">
        <v>962</v>
      </c>
      <c r="D517" s="1" t="s">
        <v>108</v>
      </c>
      <c r="E517" s="1" t="s">
        <v>53</v>
      </c>
      <c r="F517" s="3">
        <v>46204</v>
      </c>
      <c r="G517" s="3">
        <v>46205</v>
      </c>
      <c r="H517" s="4">
        <v>0</v>
      </c>
      <c r="J517" s="1">
        <v>675</v>
      </c>
      <c r="L517" s="1" t="s">
        <v>35</v>
      </c>
      <c r="M517" s="1" t="s">
        <v>538</v>
      </c>
      <c r="N517" s="2">
        <v>46210</v>
      </c>
      <c r="P517" s="1" t="s">
        <v>696</v>
      </c>
      <c r="Q517" s="1" t="s">
        <v>146</v>
      </c>
      <c r="R517" s="1" t="s">
        <v>55</v>
      </c>
      <c r="S517" s="2">
        <v>46210</v>
      </c>
      <c r="T517" s="2">
        <v>46210</v>
      </c>
      <c r="V517" s="1">
        <v>0</v>
      </c>
      <c r="W517" s="1">
        <v>0</v>
      </c>
      <c r="X517" s="1">
        <v>0</v>
      </c>
      <c r="Y517" s="1">
        <v>0</v>
      </c>
      <c r="Z517" s="1">
        <v>1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</row>
    <row r="518" spans="1:33" x14ac:dyDescent="0.25">
      <c r="A518" s="1">
        <v>677</v>
      </c>
      <c r="B518" s="1" t="s">
        <v>966</v>
      </c>
      <c r="C518" s="1" t="s">
        <v>698</v>
      </c>
      <c r="D518" s="1" t="s">
        <v>967</v>
      </c>
      <c r="E518" s="1" t="s">
        <v>960</v>
      </c>
      <c r="F518" s="3">
        <v>46192</v>
      </c>
      <c r="G518" s="3">
        <v>46205</v>
      </c>
      <c r="H518" s="4">
        <v>0.72</v>
      </c>
      <c r="L518" s="1" t="s">
        <v>35</v>
      </c>
      <c r="M518" s="1" t="s">
        <v>386</v>
      </c>
      <c r="N518" s="2">
        <v>46210</v>
      </c>
      <c r="P518" s="1" t="s">
        <v>696</v>
      </c>
      <c r="Q518" s="1" t="s">
        <v>138</v>
      </c>
      <c r="R518" s="1" t="s">
        <v>55</v>
      </c>
      <c r="S518" s="2">
        <v>46191</v>
      </c>
      <c r="T518" s="2">
        <v>46210</v>
      </c>
      <c r="U518" s="1" t="s">
        <v>320</v>
      </c>
      <c r="V518" s="1">
        <v>0.72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</row>
    <row r="519" spans="1:33" x14ac:dyDescent="0.25">
      <c r="A519" s="1">
        <v>678</v>
      </c>
      <c r="B519" s="1" t="s">
        <v>968</v>
      </c>
      <c r="C519" s="1" t="s">
        <v>969</v>
      </c>
      <c r="D519" s="1" t="s">
        <v>94</v>
      </c>
      <c r="E519" s="1" t="s">
        <v>812</v>
      </c>
      <c r="F519" s="3">
        <v>46192</v>
      </c>
      <c r="G519" s="3">
        <v>46202</v>
      </c>
      <c r="H519" s="4">
        <v>1</v>
      </c>
      <c r="I519" s="3">
        <v>46202</v>
      </c>
      <c r="J519" s="1" t="s">
        <v>821</v>
      </c>
      <c r="K519" s="1">
        <v>679</v>
      </c>
      <c r="L519" s="1" t="s">
        <v>59</v>
      </c>
      <c r="M519" s="1" t="s">
        <v>386</v>
      </c>
      <c r="N519" s="2">
        <v>46204</v>
      </c>
      <c r="P519" s="1" t="s">
        <v>696</v>
      </c>
      <c r="Q519" s="1" t="s">
        <v>138</v>
      </c>
      <c r="R519" s="1" t="s">
        <v>55</v>
      </c>
      <c r="S519" s="2">
        <v>46191</v>
      </c>
      <c r="T519" s="2">
        <v>46204</v>
      </c>
      <c r="V519" s="1">
        <v>1</v>
      </c>
      <c r="W519" s="1">
        <v>1</v>
      </c>
      <c r="X519" s="1">
        <v>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1</v>
      </c>
    </row>
    <row r="520" spans="1:33" x14ac:dyDescent="0.25">
      <c r="A520" s="1">
        <v>679</v>
      </c>
      <c r="B520" s="1" t="s">
        <v>970</v>
      </c>
      <c r="C520" s="1" t="s">
        <v>969</v>
      </c>
      <c r="D520" s="1" t="s">
        <v>98</v>
      </c>
      <c r="E520" s="1" t="s">
        <v>53</v>
      </c>
      <c r="F520" s="3">
        <v>46197</v>
      </c>
      <c r="G520" s="3">
        <v>46203</v>
      </c>
      <c r="H520" s="4">
        <v>0.15</v>
      </c>
      <c r="J520" s="1">
        <v>678</v>
      </c>
      <c r="K520" s="1">
        <v>680</v>
      </c>
      <c r="L520" s="1" t="s">
        <v>35</v>
      </c>
      <c r="M520" s="1" t="s">
        <v>535</v>
      </c>
      <c r="N520" s="2">
        <v>46205</v>
      </c>
      <c r="P520" s="1" t="s">
        <v>696</v>
      </c>
      <c r="Q520" s="1" t="s">
        <v>146</v>
      </c>
      <c r="R520" s="1" t="s">
        <v>55</v>
      </c>
      <c r="S520" s="2">
        <v>46205</v>
      </c>
      <c r="T520" s="2">
        <v>46205</v>
      </c>
      <c r="V520" s="1">
        <v>0.15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1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</row>
    <row r="521" spans="1:33" x14ac:dyDescent="0.25">
      <c r="A521" s="1">
        <v>680</v>
      </c>
      <c r="B521" s="1" t="s">
        <v>971</v>
      </c>
      <c r="C521" s="1" t="s">
        <v>969</v>
      </c>
      <c r="D521" s="1" t="s">
        <v>102</v>
      </c>
      <c r="E521" s="1" t="s">
        <v>53</v>
      </c>
      <c r="F521" s="3">
        <v>46203</v>
      </c>
      <c r="G521" s="3">
        <v>46204</v>
      </c>
      <c r="H521" s="4">
        <v>0</v>
      </c>
      <c r="J521" s="1">
        <v>679</v>
      </c>
      <c r="K521" s="1">
        <v>681</v>
      </c>
      <c r="L521" s="1" t="s">
        <v>35</v>
      </c>
      <c r="M521" s="1" t="s">
        <v>159</v>
      </c>
      <c r="N521" s="2">
        <v>46209</v>
      </c>
      <c r="P521" s="1" t="s">
        <v>696</v>
      </c>
      <c r="Q521" s="1" t="s">
        <v>146</v>
      </c>
      <c r="R521" s="1" t="s">
        <v>55</v>
      </c>
      <c r="S521" s="2">
        <v>46206</v>
      </c>
      <c r="T521" s="2">
        <v>46209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</row>
    <row r="522" spans="1:33" x14ac:dyDescent="0.25">
      <c r="A522" s="1">
        <v>681</v>
      </c>
      <c r="B522" s="1" t="s">
        <v>972</v>
      </c>
      <c r="C522" s="1" t="s">
        <v>969</v>
      </c>
      <c r="D522" s="1" t="s">
        <v>108</v>
      </c>
      <c r="E522" s="1" t="s">
        <v>53</v>
      </c>
      <c r="F522" s="3">
        <v>46204</v>
      </c>
      <c r="G522" s="3">
        <v>46205</v>
      </c>
      <c r="H522" s="4">
        <v>0</v>
      </c>
      <c r="J522" s="1">
        <v>680</v>
      </c>
      <c r="L522" s="1" t="s">
        <v>35</v>
      </c>
      <c r="M522" s="1" t="s">
        <v>538</v>
      </c>
      <c r="N522" s="2">
        <v>46210</v>
      </c>
      <c r="P522" s="1" t="s">
        <v>696</v>
      </c>
      <c r="Q522" s="1" t="s">
        <v>146</v>
      </c>
      <c r="R522" s="1" t="s">
        <v>55</v>
      </c>
      <c r="S522" s="2">
        <v>46210</v>
      </c>
      <c r="T522" s="2">
        <v>46210</v>
      </c>
      <c r="V522" s="1">
        <v>0</v>
      </c>
      <c r="W522" s="1">
        <v>0</v>
      </c>
      <c r="X522" s="1">
        <v>0</v>
      </c>
      <c r="Y522" s="1">
        <v>0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</row>
    <row r="523" spans="1:33" x14ac:dyDescent="0.25">
      <c r="A523" s="1">
        <v>682</v>
      </c>
      <c r="B523" s="1" t="s">
        <v>973</v>
      </c>
      <c r="C523" s="1" t="s">
        <v>698</v>
      </c>
      <c r="D523" s="1" t="s">
        <v>974</v>
      </c>
      <c r="E523" s="1" t="s">
        <v>960</v>
      </c>
      <c r="F523" s="3">
        <v>46192</v>
      </c>
      <c r="G523" s="3">
        <v>46205</v>
      </c>
      <c r="H523" s="4">
        <v>0.72</v>
      </c>
      <c r="L523" s="1" t="s">
        <v>35</v>
      </c>
      <c r="M523" s="1" t="s">
        <v>386</v>
      </c>
      <c r="N523" s="2">
        <v>46210</v>
      </c>
      <c r="P523" s="1" t="s">
        <v>696</v>
      </c>
      <c r="Q523" s="1" t="s">
        <v>138</v>
      </c>
      <c r="R523" s="1" t="s">
        <v>55</v>
      </c>
      <c r="S523" s="2">
        <v>46191</v>
      </c>
      <c r="T523" s="2">
        <v>46210</v>
      </c>
      <c r="U523" s="1" t="s">
        <v>320</v>
      </c>
      <c r="V523" s="1">
        <v>0.72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</row>
    <row r="524" spans="1:33" x14ac:dyDescent="0.25">
      <c r="A524" s="1">
        <v>683</v>
      </c>
      <c r="B524" s="1" t="s">
        <v>975</v>
      </c>
      <c r="C524" s="1" t="s">
        <v>976</v>
      </c>
      <c r="D524" s="1" t="s">
        <v>94</v>
      </c>
      <c r="E524" s="1" t="s">
        <v>812</v>
      </c>
      <c r="F524" s="3">
        <v>46192</v>
      </c>
      <c r="G524" s="3">
        <v>46202</v>
      </c>
      <c r="H524" s="4">
        <v>1</v>
      </c>
      <c r="I524" s="3">
        <v>46202</v>
      </c>
      <c r="J524" s="1" t="s">
        <v>821</v>
      </c>
      <c r="K524" s="1">
        <v>684</v>
      </c>
      <c r="L524" s="1" t="s">
        <v>59</v>
      </c>
      <c r="M524" s="1" t="s">
        <v>386</v>
      </c>
      <c r="N524" s="2">
        <v>46204</v>
      </c>
      <c r="P524" s="1" t="s">
        <v>696</v>
      </c>
      <c r="Q524" s="1" t="s">
        <v>138</v>
      </c>
      <c r="R524" s="1" t="s">
        <v>55</v>
      </c>
      <c r="S524" s="2">
        <v>46191</v>
      </c>
      <c r="T524" s="2">
        <v>46204</v>
      </c>
      <c r="V524" s="1">
        <v>1</v>
      </c>
      <c r="W524" s="1">
        <v>1</v>
      </c>
      <c r="X524" s="1">
        <v>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1</v>
      </c>
    </row>
    <row r="525" spans="1:33" x14ac:dyDescent="0.25">
      <c r="A525" s="1">
        <v>684</v>
      </c>
      <c r="B525" s="1" t="s">
        <v>977</v>
      </c>
      <c r="C525" s="1" t="s">
        <v>976</v>
      </c>
      <c r="D525" s="1" t="s">
        <v>98</v>
      </c>
      <c r="E525" s="1" t="s">
        <v>53</v>
      </c>
      <c r="F525" s="3">
        <v>46197</v>
      </c>
      <c r="G525" s="3">
        <v>46203</v>
      </c>
      <c r="H525" s="4">
        <v>0.15</v>
      </c>
      <c r="J525" s="1">
        <v>683</v>
      </c>
      <c r="K525" s="1">
        <v>685</v>
      </c>
      <c r="L525" s="1" t="s">
        <v>35</v>
      </c>
      <c r="M525" s="1" t="s">
        <v>535</v>
      </c>
      <c r="N525" s="2">
        <v>46205</v>
      </c>
      <c r="P525" s="1" t="s">
        <v>696</v>
      </c>
      <c r="Q525" s="1" t="s">
        <v>146</v>
      </c>
      <c r="R525" s="1" t="s">
        <v>55</v>
      </c>
      <c r="S525" s="2">
        <v>46205</v>
      </c>
      <c r="T525" s="2">
        <v>46205</v>
      </c>
      <c r="V525" s="1">
        <v>0.15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1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</row>
    <row r="526" spans="1:33" x14ac:dyDescent="0.25">
      <c r="A526" s="1">
        <v>685</v>
      </c>
      <c r="B526" s="1" t="s">
        <v>978</v>
      </c>
      <c r="C526" s="1" t="s">
        <v>976</v>
      </c>
      <c r="D526" s="1" t="s">
        <v>102</v>
      </c>
      <c r="E526" s="1" t="s">
        <v>53</v>
      </c>
      <c r="F526" s="3">
        <v>46203</v>
      </c>
      <c r="G526" s="3">
        <v>46204</v>
      </c>
      <c r="H526" s="4">
        <v>0</v>
      </c>
      <c r="J526" s="1">
        <v>684</v>
      </c>
      <c r="K526" s="1">
        <v>686</v>
      </c>
      <c r="L526" s="1" t="s">
        <v>35</v>
      </c>
      <c r="M526" s="1" t="s">
        <v>159</v>
      </c>
      <c r="N526" s="2">
        <v>46209</v>
      </c>
      <c r="P526" s="1" t="s">
        <v>696</v>
      </c>
      <c r="Q526" s="1" t="s">
        <v>146</v>
      </c>
      <c r="R526" s="1" t="s">
        <v>55</v>
      </c>
      <c r="S526" s="2">
        <v>46206</v>
      </c>
      <c r="T526" s="2">
        <v>46209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1</v>
      </c>
      <c r="AE526" s="1">
        <v>0</v>
      </c>
      <c r="AF526" s="1">
        <v>0</v>
      </c>
      <c r="AG526" s="1">
        <v>0</v>
      </c>
    </row>
    <row r="527" spans="1:33" x14ac:dyDescent="0.25">
      <c r="A527" s="1">
        <v>686</v>
      </c>
      <c r="B527" s="1" t="s">
        <v>979</v>
      </c>
      <c r="C527" s="1" t="s">
        <v>976</v>
      </c>
      <c r="D527" s="1" t="s">
        <v>108</v>
      </c>
      <c r="E527" s="1" t="s">
        <v>53</v>
      </c>
      <c r="F527" s="3">
        <v>46204</v>
      </c>
      <c r="G527" s="3">
        <v>46205</v>
      </c>
      <c r="H527" s="4">
        <v>0</v>
      </c>
      <c r="J527" s="1">
        <v>685</v>
      </c>
      <c r="L527" s="1" t="s">
        <v>35</v>
      </c>
      <c r="M527" s="1" t="s">
        <v>538</v>
      </c>
      <c r="N527" s="2">
        <v>46210</v>
      </c>
      <c r="P527" s="1" t="s">
        <v>696</v>
      </c>
      <c r="Q527" s="1" t="s">
        <v>146</v>
      </c>
      <c r="R527" s="1" t="s">
        <v>55</v>
      </c>
      <c r="S527" s="2">
        <v>46210</v>
      </c>
      <c r="T527" s="2">
        <v>46210</v>
      </c>
      <c r="V527" s="1">
        <v>0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1</v>
      </c>
      <c r="AG527" s="1">
        <v>0</v>
      </c>
    </row>
    <row r="528" spans="1:33" x14ac:dyDescent="0.25">
      <c r="A528" s="1">
        <v>687</v>
      </c>
      <c r="B528" s="1" t="s">
        <v>980</v>
      </c>
      <c r="C528" s="1" t="s">
        <v>698</v>
      </c>
      <c r="D528" s="1" t="s">
        <v>981</v>
      </c>
      <c r="E528" s="1" t="s">
        <v>960</v>
      </c>
      <c r="F528" s="3">
        <v>46192</v>
      </c>
      <c r="G528" s="3">
        <v>46205</v>
      </c>
      <c r="H528" s="4">
        <v>0.72</v>
      </c>
      <c r="L528" s="1" t="s">
        <v>35</v>
      </c>
      <c r="M528" s="1" t="s">
        <v>386</v>
      </c>
      <c r="N528" s="2">
        <v>46210</v>
      </c>
      <c r="P528" s="1" t="s">
        <v>696</v>
      </c>
      <c r="Q528" s="1" t="s">
        <v>138</v>
      </c>
      <c r="R528" s="1" t="s">
        <v>55</v>
      </c>
      <c r="S528" s="2">
        <v>46191</v>
      </c>
      <c r="T528" s="2">
        <v>46210</v>
      </c>
      <c r="U528" s="1" t="s">
        <v>320</v>
      </c>
      <c r="V528" s="1">
        <v>0.72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</row>
    <row r="529" spans="1:33" x14ac:dyDescent="0.25">
      <c r="A529" s="1">
        <v>688</v>
      </c>
      <c r="B529" s="1" t="s">
        <v>982</v>
      </c>
      <c r="C529" s="1" t="s">
        <v>983</v>
      </c>
      <c r="D529" s="1" t="s">
        <v>94</v>
      </c>
      <c r="E529" s="1" t="s">
        <v>812</v>
      </c>
      <c r="F529" s="3">
        <v>46192</v>
      </c>
      <c r="G529" s="3">
        <v>46202</v>
      </c>
      <c r="H529" s="4">
        <v>1</v>
      </c>
      <c r="I529" s="3">
        <v>46202</v>
      </c>
      <c r="J529" s="1" t="s">
        <v>821</v>
      </c>
      <c r="K529" s="1">
        <v>689</v>
      </c>
      <c r="L529" s="1" t="s">
        <v>59</v>
      </c>
      <c r="M529" s="1" t="s">
        <v>386</v>
      </c>
      <c r="N529" s="2">
        <v>46204</v>
      </c>
      <c r="P529" s="1" t="s">
        <v>696</v>
      </c>
      <c r="Q529" s="1" t="s">
        <v>138</v>
      </c>
      <c r="R529" s="1" t="s">
        <v>55</v>
      </c>
      <c r="S529" s="2">
        <v>46191</v>
      </c>
      <c r="T529" s="2">
        <v>46204</v>
      </c>
      <c r="V529" s="1">
        <v>1</v>
      </c>
      <c r="W529" s="1">
        <v>1</v>
      </c>
      <c r="X529" s="1">
        <v>1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1</v>
      </c>
    </row>
    <row r="530" spans="1:33" x14ac:dyDescent="0.25">
      <c r="A530" s="1">
        <v>689</v>
      </c>
      <c r="B530" s="1" t="s">
        <v>984</v>
      </c>
      <c r="C530" s="1" t="s">
        <v>983</v>
      </c>
      <c r="D530" s="1" t="s">
        <v>98</v>
      </c>
      <c r="E530" s="1" t="s">
        <v>53</v>
      </c>
      <c r="F530" s="3">
        <v>46197</v>
      </c>
      <c r="G530" s="3">
        <v>46203</v>
      </c>
      <c r="H530" s="4">
        <v>0.15</v>
      </c>
      <c r="J530" s="1">
        <v>688</v>
      </c>
      <c r="K530" s="1">
        <v>690</v>
      </c>
      <c r="L530" s="1" t="s">
        <v>35</v>
      </c>
      <c r="M530" s="1" t="s">
        <v>535</v>
      </c>
      <c r="N530" s="2">
        <v>46205</v>
      </c>
      <c r="P530" s="1" t="s">
        <v>696</v>
      </c>
      <c r="Q530" s="1" t="s">
        <v>146</v>
      </c>
      <c r="R530" s="1" t="s">
        <v>55</v>
      </c>
      <c r="S530" s="2">
        <v>46205</v>
      </c>
      <c r="T530" s="2">
        <v>46205</v>
      </c>
      <c r="V530" s="1">
        <v>0.15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1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</row>
    <row r="531" spans="1:33" x14ac:dyDescent="0.25">
      <c r="A531" s="1">
        <v>690</v>
      </c>
      <c r="B531" s="1" t="s">
        <v>985</v>
      </c>
      <c r="C531" s="1" t="s">
        <v>983</v>
      </c>
      <c r="D531" s="1" t="s">
        <v>102</v>
      </c>
      <c r="E531" s="1" t="s">
        <v>53</v>
      </c>
      <c r="F531" s="3">
        <v>46203</v>
      </c>
      <c r="G531" s="3">
        <v>46204</v>
      </c>
      <c r="H531" s="4">
        <v>0</v>
      </c>
      <c r="J531" s="1">
        <v>689</v>
      </c>
      <c r="K531" s="1">
        <v>691</v>
      </c>
      <c r="L531" s="1" t="s">
        <v>35</v>
      </c>
      <c r="M531" s="1" t="s">
        <v>159</v>
      </c>
      <c r="N531" s="2">
        <v>46209</v>
      </c>
      <c r="P531" s="1" t="s">
        <v>696</v>
      </c>
      <c r="Q531" s="1" t="s">
        <v>146</v>
      </c>
      <c r="R531" s="1" t="s">
        <v>55</v>
      </c>
      <c r="S531" s="2">
        <v>46206</v>
      </c>
      <c r="T531" s="2">
        <v>46209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</v>
      </c>
      <c r="AE531" s="1">
        <v>0</v>
      </c>
      <c r="AF531" s="1">
        <v>0</v>
      </c>
      <c r="AG531" s="1">
        <v>0</v>
      </c>
    </row>
    <row r="532" spans="1:33" x14ac:dyDescent="0.25">
      <c r="A532" s="1">
        <v>691</v>
      </c>
      <c r="B532" s="1" t="s">
        <v>986</v>
      </c>
      <c r="C532" s="1" t="s">
        <v>983</v>
      </c>
      <c r="D532" s="1" t="s">
        <v>108</v>
      </c>
      <c r="E532" s="1" t="s">
        <v>53</v>
      </c>
      <c r="F532" s="3">
        <v>46204</v>
      </c>
      <c r="G532" s="3">
        <v>46205</v>
      </c>
      <c r="H532" s="4">
        <v>0</v>
      </c>
      <c r="J532" s="1">
        <v>690</v>
      </c>
      <c r="L532" s="1" t="s">
        <v>35</v>
      </c>
      <c r="M532" s="1" t="s">
        <v>538</v>
      </c>
      <c r="N532" s="2">
        <v>46210</v>
      </c>
      <c r="P532" s="1" t="s">
        <v>696</v>
      </c>
      <c r="Q532" s="1" t="s">
        <v>146</v>
      </c>
      <c r="R532" s="1" t="s">
        <v>55</v>
      </c>
      <c r="S532" s="2">
        <v>46210</v>
      </c>
      <c r="T532" s="2">
        <v>46210</v>
      </c>
      <c r="V532" s="1">
        <v>0</v>
      </c>
      <c r="W532" s="1">
        <v>0</v>
      </c>
      <c r="X532" s="1">
        <v>0</v>
      </c>
      <c r="Y532" s="1">
        <v>0</v>
      </c>
      <c r="Z532" s="1">
        <v>1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0</v>
      </c>
    </row>
    <row r="533" spans="1:33" x14ac:dyDescent="0.25">
      <c r="A533" s="1">
        <v>692</v>
      </c>
      <c r="B533" s="1" t="s">
        <v>987</v>
      </c>
      <c r="C533" s="1" t="s">
        <v>698</v>
      </c>
      <c r="D533" s="1" t="s">
        <v>988</v>
      </c>
      <c r="E533" s="1" t="s">
        <v>622</v>
      </c>
      <c r="F533" s="3">
        <v>46206</v>
      </c>
      <c r="G533" s="3">
        <v>46219</v>
      </c>
      <c r="H533" s="4">
        <v>0.25</v>
      </c>
      <c r="L533" s="1" t="s">
        <v>131</v>
      </c>
      <c r="M533" s="1" t="s">
        <v>422</v>
      </c>
      <c r="N533" s="2">
        <v>46209</v>
      </c>
      <c r="P533" s="1" t="s">
        <v>696</v>
      </c>
      <c r="Q533" s="1" t="s">
        <v>138</v>
      </c>
      <c r="R533" s="1" t="s">
        <v>55</v>
      </c>
      <c r="S533" s="2">
        <v>46199</v>
      </c>
      <c r="T533" s="2">
        <v>46209</v>
      </c>
      <c r="U533" s="1" t="s">
        <v>320</v>
      </c>
      <c r="V533" s="1">
        <v>0.25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</row>
    <row r="534" spans="1:33" x14ac:dyDescent="0.25">
      <c r="A534" s="1">
        <v>693</v>
      </c>
      <c r="B534" s="1" t="s">
        <v>989</v>
      </c>
      <c r="C534" s="1" t="s">
        <v>990</v>
      </c>
      <c r="D534" s="1" t="s">
        <v>94</v>
      </c>
      <c r="E534" s="1" t="s">
        <v>553</v>
      </c>
      <c r="F534" s="3">
        <v>46206</v>
      </c>
      <c r="G534" s="3">
        <v>46211</v>
      </c>
      <c r="H534" s="4">
        <v>0.5</v>
      </c>
      <c r="J534" s="1" t="s">
        <v>991</v>
      </c>
      <c r="K534" s="1" t="s">
        <v>992</v>
      </c>
      <c r="L534" s="1" t="s">
        <v>131</v>
      </c>
      <c r="M534" s="1" t="s">
        <v>422</v>
      </c>
      <c r="N534" s="2">
        <v>46203</v>
      </c>
      <c r="P534" s="1" t="s">
        <v>696</v>
      </c>
      <c r="Q534" s="1" t="s">
        <v>138</v>
      </c>
      <c r="R534" s="1" t="s">
        <v>55</v>
      </c>
      <c r="S534" s="2">
        <v>46199</v>
      </c>
      <c r="T534" s="2">
        <v>46203</v>
      </c>
      <c r="V534" s="1">
        <v>0.5</v>
      </c>
      <c r="W534" s="1">
        <v>1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</row>
    <row r="535" spans="1:33" x14ac:dyDescent="0.25">
      <c r="A535" s="1">
        <v>694</v>
      </c>
      <c r="B535" s="1" t="s">
        <v>993</v>
      </c>
      <c r="C535" s="1" t="s">
        <v>990</v>
      </c>
      <c r="D535" s="1" t="s">
        <v>98</v>
      </c>
      <c r="E535" s="1" t="s">
        <v>53</v>
      </c>
      <c r="F535" s="3">
        <v>46216</v>
      </c>
      <c r="G535" s="3">
        <v>46216</v>
      </c>
      <c r="H535" s="4">
        <v>0</v>
      </c>
      <c r="J535" s="1">
        <v>693</v>
      </c>
      <c r="K535" s="1">
        <v>695</v>
      </c>
      <c r="L535" s="1" t="s">
        <v>144</v>
      </c>
      <c r="M535" s="1" t="s">
        <v>426</v>
      </c>
      <c r="N535" s="2">
        <v>46204</v>
      </c>
      <c r="P535" s="1" t="s">
        <v>696</v>
      </c>
      <c r="Q535" s="1" t="s">
        <v>146</v>
      </c>
      <c r="R535" s="1" t="s">
        <v>55</v>
      </c>
      <c r="S535" s="2">
        <v>46204</v>
      </c>
      <c r="T535" s="2">
        <v>46204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</row>
    <row r="536" spans="1:33" x14ac:dyDescent="0.25">
      <c r="A536" s="1">
        <v>695</v>
      </c>
      <c r="B536" s="1" t="s">
        <v>994</v>
      </c>
      <c r="C536" s="1" t="s">
        <v>990</v>
      </c>
      <c r="D536" s="1" t="s">
        <v>102</v>
      </c>
      <c r="E536" s="1" t="s">
        <v>121</v>
      </c>
      <c r="F536" s="3">
        <v>46217</v>
      </c>
      <c r="G536" s="3">
        <v>46218</v>
      </c>
      <c r="H536" s="4">
        <v>0</v>
      </c>
      <c r="J536" s="1">
        <v>694</v>
      </c>
      <c r="K536" s="1">
        <v>696</v>
      </c>
      <c r="L536" s="1" t="s">
        <v>144</v>
      </c>
      <c r="M536" s="1" t="s">
        <v>535</v>
      </c>
      <c r="N536" s="2">
        <v>46206</v>
      </c>
      <c r="P536" s="1" t="s">
        <v>696</v>
      </c>
      <c r="Q536" s="1" t="s">
        <v>146</v>
      </c>
      <c r="R536" s="1" t="s">
        <v>55</v>
      </c>
      <c r="S536" s="2">
        <v>46205</v>
      </c>
      <c r="T536" s="2">
        <v>46206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</row>
    <row r="537" spans="1:33" x14ac:dyDescent="0.25">
      <c r="A537" s="1">
        <v>696</v>
      </c>
      <c r="B537" s="1" t="s">
        <v>995</v>
      </c>
      <c r="C537" s="1" t="s">
        <v>990</v>
      </c>
      <c r="D537" s="1" t="s">
        <v>108</v>
      </c>
      <c r="E537" s="1" t="s">
        <v>53</v>
      </c>
      <c r="F537" s="3">
        <v>46219</v>
      </c>
      <c r="G537" s="3">
        <v>46219</v>
      </c>
      <c r="H537" s="4">
        <v>0</v>
      </c>
      <c r="J537" s="1">
        <v>695</v>
      </c>
      <c r="L537" s="1" t="s">
        <v>144</v>
      </c>
      <c r="M537" s="1" t="s">
        <v>161</v>
      </c>
      <c r="N537" s="2">
        <v>46209</v>
      </c>
      <c r="P537" s="1" t="s">
        <v>696</v>
      </c>
      <c r="Q537" s="1" t="s">
        <v>151</v>
      </c>
      <c r="R537" s="1" t="s">
        <v>55</v>
      </c>
      <c r="S537" s="2">
        <v>46209</v>
      </c>
      <c r="T537" s="2">
        <v>46209</v>
      </c>
      <c r="V537" s="1">
        <v>0</v>
      </c>
      <c r="W537" s="1">
        <v>0</v>
      </c>
      <c r="X537" s="1">
        <v>0</v>
      </c>
      <c r="Y537" s="1">
        <v>0</v>
      </c>
      <c r="Z537" s="1">
        <v>1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</row>
    <row r="538" spans="1:33" x14ac:dyDescent="0.25">
      <c r="A538" s="1">
        <v>697</v>
      </c>
      <c r="B538" s="1" t="s">
        <v>996</v>
      </c>
      <c r="C538" s="1" t="s">
        <v>698</v>
      </c>
      <c r="D538" s="1" t="s">
        <v>997</v>
      </c>
      <c r="E538" s="1" t="s">
        <v>622</v>
      </c>
      <c r="F538" s="3">
        <v>46203</v>
      </c>
      <c r="G538" s="3">
        <v>46216</v>
      </c>
      <c r="H538" s="4">
        <v>0.5</v>
      </c>
      <c r="L538" s="1" t="s">
        <v>131</v>
      </c>
      <c r="M538" s="1" t="s">
        <v>422</v>
      </c>
      <c r="N538" s="2">
        <v>46209</v>
      </c>
      <c r="P538" s="1" t="s">
        <v>696</v>
      </c>
      <c r="Q538" s="1" t="s">
        <v>138</v>
      </c>
      <c r="R538" s="1" t="s">
        <v>55</v>
      </c>
      <c r="S538" s="2">
        <v>46199</v>
      </c>
      <c r="T538" s="2">
        <v>46209</v>
      </c>
      <c r="U538" s="1" t="s">
        <v>320</v>
      </c>
      <c r="V538" s="1">
        <v>0.5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</row>
    <row r="539" spans="1:33" x14ac:dyDescent="0.25">
      <c r="A539" s="1">
        <v>698</v>
      </c>
      <c r="B539" s="1" t="s">
        <v>998</v>
      </c>
      <c r="C539" s="1" t="s">
        <v>999</v>
      </c>
      <c r="D539" s="1" t="s">
        <v>94</v>
      </c>
      <c r="E539" s="1" t="s">
        <v>553</v>
      </c>
      <c r="F539" s="3">
        <v>46203</v>
      </c>
      <c r="G539" s="3">
        <v>46206</v>
      </c>
      <c r="H539" s="4">
        <v>1</v>
      </c>
      <c r="I539" s="3">
        <v>46206</v>
      </c>
      <c r="J539" s="1" t="s">
        <v>991</v>
      </c>
      <c r="K539" s="1" t="s">
        <v>1000</v>
      </c>
      <c r="L539" s="1" t="s">
        <v>59</v>
      </c>
      <c r="M539" s="1" t="s">
        <v>422</v>
      </c>
      <c r="N539" s="2">
        <v>46203</v>
      </c>
      <c r="P539" s="1" t="s">
        <v>696</v>
      </c>
      <c r="Q539" s="1" t="s">
        <v>138</v>
      </c>
      <c r="R539" s="1" t="s">
        <v>55</v>
      </c>
      <c r="S539" s="2">
        <v>46199</v>
      </c>
      <c r="T539" s="2">
        <v>46203</v>
      </c>
      <c r="V539" s="1">
        <v>1</v>
      </c>
      <c r="W539" s="1">
        <v>1</v>
      </c>
      <c r="X539" s="1">
        <v>1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</row>
    <row r="540" spans="1:33" x14ac:dyDescent="0.25">
      <c r="A540" s="1">
        <v>699</v>
      </c>
      <c r="B540" s="1" t="s">
        <v>1001</v>
      </c>
      <c r="C540" s="1" t="s">
        <v>999</v>
      </c>
      <c r="D540" s="1" t="s">
        <v>98</v>
      </c>
      <c r="E540" s="1" t="s">
        <v>53</v>
      </c>
      <c r="F540" s="3">
        <v>46209</v>
      </c>
      <c r="G540" s="3">
        <v>46209</v>
      </c>
      <c r="H540" s="4">
        <v>0</v>
      </c>
      <c r="J540" s="1">
        <v>698</v>
      </c>
      <c r="K540" s="1">
        <v>700</v>
      </c>
      <c r="L540" s="1" t="s">
        <v>144</v>
      </c>
      <c r="M540" s="1" t="s">
        <v>426</v>
      </c>
      <c r="N540" s="2">
        <v>46204</v>
      </c>
      <c r="P540" s="1" t="s">
        <v>696</v>
      </c>
      <c r="Q540" s="1" t="s">
        <v>146</v>
      </c>
      <c r="R540" s="1" t="s">
        <v>55</v>
      </c>
      <c r="S540" s="2">
        <v>46204</v>
      </c>
      <c r="T540" s="2">
        <v>46204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</row>
    <row r="541" spans="1:33" x14ac:dyDescent="0.25">
      <c r="A541" s="1">
        <v>700</v>
      </c>
      <c r="B541" s="1" t="s">
        <v>1002</v>
      </c>
      <c r="C541" s="1" t="s">
        <v>999</v>
      </c>
      <c r="D541" s="1" t="s">
        <v>102</v>
      </c>
      <c r="E541" s="1" t="s">
        <v>121</v>
      </c>
      <c r="F541" s="3">
        <v>46210</v>
      </c>
      <c r="G541" s="3">
        <v>46211</v>
      </c>
      <c r="H541" s="4">
        <v>0</v>
      </c>
      <c r="J541" s="1">
        <v>699</v>
      </c>
      <c r="K541" s="1">
        <v>701</v>
      </c>
      <c r="L541" s="1" t="s">
        <v>144</v>
      </c>
      <c r="M541" s="1" t="s">
        <v>535</v>
      </c>
      <c r="N541" s="2">
        <v>46206</v>
      </c>
      <c r="P541" s="1" t="s">
        <v>696</v>
      </c>
      <c r="Q541" s="1" t="s">
        <v>146</v>
      </c>
      <c r="R541" s="1" t="s">
        <v>55</v>
      </c>
      <c r="S541" s="2">
        <v>46205</v>
      </c>
      <c r="T541" s="2">
        <v>46206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</row>
    <row r="542" spans="1:33" x14ac:dyDescent="0.25">
      <c r="A542" s="1">
        <v>701</v>
      </c>
      <c r="B542" s="1" t="s">
        <v>1003</v>
      </c>
      <c r="C542" s="1" t="s">
        <v>999</v>
      </c>
      <c r="D542" s="1" t="s">
        <v>108</v>
      </c>
      <c r="E542" s="1" t="s">
        <v>53</v>
      </c>
      <c r="F542" s="3">
        <v>46216</v>
      </c>
      <c r="G542" s="3">
        <v>46216</v>
      </c>
      <c r="H542" s="4">
        <v>0</v>
      </c>
      <c r="J542" s="1">
        <v>700</v>
      </c>
      <c r="L542" s="1" t="s">
        <v>144</v>
      </c>
      <c r="M542" s="1" t="s">
        <v>161</v>
      </c>
      <c r="N542" s="2">
        <v>46209</v>
      </c>
      <c r="P542" s="1" t="s">
        <v>696</v>
      </c>
      <c r="Q542" s="1" t="s">
        <v>151</v>
      </c>
      <c r="R542" s="1" t="s">
        <v>55</v>
      </c>
      <c r="S542" s="2">
        <v>46209</v>
      </c>
      <c r="T542" s="2">
        <v>46209</v>
      </c>
      <c r="V542" s="1">
        <v>0</v>
      </c>
      <c r="W542" s="1">
        <v>0</v>
      </c>
      <c r="X542" s="1">
        <v>0</v>
      </c>
      <c r="Y542" s="1">
        <v>0</v>
      </c>
      <c r="Z542" s="1">
        <v>1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</row>
    <row r="543" spans="1:33" x14ac:dyDescent="0.25">
      <c r="A543" s="1">
        <v>702</v>
      </c>
      <c r="B543" s="1" t="s">
        <v>1004</v>
      </c>
      <c r="C543" s="1" t="s">
        <v>698</v>
      </c>
      <c r="D543" s="1" t="s">
        <v>1005</v>
      </c>
      <c r="E543" s="1" t="s">
        <v>622</v>
      </c>
      <c r="F543" s="3">
        <v>46202</v>
      </c>
      <c r="G543" s="3">
        <v>46211</v>
      </c>
      <c r="H543" s="4">
        <v>0.5</v>
      </c>
      <c r="L543" s="1" t="s">
        <v>131</v>
      </c>
      <c r="M543" s="1" t="s">
        <v>422</v>
      </c>
      <c r="N543" s="2">
        <v>46209</v>
      </c>
      <c r="P543" s="1" t="s">
        <v>696</v>
      </c>
      <c r="Q543" s="1" t="s">
        <v>138</v>
      </c>
      <c r="R543" s="1" t="s">
        <v>55</v>
      </c>
      <c r="S543" s="2">
        <v>46199</v>
      </c>
      <c r="T543" s="2">
        <v>46209</v>
      </c>
      <c r="V543" s="1">
        <v>0.5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</row>
    <row r="544" spans="1:33" x14ac:dyDescent="0.25">
      <c r="A544" s="1">
        <v>703</v>
      </c>
      <c r="B544" s="1" t="s">
        <v>1006</v>
      </c>
      <c r="C544" s="1" t="s">
        <v>1007</v>
      </c>
      <c r="D544" s="1" t="s">
        <v>94</v>
      </c>
      <c r="E544" s="1" t="s">
        <v>553</v>
      </c>
      <c r="F544" s="3">
        <v>46202</v>
      </c>
      <c r="G544" s="3">
        <v>46205</v>
      </c>
      <c r="H544" s="4">
        <v>1</v>
      </c>
      <c r="I544" s="3">
        <v>46205</v>
      </c>
      <c r="J544" s="1" t="s">
        <v>991</v>
      </c>
      <c r="K544" s="1" t="s">
        <v>1008</v>
      </c>
      <c r="L544" s="1" t="s">
        <v>59</v>
      </c>
      <c r="M544" s="1" t="s">
        <v>422</v>
      </c>
      <c r="N544" s="2">
        <v>46203</v>
      </c>
      <c r="P544" s="1" t="s">
        <v>696</v>
      </c>
      <c r="Q544" s="1" t="s">
        <v>138</v>
      </c>
      <c r="R544" s="1" t="s">
        <v>55</v>
      </c>
      <c r="S544" s="2">
        <v>46199</v>
      </c>
      <c r="T544" s="2">
        <v>46203</v>
      </c>
      <c r="V544" s="1">
        <v>1</v>
      </c>
      <c r="W544" s="1">
        <v>1</v>
      </c>
      <c r="X544" s="1">
        <v>1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1</v>
      </c>
    </row>
    <row r="545" spans="1:33" x14ac:dyDescent="0.25">
      <c r="A545" s="1">
        <v>704</v>
      </c>
      <c r="B545" s="1" t="s">
        <v>1009</v>
      </c>
      <c r="C545" s="1" t="s">
        <v>1007</v>
      </c>
      <c r="D545" s="1" t="s">
        <v>98</v>
      </c>
      <c r="E545" s="1" t="s">
        <v>53</v>
      </c>
      <c r="F545" s="3">
        <v>46206</v>
      </c>
      <c r="G545" s="3">
        <v>46206</v>
      </c>
      <c r="H545" s="4">
        <v>0</v>
      </c>
      <c r="J545" s="1">
        <v>703</v>
      </c>
      <c r="K545" s="1">
        <v>705</v>
      </c>
      <c r="L545" s="1" t="s">
        <v>131</v>
      </c>
      <c r="M545" s="1" t="s">
        <v>426</v>
      </c>
      <c r="N545" s="2">
        <v>46204</v>
      </c>
      <c r="P545" s="1" t="s">
        <v>696</v>
      </c>
      <c r="Q545" s="1" t="s">
        <v>146</v>
      </c>
      <c r="R545" s="1" t="s">
        <v>55</v>
      </c>
      <c r="S545" s="2">
        <v>46204</v>
      </c>
      <c r="T545" s="2">
        <v>46204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</row>
    <row r="546" spans="1:33" x14ac:dyDescent="0.25">
      <c r="A546" s="1">
        <v>705</v>
      </c>
      <c r="B546" s="1" t="s">
        <v>1010</v>
      </c>
      <c r="C546" s="1" t="s">
        <v>1007</v>
      </c>
      <c r="D546" s="1" t="s">
        <v>102</v>
      </c>
      <c r="E546" s="1" t="s">
        <v>121</v>
      </c>
      <c r="F546" s="3">
        <v>46209</v>
      </c>
      <c r="G546" s="3">
        <v>46210</v>
      </c>
      <c r="H546" s="4">
        <v>0</v>
      </c>
      <c r="J546" s="1">
        <v>704</v>
      </c>
      <c r="K546" s="1">
        <v>706</v>
      </c>
      <c r="L546" s="1" t="s">
        <v>144</v>
      </c>
      <c r="M546" s="1" t="s">
        <v>535</v>
      </c>
      <c r="N546" s="2">
        <v>46206</v>
      </c>
      <c r="P546" s="1" t="s">
        <v>696</v>
      </c>
      <c r="Q546" s="1" t="s">
        <v>146</v>
      </c>
      <c r="R546" s="1" t="s">
        <v>55</v>
      </c>
      <c r="S546" s="2">
        <v>46205</v>
      </c>
      <c r="T546" s="2">
        <v>46206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</row>
    <row r="547" spans="1:33" x14ac:dyDescent="0.25">
      <c r="A547" s="1">
        <v>706</v>
      </c>
      <c r="B547" s="1" t="s">
        <v>1011</v>
      </c>
      <c r="C547" s="1" t="s">
        <v>1007</v>
      </c>
      <c r="D547" s="1" t="s">
        <v>108</v>
      </c>
      <c r="E547" s="1" t="s">
        <v>53</v>
      </c>
      <c r="F547" s="3">
        <v>46211</v>
      </c>
      <c r="G547" s="3">
        <v>46211</v>
      </c>
      <c r="H547" s="4">
        <v>0</v>
      </c>
      <c r="J547" s="1">
        <v>705</v>
      </c>
      <c r="L547" s="1" t="s">
        <v>144</v>
      </c>
      <c r="M547" s="1" t="s">
        <v>161</v>
      </c>
      <c r="N547" s="2">
        <v>46209</v>
      </c>
      <c r="P547" s="1" t="s">
        <v>696</v>
      </c>
      <c r="Q547" s="1" t="s">
        <v>146</v>
      </c>
      <c r="R547" s="1" t="s">
        <v>55</v>
      </c>
      <c r="S547" s="2">
        <v>46209</v>
      </c>
      <c r="T547" s="2">
        <v>46209</v>
      </c>
      <c r="V547" s="1">
        <v>0</v>
      </c>
      <c r="W547" s="1">
        <v>0</v>
      </c>
      <c r="X547" s="1">
        <v>0</v>
      </c>
      <c r="Y547" s="1">
        <v>0</v>
      </c>
      <c r="Z547" s="1">
        <v>1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</row>
    <row r="548" spans="1:33" x14ac:dyDescent="0.25">
      <c r="A548" s="1">
        <v>707</v>
      </c>
      <c r="B548" s="1" t="s">
        <v>1012</v>
      </c>
      <c r="C548" s="1" t="s">
        <v>73</v>
      </c>
      <c r="D548" s="1" t="s">
        <v>1013</v>
      </c>
      <c r="E548" s="1" t="s">
        <v>1014</v>
      </c>
      <c r="F548" s="3">
        <v>46202</v>
      </c>
      <c r="G548" s="3">
        <v>46227</v>
      </c>
      <c r="H548" s="4">
        <v>0.04</v>
      </c>
      <c r="L548" s="1" t="s">
        <v>131</v>
      </c>
      <c r="M548" s="1" t="s">
        <v>223</v>
      </c>
      <c r="N548" s="2">
        <v>46211</v>
      </c>
      <c r="P548" s="1" t="s">
        <v>1015</v>
      </c>
      <c r="Q548" s="1" t="s">
        <v>146</v>
      </c>
      <c r="R548" s="1" t="s">
        <v>55</v>
      </c>
      <c r="S548" s="2">
        <v>46195</v>
      </c>
      <c r="T548" s="2">
        <v>46211</v>
      </c>
      <c r="V548" s="1">
        <v>0.04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</row>
    <row r="549" spans="1:33" x14ac:dyDescent="0.25">
      <c r="A549" s="1">
        <v>708</v>
      </c>
      <c r="B549" s="1" t="s">
        <v>1016</v>
      </c>
      <c r="C549" s="1" t="s">
        <v>1017</v>
      </c>
      <c r="D549" s="1" t="s">
        <v>1018</v>
      </c>
      <c r="E549" s="1" t="s">
        <v>1019</v>
      </c>
      <c r="F549" s="3">
        <v>46202</v>
      </c>
      <c r="G549" s="3">
        <v>46225</v>
      </c>
      <c r="H549" s="4">
        <v>0.06</v>
      </c>
      <c r="L549" s="1" t="s">
        <v>131</v>
      </c>
      <c r="M549" s="1" t="s">
        <v>223</v>
      </c>
      <c r="N549" s="2">
        <v>46210</v>
      </c>
      <c r="P549" s="1" t="s">
        <v>1015</v>
      </c>
      <c r="Q549" s="1" t="s">
        <v>146</v>
      </c>
      <c r="R549" s="1" t="s">
        <v>55</v>
      </c>
      <c r="S549" s="2">
        <v>46195</v>
      </c>
      <c r="T549" s="2">
        <v>46210</v>
      </c>
      <c r="V549" s="1">
        <v>0.06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</row>
    <row r="550" spans="1:33" x14ac:dyDescent="0.25">
      <c r="A550" s="1">
        <v>709</v>
      </c>
      <c r="B550" s="1" t="s">
        <v>1020</v>
      </c>
      <c r="C550" s="1" t="s">
        <v>1021</v>
      </c>
      <c r="D550" s="1" t="s">
        <v>94</v>
      </c>
      <c r="E550" s="1" t="s">
        <v>625</v>
      </c>
      <c r="F550" s="3">
        <v>46202</v>
      </c>
      <c r="G550" s="3">
        <v>46220</v>
      </c>
      <c r="H550" s="4">
        <v>0.1</v>
      </c>
      <c r="J550" s="1">
        <v>346</v>
      </c>
      <c r="K550" s="1" t="s">
        <v>1022</v>
      </c>
      <c r="L550" s="1" t="s">
        <v>131</v>
      </c>
      <c r="M550" s="1" t="s">
        <v>223</v>
      </c>
      <c r="N550" s="2">
        <v>46204</v>
      </c>
      <c r="P550" s="1" t="s">
        <v>1015</v>
      </c>
      <c r="Q550" s="1" t="s">
        <v>146</v>
      </c>
      <c r="R550" s="1" t="s">
        <v>55</v>
      </c>
      <c r="S550" s="2">
        <v>46195</v>
      </c>
      <c r="T550" s="2">
        <v>46204</v>
      </c>
      <c r="V550" s="1">
        <v>0.1</v>
      </c>
      <c r="W550" s="1">
        <v>1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</row>
    <row r="551" spans="1:33" x14ac:dyDescent="0.25">
      <c r="A551" s="1">
        <v>710</v>
      </c>
      <c r="B551" s="1" t="s">
        <v>1023</v>
      </c>
      <c r="C551" s="1" t="s">
        <v>1021</v>
      </c>
      <c r="D551" s="1" t="s">
        <v>98</v>
      </c>
      <c r="E551" s="1" t="s">
        <v>53</v>
      </c>
      <c r="F551" s="3">
        <v>46220</v>
      </c>
      <c r="G551" s="3">
        <v>46223</v>
      </c>
      <c r="H551" s="4">
        <v>0</v>
      </c>
      <c r="J551" s="1">
        <v>709</v>
      </c>
      <c r="K551" s="1">
        <v>711</v>
      </c>
      <c r="L551" s="1" t="s">
        <v>144</v>
      </c>
      <c r="M551" s="1" t="s">
        <v>535</v>
      </c>
      <c r="N551" s="2">
        <v>46205</v>
      </c>
      <c r="P551" s="1" t="s">
        <v>1015</v>
      </c>
      <c r="Q551" s="1" t="s">
        <v>151</v>
      </c>
      <c r="R551" s="1" t="s">
        <v>55</v>
      </c>
      <c r="S551" s="2">
        <v>46205</v>
      </c>
      <c r="T551" s="2">
        <v>46205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</row>
    <row r="552" spans="1:33" x14ac:dyDescent="0.25">
      <c r="A552" s="1">
        <v>711</v>
      </c>
      <c r="B552" s="1" t="s">
        <v>1024</v>
      </c>
      <c r="C552" s="1" t="s">
        <v>1021</v>
      </c>
      <c r="D552" s="1" t="s">
        <v>102</v>
      </c>
      <c r="E552" s="1" t="s">
        <v>53</v>
      </c>
      <c r="F552" s="3">
        <v>46223</v>
      </c>
      <c r="G552" s="3">
        <v>46224</v>
      </c>
      <c r="H552" s="4">
        <v>0</v>
      </c>
      <c r="J552" s="1">
        <v>710</v>
      </c>
      <c r="K552" s="1">
        <v>712</v>
      </c>
      <c r="L552" s="1" t="s">
        <v>144</v>
      </c>
      <c r="M552" s="1" t="s">
        <v>159</v>
      </c>
      <c r="N552" s="2">
        <v>46209</v>
      </c>
      <c r="P552" s="1" t="s">
        <v>1015</v>
      </c>
      <c r="Q552" s="1" t="s">
        <v>151</v>
      </c>
      <c r="R552" s="1" t="s">
        <v>55</v>
      </c>
      <c r="S552" s="2">
        <v>46206</v>
      </c>
      <c r="T552" s="2">
        <v>46209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</row>
    <row r="553" spans="1:33" x14ac:dyDescent="0.25">
      <c r="A553" s="1">
        <v>712</v>
      </c>
      <c r="B553" s="1" t="s">
        <v>1025</v>
      </c>
      <c r="C553" s="1" t="s">
        <v>1021</v>
      </c>
      <c r="D553" s="1" t="s">
        <v>108</v>
      </c>
      <c r="E553" s="1" t="s">
        <v>53</v>
      </c>
      <c r="F553" s="3">
        <v>46224</v>
      </c>
      <c r="G553" s="3">
        <v>46225</v>
      </c>
      <c r="H553" s="4">
        <v>0</v>
      </c>
      <c r="J553" s="1">
        <v>711</v>
      </c>
      <c r="L553" s="1" t="s">
        <v>144</v>
      </c>
      <c r="M553" s="1" t="s">
        <v>538</v>
      </c>
      <c r="N553" s="2">
        <v>46210</v>
      </c>
      <c r="P553" s="1" t="s">
        <v>1015</v>
      </c>
      <c r="Q553" s="1" t="s">
        <v>151</v>
      </c>
      <c r="R553" s="1" t="s">
        <v>55</v>
      </c>
      <c r="S553" s="2">
        <v>46210</v>
      </c>
      <c r="T553" s="2">
        <v>46210</v>
      </c>
      <c r="V553" s="1">
        <v>0</v>
      </c>
      <c r="W553" s="1">
        <v>0</v>
      </c>
      <c r="X553" s="1">
        <v>0</v>
      </c>
      <c r="Y553" s="1">
        <v>0</v>
      </c>
      <c r="Z553" s="1">
        <v>1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</row>
    <row r="554" spans="1:33" x14ac:dyDescent="0.25">
      <c r="A554" s="1">
        <v>713</v>
      </c>
      <c r="B554" s="1" t="s">
        <v>1026</v>
      </c>
      <c r="C554" s="1" t="s">
        <v>1017</v>
      </c>
      <c r="D554" s="1" t="s">
        <v>1027</v>
      </c>
      <c r="E554" s="1" t="s">
        <v>637</v>
      </c>
      <c r="F554" s="3">
        <v>46220</v>
      </c>
      <c r="G554" s="3">
        <v>46227</v>
      </c>
      <c r="H554" s="4">
        <v>0</v>
      </c>
      <c r="L554" s="1" t="s">
        <v>144</v>
      </c>
      <c r="M554" s="1" t="s">
        <v>535</v>
      </c>
      <c r="N554" s="2">
        <v>46211</v>
      </c>
      <c r="P554" s="1" t="s">
        <v>1015</v>
      </c>
      <c r="Q554" s="1" t="s">
        <v>151</v>
      </c>
      <c r="R554" s="1" t="s">
        <v>55</v>
      </c>
      <c r="S554" s="2">
        <v>46205</v>
      </c>
      <c r="T554" s="2">
        <v>46211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</row>
    <row r="555" spans="1:33" x14ac:dyDescent="0.25">
      <c r="A555" s="1">
        <v>714</v>
      </c>
      <c r="B555" s="1" t="s">
        <v>1028</v>
      </c>
      <c r="C555" s="1" t="s">
        <v>1029</v>
      </c>
      <c r="D555" s="1" t="s">
        <v>94</v>
      </c>
      <c r="E555" s="1" t="s">
        <v>53</v>
      </c>
      <c r="F555" s="3">
        <v>46220</v>
      </c>
      <c r="G555" s="3">
        <v>46223</v>
      </c>
      <c r="H555" s="4">
        <v>0</v>
      </c>
      <c r="J555" s="1">
        <v>709</v>
      </c>
      <c r="K555" s="1">
        <v>715</v>
      </c>
      <c r="L555" s="1" t="s">
        <v>144</v>
      </c>
      <c r="M555" s="1" t="s">
        <v>535</v>
      </c>
      <c r="N555" s="2">
        <v>46205</v>
      </c>
      <c r="P555" s="1" t="s">
        <v>1015</v>
      </c>
      <c r="Q555" s="1" t="s">
        <v>151</v>
      </c>
      <c r="R555" s="1" t="s">
        <v>55</v>
      </c>
      <c r="S555" s="2">
        <v>46205</v>
      </c>
      <c r="T555" s="2">
        <v>46205</v>
      </c>
      <c r="V555" s="1">
        <v>0</v>
      </c>
      <c r="W555" s="1">
        <v>1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</row>
    <row r="556" spans="1:33" x14ac:dyDescent="0.25">
      <c r="A556" s="1">
        <v>715</v>
      </c>
      <c r="B556" s="1" t="s">
        <v>1030</v>
      </c>
      <c r="C556" s="1" t="s">
        <v>1029</v>
      </c>
      <c r="D556" s="1" t="s">
        <v>98</v>
      </c>
      <c r="E556" s="1" t="s">
        <v>53</v>
      </c>
      <c r="F556" s="3">
        <v>46223</v>
      </c>
      <c r="G556" s="3">
        <v>46224</v>
      </c>
      <c r="H556" s="4">
        <v>0</v>
      </c>
      <c r="J556" s="1">
        <v>714</v>
      </c>
      <c r="K556" s="1">
        <v>716</v>
      </c>
      <c r="L556" s="1" t="s">
        <v>144</v>
      </c>
      <c r="M556" s="1" t="s">
        <v>159</v>
      </c>
      <c r="N556" s="2">
        <v>46206</v>
      </c>
      <c r="P556" s="1" t="s">
        <v>1015</v>
      </c>
      <c r="Q556" s="1" t="s">
        <v>151</v>
      </c>
      <c r="R556" s="1" t="s">
        <v>55</v>
      </c>
      <c r="S556" s="2">
        <v>46206</v>
      </c>
      <c r="T556" s="2">
        <v>46206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</row>
    <row r="557" spans="1:33" x14ac:dyDescent="0.25">
      <c r="A557" s="1">
        <v>716</v>
      </c>
      <c r="B557" s="1" t="s">
        <v>1031</v>
      </c>
      <c r="C557" s="1" t="s">
        <v>1029</v>
      </c>
      <c r="D557" s="1" t="s">
        <v>102</v>
      </c>
      <c r="E557" s="1" t="s">
        <v>121</v>
      </c>
      <c r="F557" s="3">
        <v>46224</v>
      </c>
      <c r="G557" s="3">
        <v>46226</v>
      </c>
      <c r="H557" s="4">
        <v>0</v>
      </c>
      <c r="J557" s="1">
        <v>715</v>
      </c>
      <c r="K557" s="1">
        <v>717</v>
      </c>
      <c r="L557" s="1" t="s">
        <v>144</v>
      </c>
      <c r="M557" s="1" t="s">
        <v>161</v>
      </c>
      <c r="N557" s="2">
        <v>46210</v>
      </c>
      <c r="P557" s="1" t="s">
        <v>1015</v>
      </c>
      <c r="Q557" s="1" t="s">
        <v>151</v>
      </c>
      <c r="R557" s="1" t="s">
        <v>55</v>
      </c>
      <c r="S557" s="2">
        <v>46209</v>
      </c>
      <c r="T557" s="2">
        <v>46210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</row>
    <row r="558" spans="1:33" x14ac:dyDescent="0.25">
      <c r="A558" s="1">
        <v>717</v>
      </c>
      <c r="B558" s="1" t="s">
        <v>1032</v>
      </c>
      <c r="C558" s="1" t="s">
        <v>1029</v>
      </c>
      <c r="D558" s="1" t="s">
        <v>108</v>
      </c>
      <c r="E558" s="1" t="s">
        <v>53</v>
      </c>
      <c r="F558" s="3">
        <v>46226</v>
      </c>
      <c r="G558" s="3">
        <v>46227</v>
      </c>
      <c r="H558" s="4">
        <v>0</v>
      </c>
      <c r="J558" s="1">
        <v>716</v>
      </c>
      <c r="L558" s="1" t="s">
        <v>144</v>
      </c>
      <c r="M558" s="1" t="s">
        <v>163</v>
      </c>
      <c r="N558" s="2">
        <v>46211</v>
      </c>
      <c r="P558" s="1" t="s">
        <v>1015</v>
      </c>
      <c r="Q558" s="1" t="s">
        <v>193</v>
      </c>
      <c r="R558" s="1" t="s">
        <v>55</v>
      </c>
      <c r="S558" s="2">
        <v>46211</v>
      </c>
      <c r="T558" s="2">
        <v>46211</v>
      </c>
      <c r="V558" s="1">
        <v>0</v>
      </c>
      <c r="W558" s="1">
        <v>0</v>
      </c>
      <c r="X558" s="1">
        <v>0</v>
      </c>
      <c r="Y558" s="1">
        <v>0</v>
      </c>
      <c r="Z558" s="1">
        <v>1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</row>
    <row r="559" spans="1:33" x14ac:dyDescent="0.25">
      <c r="A559" s="1">
        <v>36</v>
      </c>
      <c r="B559" s="1" t="s">
        <v>1033</v>
      </c>
      <c r="C559" s="1" t="s">
        <v>134</v>
      </c>
      <c r="D559" s="1" t="s">
        <v>1034</v>
      </c>
      <c r="E559" s="1" t="s">
        <v>812</v>
      </c>
      <c r="F559" s="3">
        <v>46189</v>
      </c>
      <c r="G559" s="3">
        <v>46197</v>
      </c>
      <c r="H559" s="4">
        <v>0</v>
      </c>
      <c r="L559" s="1" t="s">
        <v>144</v>
      </c>
      <c r="M559" s="1" t="s">
        <v>294</v>
      </c>
      <c r="N559" s="2">
        <v>46192</v>
      </c>
      <c r="P559" s="1" t="s">
        <v>132</v>
      </c>
      <c r="Q559" s="1" t="s">
        <v>673</v>
      </c>
      <c r="R559" s="1" t="s">
        <v>55</v>
      </c>
      <c r="S559" s="2">
        <v>46184</v>
      </c>
      <c r="T559" s="2">
        <v>46192</v>
      </c>
      <c r="U559" s="1" t="s">
        <v>1035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</row>
    <row r="560" spans="1:33" x14ac:dyDescent="0.25">
      <c r="A560" s="1">
        <v>194</v>
      </c>
      <c r="B560" s="1" t="s">
        <v>1036</v>
      </c>
      <c r="C560" s="1" t="s">
        <v>407</v>
      </c>
      <c r="D560" s="1" t="s">
        <v>1037</v>
      </c>
      <c r="E560" s="1" t="s">
        <v>812</v>
      </c>
      <c r="F560" s="3">
        <v>46204</v>
      </c>
      <c r="G560" s="3">
        <v>46212</v>
      </c>
      <c r="H560" s="4">
        <v>0</v>
      </c>
      <c r="L560" s="1" t="s">
        <v>144</v>
      </c>
      <c r="M560" s="1" t="s">
        <v>155</v>
      </c>
      <c r="N560" s="2">
        <v>46211</v>
      </c>
      <c r="P560" s="1" t="s">
        <v>405</v>
      </c>
      <c r="Q560" s="1" t="s">
        <v>673</v>
      </c>
      <c r="R560" s="1" t="s">
        <v>39</v>
      </c>
      <c r="S560" s="2">
        <v>46203</v>
      </c>
      <c r="T560" s="2">
        <v>46211</v>
      </c>
      <c r="U560" s="1" t="s">
        <v>1035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</row>
    <row r="561" spans="1:33" x14ac:dyDescent="0.25">
      <c r="A561" s="1">
        <v>199</v>
      </c>
      <c r="B561" s="1" t="s">
        <v>1038</v>
      </c>
      <c r="C561" s="1" t="s">
        <v>407</v>
      </c>
      <c r="D561" s="1" t="s">
        <v>1039</v>
      </c>
      <c r="E561" s="1" t="s">
        <v>812</v>
      </c>
      <c r="F561" s="3">
        <v>46197</v>
      </c>
      <c r="G561" s="3">
        <v>46205</v>
      </c>
      <c r="H561" s="4">
        <v>0</v>
      </c>
      <c r="L561" s="1" t="s">
        <v>144</v>
      </c>
      <c r="M561" s="1" t="s">
        <v>418</v>
      </c>
      <c r="N561" s="2">
        <v>46204</v>
      </c>
      <c r="P561" s="1" t="s">
        <v>405</v>
      </c>
      <c r="Q561" s="1" t="s">
        <v>673</v>
      </c>
      <c r="R561" s="1" t="s">
        <v>39</v>
      </c>
      <c r="S561" s="2">
        <v>46196</v>
      </c>
      <c r="T561" s="2">
        <v>46204</v>
      </c>
      <c r="U561" s="1" t="s">
        <v>1035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</row>
    <row r="562" spans="1:33" x14ac:dyDescent="0.25">
      <c r="A562" s="1">
        <v>204</v>
      </c>
      <c r="B562" s="1" t="s">
        <v>1040</v>
      </c>
      <c r="C562" s="1" t="s">
        <v>407</v>
      </c>
      <c r="D562" s="1" t="s">
        <v>1041</v>
      </c>
      <c r="E562" s="1" t="s">
        <v>812</v>
      </c>
      <c r="F562" s="3">
        <v>46197</v>
      </c>
      <c r="G562" s="3">
        <v>46205</v>
      </c>
      <c r="H562" s="4">
        <v>0</v>
      </c>
      <c r="L562" s="1" t="s">
        <v>144</v>
      </c>
      <c r="M562" s="1" t="s">
        <v>418</v>
      </c>
      <c r="N562" s="2">
        <v>46204</v>
      </c>
      <c r="P562" s="1" t="s">
        <v>405</v>
      </c>
      <c r="Q562" s="1" t="s">
        <v>673</v>
      </c>
      <c r="R562" s="1" t="s">
        <v>55</v>
      </c>
      <c r="S562" s="2">
        <v>46196</v>
      </c>
      <c r="T562" s="2">
        <v>46204</v>
      </c>
      <c r="U562" s="1" t="s">
        <v>1035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</row>
    <row r="563" spans="1:33" x14ac:dyDescent="0.25">
      <c r="A563" s="1">
        <v>214</v>
      </c>
      <c r="B563" s="1" t="s">
        <v>1042</v>
      </c>
      <c r="C563" s="1" t="s">
        <v>407</v>
      </c>
      <c r="D563" s="1" t="s">
        <v>1043</v>
      </c>
      <c r="E563" s="1" t="s">
        <v>812</v>
      </c>
      <c r="F563" s="3">
        <v>46192</v>
      </c>
      <c r="G563" s="3">
        <v>46202</v>
      </c>
      <c r="H563" s="4">
        <v>0</v>
      </c>
      <c r="L563" s="1" t="s">
        <v>144</v>
      </c>
      <c r="M563" s="1" t="s">
        <v>386</v>
      </c>
      <c r="N563" s="2">
        <v>46199</v>
      </c>
      <c r="P563" s="1" t="s">
        <v>405</v>
      </c>
      <c r="Q563" s="1" t="s">
        <v>673</v>
      </c>
      <c r="R563" s="1" t="s">
        <v>39</v>
      </c>
      <c r="S563" s="2">
        <v>46191</v>
      </c>
      <c r="T563" s="2">
        <v>46199</v>
      </c>
      <c r="U563" s="1" t="s">
        <v>1035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</row>
    <row r="564" spans="1:33" x14ac:dyDescent="0.25">
      <c r="A564" s="1">
        <v>224</v>
      </c>
      <c r="B564" s="1" t="s">
        <v>1044</v>
      </c>
      <c r="C564" s="1" t="s">
        <v>407</v>
      </c>
      <c r="D564" s="1" t="s">
        <v>1045</v>
      </c>
      <c r="E564" s="1" t="s">
        <v>103</v>
      </c>
      <c r="F564" s="3">
        <v>46176</v>
      </c>
      <c r="G564" s="3">
        <v>46183</v>
      </c>
      <c r="H564" s="4">
        <v>0</v>
      </c>
      <c r="L564" s="1" t="s">
        <v>144</v>
      </c>
      <c r="M564" s="1" t="s">
        <v>187</v>
      </c>
      <c r="N564" s="2">
        <v>46169</v>
      </c>
      <c r="P564" s="1" t="s">
        <v>405</v>
      </c>
      <c r="Q564" s="1" t="s">
        <v>673</v>
      </c>
      <c r="R564" s="1" t="s">
        <v>55</v>
      </c>
      <c r="S564" s="2">
        <v>46162</v>
      </c>
      <c r="T564" s="2">
        <v>46169</v>
      </c>
      <c r="U564" s="1" t="s">
        <v>1035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</row>
    <row r="565" spans="1:33" x14ac:dyDescent="0.25">
      <c r="A565" s="1">
        <v>264</v>
      </c>
      <c r="B565" s="1" t="s">
        <v>468</v>
      </c>
      <c r="C565" s="1" t="s">
        <v>407</v>
      </c>
      <c r="D565" s="1" t="s">
        <v>1046</v>
      </c>
      <c r="E565" s="1" t="s">
        <v>1047</v>
      </c>
      <c r="F565" s="3">
        <v>46171</v>
      </c>
      <c r="G565" s="3">
        <v>46190</v>
      </c>
      <c r="H565" s="4">
        <v>0</v>
      </c>
      <c r="L565" s="1" t="s">
        <v>144</v>
      </c>
      <c r="M565" s="1" t="s">
        <v>145</v>
      </c>
      <c r="N565" s="2">
        <v>46189</v>
      </c>
      <c r="P565" s="1" t="s">
        <v>405</v>
      </c>
      <c r="Q565" s="1" t="s">
        <v>673</v>
      </c>
      <c r="R565" s="1" t="s">
        <v>55</v>
      </c>
      <c r="S565" s="2">
        <v>46170</v>
      </c>
      <c r="T565" s="2">
        <v>46189</v>
      </c>
      <c r="U565" s="1" t="s">
        <v>1035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</row>
    <row r="566" spans="1:33" x14ac:dyDescent="0.25">
      <c r="A566" s="1">
        <v>285</v>
      </c>
      <c r="B566" s="1" t="s">
        <v>1048</v>
      </c>
      <c r="C566" s="1" t="s">
        <v>518</v>
      </c>
      <c r="D566" s="1" t="s">
        <v>1049</v>
      </c>
      <c r="E566" s="1" t="s">
        <v>103</v>
      </c>
      <c r="F566" s="3">
        <v>46199</v>
      </c>
      <c r="G566" s="3">
        <v>46206</v>
      </c>
      <c r="H566" s="4">
        <v>0</v>
      </c>
      <c r="L566" s="1" t="s">
        <v>144</v>
      </c>
      <c r="M566" s="1" t="s">
        <v>422</v>
      </c>
      <c r="N566" s="2">
        <v>46206</v>
      </c>
      <c r="P566" s="1" t="s">
        <v>516</v>
      </c>
      <c r="Q566" s="1" t="s">
        <v>673</v>
      </c>
      <c r="R566" s="1" t="s">
        <v>55</v>
      </c>
      <c r="S566" s="2">
        <v>46199</v>
      </c>
      <c r="T566" s="2">
        <v>46206</v>
      </c>
      <c r="U566" s="1" t="s">
        <v>1035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</row>
    <row r="567" spans="1:33" x14ac:dyDescent="0.25">
      <c r="A567" s="1">
        <v>356</v>
      </c>
      <c r="B567" s="1" t="s">
        <v>1050</v>
      </c>
      <c r="C567" s="1" t="s">
        <v>635</v>
      </c>
      <c r="D567" s="1" t="s">
        <v>1051</v>
      </c>
      <c r="E567" s="1" t="s">
        <v>1052</v>
      </c>
      <c r="F567" s="3">
        <v>46188</v>
      </c>
      <c r="G567" s="3">
        <v>46202</v>
      </c>
      <c r="H567" s="4">
        <v>0</v>
      </c>
      <c r="L567" s="1" t="s">
        <v>144</v>
      </c>
      <c r="M567" s="1" t="s">
        <v>296</v>
      </c>
      <c r="N567" s="2">
        <v>46202</v>
      </c>
      <c r="P567" s="1" t="s">
        <v>633</v>
      </c>
      <c r="Q567" s="1" t="s">
        <v>673</v>
      </c>
      <c r="R567" s="1" t="s">
        <v>55</v>
      </c>
      <c r="S567" s="2">
        <v>46188</v>
      </c>
      <c r="T567" s="2">
        <v>46202</v>
      </c>
      <c r="U567" s="1" t="s">
        <v>1035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</row>
    <row r="568" spans="1:33" x14ac:dyDescent="0.25">
      <c r="A568" s="1">
        <v>366</v>
      </c>
      <c r="B568" s="1" t="s">
        <v>1053</v>
      </c>
      <c r="C568" s="1" t="s">
        <v>635</v>
      </c>
      <c r="D568" s="1" t="s">
        <v>1054</v>
      </c>
      <c r="E568" s="1" t="s">
        <v>812</v>
      </c>
      <c r="F568" s="3">
        <v>46195</v>
      </c>
      <c r="G568" s="3">
        <v>46203</v>
      </c>
      <c r="H568" s="4">
        <v>0</v>
      </c>
      <c r="L568" s="1" t="s">
        <v>144</v>
      </c>
      <c r="M568" s="1" t="s">
        <v>296</v>
      </c>
      <c r="N568" s="2">
        <v>46196</v>
      </c>
      <c r="P568" s="1" t="s">
        <v>633</v>
      </c>
      <c r="Q568" s="1" t="s">
        <v>673</v>
      </c>
      <c r="R568" s="1" t="s">
        <v>55</v>
      </c>
      <c r="S568" s="2">
        <v>46188</v>
      </c>
      <c r="T568" s="2">
        <v>46196</v>
      </c>
      <c r="U568" s="1" t="s">
        <v>1035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</row>
    <row r="569" spans="1:33" x14ac:dyDescent="0.25">
      <c r="A569" s="1">
        <v>376</v>
      </c>
      <c r="B569" s="1" t="s">
        <v>1055</v>
      </c>
      <c r="C569" s="1" t="s">
        <v>635</v>
      </c>
      <c r="D569" s="1" t="s">
        <v>1056</v>
      </c>
      <c r="E569" s="1" t="s">
        <v>103</v>
      </c>
      <c r="F569" s="3">
        <v>46203</v>
      </c>
      <c r="G569" s="3">
        <v>46210</v>
      </c>
      <c r="H569" s="4">
        <v>0</v>
      </c>
      <c r="L569" s="1" t="s">
        <v>144</v>
      </c>
      <c r="M569" s="1" t="s">
        <v>155</v>
      </c>
      <c r="N569" s="2">
        <v>46210</v>
      </c>
      <c r="P569" s="1" t="s">
        <v>633</v>
      </c>
      <c r="Q569" s="1" t="s">
        <v>673</v>
      </c>
      <c r="R569" s="1" t="s">
        <v>55</v>
      </c>
      <c r="S569" s="2">
        <v>46203</v>
      </c>
      <c r="T569" s="2">
        <v>46210</v>
      </c>
      <c r="U569" s="1" t="s">
        <v>1035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</row>
    <row r="570" spans="1:33" x14ac:dyDescent="0.25">
      <c r="A570" s="1">
        <v>381</v>
      </c>
      <c r="B570" s="1" t="s">
        <v>1057</v>
      </c>
      <c r="C570" s="1" t="s">
        <v>635</v>
      </c>
      <c r="D570" s="1" t="s">
        <v>1058</v>
      </c>
      <c r="E570" s="1" t="s">
        <v>625</v>
      </c>
      <c r="F570" s="3">
        <v>46205</v>
      </c>
      <c r="G570" s="3">
        <v>46211</v>
      </c>
      <c r="H570" s="4">
        <v>0</v>
      </c>
      <c r="L570" s="1" t="s">
        <v>144</v>
      </c>
      <c r="M570" s="1" t="s">
        <v>535</v>
      </c>
      <c r="N570" s="2">
        <v>46211</v>
      </c>
      <c r="P570" s="1" t="s">
        <v>633</v>
      </c>
      <c r="Q570" s="1" t="s">
        <v>673</v>
      </c>
      <c r="R570" s="1" t="s">
        <v>55</v>
      </c>
      <c r="S570" s="2">
        <v>46205</v>
      </c>
      <c r="T570" s="2">
        <v>46211</v>
      </c>
      <c r="U570" s="1" t="s">
        <v>1035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</row>
    <row r="571" spans="1:33" x14ac:dyDescent="0.25">
      <c r="A571" s="1">
        <v>401</v>
      </c>
      <c r="B571" s="1" t="s">
        <v>1059</v>
      </c>
      <c r="C571" s="1" t="s">
        <v>635</v>
      </c>
      <c r="D571" s="1" t="s">
        <v>1060</v>
      </c>
      <c r="E571" s="1" t="s">
        <v>812</v>
      </c>
      <c r="F571" s="3">
        <v>46178</v>
      </c>
      <c r="G571" s="3">
        <v>46188</v>
      </c>
      <c r="H571" s="4">
        <v>0</v>
      </c>
      <c r="L571" s="1" t="s">
        <v>144</v>
      </c>
      <c r="M571" s="1" t="s">
        <v>148</v>
      </c>
      <c r="N571" s="2">
        <v>46181</v>
      </c>
      <c r="P571" s="1" t="s">
        <v>633</v>
      </c>
      <c r="Q571" s="1" t="s">
        <v>673</v>
      </c>
      <c r="R571" s="1" t="s">
        <v>55</v>
      </c>
      <c r="S571" s="2">
        <v>46171</v>
      </c>
      <c r="T571" s="2">
        <v>46181</v>
      </c>
      <c r="U571" s="1" t="s">
        <v>1035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</row>
    <row r="572" spans="1:33" x14ac:dyDescent="0.25">
      <c r="A572" s="1">
        <v>411</v>
      </c>
      <c r="B572" s="1" t="s">
        <v>1061</v>
      </c>
      <c r="C572" s="1" t="s">
        <v>635</v>
      </c>
      <c r="D572" s="1" t="s">
        <v>1062</v>
      </c>
      <c r="E572" s="1" t="s">
        <v>812</v>
      </c>
      <c r="F572" s="3">
        <v>46183</v>
      </c>
      <c r="G572" s="3">
        <v>46191</v>
      </c>
      <c r="H572" s="4">
        <v>0</v>
      </c>
      <c r="L572" s="1" t="s">
        <v>144</v>
      </c>
      <c r="M572" s="1" t="s">
        <v>218</v>
      </c>
      <c r="N572" s="2">
        <v>46184</v>
      </c>
      <c r="P572" s="1" t="s">
        <v>633</v>
      </c>
      <c r="Q572" s="1" t="s">
        <v>673</v>
      </c>
      <c r="R572" s="1" t="s">
        <v>55</v>
      </c>
      <c r="S572" s="2">
        <v>46176</v>
      </c>
      <c r="T572" s="2">
        <v>46184</v>
      </c>
      <c r="U572" s="1" t="s">
        <v>1035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</row>
    <row r="573" spans="1:33" x14ac:dyDescent="0.25">
      <c r="A573" s="1">
        <v>432</v>
      </c>
      <c r="B573" s="1" t="s">
        <v>714</v>
      </c>
      <c r="C573" s="1" t="s">
        <v>698</v>
      </c>
      <c r="D573" s="1" t="s">
        <v>1063</v>
      </c>
      <c r="E573" s="1" t="s">
        <v>103</v>
      </c>
      <c r="F573" s="3">
        <v>46195</v>
      </c>
      <c r="G573" s="3">
        <v>46202</v>
      </c>
      <c r="H573" s="4">
        <v>0</v>
      </c>
      <c r="L573" s="1" t="s">
        <v>144</v>
      </c>
      <c r="M573" s="1" t="s">
        <v>296</v>
      </c>
      <c r="N573" s="2">
        <v>46196</v>
      </c>
      <c r="P573" s="1" t="s">
        <v>696</v>
      </c>
      <c r="Q573" s="1" t="s">
        <v>673</v>
      </c>
      <c r="R573" s="1" t="s">
        <v>55</v>
      </c>
      <c r="S573" s="2">
        <v>46188</v>
      </c>
      <c r="T573" s="2">
        <v>46196</v>
      </c>
      <c r="U573" s="1" t="s">
        <v>1035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</row>
    <row r="574" spans="1:33" x14ac:dyDescent="0.25">
      <c r="A574" s="1">
        <v>437</v>
      </c>
      <c r="B574" s="1" t="s">
        <v>1064</v>
      </c>
      <c r="C574" s="1" t="s">
        <v>698</v>
      </c>
      <c r="D574" s="1" t="s">
        <v>1065</v>
      </c>
      <c r="E574" s="1" t="s">
        <v>103</v>
      </c>
      <c r="F574" s="3">
        <v>46202</v>
      </c>
      <c r="G574" s="3">
        <v>46209</v>
      </c>
      <c r="H574" s="4">
        <v>0</v>
      </c>
      <c r="L574" s="1" t="s">
        <v>144</v>
      </c>
      <c r="M574" s="1" t="s">
        <v>418</v>
      </c>
      <c r="N574" s="2">
        <v>46204</v>
      </c>
      <c r="P574" s="1" t="s">
        <v>696</v>
      </c>
      <c r="Q574" s="1" t="s">
        <v>673</v>
      </c>
      <c r="R574" s="1" t="s">
        <v>55</v>
      </c>
      <c r="S574" s="2">
        <v>46196</v>
      </c>
      <c r="T574" s="2">
        <v>46204</v>
      </c>
      <c r="U574" s="1" t="s">
        <v>1035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</row>
    <row r="575" spans="1:33" x14ac:dyDescent="0.25">
      <c r="A575" s="1">
        <v>487</v>
      </c>
      <c r="B575" s="1" t="s">
        <v>783</v>
      </c>
      <c r="C575" s="1" t="s">
        <v>698</v>
      </c>
      <c r="D575" s="1" t="s">
        <v>1066</v>
      </c>
      <c r="E575" s="1" t="s">
        <v>103</v>
      </c>
      <c r="F575" s="3">
        <v>46202</v>
      </c>
      <c r="G575" s="3">
        <v>46209</v>
      </c>
      <c r="H575" s="4">
        <v>0</v>
      </c>
      <c r="L575" s="1" t="s">
        <v>144</v>
      </c>
      <c r="M575" s="1" t="s">
        <v>418</v>
      </c>
      <c r="N575" s="2">
        <v>46204</v>
      </c>
      <c r="P575" s="1" t="s">
        <v>696</v>
      </c>
      <c r="Q575" s="1" t="s">
        <v>673</v>
      </c>
      <c r="R575" s="1" t="s">
        <v>55</v>
      </c>
      <c r="S575" s="2">
        <v>46196</v>
      </c>
      <c r="T575" s="2">
        <v>46204</v>
      </c>
      <c r="U575" s="1" t="s">
        <v>1035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</row>
    <row r="576" spans="1:33" x14ac:dyDescent="0.25">
      <c r="A576" s="1">
        <v>492</v>
      </c>
      <c r="B576" s="1" t="s">
        <v>1067</v>
      </c>
      <c r="C576" s="1" t="s">
        <v>698</v>
      </c>
      <c r="D576" s="1" t="s">
        <v>1068</v>
      </c>
      <c r="E576" s="1" t="s">
        <v>103</v>
      </c>
      <c r="F576" s="3">
        <v>46202</v>
      </c>
      <c r="G576" s="3">
        <v>46209</v>
      </c>
      <c r="H576" s="4">
        <v>0</v>
      </c>
      <c r="L576" s="1" t="s">
        <v>144</v>
      </c>
      <c r="M576" s="1" t="s">
        <v>418</v>
      </c>
      <c r="N576" s="2">
        <v>46204</v>
      </c>
      <c r="P576" s="1" t="s">
        <v>696</v>
      </c>
      <c r="Q576" s="1" t="s">
        <v>673</v>
      </c>
      <c r="R576" s="1" t="s">
        <v>55</v>
      </c>
      <c r="S576" s="2">
        <v>46196</v>
      </c>
      <c r="T576" s="2">
        <v>46204</v>
      </c>
      <c r="U576" s="1" t="s">
        <v>1035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J32" sqref="J32"/>
    </sheetView>
  </sheetViews>
  <sheetFormatPr defaultRowHeight="15" x14ac:dyDescent="0.25"/>
  <cols>
    <col min="1" max="1" width="32.140625" style="1" bestFit="1" customWidth="1"/>
    <col min="2" max="2" width="24.140625" style="1" customWidth="1"/>
    <col min="3" max="3" width="27.7109375" style="1" bestFit="1" customWidth="1"/>
    <col min="4" max="4" width="23.28515625" style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1069</v>
      </c>
      <c r="B1" s="1">
        <v>107</v>
      </c>
    </row>
    <row r="2" spans="1:8" x14ac:dyDescent="0.25">
      <c r="A2" s="1" t="s">
        <v>1070</v>
      </c>
      <c r="B2" s="5">
        <v>0.59615384615384615</v>
      </c>
    </row>
    <row r="3" spans="1:8" x14ac:dyDescent="0.25">
      <c r="A3" s="1" t="s">
        <v>15</v>
      </c>
      <c r="B3" s="1" t="s">
        <v>22</v>
      </c>
      <c r="C3" s="1" t="s">
        <v>23</v>
      </c>
      <c r="D3" s="1" t="s">
        <v>1071</v>
      </c>
      <c r="E3" s="1" t="s">
        <v>26</v>
      </c>
      <c r="F3" s="1" t="s">
        <v>28</v>
      </c>
      <c r="G3" s="1" t="s">
        <v>30</v>
      </c>
      <c r="H3" s="1" t="s">
        <v>1072</v>
      </c>
    </row>
    <row r="4" spans="1:8" x14ac:dyDescent="0.25">
      <c r="A4" s="1" t="s">
        <v>696</v>
      </c>
      <c r="B4" s="1">
        <v>42</v>
      </c>
      <c r="C4" s="1">
        <v>37</v>
      </c>
      <c r="D4" s="5">
        <v>0.88095238095238093</v>
      </c>
      <c r="E4" s="1">
        <v>3</v>
      </c>
      <c r="F4" s="1">
        <v>0</v>
      </c>
      <c r="G4" s="1">
        <v>0</v>
      </c>
      <c r="H4" s="5">
        <v>0</v>
      </c>
    </row>
    <row r="5" spans="1:8" x14ac:dyDescent="0.25">
      <c r="A5" s="1" t="s">
        <v>1015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132</v>
      </c>
      <c r="B6" s="1">
        <v>3</v>
      </c>
      <c r="C6" s="1">
        <v>1</v>
      </c>
      <c r="D6" s="5">
        <v>0.33333333333333331</v>
      </c>
      <c r="E6" s="1">
        <v>1</v>
      </c>
      <c r="F6" s="1">
        <v>0</v>
      </c>
      <c r="G6" s="1">
        <v>0</v>
      </c>
      <c r="H6" s="5">
        <v>0</v>
      </c>
    </row>
    <row r="7" spans="1:8" x14ac:dyDescent="0.25">
      <c r="A7" s="1" t="s">
        <v>633</v>
      </c>
      <c r="B7" s="1">
        <v>5</v>
      </c>
      <c r="C7" s="1">
        <v>4</v>
      </c>
      <c r="D7" s="5">
        <v>0.8</v>
      </c>
      <c r="E7" s="1">
        <v>2</v>
      </c>
      <c r="F7" s="1">
        <v>0</v>
      </c>
      <c r="G7" s="1">
        <v>0</v>
      </c>
      <c r="H7" s="5">
        <v>0</v>
      </c>
    </row>
    <row r="8" spans="1:8" x14ac:dyDescent="0.25">
      <c r="A8" s="1" t="s">
        <v>516</v>
      </c>
      <c r="B8" s="1">
        <v>14</v>
      </c>
      <c r="C8" s="1">
        <v>0</v>
      </c>
      <c r="D8" s="5">
        <v>0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37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49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197</v>
      </c>
      <c r="B11" s="1">
        <v>25</v>
      </c>
      <c r="C11" s="1">
        <v>16</v>
      </c>
      <c r="D11" s="5">
        <v>0.64</v>
      </c>
      <c r="E11" s="1">
        <v>4</v>
      </c>
      <c r="F11" s="1">
        <v>1</v>
      </c>
      <c r="G11" s="1">
        <v>1</v>
      </c>
      <c r="H11" s="5">
        <v>0.04</v>
      </c>
    </row>
    <row r="12" spans="1:8" x14ac:dyDescent="0.25">
      <c r="A12" s="1" t="s">
        <v>81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88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178</v>
      </c>
      <c r="B14" s="1">
        <v>1</v>
      </c>
      <c r="C14" s="1">
        <v>1</v>
      </c>
      <c r="D14" s="5">
        <v>1</v>
      </c>
      <c r="E14" s="1">
        <v>1</v>
      </c>
      <c r="F14" s="1">
        <v>0</v>
      </c>
      <c r="G14" s="1">
        <v>0</v>
      </c>
      <c r="H14" s="5">
        <v>0</v>
      </c>
    </row>
    <row r="15" spans="1:8" x14ac:dyDescent="0.25">
      <c r="A15" s="1" t="s">
        <v>405</v>
      </c>
      <c r="B15" s="1">
        <v>13</v>
      </c>
      <c r="C15" s="1">
        <v>1</v>
      </c>
      <c r="D15" s="5">
        <v>7.6923076923076927E-2</v>
      </c>
      <c r="E15" s="1">
        <v>1</v>
      </c>
      <c r="F15" s="1">
        <v>0</v>
      </c>
      <c r="G15" s="1">
        <v>0</v>
      </c>
      <c r="H15" s="5">
        <v>0</v>
      </c>
    </row>
    <row r="16" spans="1:8" x14ac:dyDescent="0.25">
      <c r="A16" s="1" t="s">
        <v>1088</v>
      </c>
      <c r="B16" s="1">
        <f>SUBTOTAL(109,Tabela2[Emissão inicial total])</f>
        <v>107</v>
      </c>
      <c r="C16" s="1">
        <f>SUBTOTAL(109,Tabela2[Emissão inicial concluída])</f>
        <v>62</v>
      </c>
      <c r="D16" s="5"/>
      <c r="E16" s="1">
        <f>SUBTOTAL(109,Tabela2[Avaliação do cliente concluída])</f>
        <v>14</v>
      </c>
      <c r="F16" s="1">
        <f>SUBTOTAL(109,Tabela2[Atendimento de comentário concluído])</f>
        <v>3</v>
      </c>
      <c r="G16" s="1">
        <f>SUBTOTAL(109,Tabela2[Aprovação concluída])</f>
        <v>3</v>
      </c>
      <c r="H16" s="5"/>
    </row>
    <row r="21" spans="1:5" x14ac:dyDescent="0.25">
      <c r="A21" s="1" t="s">
        <v>15</v>
      </c>
      <c r="B21" s="1" t="s">
        <v>24</v>
      </c>
      <c r="C21" s="1" t="s">
        <v>27</v>
      </c>
      <c r="D21" s="1" t="s">
        <v>29</v>
      </c>
      <c r="E21" s="1" t="s">
        <v>31</v>
      </c>
    </row>
    <row r="22" spans="1:5" x14ac:dyDescent="0.25">
      <c r="A22" s="1" t="s">
        <v>696</v>
      </c>
      <c r="B22" s="1">
        <v>0</v>
      </c>
      <c r="C22" s="1">
        <v>29</v>
      </c>
      <c r="D22" s="1">
        <v>32</v>
      </c>
      <c r="E22" s="1">
        <v>31</v>
      </c>
    </row>
    <row r="23" spans="1:5" x14ac:dyDescent="0.25">
      <c r="A23" s="1" t="s">
        <v>1015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132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5">
      <c r="A25" s="1" t="s">
        <v>633</v>
      </c>
      <c r="B25" s="1">
        <v>0</v>
      </c>
      <c r="C25" s="1">
        <v>0</v>
      </c>
      <c r="D25" s="1">
        <v>2</v>
      </c>
      <c r="E25" s="1">
        <v>2</v>
      </c>
    </row>
    <row r="26" spans="1:5" x14ac:dyDescent="0.25">
      <c r="A26" s="1" t="s">
        <v>516</v>
      </c>
      <c r="B26" s="1">
        <v>0</v>
      </c>
      <c r="C26" s="1">
        <v>0</v>
      </c>
      <c r="D26" s="1">
        <v>0</v>
      </c>
      <c r="E26" s="1">
        <v>0</v>
      </c>
    </row>
    <row r="27" spans="1:5" x14ac:dyDescent="0.25">
      <c r="A27" s="1" t="s">
        <v>37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49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197</v>
      </c>
      <c r="B29" s="1">
        <v>0</v>
      </c>
      <c r="C29" s="1">
        <v>11</v>
      </c>
      <c r="D29" s="1">
        <v>8</v>
      </c>
      <c r="E29" s="1">
        <v>8</v>
      </c>
    </row>
    <row r="30" spans="1:5" x14ac:dyDescent="0.25">
      <c r="A30" s="1" t="s">
        <v>81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88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178</v>
      </c>
      <c r="B32" s="1">
        <v>0</v>
      </c>
      <c r="C32" s="1">
        <v>0</v>
      </c>
      <c r="D32" s="1">
        <v>1</v>
      </c>
      <c r="E32" s="1">
        <v>0</v>
      </c>
    </row>
    <row r="33" spans="1:5" x14ac:dyDescent="0.25">
      <c r="A33" s="1" t="s">
        <v>405</v>
      </c>
      <c r="B33" s="1">
        <v>0</v>
      </c>
      <c r="C33" s="1">
        <v>0</v>
      </c>
      <c r="D33" s="1">
        <v>1</v>
      </c>
      <c r="E33" s="1">
        <v>1</v>
      </c>
    </row>
    <row r="34" spans="1:5" x14ac:dyDescent="0.25">
      <c r="A34" s="1" t="s">
        <v>1088</v>
      </c>
      <c r="B34" s="1">
        <f>SUBTOTAL(109,Tabela3[Emissão Inicial Atrasada])</f>
        <v>0</v>
      </c>
      <c r="C34" s="1">
        <f>SUBTOTAL(109,Tabela3[Avaliação Cliente Atrasada])</f>
        <v>40</v>
      </c>
      <c r="D34" s="1">
        <f>SUBTOTAL(109,Tabela3[Atendimento Atrasado])</f>
        <v>44</v>
      </c>
      <c r="E34" s="1">
        <f>SUBTOTAL(109,Tabela3[Aprovação Atrasada])</f>
        <v>42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4"/>
  <sheetViews>
    <sheetView topLeftCell="A76" zoomScale="70" zoomScaleNormal="70" workbookViewId="0">
      <selection activeCell="D17" sqref="D17"/>
    </sheetView>
  </sheetViews>
  <sheetFormatPr defaultColWidth="12" defaultRowHeight="15" x14ac:dyDescent="0.25"/>
  <cols>
    <col min="1" max="1" width="13.5703125" style="7" bestFit="1" customWidth="1"/>
    <col min="2" max="9" width="12" style="6"/>
    <col min="10" max="11" width="12" style="8"/>
    <col min="12" max="12" width="12" style="6"/>
    <col min="13" max="14" width="12" style="8"/>
    <col min="15" max="16384" width="12" style="6"/>
  </cols>
  <sheetData>
    <row r="1" spans="1:15" ht="60" x14ac:dyDescent="0.25">
      <c r="A1" s="7" t="s">
        <v>1073</v>
      </c>
      <c r="B1" s="6" t="s">
        <v>1074</v>
      </c>
      <c r="C1" s="6" t="s">
        <v>1075</v>
      </c>
      <c r="D1" s="6" t="s">
        <v>1076</v>
      </c>
      <c r="E1" s="6" t="s">
        <v>1077</v>
      </c>
      <c r="F1" s="6" t="s">
        <v>1078</v>
      </c>
      <c r="G1" s="6" t="s">
        <v>1079</v>
      </c>
      <c r="H1" s="6" t="s">
        <v>1080</v>
      </c>
      <c r="I1" s="6" t="s">
        <v>1081</v>
      </c>
      <c r="J1" s="8" t="s">
        <v>1082</v>
      </c>
      <c r="K1" s="8" t="s">
        <v>1083</v>
      </c>
      <c r="L1" s="6" t="s">
        <v>1084</v>
      </c>
      <c r="M1" s="8" t="s">
        <v>1085</v>
      </c>
      <c r="N1" s="8" t="s">
        <v>1086</v>
      </c>
      <c r="O1" s="6" t="s">
        <v>1087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2</v>
      </c>
      <c r="C42" s="6">
        <v>2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8">
        <v>1.8691588785046731E-2</v>
      </c>
      <c r="K42" s="8">
        <v>1.8691588785046731E-2</v>
      </c>
      <c r="L42" s="6">
        <v>0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2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8">
        <v>1.8691588785046731E-2</v>
      </c>
      <c r="K43" s="8">
        <v>1.8691588785046731E-2</v>
      </c>
      <c r="L43" s="6">
        <v>0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2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8">
        <v>1.8691588785046731E-2</v>
      </c>
      <c r="K44" s="8">
        <v>1.8691588785046731E-2</v>
      </c>
      <c r="L44" s="6">
        <v>0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2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8">
        <v>1.8691588785046731E-2</v>
      </c>
      <c r="K45" s="8">
        <v>1.8691588785046731E-2</v>
      </c>
      <c r="L45" s="6">
        <v>0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2</v>
      </c>
      <c r="D46" s="6">
        <v>0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8">
        <v>1.8691588785046731E-2</v>
      </c>
      <c r="K46" s="8">
        <v>1.8691588785046731E-2</v>
      </c>
      <c r="L46" s="6">
        <v>0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3</v>
      </c>
      <c r="D47" s="6">
        <v>1</v>
      </c>
      <c r="E47" s="6">
        <v>3</v>
      </c>
      <c r="F47" s="6">
        <v>0</v>
      </c>
      <c r="G47" s="6">
        <v>0</v>
      </c>
      <c r="H47" s="6">
        <v>0</v>
      </c>
      <c r="I47" s="6">
        <v>0</v>
      </c>
      <c r="J47" s="8">
        <v>2.803738317757009E-2</v>
      </c>
      <c r="K47" s="8">
        <v>2.803738317757009E-2</v>
      </c>
      <c r="L47" s="6">
        <v>0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3</v>
      </c>
      <c r="D48" s="6">
        <v>0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8">
        <v>2.803738317757009E-2</v>
      </c>
      <c r="K48" s="8">
        <v>2.803738317757009E-2</v>
      </c>
      <c r="L48" s="6">
        <v>0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3</v>
      </c>
      <c r="D49" s="6">
        <v>0</v>
      </c>
      <c r="E49" s="6">
        <v>3</v>
      </c>
      <c r="F49" s="6">
        <v>0</v>
      </c>
      <c r="G49" s="6">
        <v>0</v>
      </c>
      <c r="H49" s="6">
        <v>0</v>
      </c>
      <c r="I49" s="6">
        <v>0</v>
      </c>
      <c r="J49" s="8">
        <v>2.803738317757009E-2</v>
      </c>
      <c r="K49" s="8">
        <v>2.803738317757009E-2</v>
      </c>
      <c r="L49" s="6">
        <v>0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3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8">
        <v>2.803738317757009E-2</v>
      </c>
      <c r="K50" s="8">
        <v>2.803738317757009E-2</v>
      </c>
      <c r="L50" s="6">
        <v>0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3</v>
      </c>
      <c r="D51" s="6">
        <v>0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8">
        <v>2.803738317757009E-2</v>
      </c>
      <c r="K51" s="8">
        <v>2.803738317757009E-2</v>
      </c>
      <c r="L51" s="6">
        <v>0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3</v>
      </c>
      <c r="D52" s="6">
        <v>0</v>
      </c>
      <c r="E52" s="6">
        <v>3</v>
      </c>
      <c r="F52" s="6">
        <v>0</v>
      </c>
      <c r="G52" s="6">
        <v>0</v>
      </c>
      <c r="H52" s="6">
        <v>0</v>
      </c>
      <c r="I52" s="6">
        <v>0</v>
      </c>
      <c r="J52" s="8">
        <v>2.803738317757009E-2</v>
      </c>
      <c r="K52" s="8">
        <v>2.803738317757009E-2</v>
      </c>
      <c r="L52" s="6">
        <v>0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3</v>
      </c>
      <c r="D53" s="6">
        <v>0</v>
      </c>
      <c r="E53" s="6">
        <v>3</v>
      </c>
      <c r="F53" s="6">
        <v>0</v>
      </c>
      <c r="G53" s="6">
        <v>0</v>
      </c>
      <c r="H53" s="6">
        <v>0</v>
      </c>
      <c r="I53" s="6">
        <v>0</v>
      </c>
      <c r="J53" s="8">
        <v>2.803738317757009E-2</v>
      </c>
      <c r="K53" s="8">
        <v>2.803738317757009E-2</v>
      </c>
      <c r="L53" s="6">
        <v>0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3</v>
      </c>
      <c r="D54" s="6">
        <v>0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8">
        <v>2.803738317757009E-2</v>
      </c>
      <c r="K54" s="8">
        <v>2.803738317757009E-2</v>
      </c>
      <c r="L54" s="6">
        <v>0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3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8">
        <v>2.803738317757009E-2</v>
      </c>
      <c r="K55" s="8">
        <v>2.803738317757009E-2</v>
      </c>
      <c r="L55" s="6">
        <v>0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3</v>
      </c>
      <c r="D56" s="6">
        <v>0</v>
      </c>
      <c r="E56" s="6">
        <v>3</v>
      </c>
      <c r="F56" s="6">
        <v>0</v>
      </c>
      <c r="G56" s="6">
        <v>0</v>
      </c>
      <c r="H56" s="6">
        <v>0</v>
      </c>
      <c r="I56" s="6">
        <v>0</v>
      </c>
      <c r="J56" s="8">
        <v>2.803738317757009E-2</v>
      </c>
      <c r="K56" s="8">
        <v>2.803738317757009E-2</v>
      </c>
      <c r="L56" s="6">
        <v>0</v>
      </c>
      <c r="M56" s="8">
        <v>0</v>
      </c>
      <c r="N56" s="8">
        <v>0</v>
      </c>
      <c r="O56" s="6">
        <v>0</v>
      </c>
    </row>
    <row r="57" spans="1:15" x14ac:dyDescent="0.25">
      <c r="A57" s="7">
        <v>46156</v>
      </c>
      <c r="B57" s="6">
        <v>0</v>
      </c>
      <c r="C57" s="6">
        <v>3</v>
      </c>
      <c r="D57" s="6">
        <v>0</v>
      </c>
      <c r="E57" s="6">
        <v>3</v>
      </c>
      <c r="F57" s="6">
        <v>0</v>
      </c>
      <c r="G57" s="6">
        <v>0</v>
      </c>
      <c r="H57" s="6">
        <v>0</v>
      </c>
      <c r="I57" s="6">
        <v>0</v>
      </c>
      <c r="J57" s="8">
        <v>2.803738317757009E-2</v>
      </c>
      <c r="K57" s="8">
        <v>2.803738317757009E-2</v>
      </c>
      <c r="L57" s="6">
        <v>0</v>
      </c>
      <c r="M57" s="8">
        <v>0</v>
      </c>
      <c r="N57" s="8">
        <v>0</v>
      </c>
      <c r="O57" s="6">
        <v>0</v>
      </c>
    </row>
    <row r="58" spans="1:15" x14ac:dyDescent="0.25">
      <c r="A58" s="7">
        <v>46157</v>
      </c>
      <c r="B58" s="6">
        <v>0</v>
      </c>
      <c r="C58" s="6">
        <v>3</v>
      </c>
      <c r="D58" s="6">
        <v>0</v>
      </c>
      <c r="E58" s="6">
        <v>3</v>
      </c>
      <c r="F58" s="6">
        <v>0</v>
      </c>
      <c r="G58" s="6">
        <v>0</v>
      </c>
      <c r="H58" s="6">
        <v>0</v>
      </c>
      <c r="I58" s="6">
        <v>0</v>
      </c>
      <c r="J58" s="8">
        <v>2.803738317757009E-2</v>
      </c>
      <c r="K58" s="8">
        <v>2.803738317757009E-2</v>
      </c>
      <c r="L58" s="6">
        <v>0</v>
      </c>
      <c r="M58" s="8">
        <v>0</v>
      </c>
      <c r="N58" s="8">
        <v>0</v>
      </c>
      <c r="O58" s="6">
        <v>0</v>
      </c>
    </row>
    <row r="59" spans="1:15" x14ac:dyDescent="0.25">
      <c r="A59" s="7">
        <v>46158</v>
      </c>
      <c r="B59" s="6">
        <v>0</v>
      </c>
      <c r="C59" s="6">
        <v>3</v>
      </c>
      <c r="D59" s="6">
        <v>0</v>
      </c>
      <c r="E59" s="6">
        <v>3</v>
      </c>
      <c r="F59" s="6">
        <v>0</v>
      </c>
      <c r="G59" s="6">
        <v>0</v>
      </c>
      <c r="H59" s="6">
        <v>0</v>
      </c>
      <c r="I59" s="6">
        <v>0</v>
      </c>
      <c r="J59" s="8">
        <v>2.803738317757009E-2</v>
      </c>
      <c r="K59" s="8">
        <v>2.803738317757009E-2</v>
      </c>
      <c r="L59" s="6">
        <v>0</v>
      </c>
      <c r="M59" s="8">
        <v>0</v>
      </c>
      <c r="N59" s="8">
        <v>0</v>
      </c>
      <c r="O59" s="6">
        <v>0</v>
      </c>
    </row>
    <row r="60" spans="1:15" x14ac:dyDescent="0.25">
      <c r="A60" s="7">
        <v>46159</v>
      </c>
      <c r="B60" s="6">
        <v>0</v>
      </c>
      <c r="C60" s="6">
        <v>3</v>
      </c>
      <c r="D60" s="6">
        <v>0</v>
      </c>
      <c r="E60" s="6">
        <v>3</v>
      </c>
      <c r="F60" s="6">
        <v>0</v>
      </c>
      <c r="G60" s="6">
        <v>0</v>
      </c>
      <c r="H60" s="6">
        <v>0</v>
      </c>
      <c r="I60" s="6">
        <v>0</v>
      </c>
      <c r="J60" s="8">
        <v>2.803738317757009E-2</v>
      </c>
      <c r="K60" s="8">
        <v>2.803738317757009E-2</v>
      </c>
      <c r="L60" s="6">
        <v>0</v>
      </c>
      <c r="M60" s="8">
        <v>0</v>
      </c>
      <c r="N60" s="8">
        <v>0</v>
      </c>
      <c r="O60" s="6">
        <v>0</v>
      </c>
    </row>
    <row r="61" spans="1:15" x14ac:dyDescent="0.25">
      <c r="A61" s="7">
        <v>46160</v>
      </c>
      <c r="B61" s="6">
        <v>0</v>
      </c>
      <c r="C61" s="6">
        <v>3</v>
      </c>
      <c r="D61" s="6">
        <v>0</v>
      </c>
      <c r="E61" s="6">
        <v>3</v>
      </c>
      <c r="F61" s="6">
        <v>0</v>
      </c>
      <c r="G61" s="6">
        <v>0</v>
      </c>
      <c r="H61" s="6">
        <v>0</v>
      </c>
      <c r="I61" s="6">
        <v>0</v>
      </c>
      <c r="J61" s="8">
        <v>2.803738317757009E-2</v>
      </c>
      <c r="K61" s="8">
        <v>2.803738317757009E-2</v>
      </c>
      <c r="L61" s="6">
        <v>0</v>
      </c>
      <c r="M61" s="8">
        <v>0</v>
      </c>
      <c r="N61" s="8">
        <v>0</v>
      </c>
      <c r="O61" s="6">
        <v>0</v>
      </c>
    </row>
    <row r="62" spans="1:15" x14ac:dyDescent="0.25">
      <c r="A62" s="7">
        <v>46161</v>
      </c>
      <c r="B62" s="6">
        <v>1</v>
      </c>
      <c r="C62" s="6">
        <v>4</v>
      </c>
      <c r="D62" s="6">
        <v>0</v>
      </c>
      <c r="E62" s="6">
        <v>3</v>
      </c>
      <c r="F62" s="6">
        <v>2</v>
      </c>
      <c r="G62" s="6">
        <v>0</v>
      </c>
      <c r="H62" s="6">
        <v>2</v>
      </c>
      <c r="I62" s="6">
        <v>0</v>
      </c>
      <c r="J62" s="8">
        <v>3.7383177570093462E-2</v>
      </c>
      <c r="K62" s="8">
        <v>2.803738317757009E-2</v>
      </c>
      <c r="L62" s="6">
        <v>-1</v>
      </c>
      <c r="M62" s="8">
        <v>1.8691588785046731E-2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5</v>
      </c>
      <c r="D63" s="6">
        <v>0</v>
      </c>
      <c r="E63" s="6">
        <v>3</v>
      </c>
      <c r="F63" s="6">
        <v>0</v>
      </c>
      <c r="G63" s="6">
        <v>0</v>
      </c>
      <c r="H63" s="6">
        <v>2</v>
      </c>
      <c r="I63" s="6">
        <v>0</v>
      </c>
      <c r="J63" s="8">
        <v>4.6728971962616821E-2</v>
      </c>
      <c r="K63" s="8">
        <v>2.803738317757009E-2</v>
      </c>
      <c r="L63" s="6">
        <v>-1</v>
      </c>
      <c r="M63" s="8">
        <v>1.8691588785046731E-2</v>
      </c>
      <c r="N63" s="8">
        <v>0</v>
      </c>
      <c r="O63" s="6">
        <v>-1</v>
      </c>
    </row>
    <row r="64" spans="1:15" x14ac:dyDescent="0.25">
      <c r="A64" s="7">
        <v>46163</v>
      </c>
      <c r="B64" s="6">
        <v>4</v>
      </c>
      <c r="C64" s="6">
        <v>9</v>
      </c>
      <c r="D64" s="6">
        <v>0</v>
      </c>
      <c r="E64" s="6">
        <v>3</v>
      </c>
      <c r="F64" s="6">
        <v>0</v>
      </c>
      <c r="G64" s="6">
        <v>0</v>
      </c>
      <c r="H64" s="6">
        <v>2</v>
      </c>
      <c r="I64" s="6">
        <v>0</v>
      </c>
      <c r="J64" s="8">
        <v>8.4112149532710276E-2</v>
      </c>
      <c r="K64" s="8">
        <v>2.803738317757009E-2</v>
      </c>
      <c r="L64" s="6">
        <v>-1</v>
      </c>
      <c r="M64" s="8">
        <v>1.8691588785046731E-2</v>
      </c>
      <c r="N64" s="8">
        <v>0</v>
      </c>
      <c r="O64" s="6">
        <v>-1</v>
      </c>
    </row>
    <row r="65" spans="1:15" x14ac:dyDescent="0.25">
      <c r="A65" s="7">
        <v>46164</v>
      </c>
      <c r="B65" s="6">
        <v>0</v>
      </c>
      <c r="C65" s="6">
        <v>9</v>
      </c>
      <c r="D65" s="6">
        <v>0</v>
      </c>
      <c r="E65" s="6">
        <v>3</v>
      </c>
      <c r="F65" s="6">
        <v>0</v>
      </c>
      <c r="G65" s="6">
        <v>0</v>
      </c>
      <c r="H65" s="6">
        <v>2</v>
      </c>
      <c r="I65" s="6">
        <v>0</v>
      </c>
      <c r="J65" s="8">
        <v>8.4112149532710276E-2</v>
      </c>
      <c r="K65" s="8">
        <v>2.803738317757009E-2</v>
      </c>
      <c r="L65" s="6">
        <v>-1</v>
      </c>
      <c r="M65" s="8">
        <v>1.8691588785046731E-2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9</v>
      </c>
      <c r="D66" s="6">
        <v>0</v>
      </c>
      <c r="E66" s="6">
        <v>3</v>
      </c>
      <c r="F66" s="6">
        <v>0</v>
      </c>
      <c r="G66" s="6">
        <v>0</v>
      </c>
      <c r="H66" s="6">
        <v>2</v>
      </c>
      <c r="I66" s="6">
        <v>0</v>
      </c>
      <c r="J66" s="8">
        <v>8.4112149532710276E-2</v>
      </c>
      <c r="K66" s="8">
        <v>2.803738317757009E-2</v>
      </c>
      <c r="L66" s="6">
        <v>-1</v>
      </c>
      <c r="M66" s="8">
        <v>1.8691588785046731E-2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9</v>
      </c>
      <c r="D67" s="6">
        <v>0</v>
      </c>
      <c r="E67" s="6">
        <v>3</v>
      </c>
      <c r="F67" s="6">
        <v>0</v>
      </c>
      <c r="G67" s="6">
        <v>0</v>
      </c>
      <c r="H67" s="6">
        <v>2</v>
      </c>
      <c r="I67" s="6">
        <v>0</v>
      </c>
      <c r="J67" s="8">
        <v>8.4112149532710276E-2</v>
      </c>
      <c r="K67" s="8">
        <v>2.803738317757009E-2</v>
      </c>
      <c r="L67" s="6">
        <v>-1</v>
      </c>
      <c r="M67" s="8">
        <v>1.8691588785046731E-2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10</v>
      </c>
      <c r="D68" s="6">
        <v>0</v>
      </c>
      <c r="E68" s="6">
        <v>3</v>
      </c>
      <c r="F68" s="6">
        <v>1</v>
      </c>
      <c r="G68" s="6">
        <v>0</v>
      </c>
      <c r="H68" s="6">
        <v>3</v>
      </c>
      <c r="I68" s="6">
        <v>0</v>
      </c>
      <c r="J68" s="8">
        <v>9.3457943925233641E-2</v>
      </c>
      <c r="K68" s="8">
        <v>2.803738317757009E-2</v>
      </c>
      <c r="L68" s="6">
        <v>-1</v>
      </c>
      <c r="M68" s="8">
        <v>2.803738317757009E-2</v>
      </c>
      <c r="N68" s="8">
        <v>0</v>
      </c>
      <c r="O68" s="6">
        <v>-1</v>
      </c>
    </row>
    <row r="69" spans="1:15" x14ac:dyDescent="0.25">
      <c r="A69" s="7">
        <v>46168</v>
      </c>
      <c r="B69" s="6">
        <v>1</v>
      </c>
      <c r="C69" s="6">
        <v>11</v>
      </c>
      <c r="D69" s="6">
        <v>1</v>
      </c>
      <c r="E69" s="6">
        <v>4</v>
      </c>
      <c r="F69" s="6">
        <v>1</v>
      </c>
      <c r="G69" s="6">
        <v>0</v>
      </c>
      <c r="H69" s="6">
        <v>4</v>
      </c>
      <c r="I69" s="6">
        <v>0</v>
      </c>
      <c r="J69" s="8">
        <v>0.10280373831775701</v>
      </c>
      <c r="K69" s="8">
        <v>3.7383177570093462E-2</v>
      </c>
      <c r="L69" s="6">
        <v>-1</v>
      </c>
      <c r="M69" s="8">
        <v>3.7383177570093462E-2</v>
      </c>
      <c r="N69" s="8">
        <v>0</v>
      </c>
      <c r="O69" s="6">
        <v>-1</v>
      </c>
    </row>
    <row r="70" spans="1:15" x14ac:dyDescent="0.25">
      <c r="A70" s="7">
        <v>46169</v>
      </c>
      <c r="B70" s="6">
        <v>2</v>
      </c>
      <c r="C70" s="6">
        <v>13</v>
      </c>
      <c r="D70" s="6">
        <v>1</v>
      </c>
      <c r="E70" s="6">
        <v>5</v>
      </c>
      <c r="F70" s="6">
        <v>4</v>
      </c>
      <c r="G70" s="6">
        <v>0</v>
      </c>
      <c r="H70" s="6">
        <v>8</v>
      </c>
      <c r="I70" s="6">
        <v>0</v>
      </c>
      <c r="J70" s="8">
        <v>0.1214953271028037</v>
      </c>
      <c r="K70" s="8">
        <v>4.6728971962616821E-2</v>
      </c>
      <c r="L70" s="6">
        <v>-1</v>
      </c>
      <c r="M70" s="8">
        <v>7.476635514018691E-2</v>
      </c>
      <c r="N70" s="8">
        <v>0</v>
      </c>
      <c r="O70" s="6">
        <v>-1</v>
      </c>
    </row>
    <row r="71" spans="1:15" x14ac:dyDescent="0.25">
      <c r="A71" s="7">
        <v>46170</v>
      </c>
      <c r="B71" s="6">
        <v>1</v>
      </c>
      <c r="C71" s="6">
        <v>14</v>
      </c>
      <c r="D71" s="6">
        <v>0</v>
      </c>
      <c r="E71" s="6">
        <v>5</v>
      </c>
      <c r="F71" s="6">
        <v>0</v>
      </c>
      <c r="G71" s="6">
        <v>1</v>
      </c>
      <c r="H71" s="6">
        <v>8</v>
      </c>
      <c r="I71" s="6">
        <v>1</v>
      </c>
      <c r="J71" s="8">
        <v>0.13084112149532709</v>
      </c>
      <c r="K71" s="8">
        <v>4.6728971962616821E-2</v>
      </c>
      <c r="L71" s="6">
        <v>-1</v>
      </c>
      <c r="M71" s="8">
        <v>7.476635514018691E-2</v>
      </c>
      <c r="N71" s="8">
        <v>9.3457943925233638E-3</v>
      </c>
      <c r="O71" s="6">
        <v>-1</v>
      </c>
    </row>
    <row r="72" spans="1:15" x14ac:dyDescent="0.25">
      <c r="A72" s="7">
        <v>46171</v>
      </c>
      <c r="B72" s="6">
        <v>0</v>
      </c>
      <c r="C72" s="6">
        <v>14</v>
      </c>
      <c r="D72" s="6">
        <v>1</v>
      </c>
      <c r="E72" s="6">
        <v>6</v>
      </c>
      <c r="F72" s="6">
        <v>1</v>
      </c>
      <c r="G72" s="6">
        <v>0</v>
      </c>
      <c r="H72" s="6">
        <v>9</v>
      </c>
      <c r="I72" s="6">
        <v>1</v>
      </c>
      <c r="J72" s="8">
        <v>0.13084112149532709</v>
      </c>
      <c r="K72" s="8">
        <v>5.6074766355140193E-2</v>
      </c>
      <c r="L72" s="6">
        <v>-1</v>
      </c>
      <c r="M72" s="8">
        <v>8.4112149532710276E-2</v>
      </c>
      <c r="N72" s="8">
        <v>9.3457943925233638E-3</v>
      </c>
      <c r="O72" s="6">
        <v>-1</v>
      </c>
    </row>
    <row r="73" spans="1:15" x14ac:dyDescent="0.25">
      <c r="A73" s="7">
        <v>46172</v>
      </c>
      <c r="B73" s="6">
        <v>0</v>
      </c>
      <c r="C73" s="6">
        <v>14</v>
      </c>
      <c r="D73" s="6">
        <v>0</v>
      </c>
      <c r="E73" s="6">
        <v>6</v>
      </c>
      <c r="F73" s="6">
        <v>0</v>
      </c>
      <c r="G73" s="6">
        <v>0</v>
      </c>
      <c r="H73" s="6">
        <v>9</v>
      </c>
      <c r="I73" s="6">
        <v>1</v>
      </c>
      <c r="J73" s="8">
        <v>0.13084112149532709</v>
      </c>
      <c r="K73" s="8">
        <v>5.6074766355140193E-2</v>
      </c>
      <c r="L73" s="6">
        <v>-1</v>
      </c>
      <c r="M73" s="8">
        <v>8.4112149532710276E-2</v>
      </c>
      <c r="N73" s="8">
        <v>9.3457943925233638E-3</v>
      </c>
      <c r="O73" s="6">
        <v>-1</v>
      </c>
    </row>
    <row r="74" spans="1:15" x14ac:dyDescent="0.25">
      <c r="A74" s="7">
        <v>46173</v>
      </c>
      <c r="B74" s="6">
        <v>0</v>
      </c>
      <c r="C74" s="6">
        <v>14</v>
      </c>
      <c r="D74" s="6">
        <v>0</v>
      </c>
      <c r="E74" s="6">
        <v>6</v>
      </c>
      <c r="F74" s="6">
        <v>0</v>
      </c>
      <c r="G74" s="6">
        <v>0</v>
      </c>
      <c r="H74" s="6">
        <v>9</v>
      </c>
      <c r="I74" s="6">
        <v>1</v>
      </c>
      <c r="J74" s="8">
        <v>0.13084112149532709</v>
      </c>
      <c r="K74" s="8">
        <v>5.6074766355140193E-2</v>
      </c>
      <c r="L74" s="6">
        <v>-1</v>
      </c>
      <c r="M74" s="8">
        <v>8.4112149532710276E-2</v>
      </c>
      <c r="N74" s="8">
        <v>9.3457943925233638E-3</v>
      </c>
      <c r="O74" s="6">
        <v>-1</v>
      </c>
    </row>
    <row r="75" spans="1:15" x14ac:dyDescent="0.25">
      <c r="A75" s="7">
        <v>46174</v>
      </c>
      <c r="B75" s="6">
        <v>2</v>
      </c>
      <c r="C75" s="6">
        <v>16</v>
      </c>
      <c r="D75" s="6">
        <v>0</v>
      </c>
      <c r="E75" s="6">
        <v>6</v>
      </c>
      <c r="F75" s="6">
        <v>1</v>
      </c>
      <c r="G75" s="6">
        <v>1</v>
      </c>
      <c r="H75" s="6">
        <v>10</v>
      </c>
      <c r="I75" s="6">
        <v>2</v>
      </c>
      <c r="J75" s="8">
        <v>0.14953271028037379</v>
      </c>
      <c r="K75" s="8">
        <v>5.6074766355140193E-2</v>
      </c>
      <c r="L75" s="6">
        <v>-1</v>
      </c>
      <c r="M75" s="8">
        <v>9.3457943925233641E-2</v>
      </c>
      <c r="N75" s="8">
        <v>1.8691588785046731E-2</v>
      </c>
      <c r="O75" s="6">
        <v>-1</v>
      </c>
    </row>
    <row r="76" spans="1:15" x14ac:dyDescent="0.25">
      <c r="A76" s="7">
        <v>46175</v>
      </c>
      <c r="B76" s="6">
        <v>0</v>
      </c>
      <c r="C76" s="6">
        <v>16</v>
      </c>
      <c r="D76" s="6">
        <v>0</v>
      </c>
      <c r="E76" s="6">
        <v>6</v>
      </c>
      <c r="F76" s="6">
        <v>2</v>
      </c>
      <c r="G76" s="6">
        <v>1</v>
      </c>
      <c r="H76" s="6">
        <v>12</v>
      </c>
      <c r="I76" s="6">
        <v>3</v>
      </c>
      <c r="J76" s="8">
        <v>0.14953271028037379</v>
      </c>
      <c r="K76" s="8">
        <v>5.6074766355140193E-2</v>
      </c>
      <c r="L76" s="6">
        <v>-1</v>
      </c>
      <c r="M76" s="8">
        <v>0.1121495327102804</v>
      </c>
      <c r="N76" s="8">
        <v>2.803738317757009E-2</v>
      </c>
      <c r="O76" s="6">
        <v>-1</v>
      </c>
    </row>
    <row r="77" spans="1:15" x14ac:dyDescent="0.25">
      <c r="A77" s="7">
        <v>46176</v>
      </c>
      <c r="B77" s="6">
        <v>0</v>
      </c>
      <c r="C77" s="6">
        <v>16</v>
      </c>
      <c r="D77" s="6">
        <v>1</v>
      </c>
      <c r="E77" s="6">
        <v>7</v>
      </c>
      <c r="F77" s="6">
        <v>1</v>
      </c>
      <c r="G77" s="6">
        <v>0</v>
      </c>
      <c r="H77" s="6">
        <v>13</v>
      </c>
      <c r="I77" s="6">
        <v>3</v>
      </c>
      <c r="J77" s="8">
        <v>0.14953271028037379</v>
      </c>
      <c r="K77" s="8">
        <v>6.5420560747663545E-2</v>
      </c>
      <c r="L77" s="6">
        <v>-1</v>
      </c>
      <c r="M77" s="8">
        <v>0.1214953271028037</v>
      </c>
      <c r="N77" s="8">
        <v>2.803738317757009E-2</v>
      </c>
      <c r="O77" s="6">
        <v>-1</v>
      </c>
    </row>
    <row r="78" spans="1:15" x14ac:dyDescent="0.25">
      <c r="A78" s="7">
        <v>46177</v>
      </c>
      <c r="B78" s="6">
        <v>7</v>
      </c>
      <c r="C78" s="6">
        <v>23</v>
      </c>
      <c r="D78" s="6">
        <v>0</v>
      </c>
      <c r="E78" s="6">
        <v>7</v>
      </c>
      <c r="F78" s="6">
        <v>0</v>
      </c>
      <c r="G78" s="6">
        <v>0</v>
      </c>
      <c r="H78" s="6">
        <v>13</v>
      </c>
      <c r="I78" s="6">
        <v>3</v>
      </c>
      <c r="J78" s="8">
        <v>0.21495327102803741</v>
      </c>
      <c r="K78" s="8">
        <v>6.5420560747663545E-2</v>
      </c>
      <c r="L78" s="6">
        <v>-1</v>
      </c>
      <c r="M78" s="8">
        <v>0.1214953271028037</v>
      </c>
      <c r="N78" s="8">
        <v>2.803738317757009E-2</v>
      </c>
      <c r="O78" s="6">
        <v>-1</v>
      </c>
    </row>
    <row r="79" spans="1:15" x14ac:dyDescent="0.25">
      <c r="A79" s="7">
        <v>46178</v>
      </c>
      <c r="B79" s="6">
        <v>0</v>
      </c>
      <c r="C79" s="6">
        <v>23</v>
      </c>
      <c r="D79" s="6">
        <v>0</v>
      </c>
      <c r="E79" s="6">
        <v>7</v>
      </c>
      <c r="F79" s="6">
        <v>2</v>
      </c>
      <c r="G79" s="6">
        <v>0</v>
      </c>
      <c r="H79" s="6">
        <v>15</v>
      </c>
      <c r="I79" s="6">
        <v>3</v>
      </c>
      <c r="J79" s="8">
        <v>0.21495327102803741</v>
      </c>
      <c r="K79" s="8">
        <v>6.5420560747663545E-2</v>
      </c>
      <c r="L79" s="6">
        <v>-1</v>
      </c>
      <c r="M79" s="8">
        <v>0.14018691588785051</v>
      </c>
      <c r="N79" s="8">
        <v>2.803738317757009E-2</v>
      </c>
      <c r="O79" s="6">
        <v>-1</v>
      </c>
    </row>
    <row r="80" spans="1:15" x14ac:dyDescent="0.25">
      <c r="A80" s="7">
        <v>46179</v>
      </c>
      <c r="B80" s="6">
        <v>0</v>
      </c>
      <c r="C80" s="6">
        <v>23</v>
      </c>
      <c r="D80" s="6">
        <v>0</v>
      </c>
      <c r="E80" s="6">
        <v>7</v>
      </c>
      <c r="F80" s="6">
        <v>0</v>
      </c>
      <c r="G80" s="6">
        <v>0</v>
      </c>
      <c r="H80" s="6">
        <v>15</v>
      </c>
      <c r="I80" s="6">
        <v>3</v>
      </c>
      <c r="J80" s="8">
        <v>0.21495327102803741</v>
      </c>
      <c r="K80" s="8">
        <v>6.5420560747663545E-2</v>
      </c>
      <c r="L80" s="6">
        <v>-1</v>
      </c>
      <c r="M80" s="8">
        <v>0.14018691588785051</v>
      </c>
      <c r="N80" s="8">
        <v>2.803738317757009E-2</v>
      </c>
      <c r="O80" s="6">
        <v>-1</v>
      </c>
    </row>
    <row r="81" spans="1:15" x14ac:dyDescent="0.25">
      <c r="A81" s="7">
        <v>46180</v>
      </c>
      <c r="B81" s="6">
        <v>0</v>
      </c>
      <c r="C81" s="6">
        <v>23</v>
      </c>
      <c r="D81" s="6">
        <v>0</v>
      </c>
      <c r="E81" s="6">
        <v>7</v>
      </c>
      <c r="F81" s="6">
        <v>0</v>
      </c>
      <c r="G81" s="6">
        <v>0</v>
      </c>
      <c r="H81" s="6">
        <v>15</v>
      </c>
      <c r="I81" s="6">
        <v>3</v>
      </c>
      <c r="J81" s="8">
        <v>0.21495327102803741</v>
      </c>
      <c r="K81" s="8">
        <v>6.5420560747663545E-2</v>
      </c>
      <c r="L81" s="6">
        <v>-1</v>
      </c>
      <c r="M81" s="8">
        <v>0.14018691588785051</v>
      </c>
      <c r="N81" s="8">
        <v>2.803738317757009E-2</v>
      </c>
      <c r="O81" s="6">
        <v>-1</v>
      </c>
    </row>
    <row r="82" spans="1:15" x14ac:dyDescent="0.25">
      <c r="A82" s="7">
        <v>46181</v>
      </c>
      <c r="B82" s="6">
        <v>0</v>
      </c>
      <c r="C82" s="6">
        <v>23</v>
      </c>
      <c r="D82" s="6">
        <v>0</v>
      </c>
      <c r="E82" s="6">
        <v>7</v>
      </c>
      <c r="F82" s="6">
        <v>0</v>
      </c>
      <c r="G82" s="6">
        <v>0</v>
      </c>
      <c r="H82" s="6">
        <v>15</v>
      </c>
      <c r="I82" s="6">
        <v>3</v>
      </c>
      <c r="J82" s="8">
        <v>0.21495327102803741</v>
      </c>
      <c r="K82" s="8">
        <v>6.5420560747663545E-2</v>
      </c>
      <c r="L82" s="6">
        <v>-1</v>
      </c>
      <c r="M82" s="8">
        <v>0.14018691588785051</v>
      </c>
      <c r="N82" s="8">
        <v>2.803738317757009E-2</v>
      </c>
      <c r="O82" s="6">
        <v>-1</v>
      </c>
    </row>
    <row r="83" spans="1:15" x14ac:dyDescent="0.25">
      <c r="A83" s="7">
        <v>46182</v>
      </c>
      <c r="B83" s="6">
        <v>10</v>
      </c>
      <c r="C83" s="6">
        <v>33</v>
      </c>
      <c r="D83" s="6">
        <v>0</v>
      </c>
      <c r="E83" s="6">
        <v>7</v>
      </c>
      <c r="F83" s="6">
        <v>0</v>
      </c>
      <c r="G83" s="6">
        <v>0</v>
      </c>
      <c r="H83" s="6">
        <v>15</v>
      </c>
      <c r="I83" s="6">
        <v>3</v>
      </c>
      <c r="J83" s="8">
        <v>0.30841121495327101</v>
      </c>
      <c r="K83" s="8">
        <v>6.5420560747663545E-2</v>
      </c>
      <c r="L83" s="6">
        <v>-1</v>
      </c>
      <c r="M83" s="8">
        <v>0.14018691588785051</v>
      </c>
      <c r="N83" s="8">
        <v>2.803738317757009E-2</v>
      </c>
      <c r="O83" s="6">
        <v>-1</v>
      </c>
    </row>
    <row r="84" spans="1:15" x14ac:dyDescent="0.25">
      <c r="A84" s="7">
        <v>46183</v>
      </c>
      <c r="B84" s="6">
        <v>0</v>
      </c>
      <c r="C84" s="6">
        <v>33</v>
      </c>
      <c r="D84" s="6">
        <v>0</v>
      </c>
      <c r="E84" s="6">
        <v>7</v>
      </c>
      <c r="F84" s="6">
        <v>7</v>
      </c>
      <c r="G84" s="6">
        <v>0</v>
      </c>
      <c r="H84" s="6">
        <v>22</v>
      </c>
      <c r="I84" s="6">
        <v>3</v>
      </c>
      <c r="J84" s="8">
        <v>0.30841121495327101</v>
      </c>
      <c r="K84" s="8">
        <v>6.5420560747663545E-2</v>
      </c>
      <c r="L84" s="6">
        <v>-1</v>
      </c>
      <c r="M84" s="8">
        <v>0.20560747663551401</v>
      </c>
      <c r="N84" s="8">
        <v>2.803738317757009E-2</v>
      </c>
      <c r="O84" s="6">
        <v>-1</v>
      </c>
    </row>
    <row r="85" spans="1:15" x14ac:dyDescent="0.25">
      <c r="A85" s="7">
        <v>46184</v>
      </c>
      <c r="B85" s="6">
        <v>4</v>
      </c>
      <c r="C85" s="6">
        <v>37</v>
      </c>
      <c r="D85" s="6">
        <v>0</v>
      </c>
      <c r="E85" s="6">
        <v>7</v>
      </c>
      <c r="F85" s="6">
        <v>0</v>
      </c>
      <c r="G85" s="6">
        <v>0</v>
      </c>
      <c r="H85" s="6">
        <v>22</v>
      </c>
      <c r="I85" s="6">
        <v>3</v>
      </c>
      <c r="J85" s="8">
        <v>0.34579439252336452</v>
      </c>
      <c r="K85" s="8">
        <v>6.5420560747663545E-2</v>
      </c>
      <c r="L85" s="6">
        <v>-1</v>
      </c>
      <c r="M85" s="8">
        <v>0.20560747663551401</v>
      </c>
      <c r="N85" s="8">
        <v>2.803738317757009E-2</v>
      </c>
      <c r="O85" s="6">
        <v>-1</v>
      </c>
    </row>
    <row r="86" spans="1:15" x14ac:dyDescent="0.25">
      <c r="A86" s="7">
        <v>46185</v>
      </c>
      <c r="B86" s="6">
        <v>2</v>
      </c>
      <c r="C86" s="6">
        <v>39</v>
      </c>
      <c r="D86" s="6">
        <v>4</v>
      </c>
      <c r="E86" s="6">
        <v>11</v>
      </c>
      <c r="F86" s="6">
        <v>0</v>
      </c>
      <c r="G86" s="6">
        <v>0</v>
      </c>
      <c r="H86" s="6">
        <v>22</v>
      </c>
      <c r="I86" s="6">
        <v>3</v>
      </c>
      <c r="J86" s="8">
        <v>0.3644859813084112</v>
      </c>
      <c r="K86" s="8">
        <v>0.10280373831775701</v>
      </c>
      <c r="L86" s="6">
        <v>-1</v>
      </c>
      <c r="M86" s="8">
        <v>0.20560747663551401</v>
      </c>
      <c r="N86" s="8">
        <v>2.803738317757009E-2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39</v>
      </c>
      <c r="D87" s="6">
        <v>0</v>
      </c>
      <c r="E87" s="6">
        <v>11</v>
      </c>
      <c r="F87" s="6">
        <v>0</v>
      </c>
      <c r="G87" s="6">
        <v>0</v>
      </c>
      <c r="H87" s="6">
        <v>22</v>
      </c>
      <c r="I87" s="6">
        <v>3</v>
      </c>
      <c r="J87" s="8">
        <v>0.3644859813084112</v>
      </c>
      <c r="K87" s="8">
        <v>0.10280373831775701</v>
      </c>
      <c r="L87" s="6">
        <v>-1</v>
      </c>
      <c r="M87" s="8">
        <v>0.20560747663551401</v>
      </c>
      <c r="N87" s="8">
        <v>2.803738317757009E-2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39</v>
      </c>
      <c r="D88" s="6">
        <v>0</v>
      </c>
      <c r="E88" s="6">
        <v>11</v>
      </c>
      <c r="F88" s="6">
        <v>0</v>
      </c>
      <c r="G88" s="6">
        <v>0</v>
      </c>
      <c r="H88" s="6">
        <v>22</v>
      </c>
      <c r="I88" s="6">
        <v>3</v>
      </c>
      <c r="J88" s="8">
        <v>0.3644859813084112</v>
      </c>
      <c r="K88" s="8">
        <v>0.10280373831775701</v>
      </c>
      <c r="L88" s="6">
        <v>-1</v>
      </c>
      <c r="M88" s="8">
        <v>0.20560747663551401</v>
      </c>
      <c r="N88" s="8">
        <v>2.803738317757009E-2</v>
      </c>
      <c r="O88" s="6">
        <v>-1</v>
      </c>
    </row>
    <row r="89" spans="1:15" x14ac:dyDescent="0.25">
      <c r="A89" s="7">
        <v>46188</v>
      </c>
      <c r="B89" s="6">
        <v>0</v>
      </c>
      <c r="C89" s="6">
        <v>39</v>
      </c>
      <c r="D89" s="6">
        <v>0</v>
      </c>
      <c r="E89" s="6">
        <v>11</v>
      </c>
      <c r="F89" s="6">
        <v>10</v>
      </c>
      <c r="G89" s="6">
        <v>0</v>
      </c>
      <c r="H89" s="6">
        <v>32</v>
      </c>
      <c r="I89" s="6">
        <v>3</v>
      </c>
      <c r="J89" s="8">
        <v>0.3644859813084112</v>
      </c>
      <c r="K89" s="8">
        <v>0.10280373831775701</v>
      </c>
      <c r="L89" s="6">
        <v>-1</v>
      </c>
      <c r="M89" s="8">
        <v>0.29906542056074759</v>
      </c>
      <c r="N89" s="8">
        <v>2.803738317757009E-2</v>
      </c>
      <c r="O89" s="6">
        <v>-1</v>
      </c>
    </row>
    <row r="90" spans="1:15" x14ac:dyDescent="0.25">
      <c r="A90" s="7">
        <v>46189</v>
      </c>
      <c r="B90" s="6">
        <v>3</v>
      </c>
      <c r="C90" s="6">
        <v>42</v>
      </c>
      <c r="D90" s="6">
        <v>4</v>
      </c>
      <c r="E90" s="6">
        <v>15</v>
      </c>
      <c r="F90" s="6">
        <v>1</v>
      </c>
      <c r="G90" s="6">
        <v>0</v>
      </c>
      <c r="H90" s="6">
        <v>33</v>
      </c>
      <c r="I90" s="6">
        <v>3</v>
      </c>
      <c r="J90" s="8">
        <v>0.3925233644859813</v>
      </c>
      <c r="K90" s="8">
        <v>0.14018691588785051</v>
      </c>
      <c r="L90" s="6">
        <v>-1</v>
      </c>
      <c r="M90" s="8">
        <v>0.30841121495327101</v>
      </c>
      <c r="N90" s="8">
        <v>2.803738317757009E-2</v>
      </c>
      <c r="O90" s="6">
        <v>-1</v>
      </c>
    </row>
    <row r="91" spans="1:15" x14ac:dyDescent="0.25">
      <c r="A91" s="7">
        <v>46190</v>
      </c>
      <c r="B91" s="6">
        <v>1</v>
      </c>
      <c r="C91" s="6">
        <v>43</v>
      </c>
      <c r="D91" s="6">
        <v>0</v>
      </c>
      <c r="E91" s="6">
        <v>15</v>
      </c>
      <c r="F91" s="6">
        <v>4</v>
      </c>
      <c r="G91" s="6">
        <v>0</v>
      </c>
      <c r="H91" s="6">
        <v>37</v>
      </c>
      <c r="I91" s="6">
        <v>3</v>
      </c>
      <c r="J91" s="8">
        <v>0.40186915887850472</v>
      </c>
      <c r="K91" s="8">
        <v>0.14018691588785051</v>
      </c>
      <c r="L91" s="6">
        <v>-1</v>
      </c>
      <c r="M91" s="8">
        <v>0.34579439252336452</v>
      </c>
      <c r="N91" s="8">
        <v>2.803738317757009E-2</v>
      </c>
      <c r="O91" s="6">
        <v>-1</v>
      </c>
    </row>
    <row r="92" spans="1:15" x14ac:dyDescent="0.25">
      <c r="A92" s="7">
        <v>46191</v>
      </c>
      <c r="B92" s="6">
        <v>0</v>
      </c>
      <c r="C92" s="6">
        <v>43</v>
      </c>
      <c r="D92" s="6">
        <v>1</v>
      </c>
      <c r="E92" s="6">
        <v>16</v>
      </c>
      <c r="F92" s="6">
        <v>2</v>
      </c>
      <c r="G92" s="6">
        <v>0</v>
      </c>
      <c r="H92" s="6">
        <v>39</v>
      </c>
      <c r="I92" s="6">
        <v>3</v>
      </c>
      <c r="J92" s="8">
        <v>0.40186915887850472</v>
      </c>
      <c r="K92" s="8">
        <v>0.14953271028037379</v>
      </c>
      <c r="L92" s="6">
        <v>-1</v>
      </c>
      <c r="M92" s="8">
        <v>0.3644859813084112</v>
      </c>
      <c r="N92" s="8">
        <v>2.803738317757009E-2</v>
      </c>
      <c r="O92" s="6">
        <v>-1</v>
      </c>
    </row>
    <row r="93" spans="1:15" x14ac:dyDescent="0.25">
      <c r="A93" s="7">
        <v>46192</v>
      </c>
      <c r="B93" s="6">
        <v>2</v>
      </c>
      <c r="C93" s="6">
        <v>45</v>
      </c>
      <c r="D93" s="6">
        <v>3</v>
      </c>
      <c r="E93" s="6">
        <v>19</v>
      </c>
      <c r="F93" s="6">
        <v>0</v>
      </c>
      <c r="G93" s="6">
        <v>0</v>
      </c>
      <c r="H93" s="6">
        <v>39</v>
      </c>
      <c r="I93" s="6">
        <v>3</v>
      </c>
      <c r="J93" s="8">
        <v>0.42056074766355139</v>
      </c>
      <c r="K93" s="8">
        <v>0.17757009345794389</v>
      </c>
      <c r="L93" s="6">
        <v>-1</v>
      </c>
      <c r="M93" s="8">
        <v>0.3644859813084112</v>
      </c>
      <c r="N93" s="8">
        <v>2.803738317757009E-2</v>
      </c>
      <c r="O93" s="6">
        <v>-1</v>
      </c>
    </row>
    <row r="94" spans="1:15" x14ac:dyDescent="0.25">
      <c r="A94" s="7">
        <v>46193</v>
      </c>
      <c r="B94" s="6">
        <v>0</v>
      </c>
      <c r="C94" s="6">
        <v>45</v>
      </c>
      <c r="D94" s="6">
        <v>0</v>
      </c>
      <c r="E94" s="6">
        <v>19</v>
      </c>
      <c r="F94" s="6">
        <v>0</v>
      </c>
      <c r="G94" s="6">
        <v>0</v>
      </c>
      <c r="H94" s="6">
        <v>39</v>
      </c>
      <c r="I94" s="6">
        <v>3</v>
      </c>
      <c r="J94" s="8">
        <v>0.42056074766355139</v>
      </c>
      <c r="K94" s="8">
        <v>0.17757009345794389</v>
      </c>
      <c r="L94" s="6">
        <v>-1</v>
      </c>
      <c r="M94" s="8">
        <v>0.3644859813084112</v>
      </c>
      <c r="N94" s="8">
        <v>2.803738317757009E-2</v>
      </c>
      <c r="O94" s="6">
        <v>-1</v>
      </c>
    </row>
    <row r="95" spans="1:15" x14ac:dyDescent="0.25">
      <c r="A95" s="7">
        <v>46194</v>
      </c>
      <c r="B95" s="6">
        <v>0</v>
      </c>
      <c r="C95" s="6">
        <v>45</v>
      </c>
      <c r="D95" s="6">
        <v>0</v>
      </c>
      <c r="E95" s="6">
        <v>19</v>
      </c>
      <c r="F95" s="6">
        <v>0</v>
      </c>
      <c r="G95" s="6">
        <v>0</v>
      </c>
      <c r="H95" s="6">
        <v>39</v>
      </c>
      <c r="I95" s="6">
        <v>3</v>
      </c>
      <c r="J95" s="8">
        <v>0.42056074766355139</v>
      </c>
      <c r="K95" s="8">
        <v>0.17757009345794389</v>
      </c>
      <c r="L95" s="6">
        <v>-1</v>
      </c>
      <c r="M95" s="8">
        <v>0.3644859813084112</v>
      </c>
      <c r="N95" s="8">
        <v>2.803738317757009E-2</v>
      </c>
      <c r="O95" s="6">
        <v>-1</v>
      </c>
    </row>
    <row r="96" spans="1:15" x14ac:dyDescent="0.25">
      <c r="A96" s="7">
        <v>46195</v>
      </c>
      <c r="B96" s="6">
        <v>1</v>
      </c>
      <c r="C96" s="6">
        <v>46</v>
      </c>
      <c r="D96" s="6">
        <v>0</v>
      </c>
      <c r="E96" s="6">
        <v>19</v>
      </c>
      <c r="F96" s="6">
        <v>3</v>
      </c>
      <c r="G96" s="6">
        <v>0</v>
      </c>
      <c r="H96" s="6">
        <v>42</v>
      </c>
      <c r="I96" s="6">
        <v>3</v>
      </c>
      <c r="J96" s="8">
        <v>0.42990654205607481</v>
      </c>
      <c r="K96" s="8">
        <v>0.17757009345794389</v>
      </c>
      <c r="L96" s="6">
        <v>-1</v>
      </c>
      <c r="M96" s="8">
        <v>0.3925233644859813</v>
      </c>
      <c r="N96" s="8">
        <v>2.803738317757009E-2</v>
      </c>
      <c r="O96" s="6">
        <v>-1</v>
      </c>
    </row>
    <row r="97" spans="1:15" x14ac:dyDescent="0.25">
      <c r="A97" s="7">
        <v>46196</v>
      </c>
      <c r="B97" s="6">
        <v>0</v>
      </c>
      <c r="C97" s="6">
        <v>46</v>
      </c>
      <c r="D97" s="6">
        <v>11</v>
      </c>
      <c r="E97" s="6">
        <v>30</v>
      </c>
      <c r="F97" s="6">
        <v>1</v>
      </c>
      <c r="G97" s="6">
        <v>0</v>
      </c>
      <c r="H97" s="6">
        <v>43</v>
      </c>
      <c r="I97" s="6">
        <v>3</v>
      </c>
      <c r="J97" s="8">
        <v>0.42990654205607481</v>
      </c>
      <c r="K97" s="8">
        <v>0.28037383177570091</v>
      </c>
      <c r="L97" s="6">
        <v>-1</v>
      </c>
      <c r="M97" s="8">
        <v>0.40186915887850472</v>
      </c>
      <c r="N97" s="8">
        <v>2.803738317757009E-2</v>
      </c>
      <c r="O97" s="6">
        <v>-1</v>
      </c>
    </row>
    <row r="98" spans="1:15" x14ac:dyDescent="0.25">
      <c r="A98" s="7">
        <v>46197</v>
      </c>
      <c r="B98" s="6">
        <v>0</v>
      </c>
      <c r="C98" s="6">
        <v>46</v>
      </c>
      <c r="D98" s="6">
        <v>9</v>
      </c>
      <c r="E98" s="6">
        <v>39</v>
      </c>
      <c r="F98" s="6">
        <v>0</v>
      </c>
      <c r="G98" s="6">
        <v>0</v>
      </c>
      <c r="H98" s="6">
        <v>43</v>
      </c>
      <c r="I98" s="6">
        <v>3</v>
      </c>
      <c r="J98" s="8">
        <v>0.42990654205607481</v>
      </c>
      <c r="K98" s="8">
        <v>0.3644859813084112</v>
      </c>
      <c r="L98" s="6">
        <v>-1</v>
      </c>
      <c r="M98" s="8">
        <v>0.40186915887850472</v>
      </c>
      <c r="N98" s="8">
        <v>2.803738317757009E-2</v>
      </c>
      <c r="O98" s="6">
        <v>-1</v>
      </c>
    </row>
    <row r="99" spans="1:15" x14ac:dyDescent="0.25">
      <c r="A99" s="7">
        <v>46198</v>
      </c>
      <c r="B99" s="6">
        <v>2</v>
      </c>
      <c r="C99" s="6">
        <v>48</v>
      </c>
      <c r="D99" s="6">
        <v>1</v>
      </c>
      <c r="E99" s="6">
        <v>40</v>
      </c>
      <c r="F99" s="6">
        <v>2</v>
      </c>
      <c r="G99" s="6">
        <v>0</v>
      </c>
      <c r="H99" s="6">
        <v>45</v>
      </c>
      <c r="I99" s="6">
        <v>3</v>
      </c>
      <c r="J99" s="8">
        <v>0.44859813084112149</v>
      </c>
      <c r="K99" s="8">
        <v>0.37383177570093462</v>
      </c>
      <c r="L99" s="6">
        <v>-1</v>
      </c>
      <c r="M99" s="8">
        <v>0.42056074766355139</v>
      </c>
      <c r="N99" s="8">
        <v>2.803738317757009E-2</v>
      </c>
      <c r="O99" s="6">
        <v>-1</v>
      </c>
    </row>
    <row r="100" spans="1:15" x14ac:dyDescent="0.25">
      <c r="A100" s="7">
        <v>46199</v>
      </c>
      <c r="B100" s="6">
        <v>1</v>
      </c>
      <c r="C100" s="6">
        <v>49</v>
      </c>
      <c r="D100" s="6">
        <v>4</v>
      </c>
      <c r="E100" s="6">
        <v>44</v>
      </c>
      <c r="F100" s="6">
        <v>1</v>
      </c>
      <c r="G100" s="6">
        <v>0</v>
      </c>
      <c r="H100" s="6">
        <v>46</v>
      </c>
      <c r="I100" s="6">
        <v>3</v>
      </c>
      <c r="J100" s="8">
        <v>0.45794392523364491</v>
      </c>
      <c r="K100" s="8">
        <v>0.41121495327102803</v>
      </c>
      <c r="L100" s="6">
        <v>-1</v>
      </c>
      <c r="M100" s="8">
        <v>0.42990654205607481</v>
      </c>
      <c r="N100" s="8">
        <v>2.803738317757009E-2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49</v>
      </c>
      <c r="D101" s="6">
        <v>0</v>
      </c>
      <c r="E101" s="6">
        <v>44</v>
      </c>
      <c r="F101" s="6">
        <v>0</v>
      </c>
      <c r="G101" s="6">
        <v>0</v>
      </c>
      <c r="H101" s="6">
        <v>46</v>
      </c>
      <c r="I101" s="6">
        <v>3</v>
      </c>
      <c r="J101" s="8">
        <v>0.45794392523364491</v>
      </c>
      <c r="K101" s="8">
        <v>0.41121495327102803</v>
      </c>
      <c r="L101" s="6">
        <v>-1</v>
      </c>
      <c r="M101" s="8">
        <v>0.42990654205607481</v>
      </c>
      <c r="N101" s="8">
        <v>2.803738317757009E-2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49</v>
      </c>
      <c r="D102" s="6">
        <v>0</v>
      </c>
      <c r="E102" s="6">
        <v>44</v>
      </c>
      <c r="F102" s="6">
        <v>0</v>
      </c>
      <c r="G102" s="6">
        <v>0</v>
      </c>
      <c r="H102" s="6">
        <v>46</v>
      </c>
      <c r="I102" s="6">
        <v>3</v>
      </c>
      <c r="J102" s="8">
        <v>0.45794392523364491</v>
      </c>
      <c r="K102" s="8">
        <v>0.41121495327102803</v>
      </c>
      <c r="L102" s="6">
        <v>-1</v>
      </c>
      <c r="M102" s="8">
        <v>0.42990654205607481</v>
      </c>
      <c r="N102" s="8">
        <v>2.803738317757009E-2</v>
      </c>
      <c r="O102" s="6">
        <v>-1</v>
      </c>
    </row>
    <row r="103" spans="1:15" x14ac:dyDescent="0.25">
      <c r="A103" s="7">
        <v>46202</v>
      </c>
      <c r="B103" s="6">
        <v>1</v>
      </c>
      <c r="C103" s="6">
        <v>50</v>
      </c>
      <c r="D103" s="6">
        <v>4</v>
      </c>
      <c r="E103" s="6">
        <v>48</v>
      </c>
      <c r="F103" s="6">
        <v>0</v>
      </c>
      <c r="G103" s="6">
        <v>0</v>
      </c>
      <c r="H103" s="6">
        <v>46</v>
      </c>
      <c r="I103" s="6">
        <v>3</v>
      </c>
      <c r="J103" s="8">
        <v>0.46728971962616822</v>
      </c>
      <c r="K103" s="8">
        <v>0.44859813084112149</v>
      </c>
      <c r="L103" s="6">
        <v>-1</v>
      </c>
      <c r="M103" s="8">
        <v>0.42990654205607481</v>
      </c>
      <c r="N103" s="8">
        <v>2.803738317757009E-2</v>
      </c>
      <c r="O103" s="6">
        <v>-1</v>
      </c>
    </row>
    <row r="104" spans="1:15" x14ac:dyDescent="0.25">
      <c r="A104" s="7">
        <v>46203</v>
      </c>
      <c r="B104" s="6">
        <v>3</v>
      </c>
      <c r="C104" s="6">
        <v>53</v>
      </c>
      <c r="D104" s="6">
        <v>0</v>
      </c>
      <c r="E104" s="6">
        <v>48</v>
      </c>
      <c r="F104" s="6">
        <v>0</v>
      </c>
      <c r="G104" s="6">
        <v>0</v>
      </c>
      <c r="H104" s="6">
        <v>46</v>
      </c>
      <c r="I104" s="6">
        <v>3</v>
      </c>
      <c r="J104" s="8">
        <v>0.49532710280373832</v>
      </c>
      <c r="K104" s="8">
        <v>0.44859813084112149</v>
      </c>
      <c r="L104" s="6">
        <v>-1</v>
      </c>
      <c r="M104" s="8">
        <v>0.42990654205607481</v>
      </c>
      <c r="N104" s="8">
        <v>2.803738317757009E-2</v>
      </c>
      <c r="O104" s="6">
        <v>-1</v>
      </c>
    </row>
    <row r="105" spans="1:15" x14ac:dyDescent="0.25">
      <c r="A105" s="7">
        <v>46204</v>
      </c>
      <c r="B105" s="6">
        <v>29</v>
      </c>
      <c r="C105" s="6">
        <v>82</v>
      </c>
      <c r="D105" s="6">
        <v>6</v>
      </c>
      <c r="E105" s="6">
        <v>54</v>
      </c>
      <c r="F105" s="6">
        <v>2</v>
      </c>
      <c r="G105" s="6">
        <v>0</v>
      </c>
      <c r="H105" s="6">
        <v>48</v>
      </c>
      <c r="I105" s="6">
        <v>3</v>
      </c>
      <c r="J105" s="8">
        <v>0.76635514018691586</v>
      </c>
      <c r="K105" s="8">
        <v>0.50467289719626163</v>
      </c>
      <c r="L105" s="6">
        <v>-1</v>
      </c>
      <c r="M105" s="8">
        <v>0.44859813084112149</v>
      </c>
      <c r="N105" s="8">
        <v>2.803738317757009E-2</v>
      </c>
      <c r="O105" s="6">
        <v>-1</v>
      </c>
    </row>
    <row r="106" spans="1:15" x14ac:dyDescent="0.25">
      <c r="A106" s="7">
        <v>46205</v>
      </c>
      <c r="B106" s="6">
        <v>22</v>
      </c>
      <c r="C106" s="6">
        <v>104</v>
      </c>
      <c r="D106" s="6">
        <v>1</v>
      </c>
      <c r="E106" s="6">
        <v>55</v>
      </c>
      <c r="F106" s="6">
        <v>1</v>
      </c>
      <c r="G106" s="6">
        <v>0</v>
      </c>
      <c r="H106" s="6">
        <v>49</v>
      </c>
      <c r="I106" s="6">
        <v>3</v>
      </c>
      <c r="J106" s="8">
        <v>0.9719626168224299</v>
      </c>
      <c r="K106" s="8">
        <v>0.51401869158878499</v>
      </c>
      <c r="L106" s="6">
        <v>-1</v>
      </c>
      <c r="M106" s="8">
        <v>0.45794392523364491</v>
      </c>
      <c r="N106" s="8">
        <v>2.803738317757009E-2</v>
      </c>
      <c r="O106" s="6">
        <v>-1</v>
      </c>
    </row>
    <row r="107" spans="1:15" x14ac:dyDescent="0.25">
      <c r="A107" s="9">
        <v>46206</v>
      </c>
      <c r="B107" s="10">
        <v>0</v>
      </c>
      <c r="C107" s="10">
        <v>104</v>
      </c>
      <c r="D107" s="10">
        <v>7</v>
      </c>
      <c r="E107" s="10">
        <v>62</v>
      </c>
      <c r="F107" s="10">
        <v>1</v>
      </c>
      <c r="G107" s="10">
        <v>0</v>
      </c>
      <c r="H107" s="10">
        <v>50</v>
      </c>
      <c r="I107" s="10">
        <v>3</v>
      </c>
      <c r="J107" s="11">
        <v>0.9719626168224299</v>
      </c>
      <c r="K107" s="11">
        <v>0.57943925233644855</v>
      </c>
      <c r="L107" s="10">
        <v>-1</v>
      </c>
      <c r="M107" s="11">
        <v>0.46728971962616822</v>
      </c>
      <c r="N107" s="11">
        <v>2.803738317757009E-2</v>
      </c>
      <c r="O107" s="10">
        <v>-1</v>
      </c>
    </row>
    <row r="108" spans="1:15" x14ac:dyDescent="0.25">
      <c r="A108" s="7">
        <v>46207</v>
      </c>
      <c r="B108" s="6">
        <v>0</v>
      </c>
      <c r="C108" s="6">
        <v>104</v>
      </c>
      <c r="D108" s="6">
        <v>0</v>
      </c>
      <c r="F108" s="6">
        <v>0</v>
      </c>
      <c r="G108" s="6">
        <v>0</v>
      </c>
      <c r="H108" s="6">
        <v>50</v>
      </c>
      <c r="J108" s="8">
        <v>0.9719626168224299</v>
      </c>
      <c r="K108" s="8">
        <v>0.57943925233644855</v>
      </c>
      <c r="L108" s="6">
        <v>-1</v>
      </c>
      <c r="M108" s="8">
        <v>0.46728971962616822</v>
      </c>
      <c r="N108" s="8">
        <v>2.803738317757009E-2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104</v>
      </c>
      <c r="D109" s="6">
        <v>0</v>
      </c>
      <c r="F109" s="6">
        <v>0</v>
      </c>
      <c r="G109" s="6">
        <v>0</v>
      </c>
      <c r="H109" s="6">
        <v>50</v>
      </c>
      <c r="J109" s="8">
        <v>0.9719626168224299</v>
      </c>
      <c r="K109" s="8">
        <v>0.57943925233644855</v>
      </c>
      <c r="L109" s="6">
        <v>-1</v>
      </c>
      <c r="M109" s="8">
        <v>0.46728971962616822</v>
      </c>
      <c r="N109" s="8">
        <v>2.803738317757009E-2</v>
      </c>
      <c r="O109" s="6">
        <v>-1</v>
      </c>
    </row>
    <row r="110" spans="1:15" x14ac:dyDescent="0.25">
      <c r="A110" s="7">
        <v>46209</v>
      </c>
      <c r="B110" s="6">
        <v>0</v>
      </c>
      <c r="C110" s="6">
        <v>104</v>
      </c>
      <c r="D110" s="6">
        <v>0</v>
      </c>
      <c r="F110" s="6">
        <v>3</v>
      </c>
      <c r="G110" s="6">
        <v>0</v>
      </c>
      <c r="H110" s="6">
        <v>53</v>
      </c>
      <c r="J110" s="8">
        <v>0.9719626168224299</v>
      </c>
      <c r="K110" s="8">
        <v>0.57943925233644855</v>
      </c>
      <c r="L110" s="6">
        <v>-1</v>
      </c>
      <c r="M110" s="8">
        <v>0.49532710280373832</v>
      </c>
      <c r="N110" s="8">
        <v>2.803738317757009E-2</v>
      </c>
      <c r="O110" s="6">
        <v>-1</v>
      </c>
    </row>
    <row r="111" spans="1:15" x14ac:dyDescent="0.25">
      <c r="A111" s="7">
        <v>46210</v>
      </c>
      <c r="B111" s="6">
        <v>0</v>
      </c>
      <c r="C111" s="6">
        <v>104</v>
      </c>
      <c r="D111" s="6">
        <v>0</v>
      </c>
      <c r="F111" s="6">
        <v>29</v>
      </c>
      <c r="G111" s="6">
        <v>0</v>
      </c>
      <c r="H111" s="6">
        <v>82</v>
      </c>
      <c r="J111" s="8">
        <v>0.9719626168224299</v>
      </c>
      <c r="K111" s="8">
        <v>0.57943925233644855</v>
      </c>
      <c r="L111" s="6">
        <v>-1</v>
      </c>
      <c r="M111" s="8">
        <v>0.76635514018691586</v>
      </c>
      <c r="N111" s="8">
        <v>2.803738317757009E-2</v>
      </c>
      <c r="O111" s="6">
        <v>-1</v>
      </c>
    </row>
    <row r="112" spans="1:15" x14ac:dyDescent="0.25">
      <c r="A112" s="7">
        <v>46211</v>
      </c>
      <c r="B112" s="6">
        <v>3</v>
      </c>
      <c r="C112" s="6">
        <v>107</v>
      </c>
      <c r="D112" s="6">
        <v>0</v>
      </c>
      <c r="F112" s="6">
        <v>22</v>
      </c>
      <c r="G112" s="6">
        <v>0</v>
      </c>
      <c r="H112" s="6">
        <v>104</v>
      </c>
      <c r="J112" s="8">
        <v>1</v>
      </c>
      <c r="K112" s="8">
        <v>0.57943925233644855</v>
      </c>
      <c r="L112" s="6">
        <v>-1</v>
      </c>
      <c r="M112" s="8">
        <v>0.9719626168224299</v>
      </c>
      <c r="N112" s="8">
        <v>2.803738317757009E-2</v>
      </c>
      <c r="O112" s="6">
        <v>-1</v>
      </c>
    </row>
    <row r="113" spans="1:15" x14ac:dyDescent="0.25">
      <c r="A113" s="7">
        <v>46212</v>
      </c>
      <c r="B113" s="6">
        <v>0</v>
      </c>
      <c r="C113" s="6">
        <v>107</v>
      </c>
      <c r="D113" s="6">
        <v>0</v>
      </c>
      <c r="F113" s="6">
        <v>0</v>
      </c>
      <c r="G113" s="6">
        <v>0</v>
      </c>
      <c r="H113" s="6">
        <v>104</v>
      </c>
      <c r="J113" s="8">
        <v>1</v>
      </c>
      <c r="K113" s="8">
        <v>0.57943925233644855</v>
      </c>
      <c r="L113" s="6">
        <v>-1</v>
      </c>
      <c r="M113" s="8">
        <v>0.9719626168224299</v>
      </c>
      <c r="N113" s="8">
        <v>2.803738317757009E-2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107</v>
      </c>
      <c r="D114" s="6">
        <v>0</v>
      </c>
      <c r="F114" s="6">
        <v>0</v>
      </c>
      <c r="G114" s="6">
        <v>0</v>
      </c>
      <c r="H114" s="6">
        <v>104</v>
      </c>
      <c r="J114" s="8">
        <v>1</v>
      </c>
      <c r="K114" s="8">
        <v>0.57943925233644855</v>
      </c>
      <c r="L114" s="6">
        <v>-1</v>
      </c>
      <c r="M114" s="8">
        <v>0.9719626168224299</v>
      </c>
      <c r="N114" s="8">
        <v>2.803738317757009E-2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107</v>
      </c>
      <c r="D115" s="6">
        <v>0</v>
      </c>
      <c r="F115" s="6">
        <v>0</v>
      </c>
      <c r="G115" s="6">
        <v>0</v>
      </c>
      <c r="H115" s="6">
        <v>104</v>
      </c>
      <c r="J115" s="8">
        <v>1</v>
      </c>
      <c r="K115" s="8">
        <v>0.57943925233644855</v>
      </c>
      <c r="L115" s="6">
        <v>-1</v>
      </c>
      <c r="M115" s="8">
        <v>0.9719626168224299</v>
      </c>
      <c r="N115" s="8">
        <v>2.803738317757009E-2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107</v>
      </c>
      <c r="D116" s="6">
        <v>0</v>
      </c>
      <c r="F116" s="6">
        <v>0</v>
      </c>
      <c r="G116" s="6">
        <v>0</v>
      </c>
      <c r="H116" s="6">
        <v>104</v>
      </c>
      <c r="J116" s="8">
        <v>1</v>
      </c>
      <c r="K116" s="8">
        <v>0.57943925233644855</v>
      </c>
      <c r="L116" s="6">
        <v>-1</v>
      </c>
      <c r="M116" s="8">
        <v>0.9719626168224299</v>
      </c>
      <c r="N116" s="8">
        <v>2.803738317757009E-2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107</v>
      </c>
      <c r="D117" s="6">
        <v>0</v>
      </c>
      <c r="F117" s="6">
        <v>0</v>
      </c>
      <c r="G117" s="6">
        <v>0</v>
      </c>
      <c r="H117" s="6">
        <v>104</v>
      </c>
      <c r="J117" s="8">
        <v>1</v>
      </c>
      <c r="K117" s="8">
        <v>0.57943925233644855</v>
      </c>
      <c r="L117" s="6">
        <v>-1</v>
      </c>
      <c r="M117" s="8">
        <v>0.9719626168224299</v>
      </c>
      <c r="N117" s="8">
        <v>2.803738317757009E-2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107</v>
      </c>
      <c r="D118" s="6">
        <v>0</v>
      </c>
      <c r="F118" s="6">
        <v>0</v>
      </c>
      <c r="G118" s="6">
        <v>0</v>
      </c>
      <c r="H118" s="6">
        <v>104</v>
      </c>
      <c r="J118" s="8">
        <v>1</v>
      </c>
      <c r="K118" s="8">
        <v>0.57943925233644855</v>
      </c>
      <c r="L118" s="6">
        <v>-1</v>
      </c>
      <c r="M118" s="8">
        <v>0.9719626168224299</v>
      </c>
      <c r="N118" s="8">
        <v>2.803738317757009E-2</v>
      </c>
      <c r="O118" s="6">
        <v>-1</v>
      </c>
    </row>
    <row r="119" spans="1:15" x14ac:dyDescent="0.25">
      <c r="A119" s="7">
        <v>46218</v>
      </c>
      <c r="B119" s="6">
        <v>0</v>
      </c>
      <c r="C119" s="6">
        <v>107</v>
      </c>
      <c r="D119" s="6">
        <v>0</v>
      </c>
      <c r="F119" s="6">
        <v>0</v>
      </c>
      <c r="G119" s="6">
        <v>0</v>
      </c>
      <c r="H119" s="6">
        <v>104</v>
      </c>
      <c r="J119" s="8">
        <v>1</v>
      </c>
      <c r="K119" s="8">
        <v>0.57943925233644855</v>
      </c>
      <c r="L119" s="6">
        <v>-1</v>
      </c>
      <c r="M119" s="8">
        <v>0.9719626168224299</v>
      </c>
      <c r="N119" s="8">
        <v>2.803738317757009E-2</v>
      </c>
      <c r="O119" s="6">
        <v>-1</v>
      </c>
    </row>
    <row r="120" spans="1:15" x14ac:dyDescent="0.25">
      <c r="A120" s="7">
        <v>46219</v>
      </c>
      <c r="B120" s="6">
        <v>0</v>
      </c>
      <c r="C120" s="6">
        <v>107</v>
      </c>
      <c r="D120" s="6">
        <v>0</v>
      </c>
      <c r="F120" s="6">
        <v>3</v>
      </c>
      <c r="G120" s="6">
        <v>0</v>
      </c>
      <c r="H120" s="6">
        <v>107</v>
      </c>
      <c r="J120" s="8">
        <v>1</v>
      </c>
      <c r="K120" s="8">
        <v>0.57943925233644855</v>
      </c>
      <c r="L120" s="6">
        <v>-1</v>
      </c>
      <c r="M120" s="8">
        <v>1</v>
      </c>
      <c r="N120" s="8">
        <v>2.803738317757009E-2</v>
      </c>
      <c r="O120" s="6">
        <v>-1</v>
      </c>
    </row>
    <row r="122" spans="1:15" x14ac:dyDescent="0.25">
      <c r="L122" s="6">
        <v>1</v>
      </c>
      <c r="O122" s="6">
        <v>1</v>
      </c>
    </row>
    <row r="123" spans="1:15" x14ac:dyDescent="0.25">
      <c r="L123" s="6">
        <v>0</v>
      </c>
      <c r="O123" s="6">
        <v>0</v>
      </c>
    </row>
    <row r="124" spans="1:15" x14ac:dyDescent="0.25">
      <c r="L124" s="6">
        <v>-1</v>
      </c>
      <c r="O124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F9028DB-2014-459E-BCF0-BF7D79F7786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L1:L124</xm:sqref>
        </x14:conditionalFormatting>
        <x14:conditionalFormatting xmlns:xm="http://schemas.microsoft.com/office/excel/2006/main">
          <x14:cfRule type="iconSet" priority="1" id="{B6F1DDA1-0E1E-456E-97CD-5FE35A0A915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3"/>
  <sheetViews>
    <sheetView topLeftCell="K34" workbookViewId="0">
      <selection activeCell="D1" sqref="D1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3" bestFit="1" customWidth="1"/>
    <col min="10" max="10" width="18.42578125" style="1" bestFit="1" customWidth="1"/>
    <col min="11" max="11" width="121" style="1" bestFit="1" customWidth="1"/>
    <col min="12" max="12" width="11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32.140625" style="1" bestFit="1" customWidth="1"/>
    <col min="17" max="17" width="14.5703125" style="1" bestFit="1" customWidth="1"/>
    <col min="18" max="18" width="11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1.85546875" style="1" bestFit="1" customWidth="1"/>
    <col min="23" max="23" width="23.28515625" style="1" bestFit="1" customWidth="1"/>
    <col min="24" max="24" width="27.7109375" style="1" bestFit="1" customWidth="1"/>
    <col min="25" max="25" width="27" style="1" bestFit="1" customWidth="1"/>
    <col min="26" max="26" width="19.5703125" style="1" bestFit="1" customWidth="1"/>
    <col min="27" max="27" width="32.7109375" style="1" bestFit="1" customWidth="1"/>
    <col min="28" max="28" width="29.42578125" style="1" bestFit="1" customWidth="1"/>
    <col min="29" max="29" width="40.5703125" style="1" bestFit="1" customWidth="1"/>
    <col min="30" max="30" width="26.140625" style="1" bestFit="1" customWidth="1"/>
    <col min="31" max="31" width="24" style="1" bestFit="1" customWidth="1"/>
    <col min="32" max="32" width="23.28515625" style="1" bestFit="1" customWidth="1"/>
    <col min="33" max="33" width="14.57031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1">
        <v>5</v>
      </c>
      <c r="B2" s="1" t="s">
        <v>56</v>
      </c>
      <c r="C2" s="1" t="s">
        <v>51</v>
      </c>
      <c r="D2" s="1" t="s">
        <v>57</v>
      </c>
      <c r="E2" s="1" t="s">
        <v>53</v>
      </c>
      <c r="F2" s="3">
        <v>46161</v>
      </c>
      <c r="G2" s="3">
        <v>46161</v>
      </c>
      <c r="H2" s="4">
        <v>1</v>
      </c>
      <c r="I2" s="3">
        <v>46161</v>
      </c>
      <c r="K2" s="1" t="s">
        <v>58</v>
      </c>
      <c r="L2" s="1" t="s">
        <v>59</v>
      </c>
      <c r="M2" s="1" t="s">
        <v>44</v>
      </c>
      <c r="N2" s="2">
        <v>46161</v>
      </c>
      <c r="P2" s="1" t="s">
        <v>49</v>
      </c>
      <c r="Q2" s="1" t="s">
        <v>45</v>
      </c>
      <c r="R2" s="1" t="s">
        <v>55</v>
      </c>
      <c r="S2" s="2">
        <v>46161</v>
      </c>
      <c r="T2" s="2">
        <v>46161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hidden="1" x14ac:dyDescent="0.25">
      <c r="A3" s="1">
        <v>6</v>
      </c>
      <c r="B3" s="1" t="s">
        <v>60</v>
      </c>
      <c r="C3" s="1" t="s">
        <v>51</v>
      </c>
      <c r="D3" s="1" t="s">
        <v>61</v>
      </c>
      <c r="E3" s="1" t="s">
        <v>53</v>
      </c>
      <c r="F3" s="3">
        <v>46164</v>
      </c>
      <c r="G3" s="3">
        <v>46164</v>
      </c>
      <c r="H3" s="4">
        <v>1</v>
      </c>
      <c r="I3" s="3">
        <v>46164</v>
      </c>
      <c r="K3" s="1">
        <v>206</v>
      </c>
      <c r="L3" s="1" t="s">
        <v>59</v>
      </c>
      <c r="M3" s="1" t="s">
        <v>62</v>
      </c>
      <c r="N3" s="2">
        <v>46164</v>
      </c>
      <c r="P3" s="1" t="s">
        <v>49</v>
      </c>
      <c r="Q3" s="1" t="s">
        <v>45</v>
      </c>
      <c r="R3" s="1" t="s">
        <v>55</v>
      </c>
      <c r="S3" s="2">
        <v>46164</v>
      </c>
      <c r="T3" s="2">
        <v>46164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hidden="1" x14ac:dyDescent="0.25">
      <c r="A4" s="1">
        <v>7</v>
      </c>
      <c r="B4" s="1" t="s">
        <v>63</v>
      </c>
      <c r="C4" s="1" t="s">
        <v>51</v>
      </c>
      <c r="D4" s="1" t="s">
        <v>64</v>
      </c>
      <c r="E4" s="1" t="s">
        <v>53</v>
      </c>
      <c r="F4" s="3">
        <v>46178</v>
      </c>
      <c r="G4" s="3">
        <v>46178</v>
      </c>
      <c r="H4" s="4">
        <v>1</v>
      </c>
      <c r="I4" s="3">
        <v>46178</v>
      </c>
      <c r="K4" s="1">
        <v>408</v>
      </c>
      <c r="L4" s="1" t="s">
        <v>59</v>
      </c>
      <c r="M4" s="1" t="s">
        <v>62</v>
      </c>
      <c r="N4" s="2">
        <v>46164</v>
      </c>
      <c r="P4" s="1" t="s">
        <v>49</v>
      </c>
      <c r="Q4" s="1" t="s">
        <v>65</v>
      </c>
      <c r="R4" s="1" t="s">
        <v>55</v>
      </c>
      <c r="S4" s="2">
        <v>46164</v>
      </c>
      <c r="T4" s="2">
        <v>46164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idden="1" x14ac:dyDescent="0.25">
      <c r="A5" s="1">
        <v>11</v>
      </c>
      <c r="B5" s="1" t="s">
        <v>72</v>
      </c>
      <c r="C5" s="1" t="s">
        <v>73</v>
      </c>
      <c r="D5" s="1" t="s">
        <v>74</v>
      </c>
      <c r="E5" s="1" t="s">
        <v>75</v>
      </c>
      <c r="F5" s="3">
        <v>46139</v>
      </c>
      <c r="G5" s="3">
        <v>46139</v>
      </c>
      <c r="H5" s="4">
        <v>1</v>
      </c>
      <c r="I5" s="3">
        <v>46139</v>
      </c>
      <c r="K5" s="1" t="s">
        <v>76</v>
      </c>
      <c r="L5" s="1" t="s">
        <v>59</v>
      </c>
      <c r="M5" s="1" t="s">
        <v>36</v>
      </c>
      <c r="N5" s="2">
        <v>46139</v>
      </c>
      <c r="P5" s="1" t="s">
        <v>37</v>
      </c>
      <c r="Q5" s="1" t="s">
        <v>38</v>
      </c>
      <c r="R5" s="1" t="s">
        <v>55</v>
      </c>
      <c r="S5" s="2">
        <v>46139</v>
      </c>
      <c r="T5" s="2">
        <v>46139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idden="1" x14ac:dyDescent="0.25">
      <c r="A6" s="1">
        <v>12</v>
      </c>
      <c r="B6" s="1" t="s">
        <v>77</v>
      </c>
      <c r="C6" s="1" t="s">
        <v>73</v>
      </c>
      <c r="D6" s="1" t="s">
        <v>78</v>
      </c>
      <c r="E6" s="1" t="s">
        <v>79</v>
      </c>
      <c r="F6" s="3">
        <v>46141</v>
      </c>
      <c r="G6" s="3">
        <v>46141</v>
      </c>
      <c r="H6" s="4">
        <v>1</v>
      </c>
      <c r="I6" s="3">
        <v>46141</v>
      </c>
      <c r="L6" s="1" t="s">
        <v>59</v>
      </c>
      <c r="M6" s="1" t="s">
        <v>80</v>
      </c>
      <c r="N6" s="2">
        <v>46141</v>
      </c>
      <c r="P6" s="1" t="s">
        <v>81</v>
      </c>
      <c r="Q6" s="1" t="s">
        <v>38</v>
      </c>
      <c r="R6" s="1" t="s">
        <v>55</v>
      </c>
      <c r="S6" s="2">
        <v>46141</v>
      </c>
      <c r="T6" s="2">
        <v>46141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hidden="1" x14ac:dyDescent="0.25">
      <c r="A7" s="1">
        <v>13</v>
      </c>
      <c r="B7" s="1" t="s">
        <v>82</v>
      </c>
      <c r="C7" s="1" t="s">
        <v>83</v>
      </c>
      <c r="D7" s="1" t="s">
        <v>84</v>
      </c>
      <c r="E7" s="1" t="s">
        <v>75</v>
      </c>
      <c r="F7" s="3">
        <v>46141</v>
      </c>
      <c r="G7" s="3">
        <v>46141</v>
      </c>
      <c r="H7" s="4">
        <v>1</v>
      </c>
      <c r="I7" s="3">
        <v>46141</v>
      </c>
      <c r="L7" s="1" t="s">
        <v>59</v>
      </c>
      <c r="M7" s="1" t="s">
        <v>80</v>
      </c>
      <c r="N7" s="2">
        <v>46141</v>
      </c>
      <c r="P7" s="1" t="s">
        <v>81</v>
      </c>
      <c r="Q7" s="1" t="s">
        <v>38</v>
      </c>
      <c r="R7" s="1" t="s">
        <v>55</v>
      </c>
      <c r="S7" s="2">
        <v>46141</v>
      </c>
      <c r="T7" s="2">
        <v>46141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hidden="1" x14ac:dyDescent="0.25">
      <c r="A8" s="1">
        <v>14</v>
      </c>
      <c r="B8" s="1" t="s">
        <v>85</v>
      </c>
      <c r="C8" s="1" t="s">
        <v>73</v>
      </c>
      <c r="D8" s="1" t="s">
        <v>86</v>
      </c>
      <c r="E8" s="1" t="s">
        <v>87</v>
      </c>
      <c r="F8" s="3">
        <v>46139</v>
      </c>
      <c r="G8" s="3">
        <v>46174</v>
      </c>
      <c r="H8" s="4">
        <v>1</v>
      </c>
      <c r="I8" s="3">
        <v>46174</v>
      </c>
      <c r="L8" s="1" t="s">
        <v>59</v>
      </c>
      <c r="M8" s="1" t="s">
        <v>36</v>
      </c>
      <c r="N8" s="2">
        <v>46161</v>
      </c>
      <c r="P8" s="1" t="s">
        <v>88</v>
      </c>
      <c r="Q8" s="1" t="s">
        <v>38</v>
      </c>
      <c r="R8" s="1" t="s">
        <v>55</v>
      </c>
      <c r="S8" s="2">
        <v>46139</v>
      </c>
      <c r="T8" s="2">
        <v>46161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hidden="1" x14ac:dyDescent="0.25">
      <c r="A9" s="1">
        <v>15</v>
      </c>
      <c r="B9" s="1" t="s">
        <v>89</v>
      </c>
      <c r="C9" s="1" t="s">
        <v>90</v>
      </c>
      <c r="D9" s="1" t="s">
        <v>91</v>
      </c>
      <c r="E9" s="1" t="s">
        <v>43</v>
      </c>
      <c r="F9" s="3">
        <v>46139</v>
      </c>
      <c r="G9" s="3">
        <v>46170</v>
      </c>
      <c r="H9" s="4">
        <v>1</v>
      </c>
      <c r="I9" s="3">
        <v>46170</v>
      </c>
      <c r="L9" s="1" t="s">
        <v>59</v>
      </c>
      <c r="M9" s="1" t="s">
        <v>36</v>
      </c>
      <c r="N9" s="2">
        <v>46161</v>
      </c>
      <c r="P9" s="1" t="s">
        <v>88</v>
      </c>
      <c r="Q9" s="1" t="s">
        <v>38</v>
      </c>
      <c r="R9" s="1" t="s">
        <v>55</v>
      </c>
      <c r="S9" s="2">
        <v>46139</v>
      </c>
      <c r="T9" s="2">
        <v>46161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16</v>
      </c>
      <c r="B10" s="1" t="s">
        <v>92</v>
      </c>
      <c r="C10" s="1" t="s">
        <v>93</v>
      </c>
      <c r="D10" s="1" t="s">
        <v>94</v>
      </c>
      <c r="E10" s="1" t="s">
        <v>95</v>
      </c>
      <c r="F10" s="3">
        <v>46139</v>
      </c>
      <c r="G10" s="3">
        <v>46141</v>
      </c>
      <c r="H10" s="4">
        <v>1</v>
      </c>
      <c r="I10" s="3">
        <v>46141</v>
      </c>
      <c r="J10" s="1">
        <v>11</v>
      </c>
      <c r="K10" s="1" t="s">
        <v>96</v>
      </c>
      <c r="L10" s="1" t="s">
        <v>59</v>
      </c>
      <c r="M10" s="1" t="s">
        <v>36</v>
      </c>
      <c r="N10" s="2">
        <v>46141</v>
      </c>
      <c r="P10" s="1" t="s">
        <v>88</v>
      </c>
      <c r="Q10" s="1" t="s">
        <v>38</v>
      </c>
      <c r="R10" s="1" t="s">
        <v>55</v>
      </c>
      <c r="S10" s="2">
        <v>46139</v>
      </c>
      <c r="T10" s="2">
        <v>46141</v>
      </c>
      <c r="V10" s="1">
        <v>1</v>
      </c>
      <c r="W10" s="1">
        <v>1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</row>
    <row r="11" spans="1:33" hidden="1" x14ac:dyDescent="0.25">
      <c r="A11" s="1">
        <v>17</v>
      </c>
      <c r="B11" s="1" t="s">
        <v>97</v>
      </c>
      <c r="C11" s="1" t="s">
        <v>93</v>
      </c>
      <c r="D11" s="1" t="s">
        <v>98</v>
      </c>
      <c r="E11" s="1" t="s">
        <v>53</v>
      </c>
      <c r="F11" s="3">
        <v>46142</v>
      </c>
      <c r="G11" s="3">
        <v>46142</v>
      </c>
      <c r="H11" s="4">
        <v>1</v>
      </c>
      <c r="I11" s="3">
        <v>46142</v>
      </c>
      <c r="J11" s="1">
        <v>16</v>
      </c>
      <c r="K11" s="1" t="s">
        <v>99</v>
      </c>
      <c r="L11" s="1" t="s">
        <v>59</v>
      </c>
      <c r="M11" s="1" t="s">
        <v>100</v>
      </c>
      <c r="N11" s="2">
        <v>46142</v>
      </c>
      <c r="P11" s="1" t="s">
        <v>88</v>
      </c>
      <c r="Q11" s="1" t="s">
        <v>38</v>
      </c>
      <c r="R11" s="1" t="s">
        <v>55</v>
      </c>
      <c r="S11" s="2">
        <v>46142</v>
      </c>
      <c r="T11" s="2">
        <v>46142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idden="1" x14ac:dyDescent="0.25">
      <c r="A12" s="1">
        <v>18</v>
      </c>
      <c r="B12" s="1" t="s">
        <v>101</v>
      </c>
      <c r="C12" s="1" t="s">
        <v>93</v>
      </c>
      <c r="D12" s="1" t="s">
        <v>102</v>
      </c>
      <c r="E12" s="1" t="s">
        <v>103</v>
      </c>
      <c r="F12" s="3">
        <v>46148</v>
      </c>
      <c r="G12" s="3">
        <v>46155</v>
      </c>
      <c r="H12" s="4">
        <v>1</v>
      </c>
      <c r="I12" s="3">
        <v>46155</v>
      </c>
      <c r="J12" s="1" t="s">
        <v>104</v>
      </c>
      <c r="K12" s="1" t="s">
        <v>105</v>
      </c>
      <c r="L12" s="1" t="s">
        <v>59</v>
      </c>
      <c r="M12" s="1" t="s">
        <v>106</v>
      </c>
      <c r="N12" s="2">
        <v>46155</v>
      </c>
      <c r="P12" s="1" t="s">
        <v>88</v>
      </c>
      <c r="Q12" s="1" t="s">
        <v>38</v>
      </c>
      <c r="R12" s="1" t="s">
        <v>55</v>
      </c>
      <c r="S12" s="2">
        <v>46148</v>
      </c>
      <c r="T12" s="2">
        <v>46155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</row>
    <row r="13" spans="1:33" hidden="1" x14ac:dyDescent="0.25">
      <c r="A13" s="1">
        <v>19</v>
      </c>
      <c r="B13" s="1" t="s">
        <v>107</v>
      </c>
      <c r="C13" s="1" t="s">
        <v>93</v>
      </c>
      <c r="D13" s="1" t="s">
        <v>108</v>
      </c>
      <c r="E13" s="1" t="s">
        <v>53</v>
      </c>
      <c r="F13" s="3">
        <v>46170</v>
      </c>
      <c r="G13" s="3">
        <v>46170</v>
      </c>
      <c r="H13" s="4">
        <v>1</v>
      </c>
      <c r="I13" s="3">
        <v>46170</v>
      </c>
      <c r="J13" s="1" t="s">
        <v>109</v>
      </c>
      <c r="L13" s="1" t="s">
        <v>59</v>
      </c>
      <c r="M13" s="1" t="s">
        <v>44</v>
      </c>
      <c r="N13" s="2">
        <v>46161</v>
      </c>
      <c r="P13" s="1" t="s">
        <v>88</v>
      </c>
      <c r="Q13" s="1" t="s">
        <v>110</v>
      </c>
      <c r="R13" s="1" t="s">
        <v>55</v>
      </c>
      <c r="S13" s="2">
        <v>46161</v>
      </c>
      <c r="T13" s="2">
        <v>46161</v>
      </c>
      <c r="V13" s="1">
        <v>1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</row>
    <row r="14" spans="1:33" hidden="1" x14ac:dyDescent="0.25">
      <c r="A14" s="1">
        <v>20</v>
      </c>
      <c r="B14" s="1" t="s">
        <v>111</v>
      </c>
      <c r="C14" s="1" t="s">
        <v>90</v>
      </c>
      <c r="D14" s="1" t="s">
        <v>112</v>
      </c>
      <c r="E14" s="1" t="s">
        <v>113</v>
      </c>
      <c r="F14" s="3">
        <v>46142</v>
      </c>
      <c r="G14" s="3">
        <v>46174</v>
      </c>
      <c r="H14" s="4">
        <v>1</v>
      </c>
      <c r="I14" s="3">
        <v>46174</v>
      </c>
      <c r="L14" s="1" t="s">
        <v>59</v>
      </c>
      <c r="M14" s="1" t="s">
        <v>100</v>
      </c>
      <c r="N14" s="2">
        <v>46161</v>
      </c>
      <c r="P14" s="1" t="s">
        <v>88</v>
      </c>
      <c r="Q14" s="1" t="s">
        <v>38</v>
      </c>
      <c r="R14" s="1" t="s">
        <v>55</v>
      </c>
      <c r="S14" s="2">
        <v>46142</v>
      </c>
      <c r="T14" s="2">
        <v>46161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21</v>
      </c>
      <c r="B15" s="1" t="s">
        <v>114</v>
      </c>
      <c r="C15" s="1" t="s">
        <v>115</v>
      </c>
      <c r="D15" s="1" t="s">
        <v>94</v>
      </c>
      <c r="E15" s="1" t="s">
        <v>95</v>
      </c>
      <c r="F15" s="3">
        <v>46142</v>
      </c>
      <c r="G15" s="3">
        <v>46146</v>
      </c>
      <c r="H15" s="4">
        <v>1</v>
      </c>
      <c r="I15" s="3">
        <v>46146</v>
      </c>
      <c r="J15" s="1">
        <v>16</v>
      </c>
      <c r="K15" s="1" t="s">
        <v>116</v>
      </c>
      <c r="L15" s="1" t="s">
        <v>59</v>
      </c>
      <c r="M15" s="1" t="s">
        <v>100</v>
      </c>
      <c r="N15" s="2">
        <v>46146</v>
      </c>
      <c r="P15" s="1" t="s">
        <v>88</v>
      </c>
      <c r="Q15" s="1" t="s">
        <v>38</v>
      </c>
      <c r="R15" s="1" t="s">
        <v>55</v>
      </c>
      <c r="S15" s="2">
        <v>46142</v>
      </c>
      <c r="T15" s="2">
        <v>46146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</row>
    <row r="16" spans="1:33" hidden="1" x14ac:dyDescent="0.25">
      <c r="A16" s="1">
        <v>22</v>
      </c>
      <c r="B16" s="1" t="s">
        <v>117</v>
      </c>
      <c r="C16" s="1" t="s">
        <v>115</v>
      </c>
      <c r="D16" s="1" t="s">
        <v>98</v>
      </c>
      <c r="E16" s="1" t="s">
        <v>53</v>
      </c>
      <c r="F16" s="3">
        <v>46147</v>
      </c>
      <c r="G16" s="3">
        <v>46147</v>
      </c>
      <c r="H16" s="4">
        <v>1</v>
      </c>
      <c r="I16" s="3">
        <v>46147</v>
      </c>
      <c r="J16" s="1">
        <v>21</v>
      </c>
      <c r="K16" s="1" t="s">
        <v>118</v>
      </c>
      <c r="L16" s="1" t="s">
        <v>59</v>
      </c>
      <c r="M16" s="1" t="s">
        <v>119</v>
      </c>
      <c r="N16" s="2">
        <v>46147</v>
      </c>
      <c r="P16" s="1" t="s">
        <v>88</v>
      </c>
      <c r="Q16" s="1" t="s">
        <v>38</v>
      </c>
      <c r="R16" s="1" t="s">
        <v>55</v>
      </c>
      <c r="S16" s="2">
        <v>46147</v>
      </c>
      <c r="T16" s="2">
        <v>46147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hidden="1" x14ac:dyDescent="0.25">
      <c r="A17" s="1">
        <v>23</v>
      </c>
      <c r="B17" s="1" t="s">
        <v>120</v>
      </c>
      <c r="C17" s="1" t="s">
        <v>115</v>
      </c>
      <c r="D17" s="1" t="s">
        <v>102</v>
      </c>
      <c r="E17" s="1" t="s">
        <v>121</v>
      </c>
      <c r="F17" s="3">
        <v>46155</v>
      </c>
      <c r="G17" s="3">
        <v>46160</v>
      </c>
      <c r="H17" s="4">
        <v>1</v>
      </c>
      <c r="I17" s="3">
        <v>46160</v>
      </c>
      <c r="J17" s="1" t="s">
        <v>122</v>
      </c>
      <c r="K17" s="1" t="s">
        <v>123</v>
      </c>
      <c r="L17" s="1" t="s">
        <v>59</v>
      </c>
      <c r="M17" s="1" t="s">
        <v>124</v>
      </c>
      <c r="N17" s="2">
        <v>46160</v>
      </c>
      <c r="P17" s="1" t="s">
        <v>88</v>
      </c>
      <c r="Q17" s="1" t="s">
        <v>125</v>
      </c>
      <c r="R17" s="1" t="s">
        <v>55</v>
      </c>
      <c r="S17" s="2">
        <v>46155</v>
      </c>
      <c r="T17" s="2">
        <v>46160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</row>
    <row r="18" spans="1:33" hidden="1" x14ac:dyDescent="0.25">
      <c r="A18" s="1">
        <v>24</v>
      </c>
      <c r="B18" s="1" t="s">
        <v>126</v>
      </c>
      <c r="C18" s="1" t="s">
        <v>115</v>
      </c>
      <c r="D18" s="1" t="s">
        <v>108</v>
      </c>
      <c r="E18" s="1" t="s">
        <v>53</v>
      </c>
      <c r="F18" s="3">
        <v>46171</v>
      </c>
      <c r="G18" s="3">
        <v>46174</v>
      </c>
      <c r="H18" s="4">
        <v>1</v>
      </c>
      <c r="I18" s="3">
        <v>46174</v>
      </c>
      <c r="J18" s="1" t="s">
        <v>127</v>
      </c>
      <c r="L18" s="1" t="s">
        <v>59</v>
      </c>
      <c r="M18" s="1" t="s">
        <v>128</v>
      </c>
      <c r="N18" s="2">
        <v>46161</v>
      </c>
      <c r="P18" s="1" t="s">
        <v>88</v>
      </c>
      <c r="Q18" s="1" t="s">
        <v>110</v>
      </c>
      <c r="R18" s="1" t="s">
        <v>55</v>
      </c>
      <c r="S18" s="2">
        <v>46160</v>
      </c>
      <c r="T18" s="2">
        <v>46161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</row>
    <row r="19" spans="1:33" x14ac:dyDescent="0.25">
      <c r="A19" s="1">
        <v>47</v>
      </c>
      <c r="B19" s="1" t="s">
        <v>166</v>
      </c>
      <c r="C19" s="1" t="s">
        <v>167</v>
      </c>
      <c r="D19" s="1" t="s">
        <v>94</v>
      </c>
      <c r="E19" s="1" t="s">
        <v>95</v>
      </c>
      <c r="F19" s="3">
        <v>46139</v>
      </c>
      <c r="G19" s="3">
        <v>46141</v>
      </c>
      <c r="H19" s="4">
        <v>1</v>
      </c>
      <c r="I19" s="3">
        <v>46141</v>
      </c>
      <c r="J19" s="1">
        <v>11</v>
      </c>
      <c r="K19" s="1">
        <v>48</v>
      </c>
      <c r="L19" s="1" t="s">
        <v>59</v>
      </c>
      <c r="M19" s="1" t="s">
        <v>36</v>
      </c>
      <c r="N19" s="2">
        <v>46141</v>
      </c>
      <c r="P19" s="1" t="s">
        <v>132</v>
      </c>
      <c r="Q19" s="1" t="s">
        <v>38</v>
      </c>
      <c r="R19" s="1" t="s">
        <v>55</v>
      </c>
      <c r="S19" s="2">
        <v>46139</v>
      </c>
      <c r="T19" s="2">
        <v>46141</v>
      </c>
      <c r="V19" s="1">
        <v>1</v>
      </c>
      <c r="W19" s="1">
        <v>1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</row>
    <row r="20" spans="1:33" hidden="1" x14ac:dyDescent="0.25">
      <c r="A20" s="1">
        <v>48</v>
      </c>
      <c r="B20" s="1" t="s">
        <v>168</v>
      </c>
      <c r="C20" s="1" t="s">
        <v>167</v>
      </c>
      <c r="D20" s="1" t="s">
        <v>98</v>
      </c>
      <c r="E20" s="1" t="s">
        <v>53</v>
      </c>
      <c r="F20" s="3">
        <v>46142</v>
      </c>
      <c r="G20" s="3">
        <v>46142</v>
      </c>
      <c r="H20" s="4">
        <v>1</v>
      </c>
      <c r="I20" s="3">
        <v>46142</v>
      </c>
      <c r="J20" s="1">
        <v>47</v>
      </c>
      <c r="K20" s="1" t="s">
        <v>169</v>
      </c>
      <c r="L20" s="1" t="s">
        <v>59</v>
      </c>
      <c r="M20" s="1" t="s">
        <v>100</v>
      </c>
      <c r="N20" s="2">
        <v>46142</v>
      </c>
      <c r="P20" s="1" t="s">
        <v>132</v>
      </c>
      <c r="Q20" s="1" t="s">
        <v>38</v>
      </c>
      <c r="R20" s="1" t="s">
        <v>55</v>
      </c>
      <c r="S20" s="2">
        <v>46142</v>
      </c>
      <c r="T20" s="2">
        <v>46142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x14ac:dyDescent="0.25">
      <c r="A21" s="1">
        <v>63</v>
      </c>
      <c r="B21" s="1" t="s">
        <v>182</v>
      </c>
      <c r="C21" s="1" t="s">
        <v>183</v>
      </c>
      <c r="D21" s="1" t="s">
        <v>94</v>
      </c>
      <c r="E21" s="1" t="s">
        <v>53</v>
      </c>
      <c r="F21" s="3">
        <v>46191</v>
      </c>
      <c r="G21" s="3">
        <v>46191</v>
      </c>
      <c r="H21" s="4">
        <v>1</v>
      </c>
      <c r="I21" s="3">
        <v>46191</v>
      </c>
      <c r="J21" s="1" t="s">
        <v>184</v>
      </c>
      <c r="K21" s="1" t="s">
        <v>185</v>
      </c>
      <c r="L21" s="1" t="s">
        <v>59</v>
      </c>
      <c r="M21" s="1" t="s">
        <v>44</v>
      </c>
      <c r="N21" s="2">
        <v>46161</v>
      </c>
      <c r="P21" s="1" t="s">
        <v>178</v>
      </c>
      <c r="Q21" s="1" t="s">
        <v>138</v>
      </c>
      <c r="R21" s="1" t="s">
        <v>55</v>
      </c>
      <c r="S21" s="2">
        <v>46161</v>
      </c>
      <c r="T21" s="2">
        <v>46161</v>
      </c>
      <c r="V21" s="1">
        <v>1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</row>
    <row r="22" spans="1:33" hidden="1" x14ac:dyDescent="0.25">
      <c r="A22" s="1">
        <v>64</v>
      </c>
      <c r="B22" s="1" t="s">
        <v>186</v>
      </c>
      <c r="C22" s="1" t="s">
        <v>183</v>
      </c>
      <c r="D22" s="1" t="s">
        <v>98</v>
      </c>
      <c r="E22" s="1" t="s">
        <v>53</v>
      </c>
      <c r="F22" s="3">
        <v>46192</v>
      </c>
      <c r="G22" s="3">
        <v>46192</v>
      </c>
      <c r="H22" s="4">
        <v>1</v>
      </c>
      <c r="I22" s="3">
        <v>46192</v>
      </c>
      <c r="J22" s="1">
        <v>63</v>
      </c>
      <c r="K22" s="1">
        <v>65</v>
      </c>
      <c r="L22" s="1" t="s">
        <v>59</v>
      </c>
      <c r="M22" s="1" t="s">
        <v>187</v>
      </c>
      <c r="N22" s="2">
        <v>46162</v>
      </c>
      <c r="P22" s="1" t="s">
        <v>178</v>
      </c>
      <c r="Q22" s="1" t="s">
        <v>138</v>
      </c>
      <c r="R22" s="1" t="s">
        <v>55</v>
      </c>
      <c r="S22" s="2">
        <v>46162</v>
      </c>
      <c r="T22" s="2">
        <v>46162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hidden="1" x14ac:dyDescent="0.25">
      <c r="A23" s="1">
        <v>78</v>
      </c>
      <c r="B23" s="1" t="s">
        <v>198</v>
      </c>
      <c r="C23" s="1" t="s">
        <v>199</v>
      </c>
      <c r="D23" s="1" t="s">
        <v>200</v>
      </c>
      <c r="E23" s="1" t="s">
        <v>201</v>
      </c>
      <c r="F23" s="3">
        <v>46168</v>
      </c>
      <c r="G23" s="3">
        <v>46175</v>
      </c>
      <c r="H23" s="4">
        <v>1</v>
      </c>
      <c r="I23" s="3">
        <v>46175</v>
      </c>
      <c r="L23" s="1" t="s">
        <v>59</v>
      </c>
      <c r="M23" s="1" t="s">
        <v>44</v>
      </c>
      <c r="N23" s="2">
        <v>46168</v>
      </c>
      <c r="P23" s="1" t="s">
        <v>197</v>
      </c>
      <c r="Q23" s="1" t="s">
        <v>110</v>
      </c>
      <c r="R23" s="1" t="s">
        <v>55</v>
      </c>
      <c r="S23" s="2">
        <v>46161</v>
      </c>
      <c r="T23" s="2">
        <v>46168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">
        <v>79</v>
      </c>
      <c r="B24" s="1" t="s">
        <v>202</v>
      </c>
      <c r="C24" s="1" t="s">
        <v>203</v>
      </c>
      <c r="D24" s="1" t="s">
        <v>94</v>
      </c>
      <c r="E24" s="1" t="s">
        <v>121</v>
      </c>
      <c r="F24" s="3">
        <v>46168</v>
      </c>
      <c r="G24" s="3">
        <v>46169</v>
      </c>
      <c r="H24" s="4">
        <v>1</v>
      </c>
      <c r="I24" s="3">
        <v>46169</v>
      </c>
      <c r="J24" s="1" t="s">
        <v>204</v>
      </c>
      <c r="K24" s="1" t="s">
        <v>205</v>
      </c>
      <c r="L24" s="1" t="s">
        <v>59</v>
      </c>
      <c r="M24" s="1" t="s">
        <v>44</v>
      </c>
      <c r="N24" s="2">
        <v>46162</v>
      </c>
      <c r="P24" s="1" t="s">
        <v>197</v>
      </c>
      <c r="Q24" s="1" t="s">
        <v>110</v>
      </c>
      <c r="R24" s="1" t="s">
        <v>55</v>
      </c>
      <c r="S24" s="2">
        <v>46161</v>
      </c>
      <c r="T24" s="2">
        <v>46162</v>
      </c>
      <c r="V24" s="1">
        <v>1</v>
      </c>
      <c r="W24" s="1">
        <v>1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</v>
      </c>
    </row>
    <row r="25" spans="1:33" hidden="1" x14ac:dyDescent="0.25">
      <c r="A25" s="1">
        <v>80</v>
      </c>
      <c r="B25" s="1" t="s">
        <v>206</v>
      </c>
      <c r="C25" s="1" t="s">
        <v>203</v>
      </c>
      <c r="D25" s="1" t="s">
        <v>98</v>
      </c>
      <c r="E25" s="1" t="s">
        <v>53</v>
      </c>
      <c r="F25" s="3">
        <v>46170</v>
      </c>
      <c r="G25" s="3">
        <v>46170</v>
      </c>
      <c r="H25" s="4">
        <v>1</v>
      </c>
      <c r="I25" s="3">
        <v>46170</v>
      </c>
      <c r="J25" s="1">
        <v>79</v>
      </c>
      <c r="K25" s="1">
        <v>81</v>
      </c>
      <c r="L25" s="1" t="s">
        <v>59</v>
      </c>
      <c r="M25" s="1" t="s">
        <v>190</v>
      </c>
      <c r="N25" s="2">
        <v>46163</v>
      </c>
      <c r="P25" s="1" t="s">
        <v>197</v>
      </c>
      <c r="Q25" s="1" t="s">
        <v>110</v>
      </c>
      <c r="R25" s="1" t="s">
        <v>55</v>
      </c>
      <c r="S25" s="2">
        <v>46163</v>
      </c>
      <c r="T25" s="2">
        <v>46163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hidden="1" x14ac:dyDescent="0.25">
      <c r="A26" s="1">
        <v>81</v>
      </c>
      <c r="B26" s="1" t="s">
        <v>207</v>
      </c>
      <c r="C26" s="1" t="s">
        <v>203</v>
      </c>
      <c r="D26" s="1" t="s">
        <v>102</v>
      </c>
      <c r="E26" s="1" t="s">
        <v>121</v>
      </c>
      <c r="F26" s="3">
        <v>46171</v>
      </c>
      <c r="G26" s="3">
        <v>46174</v>
      </c>
      <c r="H26" s="4">
        <v>1</v>
      </c>
      <c r="I26" s="3">
        <v>46174</v>
      </c>
      <c r="J26" s="1">
        <v>80</v>
      </c>
      <c r="K26" s="1" t="s">
        <v>208</v>
      </c>
      <c r="L26" s="1" t="s">
        <v>59</v>
      </c>
      <c r="M26" s="1" t="s">
        <v>62</v>
      </c>
      <c r="N26" s="2">
        <v>46167</v>
      </c>
      <c r="P26" s="1" t="s">
        <v>197</v>
      </c>
      <c r="Q26" s="1" t="s">
        <v>110</v>
      </c>
      <c r="R26" s="1" t="s">
        <v>55</v>
      </c>
      <c r="S26" s="2">
        <v>46164</v>
      </c>
      <c r="T26" s="2">
        <v>46167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</row>
    <row r="27" spans="1:33" hidden="1" x14ac:dyDescent="0.25">
      <c r="A27" s="1">
        <v>82</v>
      </c>
      <c r="B27" s="1" t="s">
        <v>209</v>
      </c>
      <c r="C27" s="1" t="s">
        <v>203</v>
      </c>
      <c r="D27" s="1" t="s">
        <v>108</v>
      </c>
      <c r="E27" s="1" t="s">
        <v>53</v>
      </c>
      <c r="F27" s="3">
        <v>46175</v>
      </c>
      <c r="G27" s="3">
        <v>46175</v>
      </c>
      <c r="H27" s="4">
        <v>1</v>
      </c>
      <c r="I27" s="3">
        <v>46175</v>
      </c>
      <c r="J27" s="1">
        <v>81</v>
      </c>
      <c r="L27" s="1" t="s">
        <v>59</v>
      </c>
      <c r="M27" s="1" t="s">
        <v>210</v>
      </c>
      <c r="N27" s="2">
        <v>46168</v>
      </c>
      <c r="P27" s="1" t="s">
        <v>197</v>
      </c>
      <c r="Q27" s="1" t="s">
        <v>211</v>
      </c>
      <c r="R27" s="1" t="s">
        <v>55</v>
      </c>
      <c r="S27" s="2">
        <v>46168</v>
      </c>
      <c r="T27" s="2">
        <v>46168</v>
      </c>
      <c r="V27" s="1">
        <v>1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</row>
    <row r="28" spans="1:33" x14ac:dyDescent="0.25">
      <c r="A28" s="1">
        <v>84</v>
      </c>
      <c r="B28" s="1" t="s">
        <v>214</v>
      </c>
      <c r="C28" s="1" t="s">
        <v>215</v>
      </c>
      <c r="D28" s="1" t="s">
        <v>94</v>
      </c>
      <c r="E28" s="1" t="s">
        <v>95</v>
      </c>
      <c r="F28" s="3">
        <v>46204</v>
      </c>
      <c r="G28" s="3">
        <v>46206</v>
      </c>
      <c r="H28" s="4">
        <v>1</v>
      </c>
      <c r="I28" s="3">
        <v>46206</v>
      </c>
      <c r="J28" s="1">
        <v>74</v>
      </c>
      <c r="K28" s="1">
        <v>85</v>
      </c>
      <c r="L28" s="1" t="s">
        <v>59</v>
      </c>
      <c r="M28" s="1" t="s">
        <v>145</v>
      </c>
      <c r="N28" s="2">
        <v>46174</v>
      </c>
      <c r="P28" s="1" t="s">
        <v>197</v>
      </c>
      <c r="Q28" s="1" t="s">
        <v>138</v>
      </c>
      <c r="R28" s="1" t="s">
        <v>55</v>
      </c>
      <c r="S28" s="2">
        <v>46170</v>
      </c>
      <c r="T28" s="2">
        <v>46174</v>
      </c>
      <c r="V28" s="1">
        <v>1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</row>
    <row r="29" spans="1:33" x14ac:dyDescent="0.25">
      <c r="A29" s="1">
        <v>134</v>
      </c>
      <c r="B29" s="1" t="s">
        <v>288</v>
      </c>
      <c r="C29" s="1" t="s">
        <v>289</v>
      </c>
      <c r="D29" s="1" t="s">
        <v>94</v>
      </c>
      <c r="E29" s="1" t="s">
        <v>290</v>
      </c>
      <c r="F29" s="3">
        <v>46195</v>
      </c>
      <c r="G29" s="3">
        <v>46204</v>
      </c>
      <c r="H29" s="4">
        <v>1</v>
      </c>
      <c r="I29" s="3">
        <v>46204</v>
      </c>
      <c r="J29" s="1">
        <v>185</v>
      </c>
      <c r="K29" s="1">
        <v>135</v>
      </c>
      <c r="L29" s="1" t="s">
        <v>59</v>
      </c>
      <c r="M29" s="1" t="s">
        <v>148</v>
      </c>
      <c r="N29" s="2">
        <v>46182</v>
      </c>
      <c r="P29" s="1" t="s">
        <v>197</v>
      </c>
      <c r="Q29" s="1" t="s">
        <v>138</v>
      </c>
      <c r="R29" s="1" t="s">
        <v>55</v>
      </c>
      <c r="S29" s="2">
        <v>46171</v>
      </c>
      <c r="T29" s="2">
        <v>46182</v>
      </c>
      <c r="V29" s="1">
        <v>1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</row>
    <row r="30" spans="1:33" x14ac:dyDescent="0.25">
      <c r="A30" s="1">
        <v>139</v>
      </c>
      <c r="B30" s="1" t="s">
        <v>299</v>
      </c>
      <c r="C30" s="1" t="s">
        <v>300</v>
      </c>
      <c r="D30" s="1" t="s">
        <v>94</v>
      </c>
      <c r="E30" s="1" t="s">
        <v>290</v>
      </c>
      <c r="F30" s="3">
        <v>46195</v>
      </c>
      <c r="G30" s="3">
        <v>46204</v>
      </c>
      <c r="H30" s="4">
        <v>1</v>
      </c>
      <c r="I30" s="3">
        <v>46204</v>
      </c>
      <c r="J30" s="1">
        <v>185</v>
      </c>
      <c r="K30" s="1">
        <v>140</v>
      </c>
      <c r="L30" s="1" t="s">
        <v>59</v>
      </c>
      <c r="M30" s="1" t="s">
        <v>148</v>
      </c>
      <c r="N30" s="2">
        <v>46182</v>
      </c>
      <c r="P30" s="1" t="s">
        <v>197</v>
      </c>
      <c r="Q30" s="1" t="s">
        <v>138</v>
      </c>
      <c r="R30" s="1" t="s">
        <v>55</v>
      </c>
      <c r="S30" s="2">
        <v>46171</v>
      </c>
      <c r="T30" s="2">
        <v>46182</v>
      </c>
      <c r="V30" s="1">
        <v>1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</row>
    <row r="31" spans="1:33" x14ac:dyDescent="0.25">
      <c r="A31" s="1">
        <v>144</v>
      </c>
      <c r="B31" s="1" t="s">
        <v>306</v>
      </c>
      <c r="C31" s="1" t="s">
        <v>307</v>
      </c>
      <c r="D31" s="1" t="s">
        <v>94</v>
      </c>
      <c r="E31" s="1" t="s">
        <v>290</v>
      </c>
      <c r="F31" s="3">
        <v>46195</v>
      </c>
      <c r="G31" s="3">
        <v>46204</v>
      </c>
      <c r="H31" s="4">
        <v>1</v>
      </c>
      <c r="I31" s="3">
        <v>46204</v>
      </c>
      <c r="J31" s="1">
        <v>185</v>
      </c>
      <c r="K31" s="1">
        <v>145</v>
      </c>
      <c r="L31" s="1" t="s">
        <v>59</v>
      </c>
      <c r="M31" s="1" t="s">
        <v>148</v>
      </c>
      <c r="N31" s="2">
        <v>46182</v>
      </c>
      <c r="P31" s="1" t="s">
        <v>197</v>
      </c>
      <c r="Q31" s="1" t="s">
        <v>138</v>
      </c>
      <c r="R31" s="1" t="s">
        <v>55</v>
      </c>
      <c r="S31" s="2">
        <v>46171</v>
      </c>
      <c r="T31" s="2">
        <v>46182</v>
      </c>
      <c r="V31" s="1">
        <v>1</v>
      </c>
      <c r="W31" s="1">
        <v>1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</row>
    <row r="32" spans="1:33" x14ac:dyDescent="0.25">
      <c r="A32" s="1">
        <v>149</v>
      </c>
      <c r="B32" s="1" t="s">
        <v>313</v>
      </c>
      <c r="C32" s="1" t="s">
        <v>314</v>
      </c>
      <c r="D32" s="1" t="s">
        <v>94</v>
      </c>
      <c r="E32" s="1" t="s">
        <v>290</v>
      </c>
      <c r="F32" s="3">
        <v>46195</v>
      </c>
      <c r="G32" s="3">
        <v>46204</v>
      </c>
      <c r="H32" s="4">
        <v>1</v>
      </c>
      <c r="I32" s="3">
        <v>46204</v>
      </c>
      <c r="J32" s="1">
        <v>185</v>
      </c>
      <c r="K32" s="1">
        <v>150</v>
      </c>
      <c r="L32" s="1" t="s">
        <v>59</v>
      </c>
      <c r="M32" s="1" t="s">
        <v>148</v>
      </c>
      <c r="N32" s="2">
        <v>46182</v>
      </c>
      <c r="P32" s="1" t="s">
        <v>197</v>
      </c>
      <c r="Q32" s="1" t="s">
        <v>138</v>
      </c>
      <c r="R32" s="1" t="s">
        <v>55</v>
      </c>
      <c r="S32" s="2">
        <v>46171</v>
      </c>
      <c r="T32" s="2">
        <v>46182</v>
      </c>
      <c r="V32" s="1">
        <v>1</v>
      </c>
      <c r="W32" s="1">
        <v>1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</row>
    <row r="33" spans="1:33" x14ac:dyDescent="0.25">
      <c r="A33" s="1">
        <v>154</v>
      </c>
      <c r="B33" s="1" t="s">
        <v>321</v>
      </c>
      <c r="C33" s="1" t="s">
        <v>322</v>
      </c>
      <c r="D33" s="1" t="s">
        <v>94</v>
      </c>
      <c r="E33" s="1" t="s">
        <v>290</v>
      </c>
      <c r="F33" s="3">
        <v>46195</v>
      </c>
      <c r="G33" s="3">
        <v>46204</v>
      </c>
      <c r="H33" s="4">
        <v>1</v>
      </c>
      <c r="I33" s="3">
        <v>46204</v>
      </c>
      <c r="J33" s="1">
        <v>185</v>
      </c>
      <c r="K33" s="1">
        <v>155</v>
      </c>
      <c r="L33" s="1" t="s">
        <v>59</v>
      </c>
      <c r="M33" s="1" t="s">
        <v>148</v>
      </c>
      <c r="N33" s="2">
        <v>46182</v>
      </c>
      <c r="P33" s="1" t="s">
        <v>197</v>
      </c>
      <c r="Q33" s="1" t="s">
        <v>138</v>
      </c>
      <c r="R33" s="1" t="s">
        <v>55</v>
      </c>
      <c r="S33" s="2">
        <v>46171</v>
      </c>
      <c r="T33" s="2">
        <v>46182</v>
      </c>
      <c r="V33" s="1">
        <v>1</v>
      </c>
      <c r="W33" s="1">
        <v>1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</row>
    <row r="34" spans="1:33" x14ac:dyDescent="0.25">
      <c r="A34" s="1">
        <v>159</v>
      </c>
      <c r="B34" s="1" t="s">
        <v>328</v>
      </c>
      <c r="C34" s="1" t="s">
        <v>329</v>
      </c>
      <c r="D34" s="1" t="s">
        <v>94</v>
      </c>
      <c r="E34" s="1" t="s">
        <v>290</v>
      </c>
      <c r="F34" s="3">
        <v>46195</v>
      </c>
      <c r="G34" s="3">
        <v>46204</v>
      </c>
      <c r="H34" s="4">
        <v>1</v>
      </c>
      <c r="I34" s="3">
        <v>46204</v>
      </c>
      <c r="J34" s="1">
        <v>185</v>
      </c>
      <c r="K34" s="1">
        <v>160</v>
      </c>
      <c r="L34" s="1" t="s">
        <v>59</v>
      </c>
      <c r="M34" s="1" t="s">
        <v>148</v>
      </c>
      <c r="N34" s="2">
        <v>46182</v>
      </c>
      <c r="P34" s="1" t="s">
        <v>197</v>
      </c>
      <c r="Q34" s="1" t="s">
        <v>138</v>
      </c>
      <c r="R34" s="1" t="s">
        <v>55</v>
      </c>
      <c r="S34" s="2">
        <v>46171</v>
      </c>
      <c r="T34" s="2">
        <v>46182</v>
      </c>
      <c r="V34" s="1">
        <v>1</v>
      </c>
      <c r="W34" s="1">
        <v>1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</row>
    <row r="35" spans="1:33" x14ac:dyDescent="0.25">
      <c r="A35" s="1">
        <v>164</v>
      </c>
      <c r="B35" s="1" t="s">
        <v>336</v>
      </c>
      <c r="C35" s="1" t="s">
        <v>337</v>
      </c>
      <c r="D35" s="1" t="s">
        <v>94</v>
      </c>
      <c r="E35" s="1" t="s">
        <v>338</v>
      </c>
      <c r="F35" s="3">
        <v>46174</v>
      </c>
      <c r="G35" s="3">
        <v>46189</v>
      </c>
      <c r="H35" s="4">
        <v>1</v>
      </c>
      <c r="I35" s="3">
        <v>46189</v>
      </c>
      <c r="J35" s="1">
        <v>185</v>
      </c>
      <c r="K35" s="1" t="s">
        <v>339</v>
      </c>
      <c r="L35" s="1" t="s">
        <v>59</v>
      </c>
      <c r="M35" s="1" t="s">
        <v>148</v>
      </c>
      <c r="N35" s="2">
        <v>46184</v>
      </c>
      <c r="P35" s="1" t="s">
        <v>197</v>
      </c>
      <c r="Q35" s="1" t="s">
        <v>211</v>
      </c>
      <c r="R35" s="1" t="s">
        <v>55</v>
      </c>
      <c r="S35" s="2">
        <v>46171</v>
      </c>
      <c r="T35" s="2">
        <v>46184</v>
      </c>
      <c r="V35" s="1">
        <v>1</v>
      </c>
      <c r="W35" s="1">
        <v>1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</row>
    <row r="36" spans="1:33" hidden="1" x14ac:dyDescent="0.25">
      <c r="A36" s="1">
        <v>165</v>
      </c>
      <c r="B36" s="1" t="s">
        <v>340</v>
      </c>
      <c r="C36" s="1" t="s">
        <v>337</v>
      </c>
      <c r="D36" s="1" t="s">
        <v>98</v>
      </c>
      <c r="E36" s="1" t="s">
        <v>53</v>
      </c>
      <c r="F36" s="3">
        <v>46190</v>
      </c>
      <c r="G36" s="3">
        <v>46190</v>
      </c>
      <c r="H36" s="4">
        <v>1</v>
      </c>
      <c r="I36" s="3">
        <v>46190</v>
      </c>
      <c r="J36" s="1">
        <v>164</v>
      </c>
      <c r="K36" s="1">
        <v>166</v>
      </c>
      <c r="L36" s="1" t="s">
        <v>59</v>
      </c>
      <c r="M36" s="1" t="s">
        <v>172</v>
      </c>
      <c r="N36" s="2">
        <v>46185</v>
      </c>
      <c r="P36" s="1" t="s">
        <v>197</v>
      </c>
      <c r="Q36" s="1" t="s">
        <v>138</v>
      </c>
      <c r="R36" s="1" t="s">
        <v>55</v>
      </c>
      <c r="S36" s="2">
        <v>46185</v>
      </c>
      <c r="T36" s="2">
        <v>46185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5">
      <c r="A37" s="1">
        <v>169</v>
      </c>
      <c r="B37" s="1" t="s">
        <v>346</v>
      </c>
      <c r="C37" s="1" t="s">
        <v>347</v>
      </c>
      <c r="D37" s="1" t="s">
        <v>94</v>
      </c>
      <c r="E37" s="1" t="s">
        <v>338</v>
      </c>
      <c r="F37" s="3">
        <v>46174</v>
      </c>
      <c r="G37" s="3">
        <v>46189</v>
      </c>
      <c r="H37" s="4">
        <v>1</v>
      </c>
      <c r="I37" s="3">
        <v>46189</v>
      </c>
      <c r="J37" s="1">
        <v>185</v>
      </c>
      <c r="K37" s="1" t="s">
        <v>348</v>
      </c>
      <c r="L37" s="1" t="s">
        <v>59</v>
      </c>
      <c r="M37" s="1" t="s">
        <v>148</v>
      </c>
      <c r="N37" s="2">
        <v>46184</v>
      </c>
      <c r="P37" s="1" t="s">
        <v>197</v>
      </c>
      <c r="Q37" s="1" t="s">
        <v>211</v>
      </c>
      <c r="R37" s="1" t="s">
        <v>55</v>
      </c>
      <c r="S37" s="2">
        <v>46171</v>
      </c>
      <c r="T37" s="2">
        <v>46184</v>
      </c>
      <c r="V37" s="1">
        <v>1</v>
      </c>
      <c r="W37" s="1">
        <v>1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</row>
    <row r="38" spans="1:33" x14ac:dyDescent="0.25">
      <c r="A38" s="1">
        <v>174</v>
      </c>
      <c r="B38" s="1" t="s">
        <v>354</v>
      </c>
      <c r="C38" s="1" t="s">
        <v>355</v>
      </c>
      <c r="D38" s="1" t="s">
        <v>94</v>
      </c>
      <c r="E38" s="1" t="s">
        <v>338</v>
      </c>
      <c r="F38" s="3">
        <v>46174</v>
      </c>
      <c r="G38" s="3">
        <v>46189</v>
      </c>
      <c r="H38" s="4">
        <v>1</v>
      </c>
      <c r="I38" s="3">
        <v>46189</v>
      </c>
      <c r="J38" s="1">
        <v>185</v>
      </c>
      <c r="K38" s="1" t="s">
        <v>356</v>
      </c>
      <c r="L38" s="1" t="s">
        <v>59</v>
      </c>
      <c r="M38" s="1" t="s">
        <v>148</v>
      </c>
      <c r="N38" s="2">
        <v>46184</v>
      </c>
      <c r="P38" s="1" t="s">
        <v>197</v>
      </c>
      <c r="Q38" s="1" t="s">
        <v>211</v>
      </c>
      <c r="R38" s="1" t="s">
        <v>55</v>
      </c>
      <c r="S38" s="2">
        <v>46171</v>
      </c>
      <c r="T38" s="2">
        <v>46184</v>
      </c>
      <c r="V38" s="1">
        <v>1</v>
      </c>
      <c r="W38" s="1">
        <v>1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</row>
    <row r="39" spans="1:33" hidden="1" x14ac:dyDescent="0.25">
      <c r="A39" s="1">
        <v>175</v>
      </c>
      <c r="B39" s="1" t="s">
        <v>357</v>
      </c>
      <c r="C39" s="1" t="s">
        <v>355</v>
      </c>
      <c r="D39" s="1" t="s">
        <v>98</v>
      </c>
      <c r="E39" s="1" t="s">
        <v>53</v>
      </c>
      <c r="F39" s="3">
        <v>46190</v>
      </c>
      <c r="G39" s="3">
        <v>46190</v>
      </c>
      <c r="H39" s="4">
        <v>1</v>
      </c>
      <c r="I39" s="3">
        <v>46190</v>
      </c>
      <c r="J39" s="1">
        <v>174</v>
      </c>
      <c r="K39" s="1">
        <v>176</v>
      </c>
      <c r="L39" s="1" t="s">
        <v>59</v>
      </c>
      <c r="M39" s="1" t="s">
        <v>172</v>
      </c>
      <c r="N39" s="2">
        <v>46185</v>
      </c>
      <c r="P39" s="1" t="s">
        <v>197</v>
      </c>
      <c r="Q39" s="1" t="s">
        <v>138</v>
      </c>
      <c r="R39" s="1" t="s">
        <v>55</v>
      </c>
      <c r="S39" s="2">
        <v>46185</v>
      </c>
      <c r="T39" s="2">
        <v>46185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25">
      <c r="A40" s="1">
        <v>179</v>
      </c>
      <c r="B40" s="1" t="s">
        <v>362</v>
      </c>
      <c r="C40" s="1" t="s">
        <v>363</v>
      </c>
      <c r="D40" s="1" t="s">
        <v>94</v>
      </c>
      <c r="E40" s="1" t="s">
        <v>338</v>
      </c>
      <c r="F40" s="3">
        <v>46174</v>
      </c>
      <c r="G40" s="3">
        <v>46189</v>
      </c>
      <c r="H40" s="4">
        <v>1</v>
      </c>
      <c r="I40" s="3">
        <v>46189</v>
      </c>
      <c r="J40" s="1">
        <v>185</v>
      </c>
      <c r="K40" s="1" t="s">
        <v>364</v>
      </c>
      <c r="L40" s="1" t="s">
        <v>59</v>
      </c>
      <c r="M40" s="1" t="s">
        <v>148</v>
      </c>
      <c r="N40" s="2">
        <v>46184</v>
      </c>
      <c r="P40" s="1" t="s">
        <v>197</v>
      </c>
      <c r="Q40" s="1" t="s">
        <v>211</v>
      </c>
      <c r="R40" s="1" t="s">
        <v>55</v>
      </c>
      <c r="S40" s="2">
        <v>46171</v>
      </c>
      <c r="T40" s="2">
        <v>46184</v>
      </c>
      <c r="V40" s="1">
        <v>1</v>
      </c>
      <c r="W40" s="1">
        <v>1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</row>
    <row r="41" spans="1:33" x14ac:dyDescent="0.25">
      <c r="A41" s="1">
        <v>184</v>
      </c>
      <c r="B41" s="1" t="s">
        <v>370</v>
      </c>
      <c r="C41" s="1" t="s">
        <v>371</v>
      </c>
      <c r="D41" s="1" t="s">
        <v>94</v>
      </c>
      <c r="E41" s="1" t="s">
        <v>290</v>
      </c>
      <c r="F41" s="3">
        <v>46157</v>
      </c>
      <c r="G41" s="3">
        <v>46168</v>
      </c>
      <c r="H41" s="4">
        <v>1</v>
      </c>
      <c r="I41" s="3">
        <v>46168</v>
      </c>
      <c r="J41" s="1" t="s">
        <v>372</v>
      </c>
      <c r="K41" s="1" t="s">
        <v>373</v>
      </c>
      <c r="L41" s="1" t="s">
        <v>59</v>
      </c>
      <c r="M41" s="1" t="s">
        <v>44</v>
      </c>
      <c r="N41" s="2">
        <v>46169</v>
      </c>
      <c r="P41" s="1" t="s">
        <v>197</v>
      </c>
      <c r="Q41" s="1" t="s">
        <v>125</v>
      </c>
      <c r="R41" s="1" t="s">
        <v>55</v>
      </c>
      <c r="S41" s="2">
        <v>46161</v>
      </c>
      <c r="T41" s="2">
        <v>46169</v>
      </c>
      <c r="V41" s="1">
        <v>1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</row>
    <row r="42" spans="1:33" hidden="1" x14ac:dyDescent="0.25">
      <c r="A42" s="1">
        <v>185</v>
      </c>
      <c r="B42" s="1" t="s">
        <v>374</v>
      </c>
      <c r="C42" s="1" t="s">
        <v>371</v>
      </c>
      <c r="D42" s="1" t="s">
        <v>98</v>
      </c>
      <c r="E42" s="1" t="s">
        <v>53</v>
      </c>
      <c r="F42" s="3">
        <v>46171</v>
      </c>
      <c r="G42" s="3">
        <v>46171</v>
      </c>
      <c r="H42" s="4">
        <v>1</v>
      </c>
      <c r="I42" s="3">
        <v>46171</v>
      </c>
      <c r="J42" s="1">
        <v>184</v>
      </c>
      <c r="K42" s="1" t="s">
        <v>375</v>
      </c>
      <c r="L42" s="1" t="s">
        <v>59</v>
      </c>
      <c r="M42" s="1" t="s">
        <v>145</v>
      </c>
      <c r="N42" s="2">
        <v>46170</v>
      </c>
      <c r="P42" s="1" t="s">
        <v>197</v>
      </c>
      <c r="Q42" s="1" t="s">
        <v>110</v>
      </c>
      <c r="R42" s="1" t="s">
        <v>55</v>
      </c>
      <c r="S42" s="2">
        <v>46170</v>
      </c>
      <c r="T42" s="2">
        <v>46170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25">
      <c r="A43" s="1">
        <v>189</v>
      </c>
      <c r="B43" s="1" t="s">
        <v>381</v>
      </c>
      <c r="C43" s="1" t="s">
        <v>382</v>
      </c>
      <c r="D43" s="1" t="s">
        <v>94</v>
      </c>
      <c r="E43" s="1" t="s">
        <v>95</v>
      </c>
      <c r="F43" s="3">
        <v>46190</v>
      </c>
      <c r="G43" s="3">
        <v>46192</v>
      </c>
      <c r="H43" s="4">
        <v>1</v>
      </c>
      <c r="I43" s="3">
        <v>46192</v>
      </c>
      <c r="J43" s="1" t="s">
        <v>383</v>
      </c>
      <c r="K43" s="1">
        <v>190</v>
      </c>
      <c r="L43" s="1" t="s">
        <v>59</v>
      </c>
      <c r="M43" s="1" t="s">
        <v>172</v>
      </c>
      <c r="N43" s="2">
        <v>46189</v>
      </c>
      <c r="P43" s="1" t="s">
        <v>197</v>
      </c>
      <c r="Q43" s="1" t="s">
        <v>138</v>
      </c>
      <c r="R43" s="1" t="s">
        <v>55</v>
      </c>
      <c r="S43" s="2">
        <v>46185</v>
      </c>
      <c r="T43" s="2">
        <v>46189</v>
      </c>
      <c r="V43" s="1">
        <v>1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</row>
    <row r="44" spans="1:33" x14ac:dyDescent="0.25">
      <c r="A44" s="1">
        <v>194</v>
      </c>
      <c r="B44" s="1" t="s">
        <v>390</v>
      </c>
      <c r="C44" s="1" t="s">
        <v>391</v>
      </c>
      <c r="D44" s="1" t="s">
        <v>94</v>
      </c>
      <c r="E44" s="1" t="s">
        <v>95</v>
      </c>
      <c r="F44" s="3">
        <v>46190</v>
      </c>
      <c r="G44" s="3">
        <v>46192</v>
      </c>
      <c r="H44" s="4">
        <v>1</v>
      </c>
      <c r="I44" s="3">
        <v>46192</v>
      </c>
      <c r="J44" s="1" t="s">
        <v>383</v>
      </c>
      <c r="K44" s="1">
        <v>195</v>
      </c>
      <c r="L44" s="1" t="s">
        <v>59</v>
      </c>
      <c r="M44" s="1" t="s">
        <v>172</v>
      </c>
      <c r="N44" s="2">
        <v>46189</v>
      </c>
      <c r="P44" s="1" t="s">
        <v>197</v>
      </c>
      <c r="Q44" s="1" t="s">
        <v>138</v>
      </c>
      <c r="R44" s="1" t="s">
        <v>55</v>
      </c>
      <c r="S44" s="2">
        <v>46185</v>
      </c>
      <c r="T44" s="2">
        <v>46189</v>
      </c>
      <c r="V44" s="1">
        <v>1</v>
      </c>
      <c r="W44" s="1">
        <v>1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</row>
    <row r="45" spans="1:33" x14ac:dyDescent="0.25">
      <c r="A45" s="1">
        <v>199</v>
      </c>
      <c r="B45" s="1" t="s">
        <v>397</v>
      </c>
      <c r="C45" s="1" t="s">
        <v>398</v>
      </c>
      <c r="D45" s="1" t="s">
        <v>94</v>
      </c>
      <c r="E45" s="1" t="s">
        <v>95</v>
      </c>
      <c r="F45" s="3">
        <v>46190</v>
      </c>
      <c r="G45" s="3">
        <v>46192</v>
      </c>
      <c r="H45" s="4">
        <v>1</v>
      </c>
      <c r="I45" s="3">
        <v>46192</v>
      </c>
      <c r="J45" s="1" t="s">
        <v>383</v>
      </c>
      <c r="K45" s="1">
        <v>200</v>
      </c>
      <c r="L45" s="1" t="s">
        <v>59</v>
      </c>
      <c r="M45" s="1" t="s">
        <v>172</v>
      </c>
      <c r="N45" s="2">
        <v>46189</v>
      </c>
      <c r="P45" s="1" t="s">
        <v>197</v>
      </c>
      <c r="Q45" s="1" t="s">
        <v>138</v>
      </c>
      <c r="R45" s="1" t="s">
        <v>55</v>
      </c>
      <c r="S45" s="2">
        <v>46185</v>
      </c>
      <c r="T45" s="2">
        <v>46189</v>
      </c>
      <c r="V45" s="1">
        <v>1</v>
      </c>
      <c r="W45" s="1">
        <v>1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</row>
    <row r="46" spans="1:33" x14ac:dyDescent="0.25">
      <c r="A46" s="1">
        <v>245</v>
      </c>
      <c r="B46" s="1" t="s">
        <v>429</v>
      </c>
      <c r="C46" s="1" t="s">
        <v>430</v>
      </c>
      <c r="D46" s="1" t="s">
        <v>94</v>
      </c>
      <c r="E46" s="1" t="s">
        <v>95</v>
      </c>
      <c r="F46" s="3">
        <v>46183</v>
      </c>
      <c r="G46" s="3">
        <v>46185</v>
      </c>
      <c r="H46" s="4">
        <v>1</v>
      </c>
      <c r="I46" s="3">
        <v>46185</v>
      </c>
      <c r="J46" s="1" t="s">
        <v>431</v>
      </c>
      <c r="K46" s="1" t="s">
        <v>432</v>
      </c>
      <c r="L46" s="1" t="s">
        <v>59</v>
      </c>
      <c r="M46" s="1" t="s">
        <v>187</v>
      </c>
      <c r="N46" s="2">
        <v>46163</v>
      </c>
      <c r="P46" s="1" t="s">
        <v>405</v>
      </c>
      <c r="Q46" s="1" t="s">
        <v>65</v>
      </c>
      <c r="R46" s="1" t="s">
        <v>55</v>
      </c>
      <c r="S46" s="2">
        <v>46162</v>
      </c>
      <c r="T46" s="2">
        <v>46163</v>
      </c>
      <c r="V46" s="1">
        <v>1</v>
      </c>
      <c r="W46" s="1">
        <v>1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</row>
    <row r="47" spans="1:33" hidden="1" x14ac:dyDescent="0.25">
      <c r="A47" s="1">
        <v>246</v>
      </c>
      <c r="B47" s="1" t="s">
        <v>433</v>
      </c>
      <c r="C47" s="1" t="s">
        <v>430</v>
      </c>
      <c r="D47" s="1" t="s">
        <v>98</v>
      </c>
      <c r="E47" s="1" t="s">
        <v>53</v>
      </c>
      <c r="F47" s="3">
        <v>46188</v>
      </c>
      <c r="G47" s="3">
        <v>46188</v>
      </c>
      <c r="H47" s="4">
        <v>1</v>
      </c>
      <c r="I47" s="3">
        <v>46188</v>
      </c>
      <c r="J47" s="1">
        <v>245</v>
      </c>
      <c r="K47" s="1">
        <v>247</v>
      </c>
      <c r="L47" s="1" t="s">
        <v>59</v>
      </c>
      <c r="M47" s="1" t="s">
        <v>62</v>
      </c>
      <c r="N47" s="2">
        <v>46164</v>
      </c>
      <c r="P47" s="1" t="s">
        <v>405</v>
      </c>
      <c r="Q47" s="1" t="s">
        <v>138</v>
      </c>
      <c r="R47" s="1" t="s">
        <v>55</v>
      </c>
      <c r="S47" s="2">
        <v>46164</v>
      </c>
      <c r="T47" s="2">
        <v>46164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25">
      <c r="A48" s="1">
        <v>417</v>
      </c>
      <c r="B48" s="1" t="s">
        <v>638</v>
      </c>
      <c r="C48" s="1" t="s">
        <v>639</v>
      </c>
      <c r="D48" s="1" t="s">
        <v>94</v>
      </c>
      <c r="E48" s="1" t="s">
        <v>121</v>
      </c>
      <c r="F48" s="3">
        <v>46175</v>
      </c>
      <c r="G48" s="3">
        <v>46176</v>
      </c>
      <c r="H48" s="4">
        <v>1</v>
      </c>
      <c r="I48" s="3">
        <v>46176</v>
      </c>
      <c r="J48" s="1" t="s">
        <v>640</v>
      </c>
      <c r="K48" s="1" t="s">
        <v>641</v>
      </c>
      <c r="L48" s="1" t="s">
        <v>59</v>
      </c>
      <c r="M48" s="1" t="s">
        <v>210</v>
      </c>
      <c r="N48" s="2">
        <v>46170</v>
      </c>
      <c r="P48" s="1" t="s">
        <v>633</v>
      </c>
      <c r="Q48" s="1" t="s">
        <v>211</v>
      </c>
      <c r="R48" s="1" t="s">
        <v>55</v>
      </c>
      <c r="S48" s="2">
        <v>46168</v>
      </c>
      <c r="T48" s="2">
        <v>46170</v>
      </c>
      <c r="V48" s="1">
        <v>1</v>
      </c>
      <c r="W48" s="1">
        <v>1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</row>
    <row r="49" spans="1:33" hidden="1" x14ac:dyDescent="0.25">
      <c r="A49" s="1">
        <v>418</v>
      </c>
      <c r="B49" s="1" t="s">
        <v>642</v>
      </c>
      <c r="C49" s="1" t="s">
        <v>639</v>
      </c>
      <c r="D49" s="1" t="s">
        <v>98</v>
      </c>
      <c r="E49" s="1" t="s">
        <v>53</v>
      </c>
      <c r="F49" s="3">
        <v>46182</v>
      </c>
      <c r="G49" s="3">
        <v>46182</v>
      </c>
      <c r="H49" s="4">
        <v>1</v>
      </c>
      <c r="I49" s="3">
        <v>46182</v>
      </c>
      <c r="J49" s="1">
        <v>417</v>
      </c>
      <c r="K49" s="1">
        <v>419</v>
      </c>
      <c r="L49" s="1" t="s">
        <v>59</v>
      </c>
      <c r="M49" s="1" t="s">
        <v>148</v>
      </c>
      <c r="N49" s="2">
        <v>46171</v>
      </c>
      <c r="P49" s="1" t="s">
        <v>633</v>
      </c>
      <c r="Q49" s="1" t="s">
        <v>65</v>
      </c>
      <c r="R49" s="1" t="s">
        <v>55</v>
      </c>
      <c r="S49" s="2">
        <v>46171</v>
      </c>
      <c r="T49" s="2">
        <v>46171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25">
      <c r="A50" s="1">
        <v>427</v>
      </c>
      <c r="B50" s="1" t="s">
        <v>650</v>
      </c>
      <c r="C50" s="1" t="s">
        <v>651</v>
      </c>
      <c r="D50" s="1" t="s">
        <v>94</v>
      </c>
      <c r="E50" s="1" t="s">
        <v>121</v>
      </c>
      <c r="F50" s="3">
        <v>46170</v>
      </c>
      <c r="G50" s="3">
        <v>46171</v>
      </c>
      <c r="H50" s="4">
        <v>1</v>
      </c>
      <c r="I50" s="3">
        <v>46171</v>
      </c>
      <c r="J50" s="1" t="s">
        <v>652</v>
      </c>
      <c r="K50" s="1" t="s">
        <v>653</v>
      </c>
      <c r="L50" s="1" t="s">
        <v>59</v>
      </c>
      <c r="M50" s="1" t="s">
        <v>190</v>
      </c>
      <c r="N50" s="2">
        <v>46167</v>
      </c>
      <c r="P50" s="1" t="s">
        <v>633</v>
      </c>
      <c r="Q50" s="1" t="s">
        <v>110</v>
      </c>
      <c r="R50" s="1" t="s">
        <v>55</v>
      </c>
      <c r="S50" s="2">
        <v>46163</v>
      </c>
      <c r="T50" s="2">
        <v>46167</v>
      </c>
      <c r="V50" s="1">
        <v>1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</row>
    <row r="51" spans="1:33" hidden="1" x14ac:dyDescent="0.25">
      <c r="A51" s="1">
        <v>428</v>
      </c>
      <c r="B51" s="1" t="s">
        <v>654</v>
      </c>
      <c r="C51" s="1" t="s">
        <v>651</v>
      </c>
      <c r="D51" s="1" t="s">
        <v>98</v>
      </c>
      <c r="E51" s="1" t="s">
        <v>53</v>
      </c>
      <c r="F51" s="3">
        <v>46175</v>
      </c>
      <c r="G51" s="3">
        <v>46175</v>
      </c>
      <c r="H51" s="4">
        <v>1</v>
      </c>
      <c r="I51" s="3">
        <v>46175</v>
      </c>
      <c r="J51" s="1">
        <v>427</v>
      </c>
      <c r="K51" s="1">
        <v>429</v>
      </c>
      <c r="L51" s="1" t="s">
        <v>59</v>
      </c>
      <c r="M51" s="1" t="s">
        <v>210</v>
      </c>
      <c r="N51" s="2">
        <v>46168</v>
      </c>
      <c r="P51" s="1" t="s">
        <v>633</v>
      </c>
      <c r="Q51" s="1" t="s">
        <v>211</v>
      </c>
      <c r="R51" s="1" t="s">
        <v>55</v>
      </c>
      <c r="S51" s="2">
        <v>46168</v>
      </c>
      <c r="T51" s="2">
        <v>46168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25">
      <c r="A52" s="1">
        <v>447</v>
      </c>
      <c r="B52" s="1" t="s">
        <v>661</v>
      </c>
      <c r="C52" s="1" t="s">
        <v>662</v>
      </c>
      <c r="D52" s="1" t="s">
        <v>94</v>
      </c>
      <c r="E52" s="1" t="s">
        <v>121</v>
      </c>
      <c r="F52" s="3">
        <v>46205</v>
      </c>
      <c r="G52" s="3">
        <v>46206</v>
      </c>
      <c r="H52" s="4">
        <v>1</v>
      </c>
      <c r="I52" s="3">
        <v>46206</v>
      </c>
      <c r="J52" s="1" t="s">
        <v>663</v>
      </c>
      <c r="K52" s="1" t="s">
        <v>664</v>
      </c>
      <c r="L52" s="1" t="s">
        <v>59</v>
      </c>
      <c r="M52" s="1" t="s">
        <v>445</v>
      </c>
      <c r="N52" s="2">
        <v>46185</v>
      </c>
      <c r="P52" s="1" t="s">
        <v>633</v>
      </c>
      <c r="Q52" s="1" t="s">
        <v>211</v>
      </c>
      <c r="R52" s="1" t="s">
        <v>55</v>
      </c>
      <c r="S52" s="2">
        <v>46181</v>
      </c>
      <c r="T52" s="2">
        <v>46185</v>
      </c>
      <c r="V52" s="1">
        <v>1</v>
      </c>
      <c r="W52" s="1">
        <v>1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</row>
    <row r="53" spans="1:33" x14ac:dyDescent="0.25">
      <c r="A53" s="1">
        <v>452</v>
      </c>
      <c r="B53" s="1" t="s">
        <v>674</v>
      </c>
      <c r="C53" s="1" t="s">
        <v>675</v>
      </c>
      <c r="D53" s="1" t="s">
        <v>94</v>
      </c>
      <c r="E53" s="1" t="s">
        <v>121</v>
      </c>
      <c r="F53" s="3">
        <v>46205</v>
      </c>
      <c r="G53" s="3">
        <v>46206</v>
      </c>
      <c r="H53" s="4">
        <v>1</v>
      </c>
      <c r="I53" s="3">
        <v>46206</v>
      </c>
      <c r="J53" s="1" t="s">
        <v>676</v>
      </c>
      <c r="K53" s="1">
        <v>453</v>
      </c>
      <c r="L53" s="1" t="s">
        <v>59</v>
      </c>
      <c r="M53" s="1" t="s">
        <v>672</v>
      </c>
      <c r="N53" s="2">
        <v>46199</v>
      </c>
      <c r="P53" s="1" t="s">
        <v>633</v>
      </c>
      <c r="Q53" s="1" t="s">
        <v>673</v>
      </c>
      <c r="R53" s="1" t="s">
        <v>55</v>
      </c>
      <c r="S53" s="2">
        <v>46197</v>
      </c>
      <c r="T53" s="2">
        <v>46199</v>
      </c>
      <c r="V53" s="1">
        <v>1</v>
      </c>
      <c r="W53" s="1">
        <v>1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</row>
    <row r="54" spans="1:33" x14ac:dyDescent="0.25">
      <c r="A54" s="1">
        <v>478</v>
      </c>
      <c r="B54" s="1" t="s">
        <v>701</v>
      </c>
      <c r="C54" s="1" t="s">
        <v>702</v>
      </c>
      <c r="D54" s="1" t="s">
        <v>94</v>
      </c>
      <c r="E54" s="1" t="s">
        <v>625</v>
      </c>
      <c r="F54" s="3">
        <v>46202</v>
      </c>
      <c r="G54" s="3">
        <v>46206</v>
      </c>
      <c r="H54" s="4">
        <v>1</v>
      </c>
      <c r="I54" s="3">
        <v>46206</v>
      </c>
      <c r="J54" s="1">
        <v>513</v>
      </c>
      <c r="K54" s="1" t="s">
        <v>703</v>
      </c>
      <c r="L54" s="1" t="s">
        <v>59</v>
      </c>
      <c r="M54" s="1" t="s">
        <v>62</v>
      </c>
      <c r="N54" s="2">
        <v>46168</v>
      </c>
      <c r="P54" s="1" t="s">
        <v>696</v>
      </c>
      <c r="Q54" s="1" t="s">
        <v>138</v>
      </c>
      <c r="R54" s="1" t="s">
        <v>55</v>
      </c>
      <c r="S54" s="2">
        <v>46164</v>
      </c>
      <c r="T54" s="2">
        <v>46168</v>
      </c>
      <c r="V54" s="1">
        <v>1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</row>
    <row r="55" spans="1:33" x14ac:dyDescent="0.25">
      <c r="A55" s="1">
        <v>483</v>
      </c>
      <c r="B55" s="1" t="s">
        <v>709</v>
      </c>
      <c r="C55" s="1" t="s">
        <v>710</v>
      </c>
      <c r="D55" s="1" t="s">
        <v>94</v>
      </c>
      <c r="E55" s="1" t="s">
        <v>553</v>
      </c>
      <c r="F55" s="3">
        <v>46203</v>
      </c>
      <c r="G55" s="3">
        <v>46206</v>
      </c>
      <c r="H55" s="4">
        <v>1</v>
      </c>
      <c r="I55" s="3">
        <v>46206</v>
      </c>
      <c r="K55" s="1">
        <v>484</v>
      </c>
      <c r="L55" s="1" t="s">
        <v>59</v>
      </c>
      <c r="M55" s="1" t="s">
        <v>418</v>
      </c>
      <c r="N55" s="2">
        <v>46198</v>
      </c>
      <c r="P55" s="1" t="s">
        <v>696</v>
      </c>
      <c r="Q55" s="1" t="s">
        <v>146</v>
      </c>
      <c r="R55" s="1" t="s">
        <v>55</v>
      </c>
      <c r="S55" s="2">
        <v>46196</v>
      </c>
      <c r="T55" s="2">
        <v>46198</v>
      </c>
      <c r="V55" s="1">
        <v>1</v>
      </c>
      <c r="W55" s="1">
        <v>1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</row>
    <row r="56" spans="1:33" x14ac:dyDescent="0.25">
      <c r="A56" s="1">
        <v>488</v>
      </c>
      <c r="B56" s="1" t="s">
        <v>716</v>
      </c>
      <c r="C56" s="1" t="s">
        <v>717</v>
      </c>
      <c r="D56" s="1" t="s">
        <v>94</v>
      </c>
      <c r="E56" s="1" t="s">
        <v>553</v>
      </c>
      <c r="F56" s="3">
        <v>46203</v>
      </c>
      <c r="G56" s="3">
        <v>46206</v>
      </c>
      <c r="H56" s="4">
        <v>1</v>
      </c>
      <c r="I56" s="3">
        <v>46206</v>
      </c>
      <c r="J56" s="1">
        <v>543</v>
      </c>
      <c r="K56" s="1" t="s">
        <v>718</v>
      </c>
      <c r="L56" s="1" t="s">
        <v>59</v>
      </c>
      <c r="M56" s="1" t="s">
        <v>296</v>
      </c>
      <c r="N56" s="2">
        <v>46190</v>
      </c>
      <c r="P56" s="1" t="s">
        <v>696</v>
      </c>
      <c r="Q56" s="1" t="s">
        <v>146</v>
      </c>
      <c r="R56" s="1" t="s">
        <v>55</v>
      </c>
      <c r="S56" s="2">
        <v>46188</v>
      </c>
      <c r="T56" s="2">
        <v>46190</v>
      </c>
      <c r="V56" s="1">
        <v>1</v>
      </c>
      <c r="W56" s="1">
        <v>1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</row>
    <row r="57" spans="1:33" x14ac:dyDescent="0.25">
      <c r="A57" s="1">
        <v>508</v>
      </c>
      <c r="B57" s="1" t="s">
        <v>733</v>
      </c>
      <c r="C57" s="1" t="s">
        <v>734</v>
      </c>
      <c r="D57" s="1" t="s">
        <v>94</v>
      </c>
      <c r="E57" s="1" t="s">
        <v>103</v>
      </c>
      <c r="F57" s="3">
        <v>46174</v>
      </c>
      <c r="G57" s="3">
        <v>46185</v>
      </c>
      <c r="H57" s="4">
        <v>1</v>
      </c>
      <c r="I57" s="3">
        <v>46185</v>
      </c>
      <c r="J57" s="1" t="s">
        <v>735</v>
      </c>
      <c r="K57" s="1">
        <v>509</v>
      </c>
      <c r="L57" s="1" t="s">
        <v>59</v>
      </c>
      <c r="M57" s="1" t="s">
        <v>187</v>
      </c>
      <c r="N57" s="2">
        <v>46163</v>
      </c>
      <c r="P57" s="1" t="s">
        <v>696</v>
      </c>
      <c r="Q57" s="1" t="s">
        <v>211</v>
      </c>
      <c r="R57" s="1" t="s">
        <v>55</v>
      </c>
      <c r="S57" s="2">
        <v>46162</v>
      </c>
      <c r="T57" s="2">
        <v>46163</v>
      </c>
      <c r="V57" s="1">
        <v>1</v>
      </c>
      <c r="W57" s="1">
        <v>1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</row>
    <row r="58" spans="1:33" hidden="1" x14ac:dyDescent="0.25">
      <c r="A58" s="1">
        <v>509</v>
      </c>
      <c r="B58" s="1" t="s">
        <v>736</v>
      </c>
      <c r="C58" s="1" t="s">
        <v>734</v>
      </c>
      <c r="D58" s="1" t="s">
        <v>98</v>
      </c>
      <c r="E58" s="1" t="s">
        <v>53</v>
      </c>
      <c r="F58" s="3">
        <v>46188</v>
      </c>
      <c r="G58" s="3">
        <v>46188</v>
      </c>
      <c r="H58" s="4">
        <v>1</v>
      </c>
      <c r="I58" s="3">
        <v>46188</v>
      </c>
      <c r="J58" s="1">
        <v>508</v>
      </c>
      <c r="K58" s="1">
        <v>510</v>
      </c>
      <c r="L58" s="1" t="s">
        <v>59</v>
      </c>
      <c r="M58" s="1" t="s">
        <v>62</v>
      </c>
      <c r="N58" s="2">
        <v>46164</v>
      </c>
      <c r="P58" s="1" t="s">
        <v>696</v>
      </c>
      <c r="Q58" s="1" t="s">
        <v>138</v>
      </c>
      <c r="R58" s="1" t="s">
        <v>55</v>
      </c>
      <c r="S58" s="2">
        <v>46164</v>
      </c>
      <c r="T58" s="2">
        <v>46164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25">
      <c r="A59" s="1">
        <v>513</v>
      </c>
      <c r="B59" s="1" t="s">
        <v>742</v>
      </c>
      <c r="C59" s="1" t="s">
        <v>743</v>
      </c>
      <c r="D59" s="1" t="s">
        <v>94</v>
      </c>
      <c r="E59" s="1" t="s">
        <v>103</v>
      </c>
      <c r="F59" s="3">
        <v>46176</v>
      </c>
      <c r="G59" s="3">
        <v>46185</v>
      </c>
      <c r="H59" s="4">
        <v>1</v>
      </c>
      <c r="I59" s="3">
        <v>46185</v>
      </c>
      <c r="J59" s="1" t="s">
        <v>735</v>
      </c>
      <c r="K59" s="1" t="s">
        <v>744</v>
      </c>
      <c r="L59" s="1" t="s">
        <v>59</v>
      </c>
      <c r="M59" s="1" t="s">
        <v>187</v>
      </c>
      <c r="N59" s="2">
        <v>46163</v>
      </c>
      <c r="P59" s="1" t="s">
        <v>696</v>
      </c>
      <c r="Q59" s="1" t="s">
        <v>211</v>
      </c>
      <c r="R59" s="1" t="s">
        <v>55</v>
      </c>
      <c r="S59" s="2">
        <v>46162</v>
      </c>
      <c r="T59" s="2">
        <v>46163</v>
      </c>
      <c r="V59" s="1">
        <v>1</v>
      </c>
      <c r="W59" s="1">
        <v>1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</v>
      </c>
    </row>
    <row r="60" spans="1:33" hidden="1" x14ac:dyDescent="0.25">
      <c r="A60" s="1">
        <v>514</v>
      </c>
      <c r="B60" s="1" t="s">
        <v>745</v>
      </c>
      <c r="C60" s="1" t="s">
        <v>743</v>
      </c>
      <c r="D60" s="1" t="s">
        <v>98</v>
      </c>
      <c r="E60" s="1" t="s">
        <v>53</v>
      </c>
      <c r="F60" s="3">
        <v>46188</v>
      </c>
      <c r="G60" s="3">
        <v>46188</v>
      </c>
      <c r="H60" s="4">
        <v>1</v>
      </c>
      <c r="I60" s="3">
        <v>46188</v>
      </c>
      <c r="J60" s="1">
        <v>513</v>
      </c>
      <c r="K60" s="1">
        <v>515</v>
      </c>
      <c r="L60" s="1" t="s">
        <v>59</v>
      </c>
      <c r="M60" s="1" t="s">
        <v>62</v>
      </c>
      <c r="N60" s="2">
        <v>46164</v>
      </c>
      <c r="P60" s="1" t="s">
        <v>696</v>
      </c>
      <c r="Q60" s="1" t="s">
        <v>138</v>
      </c>
      <c r="R60" s="1" t="s">
        <v>55</v>
      </c>
      <c r="S60" s="2">
        <v>46164</v>
      </c>
      <c r="T60" s="2">
        <v>46164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25">
      <c r="A61" s="1">
        <v>518</v>
      </c>
      <c r="B61" s="1" t="s">
        <v>750</v>
      </c>
      <c r="C61" s="1" t="s">
        <v>751</v>
      </c>
      <c r="D61" s="1" t="s">
        <v>94</v>
      </c>
      <c r="E61" s="1" t="s">
        <v>103</v>
      </c>
      <c r="F61" s="3">
        <v>46176</v>
      </c>
      <c r="G61" s="3">
        <v>46185</v>
      </c>
      <c r="H61" s="4">
        <v>1</v>
      </c>
      <c r="I61" s="3">
        <v>46185</v>
      </c>
      <c r="J61" s="1" t="s">
        <v>735</v>
      </c>
      <c r="K61" s="1">
        <v>519</v>
      </c>
      <c r="L61" s="1" t="s">
        <v>59</v>
      </c>
      <c r="M61" s="1" t="s">
        <v>187</v>
      </c>
      <c r="N61" s="2">
        <v>46163</v>
      </c>
      <c r="P61" s="1" t="s">
        <v>696</v>
      </c>
      <c r="Q61" s="1" t="s">
        <v>211</v>
      </c>
      <c r="R61" s="1" t="s">
        <v>55</v>
      </c>
      <c r="S61" s="2">
        <v>46162</v>
      </c>
      <c r="T61" s="2">
        <v>46163</v>
      </c>
      <c r="V61" s="1">
        <v>1</v>
      </c>
      <c r="W61" s="1">
        <v>1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</row>
    <row r="62" spans="1:33" hidden="1" x14ac:dyDescent="0.25">
      <c r="A62" s="1">
        <v>519</v>
      </c>
      <c r="B62" s="1" t="s">
        <v>752</v>
      </c>
      <c r="C62" s="1" t="s">
        <v>751</v>
      </c>
      <c r="D62" s="1" t="s">
        <v>98</v>
      </c>
      <c r="E62" s="1" t="s">
        <v>53</v>
      </c>
      <c r="F62" s="3">
        <v>46188</v>
      </c>
      <c r="G62" s="3">
        <v>46188</v>
      </c>
      <c r="H62" s="4">
        <v>1</v>
      </c>
      <c r="I62" s="3">
        <v>46188</v>
      </c>
      <c r="J62" s="1">
        <v>518</v>
      </c>
      <c r="K62" s="1">
        <v>520</v>
      </c>
      <c r="L62" s="1" t="s">
        <v>59</v>
      </c>
      <c r="M62" s="1" t="s">
        <v>62</v>
      </c>
      <c r="N62" s="2">
        <v>46164</v>
      </c>
      <c r="P62" s="1" t="s">
        <v>696</v>
      </c>
      <c r="Q62" s="1" t="s">
        <v>138</v>
      </c>
      <c r="R62" s="1" t="s">
        <v>55</v>
      </c>
      <c r="S62" s="2">
        <v>46164</v>
      </c>
      <c r="T62" s="2">
        <v>46164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25">
      <c r="A63" s="1">
        <v>523</v>
      </c>
      <c r="B63" s="1" t="s">
        <v>757</v>
      </c>
      <c r="C63" s="1" t="s">
        <v>758</v>
      </c>
      <c r="D63" s="1" t="s">
        <v>94</v>
      </c>
      <c r="E63" s="1" t="s">
        <v>553</v>
      </c>
      <c r="F63" s="3">
        <v>46195</v>
      </c>
      <c r="G63" s="3">
        <v>46198</v>
      </c>
      <c r="H63" s="4">
        <v>1</v>
      </c>
      <c r="I63" s="3">
        <v>46198</v>
      </c>
      <c r="J63" s="1">
        <v>478</v>
      </c>
      <c r="K63" s="1">
        <v>524</v>
      </c>
      <c r="L63" s="1" t="s">
        <v>59</v>
      </c>
      <c r="M63" s="1" t="s">
        <v>436</v>
      </c>
      <c r="N63" s="2">
        <v>46182</v>
      </c>
      <c r="P63" s="1" t="s">
        <v>696</v>
      </c>
      <c r="Q63" s="1" t="s">
        <v>146</v>
      </c>
      <c r="R63" s="1" t="s">
        <v>55</v>
      </c>
      <c r="S63" s="2">
        <v>46169</v>
      </c>
      <c r="T63" s="2">
        <v>46182</v>
      </c>
      <c r="V63" s="1">
        <v>1</v>
      </c>
      <c r="W63" s="1">
        <v>1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</row>
    <row r="64" spans="1:33" x14ac:dyDescent="0.25">
      <c r="A64" s="1">
        <v>528</v>
      </c>
      <c r="B64" s="1" t="s">
        <v>764</v>
      </c>
      <c r="C64" s="1" t="s">
        <v>765</v>
      </c>
      <c r="D64" s="1" t="s">
        <v>94</v>
      </c>
      <c r="E64" s="1" t="s">
        <v>553</v>
      </c>
      <c r="F64" s="3">
        <v>46192</v>
      </c>
      <c r="G64" s="3">
        <v>46197</v>
      </c>
      <c r="H64" s="4">
        <v>1</v>
      </c>
      <c r="I64" s="3">
        <v>46197</v>
      </c>
      <c r="J64" s="1">
        <v>478</v>
      </c>
      <c r="K64" s="1">
        <v>529</v>
      </c>
      <c r="L64" s="1" t="s">
        <v>59</v>
      </c>
      <c r="M64" s="1" t="s">
        <v>436</v>
      </c>
      <c r="N64" s="2">
        <v>46182</v>
      </c>
      <c r="P64" s="1" t="s">
        <v>696</v>
      </c>
      <c r="Q64" s="1" t="s">
        <v>138</v>
      </c>
      <c r="R64" s="1" t="s">
        <v>55</v>
      </c>
      <c r="S64" s="2">
        <v>46169</v>
      </c>
      <c r="T64" s="2">
        <v>46182</v>
      </c>
      <c r="V64" s="1">
        <v>1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</row>
    <row r="65" spans="1:33" x14ac:dyDescent="0.25">
      <c r="A65" s="1">
        <v>533</v>
      </c>
      <c r="B65" s="1" t="s">
        <v>771</v>
      </c>
      <c r="C65" s="1" t="s">
        <v>772</v>
      </c>
      <c r="D65" s="1" t="s">
        <v>94</v>
      </c>
      <c r="E65" s="1" t="s">
        <v>95</v>
      </c>
      <c r="F65" s="3">
        <v>46197</v>
      </c>
      <c r="G65" s="3">
        <v>46199</v>
      </c>
      <c r="H65" s="4">
        <v>1</v>
      </c>
      <c r="I65" s="3">
        <v>46199</v>
      </c>
      <c r="J65" s="1">
        <v>478</v>
      </c>
      <c r="K65" s="1">
        <v>534</v>
      </c>
      <c r="L65" s="1" t="s">
        <v>59</v>
      </c>
      <c r="M65" s="1" t="s">
        <v>436</v>
      </c>
      <c r="N65" s="2">
        <v>46182</v>
      </c>
      <c r="P65" s="1" t="s">
        <v>696</v>
      </c>
      <c r="Q65" s="1" t="s">
        <v>146</v>
      </c>
      <c r="R65" s="1" t="s">
        <v>55</v>
      </c>
      <c r="S65" s="2">
        <v>46169</v>
      </c>
      <c r="T65" s="2">
        <v>46182</v>
      </c>
      <c r="V65" s="1">
        <v>1</v>
      </c>
      <c r="W65" s="1">
        <v>1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</v>
      </c>
    </row>
    <row r="66" spans="1:33" x14ac:dyDescent="0.25">
      <c r="A66" s="1">
        <v>538</v>
      </c>
      <c r="B66" s="1" t="s">
        <v>778</v>
      </c>
      <c r="C66" s="1" t="s">
        <v>779</v>
      </c>
      <c r="D66" s="1" t="s">
        <v>94</v>
      </c>
      <c r="E66" s="1" t="s">
        <v>553</v>
      </c>
      <c r="F66" s="3">
        <v>46192</v>
      </c>
      <c r="G66" s="3">
        <v>46197</v>
      </c>
      <c r="H66" s="4">
        <v>1</v>
      </c>
      <c r="I66" s="3">
        <v>46197</v>
      </c>
      <c r="J66" s="1">
        <v>478</v>
      </c>
      <c r="K66" s="1">
        <v>539</v>
      </c>
      <c r="L66" s="1" t="s">
        <v>59</v>
      </c>
      <c r="M66" s="1" t="s">
        <v>436</v>
      </c>
      <c r="N66" s="2">
        <v>46182</v>
      </c>
      <c r="P66" s="1" t="s">
        <v>696</v>
      </c>
      <c r="Q66" s="1" t="s">
        <v>138</v>
      </c>
      <c r="R66" s="1" t="s">
        <v>55</v>
      </c>
      <c r="S66" s="2">
        <v>46169</v>
      </c>
      <c r="T66" s="2">
        <v>46182</v>
      </c>
      <c r="V66" s="1">
        <v>1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</row>
    <row r="67" spans="1:33" x14ac:dyDescent="0.25">
      <c r="A67" s="1">
        <v>568</v>
      </c>
      <c r="B67" s="1" t="s">
        <v>810</v>
      </c>
      <c r="C67" s="1" t="s">
        <v>811</v>
      </c>
      <c r="D67" s="1" t="s">
        <v>94</v>
      </c>
      <c r="E67" s="1" t="s">
        <v>812</v>
      </c>
      <c r="F67" s="3">
        <v>46188</v>
      </c>
      <c r="G67" s="3">
        <v>46196</v>
      </c>
      <c r="H67" s="4">
        <v>1</v>
      </c>
      <c r="I67" s="3">
        <v>46196</v>
      </c>
      <c r="K67" s="1" t="s">
        <v>813</v>
      </c>
      <c r="L67" s="1" t="s">
        <v>59</v>
      </c>
      <c r="M67" s="1" t="s">
        <v>386</v>
      </c>
      <c r="N67" s="2">
        <v>46204</v>
      </c>
      <c r="P67" s="1" t="s">
        <v>696</v>
      </c>
      <c r="Q67" s="1" t="s">
        <v>138</v>
      </c>
      <c r="R67" s="1" t="s">
        <v>55</v>
      </c>
      <c r="S67" s="2">
        <v>46191</v>
      </c>
      <c r="T67" s="2">
        <v>46204</v>
      </c>
      <c r="V67" s="1">
        <v>1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</row>
    <row r="68" spans="1:33" x14ac:dyDescent="0.25">
      <c r="A68" s="1">
        <v>573</v>
      </c>
      <c r="B68" s="1" t="s">
        <v>819</v>
      </c>
      <c r="C68" s="1" t="s">
        <v>820</v>
      </c>
      <c r="D68" s="1" t="s">
        <v>94</v>
      </c>
      <c r="E68" s="1" t="s">
        <v>812</v>
      </c>
      <c r="F68" s="3">
        <v>46189</v>
      </c>
      <c r="G68" s="3">
        <v>46197</v>
      </c>
      <c r="H68" s="4">
        <v>1</v>
      </c>
      <c r="I68" s="3">
        <v>46197</v>
      </c>
      <c r="J68" s="1" t="s">
        <v>821</v>
      </c>
      <c r="K68" s="1">
        <v>574</v>
      </c>
      <c r="L68" s="1" t="s">
        <v>59</v>
      </c>
      <c r="M68" s="1" t="s">
        <v>386</v>
      </c>
      <c r="N68" s="2">
        <v>46204</v>
      </c>
      <c r="P68" s="1" t="s">
        <v>696</v>
      </c>
      <c r="Q68" s="1" t="s">
        <v>138</v>
      </c>
      <c r="R68" s="1" t="s">
        <v>55</v>
      </c>
      <c r="S68" s="2">
        <v>46191</v>
      </c>
      <c r="T68" s="2">
        <v>46204</v>
      </c>
      <c r="V68" s="1">
        <v>1</v>
      </c>
      <c r="W68" s="1">
        <v>1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</row>
    <row r="69" spans="1:33" x14ac:dyDescent="0.25">
      <c r="A69" s="1">
        <v>578</v>
      </c>
      <c r="B69" s="1" t="s">
        <v>827</v>
      </c>
      <c r="C69" s="1" t="s">
        <v>828</v>
      </c>
      <c r="D69" s="1" t="s">
        <v>94</v>
      </c>
      <c r="E69" s="1" t="s">
        <v>812</v>
      </c>
      <c r="F69" s="3">
        <v>46189</v>
      </c>
      <c r="G69" s="3">
        <v>46197</v>
      </c>
      <c r="H69" s="4">
        <v>1</v>
      </c>
      <c r="I69" s="3">
        <v>46197</v>
      </c>
      <c r="J69" s="1" t="s">
        <v>821</v>
      </c>
      <c r="K69" s="1">
        <v>579</v>
      </c>
      <c r="L69" s="1" t="s">
        <v>59</v>
      </c>
      <c r="M69" s="1" t="s">
        <v>386</v>
      </c>
      <c r="N69" s="2">
        <v>46204</v>
      </c>
      <c r="P69" s="1" t="s">
        <v>696</v>
      </c>
      <c r="Q69" s="1" t="s">
        <v>138</v>
      </c>
      <c r="R69" s="1" t="s">
        <v>55</v>
      </c>
      <c r="S69" s="2">
        <v>46191</v>
      </c>
      <c r="T69" s="2">
        <v>46204</v>
      </c>
      <c r="V69" s="1">
        <v>1</v>
      </c>
      <c r="W69" s="1">
        <v>1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</row>
    <row r="70" spans="1:33" x14ac:dyDescent="0.25">
      <c r="A70" s="1">
        <v>583</v>
      </c>
      <c r="B70" s="1" t="s">
        <v>834</v>
      </c>
      <c r="C70" s="1" t="s">
        <v>835</v>
      </c>
      <c r="D70" s="1" t="s">
        <v>94</v>
      </c>
      <c r="E70" s="1" t="s">
        <v>812</v>
      </c>
      <c r="F70" s="3">
        <v>46189</v>
      </c>
      <c r="G70" s="3">
        <v>46197</v>
      </c>
      <c r="H70" s="4">
        <v>1</v>
      </c>
      <c r="I70" s="3">
        <v>46197</v>
      </c>
      <c r="J70" s="1" t="s">
        <v>821</v>
      </c>
      <c r="K70" s="1">
        <v>584</v>
      </c>
      <c r="L70" s="1" t="s">
        <v>59</v>
      </c>
      <c r="M70" s="1" t="s">
        <v>386</v>
      </c>
      <c r="N70" s="2">
        <v>46204</v>
      </c>
      <c r="P70" s="1" t="s">
        <v>696</v>
      </c>
      <c r="Q70" s="1" t="s">
        <v>138</v>
      </c>
      <c r="R70" s="1" t="s">
        <v>55</v>
      </c>
      <c r="S70" s="2">
        <v>46191</v>
      </c>
      <c r="T70" s="2">
        <v>46204</v>
      </c>
      <c r="V70" s="1">
        <v>1</v>
      </c>
      <c r="W70" s="1">
        <v>1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</row>
    <row r="71" spans="1:33" x14ac:dyDescent="0.25">
      <c r="A71" s="1">
        <v>588</v>
      </c>
      <c r="B71" s="1" t="s">
        <v>841</v>
      </c>
      <c r="C71" s="1" t="s">
        <v>842</v>
      </c>
      <c r="D71" s="1" t="s">
        <v>94</v>
      </c>
      <c r="E71" s="1" t="s">
        <v>812</v>
      </c>
      <c r="F71" s="3">
        <v>46189</v>
      </c>
      <c r="G71" s="3">
        <v>46197</v>
      </c>
      <c r="H71" s="4">
        <v>1</v>
      </c>
      <c r="I71" s="3">
        <v>46197</v>
      </c>
      <c r="J71" s="1" t="s">
        <v>821</v>
      </c>
      <c r="K71" s="1">
        <v>589</v>
      </c>
      <c r="L71" s="1" t="s">
        <v>59</v>
      </c>
      <c r="M71" s="1" t="s">
        <v>386</v>
      </c>
      <c r="N71" s="2">
        <v>46204</v>
      </c>
      <c r="P71" s="1" t="s">
        <v>696</v>
      </c>
      <c r="Q71" s="1" t="s">
        <v>138</v>
      </c>
      <c r="R71" s="1" t="s">
        <v>55</v>
      </c>
      <c r="S71" s="2">
        <v>46191</v>
      </c>
      <c r="T71" s="2">
        <v>46204</v>
      </c>
      <c r="V71" s="1">
        <v>1</v>
      </c>
      <c r="W71" s="1">
        <v>1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</row>
    <row r="72" spans="1:33" x14ac:dyDescent="0.25">
      <c r="A72" s="1">
        <v>593</v>
      </c>
      <c r="B72" s="1" t="s">
        <v>848</v>
      </c>
      <c r="C72" s="1" t="s">
        <v>849</v>
      </c>
      <c r="D72" s="1" t="s">
        <v>94</v>
      </c>
      <c r="E72" s="1" t="s">
        <v>812</v>
      </c>
      <c r="F72" s="3">
        <v>46189</v>
      </c>
      <c r="G72" s="3">
        <v>46197</v>
      </c>
      <c r="H72" s="4">
        <v>1</v>
      </c>
      <c r="I72" s="3">
        <v>46197</v>
      </c>
      <c r="J72" s="1" t="s">
        <v>821</v>
      </c>
      <c r="K72" s="1">
        <v>594</v>
      </c>
      <c r="L72" s="1" t="s">
        <v>59</v>
      </c>
      <c r="M72" s="1" t="s">
        <v>386</v>
      </c>
      <c r="N72" s="2">
        <v>46204</v>
      </c>
      <c r="P72" s="1" t="s">
        <v>696</v>
      </c>
      <c r="Q72" s="1" t="s">
        <v>138</v>
      </c>
      <c r="R72" s="1" t="s">
        <v>55</v>
      </c>
      <c r="S72" s="2">
        <v>46191</v>
      </c>
      <c r="T72" s="2">
        <v>46204</v>
      </c>
      <c r="V72" s="1">
        <v>1</v>
      </c>
      <c r="W72" s="1">
        <v>1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</row>
    <row r="73" spans="1:33" x14ac:dyDescent="0.25">
      <c r="A73" s="1">
        <v>598</v>
      </c>
      <c r="B73" s="1" t="s">
        <v>855</v>
      </c>
      <c r="C73" s="1" t="s">
        <v>856</v>
      </c>
      <c r="D73" s="1" t="s">
        <v>94</v>
      </c>
      <c r="E73" s="1" t="s">
        <v>812</v>
      </c>
      <c r="F73" s="3">
        <v>46189</v>
      </c>
      <c r="G73" s="3">
        <v>46197</v>
      </c>
      <c r="H73" s="4">
        <v>1</v>
      </c>
      <c r="I73" s="3">
        <v>46197</v>
      </c>
      <c r="J73" s="1" t="s">
        <v>821</v>
      </c>
      <c r="K73" s="1">
        <v>599</v>
      </c>
      <c r="L73" s="1" t="s">
        <v>59</v>
      </c>
      <c r="M73" s="1" t="s">
        <v>386</v>
      </c>
      <c r="N73" s="2">
        <v>46204</v>
      </c>
      <c r="P73" s="1" t="s">
        <v>696</v>
      </c>
      <c r="Q73" s="1" t="s">
        <v>138</v>
      </c>
      <c r="R73" s="1" t="s">
        <v>55</v>
      </c>
      <c r="S73" s="2">
        <v>46191</v>
      </c>
      <c r="T73" s="2">
        <v>46204</v>
      </c>
      <c r="V73" s="1">
        <v>1</v>
      </c>
      <c r="W73" s="1">
        <v>1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</row>
    <row r="74" spans="1:33" x14ac:dyDescent="0.25">
      <c r="A74" s="1">
        <v>603</v>
      </c>
      <c r="B74" s="1" t="s">
        <v>862</v>
      </c>
      <c r="C74" s="1" t="s">
        <v>863</v>
      </c>
      <c r="D74" s="1" t="s">
        <v>94</v>
      </c>
      <c r="E74" s="1" t="s">
        <v>812</v>
      </c>
      <c r="F74" s="3">
        <v>46189</v>
      </c>
      <c r="G74" s="3">
        <v>46197</v>
      </c>
      <c r="H74" s="4">
        <v>1</v>
      </c>
      <c r="I74" s="3">
        <v>46197</v>
      </c>
      <c r="J74" s="1" t="s">
        <v>821</v>
      </c>
      <c r="K74" s="1">
        <v>604</v>
      </c>
      <c r="L74" s="1" t="s">
        <v>59</v>
      </c>
      <c r="M74" s="1" t="s">
        <v>386</v>
      </c>
      <c r="N74" s="2">
        <v>46204</v>
      </c>
      <c r="P74" s="1" t="s">
        <v>696</v>
      </c>
      <c r="Q74" s="1" t="s">
        <v>138</v>
      </c>
      <c r="R74" s="1" t="s">
        <v>55</v>
      </c>
      <c r="S74" s="2">
        <v>46191</v>
      </c>
      <c r="T74" s="2">
        <v>46204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</row>
    <row r="75" spans="1:33" x14ac:dyDescent="0.25">
      <c r="A75" s="1">
        <v>608</v>
      </c>
      <c r="B75" s="1" t="s">
        <v>869</v>
      </c>
      <c r="C75" s="1" t="s">
        <v>870</v>
      </c>
      <c r="D75" s="1" t="s">
        <v>94</v>
      </c>
      <c r="E75" s="1" t="s">
        <v>812</v>
      </c>
      <c r="F75" s="3">
        <v>46188</v>
      </c>
      <c r="G75" s="3">
        <v>46196</v>
      </c>
      <c r="H75" s="4">
        <v>1</v>
      </c>
      <c r="I75" s="3">
        <v>46196</v>
      </c>
      <c r="J75" s="1" t="s">
        <v>821</v>
      </c>
      <c r="K75" s="1">
        <v>609</v>
      </c>
      <c r="L75" s="1" t="s">
        <v>59</v>
      </c>
      <c r="M75" s="1" t="s">
        <v>386</v>
      </c>
      <c r="N75" s="2">
        <v>46204</v>
      </c>
      <c r="P75" s="1" t="s">
        <v>696</v>
      </c>
      <c r="Q75" s="1" t="s">
        <v>138</v>
      </c>
      <c r="R75" s="1" t="s">
        <v>55</v>
      </c>
      <c r="S75" s="2">
        <v>46191</v>
      </c>
      <c r="T75" s="2">
        <v>46204</v>
      </c>
      <c r="V75" s="1">
        <v>1</v>
      </c>
      <c r="W75" s="1">
        <v>1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</row>
    <row r="76" spans="1:33" x14ac:dyDescent="0.25">
      <c r="A76" s="1">
        <v>613</v>
      </c>
      <c r="B76" s="1" t="s">
        <v>876</v>
      </c>
      <c r="C76" s="1" t="s">
        <v>877</v>
      </c>
      <c r="D76" s="1" t="s">
        <v>94</v>
      </c>
      <c r="E76" s="1" t="s">
        <v>812</v>
      </c>
      <c r="F76" s="3">
        <v>46188</v>
      </c>
      <c r="G76" s="3">
        <v>46196</v>
      </c>
      <c r="H76" s="4">
        <v>1</v>
      </c>
      <c r="I76" s="3">
        <v>46196</v>
      </c>
      <c r="J76" s="1" t="s">
        <v>821</v>
      </c>
      <c r="K76" s="1">
        <v>614</v>
      </c>
      <c r="L76" s="1" t="s">
        <v>59</v>
      </c>
      <c r="M76" s="1" t="s">
        <v>386</v>
      </c>
      <c r="N76" s="2">
        <v>46204</v>
      </c>
      <c r="P76" s="1" t="s">
        <v>696</v>
      </c>
      <c r="Q76" s="1" t="s">
        <v>138</v>
      </c>
      <c r="R76" s="1" t="s">
        <v>55</v>
      </c>
      <c r="S76" s="2">
        <v>46191</v>
      </c>
      <c r="T76" s="2">
        <v>46204</v>
      </c>
      <c r="V76" s="1">
        <v>1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</row>
    <row r="77" spans="1:33" x14ac:dyDescent="0.25">
      <c r="A77" s="1">
        <v>618</v>
      </c>
      <c r="B77" s="1" t="s">
        <v>883</v>
      </c>
      <c r="C77" s="1" t="s">
        <v>884</v>
      </c>
      <c r="D77" s="1" t="s">
        <v>94</v>
      </c>
      <c r="E77" s="1" t="s">
        <v>812</v>
      </c>
      <c r="F77" s="3">
        <v>46188</v>
      </c>
      <c r="G77" s="3">
        <v>46196</v>
      </c>
      <c r="H77" s="4">
        <v>1</v>
      </c>
      <c r="I77" s="3">
        <v>46196</v>
      </c>
      <c r="J77" s="1" t="s">
        <v>821</v>
      </c>
      <c r="K77" s="1">
        <v>619</v>
      </c>
      <c r="L77" s="1" t="s">
        <v>59</v>
      </c>
      <c r="M77" s="1" t="s">
        <v>386</v>
      </c>
      <c r="N77" s="2">
        <v>46204</v>
      </c>
      <c r="P77" s="1" t="s">
        <v>696</v>
      </c>
      <c r="Q77" s="1" t="s">
        <v>138</v>
      </c>
      <c r="R77" s="1" t="s">
        <v>55</v>
      </c>
      <c r="S77" s="2">
        <v>46191</v>
      </c>
      <c r="T77" s="2">
        <v>46204</v>
      </c>
      <c r="V77" s="1">
        <v>1</v>
      </c>
      <c r="W77" s="1">
        <v>1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</v>
      </c>
    </row>
    <row r="78" spans="1:33" x14ac:dyDescent="0.25">
      <c r="A78" s="1">
        <v>623</v>
      </c>
      <c r="B78" s="1" t="s">
        <v>890</v>
      </c>
      <c r="C78" s="1" t="s">
        <v>891</v>
      </c>
      <c r="D78" s="1" t="s">
        <v>94</v>
      </c>
      <c r="E78" s="1" t="s">
        <v>812</v>
      </c>
      <c r="F78" s="3">
        <v>46191</v>
      </c>
      <c r="G78" s="3">
        <v>46199</v>
      </c>
      <c r="H78" s="4">
        <v>1</v>
      </c>
      <c r="I78" s="3">
        <v>46199</v>
      </c>
      <c r="J78" s="1" t="s">
        <v>821</v>
      </c>
      <c r="K78" s="1">
        <v>624</v>
      </c>
      <c r="L78" s="1" t="s">
        <v>59</v>
      </c>
      <c r="M78" s="1" t="s">
        <v>386</v>
      </c>
      <c r="N78" s="2">
        <v>46204</v>
      </c>
      <c r="P78" s="1" t="s">
        <v>696</v>
      </c>
      <c r="Q78" s="1" t="s">
        <v>138</v>
      </c>
      <c r="R78" s="1" t="s">
        <v>55</v>
      </c>
      <c r="S78" s="2">
        <v>46191</v>
      </c>
      <c r="T78" s="2">
        <v>46204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</row>
    <row r="79" spans="1:33" x14ac:dyDescent="0.25">
      <c r="A79" s="1">
        <v>628</v>
      </c>
      <c r="B79" s="1" t="s">
        <v>897</v>
      </c>
      <c r="C79" s="1" t="s">
        <v>898</v>
      </c>
      <c r="D79" s="1" t="s">
        <v>94</v>
      </c>
      <c r="E79" s="1" t="s">
        <v>812</v>
      </c>
      <c r="F79" s="3">
        <v>46191</v>
      </c>
      <c r="G79" s="3">
        <v>46199</v>
      </c>
      <c r="H79" s="4">
        <v>1</v>
      </c>
      <c r="I79" s="3">
        <v>46199</v>
      </c>
      <c r="J79" s="1" t="s">
        <v>821</v>
      </c>
      <c r="K79" s="1">
        <v>629</v>
      </c>
      <c r="L79" s="1" t="s">
        <v>59</v>
      </c>
      <c r="M79" s="1" t="s">
        <v>386</v>
      </c>
      <c r="N79" s="2">
        <v>46204</v>
      </c>
      <c r="P79" s="1" t="s">
        <v>696</v>
      </c>
      <c r="Q79" s="1" t="s">
        <v>138</v>
      </c>
      <c r="R79" s="1" t="s">
        <v>55</v>
      </c>
      <c r="S79" s="2">
        <v>46191</v>
      </c>
      <c r="T79" s="2">
        <v>46204</v>
      </c>
      <c r="V79" s="1">
        <v>1</v>
      </c>
      <c r="W79" s="1">
        <v>1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</row>
    <row r="80" spans="1:33" x14ac:dyDescent="0.25">
      <c r="A80" s="1">
        <v>633</v>
      </c>
      <c r="B80" s="1" t="s">
        <v>904</v>
      </c>
      <c r="C80" s="1" t="s">
        <v>905</v>
      </c>
      <c r="D80" s="1" t="s">
        <v>94</v>
      </c>
      <c r="E80" s="1" t="s">
        <v>812</v>
      </c>
      <c r="F80" s="3">
        <v>46191</v>
      </c>
      <c r="G80" s="3">
        <v>46199</v>
      </c>
      <c r="H80" s="4">
        <v>1</v>
      </c>
      <c r="I80" s="3">
        <v>46199</v>
      </c>
      <c r="J80" s="1" t="s">
        <v>821</v>
      </c>
      <c r="K80" s="1">
        <v>634</v>
      </c>
      <c r="L80" s="1" t="s">
        <v>59</v>
      </c>
      <c r="M80" s="1" t="s">
        <v>386</v>
      </c>
      <c r="N80" s="2">
        <v>46204</v>
      </c>
      <c r="P80" s="1" t="s">
        <v>696</v>
      </c>
      <c r="Q80" s="1" t="s">
        <v>138</v>
      </c>
      <c r="R80" s="1" t="s">
        <v>55</v>
      </c>
      <c r="S80" s="2">
        <v>46191</v>
      </c>
      <c r="T80" s="2">
        <v>46204</v>
      </c>
      <c r="V80" s="1">
        <v>1</v>
      </c>
      <c r="W80" s="1">
        <v>1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</row>
    <row r="81" spans="1:33" x14ac:dyDescent="0.25">
      <c r="A81" s="1">
        <v>638</v>
      </c>
      <c r="B81" s="1" t="s">
        <v>911</v>
      </c>
      <c r="C81" s="1" t="s">
        <v>912</v>
      </c>
      <c r="D81" s="1" t="s">
        <v>94</v>
      </c>
      <c r="E81" s="1" t="s">
        <v>812</v>
      </c>
      <c r="F81" s="3">
        <v>46188</v>
      </c>
      <c r="G81" s="3">
        <v>46196</v>
      </c>
      <c r="H81" s="4">
        <v>1</v>
      </c>
      <c r="I81" s="3">
        <v>46196</v>
      </c>
      <c r="J81" s="1" t="s">
        <v>821</v>
      </c>
      <c r="K81" s="1">
        <v>639</v>
      </c>
      <c r="L81" s="1" t="s">
        <v>59</v>
      </c>
      <c r="M81" s="1" t="s">
        <v>386</v>
      </c>
      <c r="N81" s="2">
        <v>46204</v>
      </c>
      <c r="P81" s="1" t="s">
        <v>696</v>
      </c>
      <c r="Q81" s="1" t="s">
        <v>138</v>
      </c>
      <c r="R81" s="1" t="s">
        <v>55</v>
      </c>
      <c r="S81" s="2">
        <v>46191</v>
      </c>
      <c r="T81" s="2">
        <v>46204</v>
      </c>
      <c r="V81" s="1">
        <v>1</v>
      </c>
      <c r="W81" s="1">
        <v>1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</row>
    <row r="82" spans="1:33" x14ac:dyDescent="0.25">
      <c r="A82" s="1">
        <v>643</v>
      </c>
      <c r="B82" s="1" t="s">
        <v>918</v>
      </c>
      <c r="C82" s="1" t="s">
        <v>919</v>
      </c>
      <c r="D82" s="1" t="s">
        <v>94</v>
      </c>
      <c r="E82" s="1" t="s">
        <v>812</v>
      </c>
      <c r="F82" s="3">
        <v>46188</v>
      </c>
      <c r="G82" s="3">
        <v>46196</v>
      </c>
      <c r="H82" s="4">
        <v>1</v>
      </c>
      <c r="I82" s="3">
        <v>46196</v>
      </c>
      <c r="J82" s="1" t="s">
        <v>821</v>
      </c>
      <c r="K82" s="1">
        <v>644</v>
      </c>
      <c r="L82" s="1" t="s">
        <v>59</v>
      </c>
      <c r="M82" s="1" t="s">
        <v>386</v>
      </c>
      <c r="N82" s="2">
        <v>46204</v>
      </c>
      <c r="P82" s="1" t="s">
        <v>696</v>
      </c>
      <c r="Q82" s="1" t="s">
        <v>138</v>
      </c>
      <c r="R82" s="1" t="s">
        <v>55</v>
      </c>
      <c r="S82" s="2">
        <v>46191</v>
      </c>
      <c r="T82" s="2">
        <v>46204</v>
      </c>
      <c r="V82" s="1">
        <v>1</v>
      </c>
      <c r="W82" s="1">
        <v>1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</row>
    <row r="83" spans="1:33" x14ac:dyDescent="0.25">
      <c r="A83" s="1">
        <v>648</v>
      </c>
      <c r="B83" s="1" t="s">
        <v>925</v>
      </c>
      <c r="C83" s="1" t="s">
        <v>926</v>
      </c>
      <c r="D83" s="1" t="s">
        <v>94</v>
      </c>
      <c r="E83" s="1" t="s">
        <v>812</v>
      </c>
      <c r="F83" s="3">
        <v>46188</v>
      </c>
      <c r="G83" s="3">
        <v>46196</v>
      </c>
      <c r="H83" s="4">
        <v>1</v>
      </c>
      <c r="I83" s="3">
        <v>46196</v>
      </c>
      <c r="J83" s="1" t="s">
        <v>821</v>
      </c>
      <c r="K83" s="1">
        <v>649</v>
      </c>
      <c r="L83" s="1" t="s">
        <v>59</v>
      </c>
      <c r="M83" s="1" t="s">
        <v>386</v>
      </c>
      <c r="N83" s="2">
        <v>46204</v>
      </c>
      <c r="P83" s="1" t="s">
        <v>696</v>
      </c>
      <c r="Q83" s="1" t="s">
        <v>138</v>
      </c>
      <c r="R83" s="1" t="s">
        <v>55</v>
      </c>
      <c r="S83" s="2">
        <v>46191</v>
      </c>
      <c r="T83" s="2">
        <v>46204</v>
      </c>
      <c r="V83" s="1">
        <v>1</v>
      </c>
      <c r="W83" s="1">
        <v>1</v>
      </c>
      <c r="X83" s="1">
        <v>1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1</v>
      </c>
    </row>
    <row r="84" spans="1:33" x14ac:dyDescent="0.25">
      <c r="A84" s="1">
        <v>653</v>
      </c>
      <c r="B84" s="1" t="s">
        <v>932</v>
      </c>
      <c r="C84" s="1" t="s">
        <v>933</v>
      </c>
      <c r="D84" s="1" t="s">
        <v>94</v>
      </c>
      <c r="E84" s="1" t="s">
        <v>812</v>
      </c>
      <c r="F84" s="3">
        <v>46188</v>
      </c>
      <c r="G84" s="3">
        <v>46196</v>
      </c>
      <c r="H84" s="4">
        <v>1</v>
      </c>
      <c r="I84" s="3">
        <v>46196</v>
      </c>
      <c r="J84" s="1" t="s">
        <v>821</v>
      </c>
      <c r="K84" s="1">
        <v>654</v>
      </c>
      <c r="L84" s="1" t="s">
        <v>59</v>
      </c>
      <c r="M84" s="1" t="s">
        <v>386</v>
      </c>
      <c r="N84" s="2">
        <v>46204</v>
      </c>
      <c r="P84" s="1" t="s">
        <v>696</v>
      </c>
      <c r="Q84" s="1" t="s">
        <v>138</v>
      </c>
      <c r="R84" s="1" t="s">
        <v>55</v>
      </c>
      <c r="S84" s="2">
        <v>46191</v>
      </c>
      <c r="T84" s="2">
        <v>46204</v>
      </c>
      <c r="V84" s="1">
        <v>1</v>
      </c>
      <c r="W84" s="1">
        <v>1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</v>
      </c>
    </row>
    <row r="85" spans="1:33" x14ac:dyDescent="0.25">
      <c r="A85" s="1">
        <v>658</v>
      </c>
      <c r="B85" s="1" t="s">
        <v>939</v>
      </c>
      <c r="C85" s="1" t="s">
        <v>940</v>
      </c>
      <c r="D85" s="1" t="s">
        <v>94</v>
      </c>
      <c r="E85" s="1" t="s">
        <v>812</v>
      </c>
      <c r="F85" s="3">
        <v>46188</v>
      </c>
      <c r="G85" s="3">
        <v>46196</v>
      </c>
      <c r="H85" s="4">
        <v>1</v>
      </c>
      <c r="I85" s="3">
        <v>46196</v>
      </c>
      <c r="J85" s="1" t="s">
        <v>821</v>
      </c>
      <c r="K85" s="1">
        <v>659</v>
      </c>
      <c r="L85" s="1" t="s">
        <v>59</v>
      </c>
      <c r="M85" s="1" t="s">
        <v>386</v>
      </c>
      <c r="N85" s="2">
        <v>46204</v>
      </c>
      <c r="P85" s="1" t="s">
        <v>696</v>
      </c>
      <c r="Q85" s="1" t="s">
        <v>138</v>
      </c>
      <c r="R85" s="1" t="s">
        <v>55</v>
      </c>
      <c r="S85" s="2">
        <v>46191</v>
      </c>
      <c r="T85" s="2">
        <v>46204</v>
      </c>
      <c r="V85" s="1">
        <v>1</v>
      </c>
      <c r="W85" s="1">
        <v>1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</row>
    <row r="86" spans="1:33" x14ac:dyDescent="0.25">
      <c r="A86" s="1">
        <v>663</v>
      </c>
      <c r="B86" s="1" t="s">
        <v>946</v>
      </c>
      <c r="C86" s="1" t="s">
        <v>947</v>
      </c>
      <c r="D86" s="1" t="s">
        <v>94</v>
      </c>
      <c r="E86" s="1" t="s">
        <v>812</v>
      </c>
      <c r="F86" s="3">
        <v>46188</v>
      </c>
      <c r="G86" s="3">
        <v>46196</v>
      </c>
      <c r="H86" s="4">
        <v>1</v>
      </c>
      <c r="I86" s="3">
        <v>46196</v>
      </c>
      <c r="J86" s="1" t="s">
        <v>821</v>
      </c>
      <c r="K86" s="1">
        <v>664</v>
      </c>
      <c r="L86" s="1" t="s">
        <v>59</v>
      </c>
      <c r="M86" s="1" t="s">
        <v>386</v>
      </c>
      <c r="N86" s="2">
        <v>46204</v>
      </c>
      <c r="P86" s="1" t="s">
        <v>696</v>
      </c>
      <c r="Q86" s="1" t="s">
        <v>138</v>
      </c>
      <c r="R86" s="1" t="s">
        <v>55</v>
      </c>
      <c r="S86" s="2">
        <v>46191</v>
      </c>
      <c r="T86" s="2">
        <v>46204</v>
      </c>
      <c r="V86" s="1">
        <v>1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</row>
    <row r="87" spans="1:33" x14ac:dyDescent="0.25">
      <c r="A87" s="1">
        <v>668</v>
      </c>
      <c r="B87" s="1" t="s">
        <v>953</v>
      </c>
      <c r="C87" s="1" t="s">
        <v>954</v>
      </c>
      <c r="D87" s="1" t="s">
        <v>94</v>
      </c>
      <c r="E87" s="1" t="s">
        <v>812</v>
      </c>
      <c r="F87" s="3">
        <v>46188</v>
      </c>
      <c r="G87" s="3">
        <v>46196</v>
      </c>
      <c r="H87" s="4">
        <v>1</v>
      </c>
      <c r="I87" s="3">
        <v>46196</v>
      </c>
      <c r="J87" s="1" t="s">
        <v>821</v>
      </c>
      <c r="K87" s="1">
        <v>669</v>
      </c>
      <c r="L87" s="1" t="s">
        <v>59</v>
      </c>
      <c r="M87" s="1" t="s">
        <v>386</v>
      </c>
      <c r="N87" s="2">
        <v>46204</v>
      </c>
      <c r="P87" s="1" t="s">
        <v>696</v>
      </c>
      <c r="Q87" s="1" t="s">
        <v>138</v>
      </c>
      <c r="R87" s="1" t="s">
        <v>55</v>
      </c>
      <c r="S87" s="2">
        <v>46191</v>
      </c>
      <c r="T87" s="2">
        <v>46204</v>
      </c>
      <c r="V87" s="1">
        <v>1</v>
      </c>
      <c r="W87" s="1">
        <v>1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</row>
    <row r="88" spans="1:33" x14ac:dyDescent="0.25">
      <c r="A88" s="1">
        <v>673</v>
      </c>
      <c r="B88" s="1" t="s">
        <v>961</v>
      </c>
      <c r="C88" s="1" t="s">
        <v>962</v>
      </c>
      <c r="D88" s="1" t="s">
        <v>94</v>
      </c>
      <c r="E88" s="1" t="s">
        <v>812</v>
      </c>
      <c r="F88" s="3">
        <v>46192</v>
      </c>
      <c r="G88" s="3">
        <v>46202</v>
      </c>
      <c r="H88" s="4">
        <v>1</v>
      </c>
      <c r="I88" s="3">
        <v>46202</v>
      </c>
      <c r="J88" s="1" t="s">
        <v>821</v>
      </c>
      <c r="K88" s="1">
        <v>674</v>
      </c>
      <c r="L88" s="1" t="s">
        <v>59</v>
      </c>
      <c r="M88" s="1" t="s">
        <v>386</v>
      </c>
      <c r="N88" s="2">
        <v>46204</v>
      </c>
      <c r="P88" s="1" t="s">
        <v>696</v>
      </c>
      <c r="Q88" s="1" t="s">
        <v>138</v>
      </c>
      <c r="R88" s="1" t="s">
        <v>55</v>
      </c>
      <c r="S88" s="2">
        <v>46191</v>
      </c>
      <c r="T88" s="2">
        <v>46204</v>
      </c>
      <c r="V88" s="1">
        <v>1</v>
      </c>
      <c r="W88" s="1">
        <v>1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</v>
      </c>
    </row>
    <row r="89" spans="1:33" x14ac:dyDescent="0.25">
      <c r="A89" s="1">
        <v>678</v>
      </c>
      <c r="B89" s="1" t="s">
        <v>968</v>
      </c>
      <c r="C89" s="1" t="s">
        <v>969</v>
      </c>
      <c r="D89" s="1" t="s">
        <v>94</v>
      </c>
      <c r="E89" s="1" t="s">
        <v>812</v>
      </c>
      <c r="F89" s="3">
        <v>46192</v>
      </c>
      <c r="G89" s="3">
        <v>46202</v>
      </c>
      <c r="H89" s="4">
        <v>1</v>
      </c>
      <c r="I89" s="3">
        <v>46202</v>
      </c>
      <c r="J89" s="1" t="s">
        <v>821</v>
      </c>
      <c r="K89" s="1">
        <v>679</v>
      </c>
      <c r="L89" s="1" t="s">
        <v>59</v>
      </c>
      <c r="M89" s="1" t="s">
        <v>386</v>
      </c>
      <c r="N89" s="2">
        <v>46204</v>
      </c>
      <c r="P89" s="1" t="s">
        <v>696</v>
      </c>
      <c r="Q89" s="1" t="s">
        <v>138</v>
      </c>
      <c r="R89" s="1" t="s">
        <v>55</v>
      </c>
      <c r="S89" s="2">
        <v>46191</v>
      </c>
      <c r="T89" s="2">
        <v>46204</v>
      </c>
      <c r="V89" s="1">
        <v>1</v>
      </c>
      <c r="W89" s="1">
        <v>1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</row>
    <row r="90" spans="1:33" x14ac:dyDescent="0.25">
      <c r="A90" s="1">
        <v>683</v>
      </c>
      <c r="B90" s="1" t="s">
        <v>975</v>
      </c>
      <c r="C90" s="1" t="s">
        <v>976</v>
      </c>
      <c r="D90" s="1" t="s">
        <v>94</v>
      </c>
      <c r="E90" s="1" t="s">
        <v>812</v>
      </c>
      <c r="F90" s="3">
        <v>46192</v>
      </c>
      <c r="G90" s="3">
        <v>46202</v>
      </c>
      <c r="H90" s="4">
        <v>1</v>
      </c>
      <c r="I90" s="3">
        <v>46202</v>
      </c>
      <c r="J90" s="1" t="s">
        <v>821</v>
      </c>
      <c r="K90" s="1">
        <v>684</v>
      </c>
      <c r="L90" s="1" t="s">
        <v>59</v>
      </c>
      <c r="M90" s="1" t="s">
        <v>386</v>
      </c>
      <c r="N90" s="2">
        <v>46204</v>
      </c>
      <c r="P90" s="1" t="s">
        <v>696</v>
      </c>
      <c r="Q90" s="1" t="s">
        <v>138</v>
      </c>
      <c r="R90" s="1" t="s">
        <v>55</v>
      </c>
      <c r="S90" s="2">
        <v>46191</v>
      </c>
      <c r="T90" s="2">
        <v>46204</v>
      </c>
      <c r="V90" s="1">
        <v>1</v>
      </c>
      <c r="W90" s="1">
        <v>1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</row>
    <row r="91" spans="1:33" x14ac:dyDescent="0.25">
      <c r="A91" s="1">
        <v>688</v>
      </c>
      <c r="B91" s="1" t="s">
        <v>982</v>
      </c>
      <c r="C91" s="1" t="s">
        <v>983</v>
      </c>
      <c r="D91" s="1" t="s">
        <v>94</v>
      </c>
      <c r="E91" s="1" t="s">
        <v>812</v>
      </c>
      <c r="F91" s="3">
        <v>46192</v>
      </c>
      <c r="G91" s="3">
        <v>46202</v>
      </c>
      <c r="H91" s="4">
        <v>1</v>
      </c>
      <c r="I91" s="3">
        <v>46202</v>
      </c>
      <c r="J91" s="1" t="s">
        <v>821</v>
      </c>
      <c r="K91" s="1">
        <v>689</v>
      </c>
      <c r="L91" s="1" t="s">
        <v>59</v>
      </c>
      <c r="M91" s="1" t="s">
        <v>386</v>
      </c>
      <c r="N91" s="2">
        <v>46204</v>
      </c>
      <c r="P91" s="1" t="s">
        <v>696</v>
      </c>
      <c r="Q91" s="1" t="s">
        <v>138</v>
      </c>
      <c r="R91" s="1" t="s">
        <v>55</v>
      </c>
      <c r="S91" s="2">
        <v>46191</v>
      </c>
      <c r="T91" s="2">
        <v>46204</v>
      </c>
      <c r="V91" s="1">
        <v>1</v>
      </c>
      <c r="W91" s="1">
        <v>1</v>
      </c>
      <c r="X91" s="1">
        <v>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</row>
    <row r="92" spans="1:33" x14ac:dyDescent="0.25">
      <c r="A92" s="1">
        <v>698</v>
      </c>
      <c r="B92" s="1" t="s">
        <v>998</v>
      </c>
      <c r="C92" s="1" t="s">
        <v>999</v>
      </c>
      <c r="D92" s="1" t="s">
        <v>94</v>
      </c>
      <c r="E92" s="1" t="s">
        <v>553</v>
      </c>
      <c r="F92" s="3">
        <v>46203</v>
      </c>
      <c r="G92" s="3">
        <v>46206</v>
      </c>
      <c r="H92" s="4">
        <v>1</v>
      </c>
      <c r="I92" s="3">
        <v>46206</v>
      </c>
      <c r="J92" s="1" t="s">
        <v>991</v>
      </c>
      <c r="K92" s="1" t="s">
        <v>1000</v>
      </c>
      <c r="L92" s="1" t="s">
        <v>59</v>
      </c>
      <c r="M92" s="1" t="s">
        <v>422</v>
      </c>
      <c r="N92" s="2">
        <v>46203</v>
      </c>
      <c r="P92" s="1" t="s">
        <v>696</v>
      </c>
      <c r="Q92" s="1" t="s">
        <v>138</v>
      </c>
      <c r="R92" s="1" t="s">
        <v>55</v>
      </c>
      <c r="S92" s="2">
        <v>46199</v>
      </c>
      <c r="T92" s="2">
        <v>46203</v>
      </c>
      <c r="V92" s="1">
        <v>1</v>
      </c>
      <c r="W92" s="1">
        <v>1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</row>
    <row r="93" spans="1:33" x14ac:dyDescent="0.25">
      <c r="A93" s="1">
        <v>703</v>
      </c>
      <c r="B93" s="1" t="s">
        <v>1006</v>
      </c>
      <c r="C93" s="1" t="s">
        <v>1007</v>
      </c>
      <c r="D93" s="1" t="s">
        <v>94</v>
      </c>
      <c r="E93" s="1" t="s">
        <v>553</v>
      </c>
      <c r="F93" s="3">
        <v>46202</v>
      </c>
      <c r="G93" s="3">
        <v>46205</v>
      </c>
      <c r="H93" s="4">
        <v>1</v>
      </c>
      <c r="I93" s="3">
        <v>46205</v>
      </c>
      <c r="J93" s="1" t="s">
        <v>991</v>
      </c>
      <c r="K93" s="1" t="s">
        <v>1008</v>
      </c>
      <c r="L93" s="1" t="s">
        <v>59</v>
      </c>
      <c r="M93" s="1" t="s">
        <v>422</v>
      </c>
      <c r="N93" s="2">
        <v>46203</v>
      </c>
      <c r="P93" s="1" t="s">
        <v>696</v>
      </c>
      <c r="Q93" s="1" t="s">
        <v>138</v>
      </c>
      <c r="R93" s="1" t="s">
        <v>55</v>
      </c>
      <c r="S93" s="2">
        <v>46199</v>
      </c>
      <c r="T93" s="2">
        <v>46203</v>
      </c>
      <c r="V93" s="1">
        <v>1</v>
      </c>
      <c r="W93" s="1">
        <v>1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0"/>
  <sheetViews>
    <sheetView workbookViewId="0">
      <selection activeCell="D203" sqref="D203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4.5703125" style="1" bestFit="1" customWidth="1"/>
    <col min="5" max="5" width="10.42578125" style="1" bestFit="1" customWidth="1"/>
    <col min="6" max="7" width="10.7109375" style="3" bestFit="1" customWidth="1"/>
    <col min="8" max="8" width="13.7109375" style="4" bestFit="1" customWidth="1"/>
    <col min="9" max="9" width="14.5703125" style="1" bestFit="1" customWidth="1"/>
    <col min="10" max="10" width="16.140625" style="1" bestFit="1" customWidth="1"/>
    <col min="11" max="11" width="14.85546875" style="1" bestFit="1" customWidth="1"/>
    <col min="12" max="12" width="12.42578125" style="1" bestFit="1" customWidth="1"/>
    <col min="13" max="13" width="23.42578125" style="1" bestFit="1" customWidth="1"/>
    <col min="14" max="14" width="25.85546875" style="3" bestFit="1" customWidth="1"/>
    <col min="15" max="15" width="21.28515625" style="1" bestFit="1" customWidth="1"/>
    <col min="16" max="16" width="32.140625" style="1" bestFit="1" customWidth="1"/>
    <col min="17" max="17" width="14.5703125" style="1" bestFit="1" customWidth="1"/>
    <col min="18" max="18" width="8.85546875" style="1" bestFit="1" customWidth="1"/>
    <col min="19" max="20" width="18.28515625" style="1" bestFit="1" customWidth="1"/>
    <col min="21" max="21" width="14.28515625" style="1" bestFit="1" customWidth="1"/>
    <col min="22" max="22" width="9.5703125" style="1" bestFit="1" customWidth="1"/>
    <col min="23" max="23" width="21" style="1" bestFit="1" customWidth="1"/>
    <col min="24" max="24" width="25.42578125" style="1" bestFit="1" customWidth="1"/>
    <col min="25" max="25" width="24.7109375" style="1" bestFit="1" customWidth="1"/>
    <col min="26" max="26" width="17.28515625" style="1" bestFit="1" customWidth="1"/>
    <col min="27" max="27" width="30.42578125" style="1" bestFit="1" customWidth="1"/>
    <col min="28" max="28" width="27.140625" style="1" bestFit="1" customWidth="1"/>
    <col min="29" max="29" width="38.28515625" style="1" bestFit="1" customWidth="1"/>
    <col min="30" max="30" width="23.85546875" style="1" bestFit="1" customWidth="1"/>
    <col min="31" max="31" width="21.7109375" style="1" bestFit="1" customWidth="1"/>
    <col min="32" max="32" width="21" style="1" bestFit="1" customWidth="1"/>
    <col min="33" max="33" width="12.285156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1">
        <v>2</v>
      </c>
      <c r="B2" s="1" t="s">
        <v>40</v>
      </c>
      <c r="C2" s="1" t="s">
        <v>41</v>
      </c>
      <c r="D2" s="1" t="s">
        <v>42</v>
      </c>
      <c r="E2" s="1" t="s">
        <v>43</v>
      </c>
      <c r="F2" s="3">
        <v>46161</v>
      </c>
      <c r="G2" s="3">
        <v>46196</v>
      </c>
      <c r="H2" s="4">
        <v>0.5</v>
      </c>
      <c r="L2" s="1" t="s">
        <v>35</v>
      </c>
      <c r="M2" s="1" t="s">
        <v>44</v>
      </c>
      <c r="N2" s="3">
        <v>46164</v>
      </c>
      <c r="P2" s="1" t="s">
        <v>37</v>
      </c>
      <c r="Q2" s="1" t="s">
        <v>45</v>
      </c>
      <c r="R2" s="1" t="s">
        <v>39</v>
      </c>
      <c r="S2" s="2">
        <v>46161</v>
      </c>
      <c r="T2" s="2">
        <v>46164</v>
      </c>
      <c r="V2" s="1">
        <v>0.5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hidden="1" x14ac:dyDescent="0.25">
      <c r="A3" s="1">
        <v>3</v>
      </c>
      <c r="B3" s="1" t="s">
        <v>46</v>
      </c>
      <c r="C3" s="1" t="s">
        <v>47</v>
      </c>
      <c r="D3" s="1" t="s">
        <v>48</v>
      </c>
      <c r="E3" s="1" t="s">
        <v>43</v>
      </c>
      <c r="F3" s="3">
        <v>46161</v>
      </c>
      <c r="G3" s="3">
        <v>46196</v>
      </c>
      <c r="H3" s="4">
        <v>0.5</v>
      </c>
      <c r="L3" s="1" t="s">
        <v>35</v>
      </c>
      <c r="M3" s="1" t="s">
        <v>44</v>
      </c>
      <c r="N3" s="3">
        <v>46164</v>
      </c>
      <c r="P3" s="1" t="s">
        <v>49</v>
      </c>
      <c r="Q3" s="1" t="s">
        <v>45</v>
      </c>
      <c r="R3" s="1" t="s">
        <v>39</v>
      </c>
      <c r="S3" s="2">
        <v>46161</v>
      </c>
      <c r="T3" s="2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hidden="1" x14ac:dyDescent="0.25">
      <c r="A4" s="1">
        <v>4</v>
      </c>
      <c r="B4" s="1" t="s">
        <v>50</v>
      </c>
      <c r="C4" s="1" t="s">
        <v>51</v>
      </c>
      <c r="D4" s="1" t="s">
        <v>52</v>
      </c>
      <c r="E4" s="1" t="s">
        <v>53</v>
      </c>
      <c r="F4" s="3">
        <v>46178</v>
      </c>
      <c r="G4" s="3">
        <v>46178</v>
      </c>
      <c r="H4" s="4">
        <v>0</v>
      </c>
      <c r="K4" s="1" t="s">
        <v>54</v>
      </c>
      <c r="L4" s="1" t="s">
        <v>35</v>
      </c>
      <c r="M4" s="1" t="s">
        <v>44</v>
      </c>
      <c r="N4" s="3">
        <v>46161</v>
      </c>
      <c r="P4" s="1" t="s">
        <v>49</v>
      </c>
      <c r="Q4" s="1" t="s">
        <v>38</v>
      </c>
      <c r="R4" s="1" t="s">
        <v>55</v>
      </c>
      <c r="S4" s="2">
        <v>46161</v>
      </c>
      <c r="T4" s="2">
        <v>46161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idden="1" x14ac:dyDescent="0.25">
      <c r="A5" s="1">
        <v>8</v>
      </c>
      <c r="B5" s="1" t="s">
        <v>66</v>
      </c>
      <c r="C5" s="1" t="s">
        <v>51</v>
      </c>
      <c r="D5" s="1" t="s">
        <v>67</v>
      </c>
      <c r="E5" s="1" t="s">
        <v>53</v>
      </c>
      <c r="F5" s="3">
        <v>46178</v>
      </c>
      <c r="G5" s="3">
        <v>46178</v>
      </c>
      <c r="H5" s="4">
        <v>0</v>
      </c>
      <c r="K5" s="1">
        <v>473</v>
      </c>
      <c r="L5" s="1" t="s">
        <v>35</v>
      </c>
      <c r="M5" s="1" t="s">
        <v>62</v>
      </c>
      <c r="N5" s="3">
        <v>46164</v>
      </c>
      <c r="P5" s="1" t="s">
        <v>49</v>
      </c>
      <c r="Q5" s="1" t="s">
        <v>65</v>
      </c>
      <c r="R5" s="1" t="s">
        <v>55</v>
      </c>
      <c r="S5" s="2">
        <v>46164</v>
      </c>
      <c r="T5" s="2">
        <v>46164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idden="1" x14ac:dyDescent="0.25">
      <c r="A6" s="1">
        <v>9</v>
      </c>
      <c r="B6" s="1" t="s">
        <v>68</v>
      </c>
      <c r="C6" s="1" t="s">
        <v>51</v>
      </c>
      <c r="D6" s="1" t="s">
        <v>69</v>
      </c>
      <c r="E6" s="1" t="s">
        <v>53</v>
      </c>
      <c r="F6" s="3">
        <v>46196</v>
      </c>
      <c r="G6" s="3">
        <v>46196</v>
      </c>
      <c r="H6" s="4">
        <v>0</v>
      </c>
      <c r="K6" s="1">
        <v>327</v>
      </c>
      <c r="L6" s="1" t="s">
        <v>35</v>
      </c>
      <c r="M6" s="1" t="s">
        <v>62</v>
      </c>
      <c r="N6" s="3">
        <v>46164</v>
      </c>
      <c r="P6" s="1" t="s">
        <v>49</v>
      </c>
      <c r="Q6" s="1" t="s">
        <v>38</v>
      </c>
      <c r="R6" s="1" t="s">
        <v>55</v>
      </c>
      <c r="S6" s="2">
        <v>46164</v>
      </c>
      <c r="T6" s="2">
        <v>46164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32</v>
      </c>
      <c r="B7" s="1" t="s">
        <v>139</v>
      </c>
      <c r="C7" s="1" t="s">
        <v>140</v>
      </c>
      <c r="D7" s="1" t="s">
        <v>94</v>
      </c>
      <c r="E7" s="1" t="s">
        <v>95</v>
      </c>
      <c r="F7" s="3">
        <v>46204</v>
      </c>
      <c r="G7" s="3">
        <v>46206</v>
      </c>
      <c r="H7" s="4">
        <v>0.8</v>
      </c>
      <c r="J7" s="1" t="s">
        <v>141</v>
      </c>
      <c r="K7" s="1" t="s">
        <v>142</v>
      </c>
      <c r="L7" s="1" t="s">
        <v>131</v>
      </c>
      <c r="M7" s="1" t="s">
        <v>137</v>
      </c>
      <c r="N7" s="3">
        <v>46169</v>
      </c>
      <c r="P7" s="1" t="s">
        <v>132</v>
      </c>
      <c r="Q7" s="1" t="s">
        <v>138</v>
      </c>
      <c r="R7" s="1" t="s">
        <v>55</v>
      </c>
      <c r="S7" s="2">
        <v>46167</v>
      </c>
      <c r="T7" s="2">
        <v>46169</v>
      </c>
      <c r="V7" s="1">
        <v>0.8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hidden="1" x14ac:dyDescent="0.25">
      <c r="A8" s="1">
        <v>65</v>
      </c>
      <c r="B8" s="1" t="s">
        <v>188</v>
      </c>
      <c r="C8" s="1" t="s">
        <v>183</v>
      </c>
      <c r="D8" s="1" t="s">
        <v>102</v>
      </c>
      <c r="E8" s="1" t="s">
        <v>121</v>
      </c>
      <c r="F8" s="3">
        <v>46203</v>
      </c>
      <c r="G8" s="3">
        <v>46204</v>
      </c>
      <c r="H8" s="4">
        <v>0.5</v>
      </c>
      <c r="J8" s="1">
        <v>64</v>
      </c>
      <c r="K8" s="1" t="s">
        <v>189</v>
      </c>
      <c r="L8" s="1" t="s">
        <v>35</v>
      </c>
      <c r="M8" s="1" t="s">
        <v>190</v>
      </c>
      <c r="N8" s="3">
        <v>46164</v>
      </c>
      <c r="P8" s="1" t="s">
        <v>178</v>
      </c>
      <c r="Q8" s="1" t="s">
        <v>151</v>
      </c>
      <c r="R8" s="1" t="s">
        <v>55</v>
      </c>
      <c r="S8" s="2">
        <v>46163</v>
      </c>
      <c r="T8" s="2">
        <v>46164</v>
      </c>
      <c r="V8" s="1">
        <v>0.5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</row>
    <row r="9" spans="1:33" hidden="1" x14ac:dyDescent="0.25">
      <c r="A9" s="1">
        <v>135</v>
      </c>
      <c r="B9" s="1" t="s">
        <v>291</v>
      </c>
      <c r="C9" s="1" t="s">
        <v>289</v>
      </c>
      <c r="D9" s="1" t="s">
        <v>98</v>
      </c>
      <c r="E9" s="1" t="s">
        <v>53</v>
      </c>
      <c r="F9" s="3">
        <v>46205</v>
      </c>
      <c r="G9" s="3">
        <v>46205</v>
      </c>
      <c r="H9" s="4">
        <v>0</v>
      </c>
      <c r="J9" s="1">
        <v>134</v>
      </c>
      <c r="K9" s="1">
        <v>136</v>
      </c>
      <c r="L9" s="1" t="s">
        <v>35</v>
      </c>
      <c r="M9" s="1" t="s">
        <v>292</v>
      </c>
      <c r="N9" s="3">
        <v>46183</v>
      </c>
      <c r="P9" s="1" t="s">
        <v>197</v>
      </c>
      <c r="Q9" s="1" t="s">
        <v>146</v>
      </c>
      <c r="R9" s="1" t="s">
        <v>55</v>
      </c>
      <c r="S9" s="2">
        <v>46183</v>
      </c>
      <c r="T9" s="2">
        <v>46183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hidden="1" x14ac:dyDescent="0.25">
      <c r="A10" s="1">
        <v>140</v>
      </c>
      <c r="B10" s="1" t="s">
        <v>301</v>
      </c>
      <c r="C10" s="1" t="s">
        <v>300</v>
      </c>
      <c r="D10" s="1" t="s">
        <v>98</v>
      </c>
      <c r="E10" s="1" t="s">
        <v>53</v>
      </c>
      <c r="F10" s="3">
        <v>46205</v>
      </c>
      <c r="G10" s="3">
        <v>46205</v>
      </c>
      <c r="H10" s="4">
        <v>0</v>
      </c>
      <c r="J10" s="1">
        <v>139</v>
      </c>
      <c r="K10" s="1">
        <v>141</v>
      </c>
      <c r="L10" s="1" t="s">
        <v>35</v>
      </c>
      <c r="M10" s="1" t="s">
        <v>292</v>
      </c>
      <c r="N10" s="3">
        <v>46183</v>
      </c>
      <c r="P10" s="1" t="s">
        <v>197</v>
      </c>
      <c r="Q10" s="1" t="s">
        <v>146</v>
      </c>
      <c r="R10" s="1" t="s">
        <v>55</v>
      </c>
      <c r="S10" s="2">
        <v>46183</v>
      </c>
      <c r="T10" s="2">
        <v>46183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hidden="1" x14ac:dyDescent="0.25">
      <c r="A11" s="1">
        <v>145</v>
      </c>
      <c r="B11" s="1" t="s">
        <v>308</v>
      </c>
      <c r="C11" s="1" t="s">
        <v>307</v>
      </c>
      <c r="D11" s="1" t="s">
        <v>98</v>
      </c>
      <c r="E11" s="1" t="s">
        <v>53</v>
      </c>
      <c r="F11" s="3">
        <v>46205</v>
      </c>
      <c r="G11" s="3">
        <v>46205</v>
      </c>
      <c r="H11" s="4">
        <v>0</v>
      </c>
      <c r="J11" s="1">
        <v>144</v>
      </c>
      <c r="K11" s="1">
        <v>146</v>
      </c>
      <c r="L11" s="1" t="s">
        <v>35</v>
      </c>
      <c r="M11" s="1" t="s">
        <v>292</v>
      </c>
      <c r="N11" s="3">
        <v>46183</v>
      </c>
      <c r="P11" s="1" t="s">
        <v>197</v>
      </c>
      <c r="Q11" s="1" t="s">
        <v>146</v>
      </c>
      <c r="R11" s="1" t="s">
        <v>55</v>
      </c>
      <c r="S11" s="2">
        <v>46183</v>
      </c>
      <c r="T11" s="2">
        <v>46183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idden="1" x14ac:dyDescent="0.25">
      <c r="A12" s="1">
        <v>150</v>
      </c>
      <c r="B12" s="1" t="s">
        <v>315</v>
      </c>
      <c r="C12" s="1" t="s">
        <v>314</v>
      </c>
      <c r="D12" s="1" t="s">
        <v>98</v>
      </c>
      <c r="E12" s="1" t="s">
        <v>53</v>
      </c>
      <c r="F12" s="3">
        <v>46205</v>
      </c>
      <c r="G12" s="3">
        <v>46205</v>
      </c>
      <c r="H12" s="4">
        <v>0</v>
      </c>
      <c r="J12" s="1">
        <v>149</v>
      </c>
      <c r="K12" s="1">
        <v>151</v>
      </c>
      <c r="L12" s="1" t="s">
        <v>35</v>
      </c>
      <c r="M12" s="1" t="s">
        <v>292</v>
      </c>
      <c r="N12" s="3">
        <v>46183</v>
      </c>
      <c r="P12" s="1" t="s">
        <v>197</v>
      </c>
      <c r="Q12" s="1" t="s">
        <v>146</v>
      </c>
      <c r="R12" s="1" t="s">
        <v>55</v>
      </c>
      <c r="S12" s="2">
        <v>46183</v>
      </c>
      <c r="T12" s="2">
        <v>46183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hidden="1" x14ac:dyDescent="0.25">
      <c r="A13" s="1">
        <v>155</v>
      </c>
      <c r="B13" s="1" t="s">
        <v>323</v>
      </c>
      <c r="C13" s="1" t="s">
        <v>322</v>
      </c>
      <c r="D13" s="1" t="s">
        <v>98</v>
      </c>
      <c r="E13" s="1" t="s">
        <v>53</v>
      </c>
      <c r="F13" s="3">
        <v>46205</v>
      </c>
      <c r="G13" s="3">
        <v>46205</v>
      </c>
      <c r="H13" s="4">
        <v>0</v>
      </c>
      <c r="J13" s="1">
        <v>154</v>
      </c>
      <c r="K13" s="1">
        <v>156</v>
      </c>
      <c r="L13" s="1" t="s">
        <v>35</v>
      </c>
      <c r="M13" s="1" t="s">
        <v>292</v>
      </c>
      <c r="N13" s="3">
        <v>46183</v>
      </c>
      <c r="P13" s="1" t="s">
        <v>197</v>
      </c>
      <c r="Q13" s="1" t="s">
        <v>146</v>
      </c>
      <c r="R13" s="1" t="s">
        <v>55</v>
      </c>
      <c r="S13" s="2">
        <v>46183</v>
      </c>
      <c r="T13" s="2">
        <v>46183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hidden="1" x14ac:dyDescent="0.25">
      <c r="A14" s="1">
        <v>160</v>
      </c>
      <c r="B14" s="1" t="s">
        <v>330</v>
      </c>
      <c r="C14" s="1" t="s">
        <v>329</v>
      </c>
      <c r="D14" s="1" t="s">
        <v>98</v>
      </c>
      <c r="E14" s="1" t="s">
        <v>53</v>
      </c>
      <c r="F14" s="3">
        <v>46205</v>
      </c>
      <c r="G14" s="3">
        <v>46205</v>
      </c>
      <c r="H14" s="4">
        <v>0</v>
      </c>
      <c r="J14" s="1">
        <v>159</v>
      </c>
      <c r="K14" s="1">
        <v>161</v>
      </c>
      <c r="L14" s="1" t="s">
        <v>35</v>
      </c>
      <c r="M14" s="1" t="s">
        <v>292</v>
      </c>
      <c r="N14" s="3">
        <v>46183</v>
      </c>
      <c r="P14" s="1" t="s">
        <v>197</v>
      </c>
      <c r="Q14" s="1" t="s">
        <v>146</v>
      </c>
      <c r="R14" s="1" t="s">
        <v>55</v>
      </c>
      <c r="S14" s="2">
        <v>46183</v>
      </c>
      <c r="T14" s="2">
        <v>46183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hidden="1" x14ac:dyDescent="0.25">
      <c r="A15" s="1">
        <v>163</v>
      </c>
      <c r="B15" s="1" t="s">
        <v>333</v>
      </c>
      <c r="C15" s="1" t="s">
        <v>199</v>
      </c>
      <c r="D15" s="1" t="s">
        <v>334</v>
      </c>
      <c r="E15" s="1" t="s">
        <v>335</v>
      </c>
      <c r="F15" s="3">
        <v>46174</v>
      </c>
      <c r="G15" s="3">
        <v>46195</v>
      </c>
      <c r="H15" s="4">
        <v>0.86</v>
      </c>
      <c r="L15" s="1" t="s">
        <v>35</v>
      </c>
      <c r="M15" s="1" t="s">
        <v>148</v>
      </c>
      <c r="N15" s="3">
        <v>46190</v>
      </c>
      <c r="P15" s="1" t="s">
        <v>197</v>
      </c>
      <c r="Q15" s="1" t="s">
        <v>211</v>
      </c>
      <c r="R15" s="1" t="s">
        <v>55</v>
      </c>
      <c r="S15" s="2">
        <v>46171</v>
      </c>
      <c r="T15" s="2">
        <v>46190</v>
      </c>
      <c r="V15" s="1">
        <v>0.86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hidden="1" x14ac:dyDescent="0.25">
      <c r="A16" s="1">
        <v>166</v>
      </c>
      <c r="B16" s="1" t="s">
        <v>341</v>
      </c>
      <c r="C16" s="1" t="s">
        <v>337</v>
      </c>
      <c r="D16" s="1" t="s">
        <v>102</v>
      </c>
      <c r="E16" s="1" t="s">
        <v>121</v>
      </c>
      <c r="F16" s="3">
        <v>46191</v>
      </c>
      <c r="G16" s="3">
        <v>46192</v>
      </c>
      <c r="H16" s="4">
        <v>0.5</v>
      </c>
      <c r="J16" s="1">
        <v>165</v>
      </c>
      <c r="K16" s="1">
        <v>167</v>
      </c>
      <c r="L16" s="1" t="s">
        <v>35</v>
      </c>
      <c r="M16" s="1" t="s">
        <v>296</v>
      </c>
      <c r="N16" s="3">
        <v>46189</v>
      </c>
      <c r="P16" s="1" t="s">
        <v>197</v>
      </c>
      <c r="Q16" s="1" t="s">
        <v>138</v>
      </c>
      <c r="R16" s="1" t="s">
        <v>55</v>
      </c>
      <c r="S16" s="2">
        <v>46188</v>
      </c>
      <c r="T16" s="2">
        <v>46189</v>
      </c>
      <c r="V16" s="1">
        <v>0.5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</row>
    <row r="17" spans="1:33" hidden="1" x14ac:dyDescent="0.25">
      <c r="A17" s="1">
        <v>167</v>
      </c>
      <c r="B17" s="1" t="s">
        <v>342</v>
      </c>
      <c r="C17" s="1" t="s">
        <v>337</v>
      </c>
      <c r="D17" s="1" t="s">
        <v>108</v>
      </c>
      <c r="E17" s="1" t="s">
        <v>53</v>
      </c>
      <c r="F17" s="3">
        <v>46195</v>
      </c>
      <c r="G17" s="3">
        <v>46195</v>
      </c>
      <c r="H17" s="4">
        <v>0</v>
      </c>
      <c r="J17" s="1">
        <v>166</v>
      </c>
      <c r="L17" s="1" t="s">
        <v>35</v>
      </c>
      <c r="M17" s="1" t="s">
        <v>343</v>
      </c>
      <c r="N17" s="3">
        <v>46190</v>
      </c>
      <c r="P17" s="1" t="s">
        <v>197</v>
      </c>
      <c r="Q17" s="1" t="s">
        <v>146</v>
      </c>
      <c r="R17" s="1" t="s">
        <v>55</v>
      </c>
      <c r="S17" s="2">
        <v>46190</v>
      </c>
      <c r="T17" s="2">
        <v>46190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</row>
    <row r="18" spans="1:33" hidden="1" x14ac:dyDescent="0.25">
      <c r="A18" s="1">
        <v>168</v>
      </c>
      <c r="B18" s="1" t="s">
        <v>344</v>
      </c>
      <c r="C18" s="1" t="s">
        <v>199</v>
      </c>
      <c r="D18" s="1" t="s">
        <v>345</v>
      </c>
      <c r="E18" s="1" t="s">
        <v>335</v>
      </c>
      <c r="F18" s="3">
        <v>46174</v>
      </c>
      <c r="G18" s="3">
        <v>46195</v>
      </c>
      <c r="H18" s="4">
        <v>0.75</v>
      </c>
      <c r="L18" s="1" t="s">
        <v>35</v>
      </c>
      <c r="M18" s="1" t="s">
        <v>148</v>
      </c>
      <c r="N18" s="3">
        <v>46190</v>
      </c>
      <c r="P18" s="1" t="s">
        <v>197</v>
      </c>
      <c r="Q18" s="1" t="s">
        <v>211</v>
      </c>
      <c r="R18" s="1" t="s">
        <v>55</v>
      </c>
      <c r="S18" s="2">
        <v>46171</v>
      </c>
      <c r="T18" s="2">
        <v>46190</v>
      </c>
      <c r="U18" s="1" t="s">
        <v>320</v>
      </c>
      <c r="V18" s="1">
        <v>0.75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hidden="1" x14ac:dyDescent="0.25">
      <c r="A19" s="1">
        <v>170</v>
      </c>
      <c r="B19" s="1" t="s">
        <v>349</v>
      </c>
      <c r="C19" s="1" t="s">
        <v>347</v>
      </c>
      <c r="D19" s="1" t="s">
        <v>98</v>
      </c>
      <c r="E19" s="1" t="s">
        <v>53</v>
      </c>
      <c r="F19" s="3">
        <v>46190</v>
      </c>
      <c r="G19" s="3">
        <v>46190</v>
      </c>
      <c r="H19" s="4">
        <v>0.5</v>
      </c>
      <c r="J19" s="1">
        <v>169</v>
      </c>
      <c r="K19" s="1">
        <v>171</v>
      </c>
      <c r="L19" s="1" t="s">
        <v>35</v>
      </c>
      <c r="M19" s="1" t="s">
        <v>172</v>
      </c>
      <c r="N19" s="3">
        <v>46185</v>
      </c>
      <c r="P19" s="1" t="s">
        <v>197</v>
      </c>
      <c r="Q19" s="1" t="s">
        <v>138</v>
      </c>
      <c r="R19" s="1" t="s">
        <v>55</v>
      </c>
      <c r="S19" s="2">
        <v>46185</v>
      </c>
      <c r="T19" s="2">
        <v>46185</v>
      </c>
      <c r="V19" s="1">
        <v>0.5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</row>
    <row r="20" spans="1:33" hidden="1" x14ac:dyDescent="0.25">
      <c r="A20" s="1">
        <v>171</v>
      </c>
      <c r="B20" s="1" t="s">
        <v>350</v>
      </c>
      <c r="C20" s="1" t="s">
        <v>347</v>
      </c>
      <c r="D20" s="1" t="s">
        <v>102</v>
      </c>
      <c r="E20" s="1" t="s">
        <v>121</v>
      </c>
      <c r="F20" s="3">
        <v>46191</v>
      </c>
      <c r="G20" s="3">
        <v>46192</v>
      </c>
      <c r="H20" s="4">
        <v>0</v>
      </c>
      <c r="J20" s="1">
        <v>170</v>
      </c>
      <c r="K20" s="1">
        <v>172</v>
      </c>
      <c r="L20" s="1" t="s">
        <v>35</v>
      </c>
      <c r="M20" s="1" t="s">
        <v>296</v>
      </c>
      <c r="N20" s="3">
        <v>46189</v>
      </c>
      <c r="P20" s="1" t="s">
        <v>197</v>
      </c>
      <c r="Q20" s="1" t="s">
        <v>138</v>
      </c>
      <c r="R20" s="1" t="s">
        <v>55</v>
      </c>
      <c r="S20" s="2">
        <v>46188</v>
      </c>
      <c r="T20" s="2">
        <v>46189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</row>
    <row r="21" spans="1:33" hidden="1" x14ac:dyDescent="0.25">
      <c r="A21" s="1">
        <v>172</v>
      </c>
      <c r="B21" s="1" t="s">
        <v>351</v>
      </c>
      <c r="C21" s="1" t="s">
        <v>347</v>
      </c>
      <c r="D21" s="1" t="s">
        <v>108</v>
      </c>
      <c r="E21" s="1" t="s">
        <v>53</v>
      </c>
      <c r="F21" s="3">
        <v>46195</v>
      </c>
      <c r="G21" s="3">
        <v>46195</v>
      </c>
      <c r="H21" s="4">
        <v>0</v>
      </c>
      <c r="J21" s="1">
        <v>171</v>
      </c>
      <c r="L21" s="1" t="s">
        <v>35</v>
      </c>
      <c r="M21" s="1" t="s">
        <v>343</v>
      </c>
      <c r="N21" s="3">
        <v>46190</v>
      </c>
      <c r="P21" s="1" t="s">
        <v>197</v>
      </c>
      <c r="Q21" s="1" t="s">
        <v>146</v>
      </c>
      <c r="R21" s="1" t="s">
        <v>55</v>
      </c>
      <c r="S21" s="2">
        <v>46190</v>
      </c>
      <c r="T21" s="2">
        <v>46190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</row>
    <row r="22" spans="1:33" hidden="1" x14ac:dyDescent="0.25">
      <c r="A22" s="1">
        <v>173</v>
      </c>
      <c r="B22" s="1" t="s">
        <v>352</v>
      </c>
      <c r="C22" s="1" t="s">
        <v>199</v>
      </c>
      <c r="D22" s="1" t="s">
        <v>353</v>
      </c>
      <c r="E22" s="1" t="s">
        <v>335</v>
      </c>
      <c r="F22" s="3">
        <v>46174</v>
      </c>
      <c r="G22" s="3">
        <v>46195</v>
      </c>
      <c r="H22" s="4">
        <v>0.86</v>
      </c>
      <c r="L22" s="1" t="s">
        <v>35</v>
      </c>
      <c r="M22" s="1" t="s">
        <v>148</v>
      </c>
      <c r="N22" s="3">
        <v>46190</v>
      </c>
      <c r="P22" s="1" t="s">
        <v>197</v>
      </c>
      <c r="Q22" s="1" t="s">
        <v>211</v>
      </c>
      <c r="R22" s="1" t="s">
        <v>55</v>
      </c>
      <c r="S22" s="2">
        <v>46171</v>
      </c>
      <c r="T22" s="2">
        <v>46190</v>
      </c>
      <c r="U22" s="1" t="s">
        <v>320</v>
      </c>
      <c r="V22" s="1">
        <v>0.86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hidden="1" x14ac:dyDescent="0.25">
      <c r="A23" s="1">
        <v>176</v>
      </c>
      <c r="B23" s="1" t="s">
        <v>358</v>
      </c>
      <c r="C23" s="1" t="s">
        <v>355</v>
      </c>
      <c r="D23" s="1" t="s">
        <v>102</v>
      </c>
      <c r="E23" s="1" t="s">
        <v>121</v>
      </c>
      <c r="F23" s="3">
        <v>46191</v>
      </c>
      <c r="G23" s="3">
        <v>46192</v>
      </c>
      <c r="H23" s="4">
        <v>0.5</v>
      </c>
      <c r="J23" s="1">
        <v>175</v>
      </c>
      <c r="K23" s="1">
        <v>177</v>
      </c>
      <c r="L23" s="1" t="s">
        <v>35</v>
      </c>
      <c r="M23" s="1" t="s">
        <v>296</v>
      </c>
      <c r="N23" s="3">
        <v>46189</v>
      </c>
      <c r="P23" s="1" t="s">
        <v>197</v>
      </c>
      <c r="Q23" s="1" t="s">
        <v>138</v>
      </c>
      <c r="R23" s="1" t="s">
        <v>55</v>
      </c>
      <c r="S23" s="2">
        <v>46188</v>
      </c>
      <c r="T23" s="2">
        <v>46189</v>
      </c>
      <c r="V23" s="1">
        <v>0.5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</row>
    <row r="24" spans="1:33" hidden="1" x14ac:dyDescent="0.25">
      <c r="A24" s="1">
        <v>177</v>
      </c>
      <c r="B24" s="1" t="s">
        <v>359</v>
      </c>
      <c r="C24" s="1" t="s">
        <v>355</v>
      </c>
      <c r="D24" s="1" t="s">
        <v>108</v>
      </c>
      <c r="E24" s="1" t="s">
        <v>53</v>
      </c>
      <c r="F24" s="3">
        <v>46195</v>
      </c>
      <c r="G24" s="3">
        <v>46195</v>
      </c>
      <c r="H24" s="4">
        <v>0</v>
      </c>
      <c r="J24" s="1">
        <v>176</v>
      </c>
      <c r="L24" s="1" t="s">
        <v>35</v>
      </c>
      <c r="M24" s="1" t="s">
        <v>343</v>
      </c>
      <c r="N24" s="3">
        <v>46190</v>
      </c>
      <c r="P24" s="1" t="s">
        <v>197</v>
      </c>
      <c r="Q24" s="1" t="s">
        <v>146</v>
      </c>
      <c r="R24" s="1" t="s">
        <v>55</v>
      </c>
      <c r="S24" s="2">
        <v>46190</v>
      </c>
      <c r="T24" s="2">
        <v>46190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</row>
    <row r="25" spans="1:33" hidden="1" x14ac:dyDescent="0.25">
      <c r="A25" s="1">
        <v>178</v>
      </c>
      <c r="B25" s="1" t="s">
        <v>360</v>
      </c>
      <c r="C25" s="1" t="s">
        <v>199</v>
      </c>
      <c r="D25" s="1" t="s">
        <v>361</v>
      </c>
      <c r="E25" s="1" t="s">
        <v>335</v>
      </c>
      <c r="F25" s="3">
        <v>46174</v>
      </c>
      <c r="G25" s="3">
        <v>46195</v>
      </c>
      <c r="H25" s="4">
        <v>0.75</v>
      </c>
      <c r="L25" s="1" t="s">
        <v>35</v>
      </c>
      <c r="M25" s="1" t="s">
        <v>148</v>
      </c>
      <c r="N25" s="3">
        <v>46190</v>
      </c>
      <c r="P25" s="1" t="s">
        <v>197</v>
      </c>
      <c r="Q25" s="1" t="s">
        <v>211</v>
      </c>
      <c r="R25" s="1" t="s">
        <v>55</v>
      </c>
      <c r="S25" s="2">
        <v>46171</v>
      </c>
      <c r="T25" s="2">
        <v>46190</v>
      </c>
      <c r="U25" s="1" t="s">
        <v>320</v>
      </c>
      <c r="V25" s="1">
        <v>0.75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hidden="1" x14ac:dyDescent="0.25">
      <c r="A26" s="1">
        <v>180</v>
      </c>
      <c r="B26" s="1" t="s">
        <v>365</v>
      </c>
      <c r="C26" s="1" t="s">
        <v>363</v>
      </c>
      <c r="D26" s="1" t="s">
        <v>98</v>
      </c>
      <c r="E26" s="1" t="s">
        <v>53</v>
      </c>
      <c r="F26" s="3">
        <v>46190</v>
      </c>
      <c r="G26" s="3">
        <v>46190</v>
      </c>
      <c r="H26" s="4">
        <v>0.5</v>
      </c>
      <c r="J26" s="1">
        <v>179</v>
      </c>
      <c r="K26" s="1">
        <v>181</v>
      </c>
      <c r="L26" s="1" t="s">
        <v>35</v>
      </c>
      <c r="M26" s="1" t="s">
        <v>172</v>
      </c>
      <c r="N26" s="3">
        <v>46185</v>
      </c>
      <c r="P26" s="1" t="s">
        <v>197</v>
      </c>
      <c r="Q26" s="1" t="s">
        <v>138</v>
      </c>
      <c r="R26" s="1" t="s">
        <v>55</v>
      </c>
      <c r="S26" s="2">
        <v>46185</v>
      </c>
      <c r="T26" s="2">
        <v>46185</v>
      </c>
      <c r="V26" s="1">
        <v>0.5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hidden="1" x14ac:dyDescent="0.25">
      <c r="A27" s="1">
        <v>181</v>
      </c>
      <c r="B27" s="1" t="s">
        <v>366</v>
      </c>
      <c r="C27" s="1" t="s">
        <v>363</v>
      </c>
      <c r="D27" s="1" t="s">
        <v>102</v>
      </c>
      <c r="E27" s="1" t="s">
        <v>121</v>
      </c>
      <c r="F27" s="3">
        <v>46191</v>
      </c>
      <c r="G27" s="3">
        <v>46192</v>
      </c>
      <c r="H27" s="4">
        <v>0</v>
      </c>
      <c r="J27" s="1">
        <v>180</v>
      </c>
      <c r="K27" s="1">
        <v>182</v>
      </c>
      <c r="L27" s="1" t="s">
        <v>35</v>
      </c>
      <c r="M27" s="1" t="s">
        <v>296</v>
      </c>
      <c r="N27" s="3">
        <v>46189</v>
      </c>
      <c r="P27" s="1" t="s">
        <v>197</v>
      </c>
      <c r="Q27" s="1" t="s">
        <v>138</v>
      </c>
      <c r="R27" s="1" t="s">
        <v>55</v>
      </c>
      <c r="S27" s="2">
        <v>46188</v>
      </c>
      <c r="T27" s="2">
        <v>46189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</row>
    <row r="28" spans="1:33" hidden="1" x14ac:dyDescent="0.25">
      <c r="A28" s="1">
        <v>182</v>
      </c>
      <c r="B28" s="1" t="s">
        <v>367</v>
      </c>
      <c r="C28" s="1" t="s">
        <v>363</v>
      </c>
      <c r="D28" s="1" t="s">
        <v>108</v>
      </c>
      <c r="E28" s="1" t="s">
        <v>53</v>
      </c>
      <c r="F28" s="3">
        <v>46195</v>
      </c>
      <c r="G28" s="3">
        <v>46195</v>
      </c>
      <c r="H28" s="4">
        <v>0</v>
      </c>
      <c r="J28" s="1">
        <v>181</v>
      </c>
      <c r="L28" s="1" t="s">
        <v>35</v>
      </c>
      <c r="M28" s="1" t="s">
        <v>343</v>
      </c>
      <c r="N28" s="3">
        <v>46190</v>
      </c>
      <c r="P28" s="1" t="s">
        <v>197</v>
      </c>
      <c r="Q28" s="1" t="s">
        <v>146</v>
      </c>
      <c r="R28" s="1" t="s">
        <v>55</v>
      </c>
      <c r="S28" s="2">
        <v>46190</v>
      </c>
      <c r="T28" s="2">
        <v>46190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</row>
    <row r="29" spans="1:33" hidden="1" x14ac:dyDescent="0.25">
      <c r="A29" s="1">
        <v>183</v>
      </c>
      <c r="B29" s="1" t="s">
        <v>368</v>
      </c>
      <c r="C29" s="1" t="s">
        <v>199</v>
      </c>
      <c r="D29" s="1" t="s">
        <v>369</v>
      </c>
      <c r="E29" s="1" t="s">
        <v>335</v>
      </c>
      <c r="F29" s="3">
        <v>46157</v>
      </c>
      <c r="G29" s="3">
        <v>46176</v>
      </c>
      <c r="H29" s="4">
        <v>0.92</v>
      </c>
      <c r="L29" s="1" t="s">
        <v>35</v>
      </c>
      <c r="M29" s="1" t="s">
        <v>44</v>
      </c>
      <c r="N29" s="3">
        <v>46175</v>
      </c>
      <c r="P29" s="1" t="s">
        <v>197</v>
      </c>
      <c r="Q29" s="1" t="s">
        <v>125</v>
      </c>
      <c r="R29" s="1" t="s">
        <v>55</v>
      </c>
      <c r="S29" s="2">
        <v>46161</v>
      </c>
      <c r="T29" s="2">
        <v>46175</v>
      </c>
      <c r="V29" s="1">
        <v>0.92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hidden="1" x14ac:dyDescent="0.25">
      <c r="A30" s="1">
        <v>186</v>
      </c>
      <c r="B30" s="1" t="s">
        <v>376</v>
      </c>
      <c r="C30" s="1" t="s">
        <v>371</v>
      </c>
      <c r="D30" s="1" t="s">
        <v>102</v>
      </c>
      <c r="E30" s="1" t="s">
        <v>121</v>
      </c>
      <c r="F30" s="3">
        <v>46174</v>
      </c>
      <c r="G30" s="3">
        <v>46175</v>
      </c>
      <c r="H30" s="4">
        <v>0.75</v>
      </c>
      <c r="J30" s="1">
        <v>185</v>
      </c>
      <c r="K30" s="1" t="s">
        <v>377</v>
      </c>
      <c r="L30" s="1" t="s">
        <v>35</v>
      </c>
      <c r="M30" s="1" t="s">
        <v>148</v>
      </c>
      <c r="N30" s="3">
        <v>46174</v>
      </c>
      <c r="P30" s="1" t="s">
        <v>197</v>
      </c>
      <c r="Q30" s="1" t="s">
        <v>211</v>
      </c>
      <c r="R30" s="1" t="s">
        <v>55</v>
      </c>
      <c r="S30" s="2">
        <v>46171</v>
      </c>
      <c r="T30" s="2">
        <v>46174</v>
      </c>
      <c r="V30" s="1">
        <v>0.75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</row>
    <row r="31" spans="1:33" hidden="1" x14ac:dyDescent="0.25">
      <c r="A31" s="1">
        <v>187</v>
      </c>
      <c r="B31" s="1" t="s">
        <v>378</v>
      </c>
      <c r="C31" s="1" t="s">
        <v>371</v>
      </c>
      <c r="D31" s="1" t="s">
        <v>108</v>
      </c>
      <c r="E31" s="1" t="s">
        <v>53</v>
      </c>
      <c r="F31" s="3">
        <v>46176</v>
      </c>
      <c r="G31" s="3">
        <v>46176</v>
      </c>
      <c r="H31" s="4">
        <v>0.5</v>
      </c>
      <c r="J31" s="1">
        <v>186</v>
      </c>
      <c r="L31" s="1" t="s">
        <v>35</v>
      </c>
      <c r="M31" s="1" t="s">
        <v>150</v>
      </c>
      <c r="N31" s="3">
        <v>46175</v>
      </c>
      <c r="P31" s="1" t="s">
        <v>197</v>
      </c>
      <c r="Q31" s="1" t="s">
        <v>211</v>
      </c>
      <c r="R31" s="1" t="s">
        <v>55</v>
      </c>
      <c r="S31" s="2">
        <v>46175</v>
      </c>
      <c r="T31" s="2">
        <v>46175</v>
      </c>
      <c r="V31" s="1">
        <v>0.5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</row>
    <row r="32" spans="1:33" hidden="1" x14ac:dyDescent="0.25">
      <c r="A32" s="1">
        <v>188</v>
      </c>
      <c r="B32" s="1" t="s">
        <v>379</v>
      </c>
      <c r="C32" s="1" t="s">
        <v>199</v>
      </c>
      <c r="D32" s="1" t="s">
        <v>380</v>
      </c>
      <c r="E32" s="1" t="s">
        <v>136</v>
      </c>
      <c r="F32" s="3">
        <v>46190</v>
      </c>
      <c r="G32" s="3">
        <v>46198</v>
      </c>
      <c r="H32" s="4">
        <v>0.43</v>
      </c>
      <c r="L32" s="1" t="s">
        <v>35</v>
      </c>
      <c r="M32" s="1" t="s">
        <v>172</v>
      </c>
      <c r="N32" s="3">
        <v>46195</v>
      </c>
      <c r="P32" s="1" t="s">
        <v>197</v>
      </c>
      <c r="Q32" s="1" t="s">
        <v>138</v>
      </c>
      <c r="R32" s="1" t="s">
        <v>55</v>
      </c>
      <c r="S32" s="2">
        <v>46185</v>
      </c>
      <c r="T32" s="2">
        <v>46195</v>
      </c>
      <c r="V32" s="1">
        <v>0.43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hidden="1" x14ac:dyDescent="0.25">
      <c r="A33" s="1">
        <v>190</v>
      </c>
      <c r="B33" s="1" t="s">
        <v>384</v>
      </c>
      <c r="C33" s="1" t="s">
        <v>382</v>
      </c>
      <c r="D33" s="1" t="s">
        <v>98</v>
      </c>
      <c r="E33" s="1" t="s">
        <v>53</v>
      </c>
      <c r="F33" s="3">
        <v>46195</v>
      </c>
      <c r="G33" s="3">
        <v>46195</v>
      </c>
      <c r="H33" s="4">
        <v>0</v>
      </c>
      <c r="J33" s="1">
        <v>189</v>
      </c>
      <c r="K33" s="1">
        <v>191</v>
      </c>
      <c r="L33" s="1" t="s">
        <v>35</v>
      </c>
      <c r="M33" s="1" t="s">
        <v>343</v>
      </c>
      <c r="N33" s="3">
        <v>46190</v>
      </c>
      <c r="P33" s="1" t="s">
        <v>197</v>
      </c>
      <c r="Q33" s="1" t="s">
        <v>146</v>
      </c>
      <c r="R33" s="1" t="s">
        <v>55</v>
      </c>
      <c r="S33" s="2">
        <v>46190</v>
      </c>
      <c r="T33" s="2">
        <v>46190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hidden="1" x14ac:dyDescent="0.25">
      <c r="A34" s="1">
        <v>191</v>
      </c>
      <c r="B34" s="1" t="s">
        <v>385</v>
      </c>
      <c r="C34" s="1" t="s">
        <v>382</v>
      </c>
      <c r="D34" s="1" t="s">
        <v>102</v>
      </c>
      <c r="E34" s="1" t="s">
        <v>121</v>
      </c>
      <c r="F34" s="3">
        <v>46196</v>
      </c>
      <c r="G34" s="3">
        <v>46197</v>
      </c>
      <c r="H34" s="4">
        <v>0</v>
      </c>
      <c r="J34" s="1">
        <v>190</v>
      </c>
      <c r="K34" s="1">
        <v>192</v>
      </c>
      <c r="L34" s="1" t="s">
        <v>35</v>
      </c>
      <c r="M34" s="1" t="s">
        <v>386</v>
      </c>
      <c r="N34" s="3">
        <v>46192</v>
      </c>
      <c r="P34" s="1" t="s">
        <v>197</v>
      </c>
      <c r="Q34" s="1" t="s">
        <v>146</v>
      </c>
      <c r="R34" s="1" t="s">
        <v>55</v>
      </c>
      <c r="S34" s="2">
        <v>46191</v>
      </c>
      <c r="T34" s="2">
        <v>46192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</row>
    <row r="35" spans="1:33" hidden="1" x14ac:dyDescent="0.25">
      <c r="A35" s="1">
        <v>192</v>
      </c>
      <c r="B35" s="1" t="s">
        <v>387</v>
      </c>
      <c r="C35" s="1" t="s">
        <v>382</v>
      </c>
      <c r="D35" s="1" t="s">
        <v>108</v>
      </c>
      <c r="E35" s="1" t="s">
        <v>53</v>
      </c>
      <c r="F35" s="3">
        <v>46198</v>
      </c>
      <c r="G35" s="3">
        <v>46198</v>
      </c>
      <c r="H35" s="4">
        <v>0</v>
      </c>
      <c r="J35" s="1">
        <v>191</v>
      </c>
      <c r="L35" s="1" t="s">
        <v>35</v>
      </c>
      <c r="M35" s="1" t="s">
        <v>223</v>
      </c>
      <c r="N35" s="3">
        <v>46195</v>
      </c>
      <c r="P35" s="1" t="s">
        <v>197</v>
      </c>
      <c r="Q35" s="1" t="s">
        <v>146</v>
      </c>
      <c r="R35" s="1" t="s">
        <v>55</v>
      </c>
      <c r="S35" s="2">
        <v>46195</v>
      </c>
      <c r="T35" s="2">
        <v>46195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</row>
    <row r="36" spans="1:33" hidden="1" x14ac:dyDescent="0.25">
      <c r="A36" s="1">
        <v>193</v>
      </c>
      <c r="B36" s="1" t="s">
        <v>388</v>
      </c>
      <c r="C36" s="1" t="s">
        <v>199</v>
      </c>
      <c r="D36" s="1" t="s">
        <v>389</v>
      </c>
      <c r="E36" s="1" t="s">
        <v>136</v>
      </c>
      <c r="F36" s="3">
        <v>46190</v>
      </c>
      <c r="G36" s="3">
        <v>46198</v>
      </c>
      <c r="H36" s="4">
        <v>0.5</v>
      </c>
      <c r="L36" s="1" t="s">
        <v>35</v>
      </c>
      <c r="M36" s="1" t="s">
        <v>172</v>
      </c>
      <c r="N36" s="3">
        <v>46195</v>
      </c>
      <c r="P36" s="1" t="s">
        <v>197</v>
      </c>
      <c r="Q36" s="1" t="s">
        <v>138</v>
      </c>
      <c r="R36" s="1" t="s">
        <v>55</v>
      </c>
      <c r="S36" s="2">
        <v>46185</v>
      </c>
      <c r="T36" s="2">
        <v>46195</v>
      </c>
      <c r="V36" s="1">
        <v>0.5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hidden="1" x14ac:dyDescent="0.25">
      <c r="A37" s="1">
        <v>195</v>
      </c>
      <c r="B37" s="1" t="s">
        <v>392</v>
      </c>
      <c r="C37" s="1" t="s">
        <v>391</v>
      </c>
      <c r="D37" s="1" t="s">
        <v>98</v>
      </c>
      <c r="E37" s="1" t="s">
        <v>53</v>
      </c>
      <c r="F37" s="3">
        <v>46195</v>
      </c>
      <c r="G37" s="3">
        <v>46195</v>
      </c>
      <c r="H37" s="4">
        <v>0.5</v>
      </c>
      <c r="J37" s="1">
        <v>194</v>
      </c>
      <c r="K37" s="1">
        <v>196</v>
      </c>
      <c r="L37" s="1" t="s">
        <v>35</v>
      </c>
      <c r="M37" s="1" t="s">
        <v>343</v>
      </c>
      <c r="N37" s="3">
        <v>46190</v>
      </c>
      <c r="P37" s="1" t="s">
        <v>197</v>
      </c>
      <c r="Q37" s="1" t="s">
        <v>146</v>
      </c>
      <c r="R37" s="1" t="s">
        <v>55</v>
      </c>
      <c r="S37" s="2">
        <v>46190</v>
      </c>
      <c r="T37" s="2">
        <v>46190</v>
      </c>
      <c r="V37" s="1">
        <v>0.5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hidden="1" x14ac:dyDescent="0.25">
      <c r="A38" s="1">
        <v>196</v>
      </c>
      <c r="B38" s="1" t="s">
        <v>393</v>
      </c>
      <c r="C38" s="1" t="s">
        <v>391</v>
      </c>
      <c r="D38" s="1" t="s">
        <v>102</v>
      </c>
      <c r="E38" s="1" t="s">
        <v>121</v>
      </c>
      <c r="F38" s="3">
        <v>46196</v>
      </c>
      <c r="G38" s="3">
        <v>46197</v>
      </c>
      <c r="H38" s="4">
        <v>0</v>
      </c>
      <c r="J38" s="1">
        <v>195</v>
      </c>
      <c r="K38" s="1">
        <v>197</v>
      </c>
      <c r="L38" s="1" t="s">
        <v>35</v>
      </c>
      <c r="M38" s="1" t="s">
        <v>386</v>
      </c>
      <c r="N38" s="3">
        <v>46192</v>
      </c>
      <c r="P38" s="1" t="s">
        <v>197</v>
      </c>
      <c r="Q38" s="1" t="s">
        <v>146</v>
      </c>
      <c r="R38" s="1" t="s">
        <v>55</v>
      </c>
      <c r="S38" s="2">
        <v>46191</v>
      </c>
      <c r="T38" s="2">
        <v>46192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</row>
    <row r="39" spans="1:33" hidden="1" x14ac:dyDescent="0.25">
      <c r="A39" s="1">
        <v>197</v>
      </c>
      <c r="B39" s="1" t="s">
        <v>394</v>
      </c>
      <c r="C39" s="1" t="s">
        <v>391</v>
      </c>
      <c r="D39" s="1" t="s">
        <v>108</v>
      </c>
      <c r="E39" s="1" t="s">
        <v>53</v>
      </c>
      <c r="F39" s="3">
        <v>46198</v>
      </c>
      <c r="G39" s="3">
        <v>46198</v>
      </c>
      <c r="H39" s="4">
        <v>0</v>
      </c>
      <c r="J39" s="1">
        <v>196</v>
      </c>
      <c r="L39" s="1" t="s">
        <v>35</v>
      </c>
      <c r="M39" s="1" t="s">
        <v>223</v>
      </c>
      <c r="N39" s="3">
        <v>46195</v>
      </c>
      <c r="P39" s="1" t="s">
        <v>197</v>
      </c>
      <c r="Q39" s="1" t="s">
        <v>146</v>
      </c>
      <c r="R39" s="1" t="s">
        <v>55</v>
      </c>
      <c r="S39" s="2">
        <v>46195</v>
      </c>
      <c r="T39" s="2">
        <v>46195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</row>
    <row r="40" spans="1:33" hidden="1" x14ac:dyDescent="0.25">
      <c r="A40" s="1">
        <v>198</v>
      </c>
      <c r="B40" s="1" t="s">
        <v>395</v>
      </c>
      <c r="C40" s="1" t="s">
        <v>199</v>
      </c>
      <c r="D40" s="1" t="s">
        <v>396</v>
      </c>
      <c r="E40" s="1" t="s">
        <v>136</v>
      </c>
      <c r="F40" s="3">
        <v>46190</v>
      </c>
      <c r="G40" s="3">
        <v>46198</v>
      </c>
      <c r="H40" s="4">
        <v>0.43</v>
      </c>
      <c r="L40" s="1" t="s">
        <v>35</v>
      </c>
      <c r="M40" s="1" t="s">
        <v>172</v>
      </c>
      <c r="N40" s="3">
        <v>46195</v>
      </c>
      <c r="P40" s="1" t="s">
        <v>197</v>
      </c>
      <c r="Q40" s="1" t="s">
        <v>138</v>
      </c>
      <c r="R40" s="1" t="s">
        <v>55</v>
      </c>
      <c r="S40" s="2">
        <v>46185</v>
      </c>
      <c r="T40" s="2">
        <v>46195</v>
      </c>
      <c r="V40" s="1">
        <v>0.43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hidden="1" x14ac:dyDescent="0.25">
      <c r="A41" s="1">
        <v>200</v>
      </c>
      <c r="B41" s="1" t="s">
        <v>399</v>
      </c>
      <c r="C41" s="1" t="s">
        <v>398</v>
      </c>
      <c r="D41" s="1" t="s">
        <v>98</v>
      </c>
      <c r="E41" s="1" t="s">
        <v>53</v>
      </c>
      <c r="F41" s="3">
        <v>46195</v>
      </c>
      <c r="G41" s="3">
        <v>46195</v>
      </c>
      <c r="H41" s="4">
        <v>0</v>
      </c>
      <c r="J41" s="1">
        <v>199</v>
      </c>
      <c r="K41" s="1">
        <v>201</v>
      </c>
      <c r="L41" s="1" t="s">
        <v>35</v>
      </c>
      <c r="M41" s="1" t="s">
        <v>343</v>
      </c>
      <c r="N41" s="3">
        <v>46190</v>
      </c>
      <c r="P41" s="1" t="s">
        <v>197</v>
      </c>
      <c r="Q41" s="1" t="s">
        <v>146</v>
      </c>
      <c r="R41" s="1" t="s">
        <v>55</v>
      </c>
      <c r="S41" s="2">
        <v>46190</v>
      </c>
      <c r="T41" s="2">
        <v>46190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hidden="1" x14ac:dyDescent="0.25">
      <c r="A42" s="1">
        <v>201</v>
      </c>
      <c r="B42" s="1" t="s">
        <v>400</v>
      </c>
      <c r="C42" s="1" t="s">
        <v>398</v>
      </c>
      <c r="D42" s="1" t="s">
        <v>102</v>
      </c>
      <c r="E42" s="1" t="s">
        <v>121</v>
      </c>
      <c r="F42" s="3">
        <v>46196</v>
      </c>
      <c r="G42" s="3">
        <v>46197</v>
      </c>
      <c r="H42" s="4">
        <v>0</v>
      </c>
      <c r="J42" s="1">
        <v>200</v>
      </c>
      <c r="K42" s="1">
        <v>202</v>
      </c>
      <c r="L42" s="1" t="s">
        <v>35</v>
      </c>
      <c r="M42" s="1" t="s">
        <v>386</v>
      </c>
      <c r="N42" s="3">
        <v>46192</v>
      </c>
      <c r="P42" s="1" t="s">
        <v>197</v>
      </c>
      <c r="Q42" s="1" t="s">
        <v>146</v>
      </c>
      <c r="R42" s="1" t="s">
        <v>55</v>
      </c>
      <c r="S42" s="2">
        <v>46191</v>
      </c>
      <c r="T42" s="2">
        <v>46192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</row>
    <row r="43" spans="1:33" hidden="1" x14ac:dyDescent="0.25">
      <c r="A43" s="1">
        <v>202</v>
      </c>
      <c r="B43" s="1" t="s">
        <v>401</v>
      </c>
      <c r="C43" s="1" t="s">
        <v>398</v>
      </c>
      <c r="D43" s="1" t="s">
        <v>108</v>
      </c>
      <c r="E43" s="1" t="s">
        <v>53</v>
      </c>
      <c r="F43" s="3">
        <v>46198</v>
      </c>
      <c r="G43" s="3">
        <v>46198</v>
      </c>
      <c r="H43" s="4">
        <v>0</v>
      </c>
      <c r="J43" s="1">
        <v>201</v>
      </c>
      <c r="L43" s="1" t="s">
        <v>35</v>
      </c>
      <c r="M43" s="1" t="s">
        <v>223</v>
      </c>
      <c r="N43" s="3">
        <v>46195</v>
      </c>
      <c r="P43" s="1" t="s">
        <v>197</v>
      </c>
      <c r="Q43" s="1" t="s">
        <v>146</v>
      </c>
      <c r="R43" s="1" t="s">
        <v>55</v>
      </c>
      <c r="S43" s="2">
        <v>46195</v>
      </c>
      <c r="T43" s="2">
        <v>46195</v>
      </c>
      <c r="V43" s="1">
        <v>0</v>
      </c>
      <c r="W43" s="1">
        <v>0</v>
      </c>
      <c r="X43" s="1">
        <v>0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</row>
    <row r="44" spans="1:33" hidden="1" x14ac:dyDescent="0.25">
      <c r="A44" s="1">
        <v>244</v>
      </c>
      <c r="B44" s="1" t="s">
        <v>427</v>
      </c>
      <c r="C44" s="1" t="s">
        <v>407</v>
      </c>
      <c r="D44" s="1" t="s">
        <v>428</v>
      </c>
      <c r="E44" s="1" t="s">
        <v>136</v>
      </c>
      <c r="F44" s="3">
        <v>46183</v>
      </c>
      <c r="G44" s="3">
        <v>46191</v>
      </c>
      <c r="H44" s="4">
        <v>0.71</v>
      </c>
      <c r="L44" s="1" t="s">
        <v>35</v>
      </c>
      <c r="M44" s="1" t="s">
        <v>187</v>
      </c>
      <c r="N44" s="3">
        <v>46169</v>
      </c>
      <c r="P44" s="1" t="s">
        <v>405</v>
      </c>
      <c r="Q44" s="1" t="s">
        <v>65</v>
      </c>
      <c r="R44" s="1" t="s">
        <v>55</v>
      </c>
      <c r="S44" s="2">
        <v>46162</v>
      </c>
      <c r="T44" s="2">
        <v>46169</v>
      </c>
      <c r="V44" s="1">
        <v>0.71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hidden="1" x14ac:dyDescent="0.25">
      <c r="A45" s="1">
        <v>247</v>
      </c>
      <c r="B45" s="1" t="s">
        <v>434</v>
      </c>
      <c r="C45" s="1" t="s">
        <v>430</v>
      </c>
      <c r="D45" s="1" t="s">
        <v>102</v>
      </c>
      <c r="E45" s="1" t="s">
        <v>121</v>
      </c>
      <c r="F45" s="3">
        <v>46189</v>
      </c>
      <c r="G45" s="3">
        <v>46190</v>
      </c>
      <c r="H45" s="4">
        <v>0.5</v>
      </c>
      <c r="J45" s="1">
        <v>246</v>
      </c>
      <c r="K45" s="1">
        <v>248</v>
      </c>
      <c r="L45" s="1" t="s">
        <v>35</v>
      </c>
      <c r="M45" s="1" t="s">
        <v>137</v>
      </c>
      <c r="N45" s="3">
        <v>46168</v>
      </c>
      <c r="P45" s="1" t="s">
        <v>405</v>
      </c>
      <c r="Q45" s="1" t="s">
        <v>138</v>
      </c>
      <c r="R45" s="1" t="s">
        <v>55</v>
      </c>
      <c r="S45" s="2">
        <v>46167</v>
      </c>
      <c r="T45" s="2">
        <v>46168</v>
      </c>
      <c r="V45" s="1">
        <v>0.5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</row>
    <row r="46" spans="1:33" hidden="1" x14ac:dyDescent="0.25">
      <c r="A46" s="1">
        <v>248</v>
      </c>
      <c r="B46" s="1" t="s">
        <v>435</v>
      </c>
      <c r="C46" s="1" t="s">
        <v>430</v>
      </c>
      <c r="D46" s="1" t="s">
        <v>108</v>
      </c>
      <c r="E46" s="1" t="s">
        <v>53</v>
      </c>
      <c r="F46" s="3">
        <v>46191</v>
      </c>
      <c r="G46" s="3">
        <v>46191</v>
      </c>
      <c r="H46" s="4">
        <v>0</v>
      </c>
      <c r="J46" s="1">
        <v>247</v>
      </c>
      <c r="L46" s="1" t="s">
        <v>35</v>
      </c>
      <c r="M46" s="1" t="s">
        <v>436</v>
      </c>
      <c r="N46" s="3">
        <v>46169</v>
      </c>
      <c r="P46" s="1" t="s">
        <v>405</v>
      </c>
      <c r="Q46" s="1" t="s">
        <v>138</v>
      </c>
      <c r="R46" s="1" t="s">
        <v>55</v>
      </c>
      <c r="S46" s="2">
        <v>46169</v>
      </c>
      <c r="T46" s="2">
        <v>46169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</row>
    <row r="47" spans="1:33" hidden="1" x14ac:dyDescent="0.25">
      <c r="A47" s="1">
        <v>416</v>
      </c>
      <c r="B47" s="1" t="s">
        <v>634</v>
      </c>
      <c r="C47" s="1" t="s">
        <v>635</v>
      </c>
      <c r="D47" s="1" t="s">
        <v>636</v>
      </c>
      <c r="E47" s="1" t="s">
        <v>637</v>
      </c>
      <c r="F47" s="3">
        <v>46175</v>
      </c>
      <c r="G47" s="3">
        <v>46183</v>
      </c>
      <c r="H47" s="4">
        <v>0.7</v>
      </c>
      <c r="L47" s="1" t="s">
        <v>35</v>
      </c>
      <c r="M47" s="1" t="s">
        <v>210</v>
      </c>
      <c r="N47" s="3">
        <v>46176</v>
      </c>
      <c r="P47" s="1" t="s">
        <v>633</v>
      </c>
      <c r="Q47" s="1" t="s">
        <v>211</v>
      </c>
      <c r="R47" s="1" t="s">
        <v>55</v>
      </c>
      <c r="S47" s="2">
        <v>46168</v>
      </c>
      <c r="T47" s="2">
        <v>46176</v>
      </c>
      <c r="V47" s="1">
        <v>0.7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hidden="1" x14ac:dyDescent="0.25">
      <c r="A48" s="1">
        <v>419</v>
      </c>
      <c r="B48" s="1" t="s">
        <v>643</v>
      </c>
      <c r="C48" s="1" t="s">
        <v>639</v>
      </c>
      <c r="D48" s="1" t="s">
        <v>102</v>
      </c>
      <c r="E48" s="1" t="s">
        <v>53</v>
      </c>
      <c r="F48" s="3">
        <v>46183</v>
      </c>
      <c r="G48" s="3">
        <v>46183</v>
      </c>
      <c r="H48" s="4">
        <v>0.5</v>
      </c>
      <c r="J48" s="1">
        <v>418</v>
      </c>
      <c r="K48" s="1" t="s">
        <v>644</v>
      </c>
      <c r="L48" s="1" t="s">
        <v>35</v>
      </c>
      <c r="M48" s="1" t="s">
        <v>645</v>
      </c>
      <c r="N48" s="3">
        <v>46175</v>
      </c>
      <c r="P48" s="1" t="s">
        <v>633</v>
      </c>
      <c r="Q48" s="1" t="s">
        <v>65</v>
      </c>
      <c r="R48" s="1" t="s">
        <v>55</v>
      </c>
      <c r="S48" s="2">
        <v>46174</v>
      </c>
      <c r="T48" s="2">
        <v>46175</v>
      </c>
      <c r="V48" s="1">
        <v>0.5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</row>
    <row r="49" spans="1:33" hidden="1" x14ac:dyDescent="0.25">
      <c r="A49" s="1">
        <v>420</v>
      </c>
      <c r="B49" s="1" t="s">
        <v>646</v>
      </c>
      <c r="C49" s="1" t="s">
        <v>639</v>
      </c>
      <c r="D49" s="1" t="s">
        <v>108</v>
      </c>
      <c r="E49" s="1" t="s">
        <v>53</v>
      </c>
      <c r="F49" s="3">
        <v>46183</v>
      </c>
      <c r="G49" s="3">
        <v>46183</v>
      </c>
      <c r="H49" s="4">
        <v>0</v>
      </c>
      <c r="J49" s="1" t="s">
        <v>647</v>
      </c>
      <c r="L49" s="1" t="s">
        <v>35</v>
      </c>
      <c r="M49" s="1" t="s">
        <v>218</v>
      </c>
      <c r="N49" s="3">
        <v>46176</v>
      </c>
      <c r="P49" s="1" t="s">
        <v>633</v>
      </c>
      <c r="Q49" s="1" t="s">
        <v>65</v>
      </c>
      <c r="R49" s="1" t="s">
        <v>55</v>
      </c>
      <c r="S49" s="2">
        <v>46176</v>
      </c>
      <c r="T49" s="2">
        <v>46176</v>
      </c>
      <c r="V49" s="1">
        <v>0</v>
      </c>
      <c r="W49" s="1">
        <v>0</v>
      </c>
      <c r="X49" s="1">
        <v>0</v>
      </c>
      <c r="Y49" s="1">
        <v>0</v>
      </c>
      <c r="Z49" s="1">
        <v>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</row>
    <row r="50" spans="1:33" hidden="1" x14ac:dyDescent="0.25">
      <c r="A50" s="1">
        <v>426</v>
      </c>
      <c r="B50" s="1" t="s">
        <v>648</v>
      </c>
      <c r="C50" s="1" t="s">
        <v>635</v>
      </c>
      <c r="D50" s="1" t="s">
        <v>649</v>
      </c>
      <c r="E50" s="1" t="s">
        <v>637</v>
      </c>
      <c r="F50" s="3">
        <v>46170</v>
      </c>
      <c r="G50" s="3">
        <v>46176</v>
      </c>
      <c r="H50" s="4">
        <v>0.7</v>
      </c>
      <c r="L50" s="1" t="s">
        <v>35</v>
      </c>
      <c r="M50" s="1" t="s">
        <v>190</v>
      </c>
      <c r="N50" s="3">
        <v>46171</v>
      </c>
      <c r="P50" s="1" t="s">
        <v>633</v>
      </c>
      <c r="Q50" s="1" t="s">
        <v>110</v>
      </c>
      <c r="R50" s="1" t="s">
        <v>55</v>
      </c>
      <c r="S50" s="2">
        <v>46163</v>
      </c>
      <c r="T50" s="2">
        <v>46171</v>
      </c>
      <c r="V50" s="1">
        <v>0.7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hidden="1" x14ac:dyDescent="0.25">
      <c r="A51" s="1">
        <v>429</v>
      </c>
      <c r="B51" s="1" t="s">
        <v>655</v>
      </c>
      <c r="C51" s="1" t="s">
        <v>651</v>
      </c>
      <c r="D51" s="1" t="s">
        <v>102</v>
      </c>
      <c r="E51" s="1" t="s">
        <v>53</v>
      </c>
      <c r="F51" s="3">
        <v>46176</v>
      </c>
      <c r="G51" s="3">
        <v>46176</v>
      </c>
      <c r="H51" s="4">
        <v>0.5</v>
      </c>
      <c r="J51" s="1">
        <v>428</v>
      </c>
      <c r="K51" s="1" t="s">
        <v>656</v>
      </c>
      <c r="L51" s="1" t="s">
        <v>35</v>
      </c>
      <c r="M51" s="1" t="s">
        <v>436</v>
      </c>
      <c r="N51" s="3">
        <v>46170</v>
      </c>
      <c r="P51" s="1" t="s">
        <v>633</v>
      </c>
      <c r="Q51" s="1" t="s">
        <v>211</v>
      </c>
      <c r="R51" s="1" t="s">
        <v>55</v>
      </c>
      <c r="S51" s="2">
        <v>46169</v>
      </c>
      <c r="T51" s="2">
        <v>46170</v>
      </c>
      <c r="V51" s="1">
        <v>0.5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</row>
    <row r="52" spans="1:33" hidden="1" x14ac:dyDescent="0.25">
      <c r="A52" s="1">
        <v>430</v>
      </c>
      <c r="B52" s="1" t="s">
        <v>657</v>
      </c>
      <c r="C52" s="1" t="s">
        <v>651</v>
      </c>
      <c r="D52" s="1" t="s">
        <v>108</v>
      </c>
      <c r="E52" s="1" t="s">
        <v>53</v>
      </c>
      <c r="F52" s="3">
        <v>46176</v>
      </c>
      <c r="G52" s="3">
        <v>46176</v>
      </c>
      <c r="H52" s="4">
        <v>0</v>
      </c>
      <c r="J52" s="1" t="s">
        <v>658</v>
      </c>
      <c r="L52" s="1" t="s">
        <v>35</v>
      </c>
      <c r="M52" s="1" t="s">
        <v>148</v>
      </c>
      <c r="N52" s="3">
        <v>46171</v>
      </c>
      <c r="P52" s="1" t="s">
        <v>633</v>
      </c>
      <c r="Q52" s="1" t="s">
        <v>211</v>
      </c>
      <c r="R52" s="1" t="s">
        <v>55</v>
      </c>
      <c r="S52" s="2">
        <v>46171</v>
      </c>
      <c r="T52" s="2">
        <v>46171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</row>
    <row r="53" spans="1:33" hidden="1" x14ac:dyDescent="0.25">
      <c r="A53" s="1">
        <v>507</v>
      </c>
      <c r="B53" s="1" t="s">
        <v>731</v>
      </c>
      <c r="C53" s="1" t="s">
        <v>698</v>
      </c>
      <c r="D53" s="1" t="s">
        <v>732</v>
      </c>
      <c r="E53" s="1" t="s">
        <v>287</v>
      </c>
      <c r="F53" s="3">
        <v>46174</v>
      </c>
      <c r="G53" s="3">
        <v>46191</v>
      </c>
      <c r="H53" s="4">
        <v>0.8</v>
      </c>
      <c r="L53" s="1" t="s">
        <v>35</v>
      </c>
      <c r="M53" s="1" t="s">
        <v>187</v>
      </c>
      <c r="N53" s="3">
        <v>46169</v>
      </c>
      <c r="P53" s="1" t="s">
        <v>696</v>
      </c>
      <c r="Q53" s="1" t="s">
        <v>211</v>
      </c>
      <c r="R53" s="1" t="s">
        <v>55</v>
      </c>
      <c r="S53" s="2">
        <v>46162</v>
      </c>
      <c r="T53" s="2">
        <v>46169</v>
      </c>
      <c r="V53" s="1">
        <v>0.8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hidden="1" x14ac:dyDescent="0.25">
      <c r="A54" s="1">
        <v>510</v>
      </c>
      <c r="B54" s="1" t="s">
        <v>737</v>
      </c>
      <c r="C54" s="1" t="s">
        <v>734</v>
      </c>
      <c r="D54" s="1" t="s">
        <v>102</v>
      </c>
      <c r="E54" s="1" t="s">
        <v>121</v>
      </c>
      <c r="F54" s="3">
        <v>46189</v>
      </c>
      <c r="G54" s="3">
        <v>46190</v>
      </c>
      <c r="H54" s="4">
        <v>0.5</v>
      </c>
      <c r="J54" s="1">
        <v>509</v>
      </c>
      <c r="K54" s="1">
        <v>511</v>
      </c>
      <c r="L54" s="1" t="s">
        <v>35</v>
      </c>
      <c r="M54" s="1" t="s">
        <v>137</v>
      </c>
      <c r="N54" s="3">
        <v>46168</v>
      </c>
      <c r="P54" s="1" t="s">
        <v>696</v>
      </c>
      <c r="Q54" s="1" t="s">
        <v>138</v>
      </c>
      <c r="R54" s="1" t="s">
        <v>55</v>
      </c>
      <c r="S54" s="2">
        <v>46167</v>
      </c>
      <c r="T54" s="2">
        <v>46168</v>
      </c>
      <c r="V54" s="1">
        <v>0.5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</row>
    <row r="55" spans="1:33" hidden="1" x14ac:dyDescent="0.25">
      <c r="A55" s="1">
        <v>511</v>
      </c>
      <c r="B55" s="1" t="s">
        <v>738</v>
      </c>
      <c r="C55" s="1" t="s">
        <v>734</v>
      </c>
      <c r="D55" s="1" t="s">
        <v>108</v>
      </c>
      <c r="E55" s="1" t="s">
        <v>53</v>
      </c>
      <c r="F55" s="3">
        <v>46191</v>
      </c>
      <c r="G55" s="3">
        <v>46191</v>
      </c>
      <c r="H55" s="4">
        <v>0</v>
      </c>
      <c r="J55" s="1">
        <v>510</v>
      </c>
      <c r="L55" s="1" t="s">
        <v>35</v>
      </c>
      <c r="M55" s="1" t="s">
        <v>436</v>
      </c>
      <c r="N55" s="3">
        <v>46169</v>
      </c>
      <c r="P55" s="1" t="s">
        <v>696</v>
      </c>
      <c r="Q55" s="1" t="s">
        <v>138</v>
      </c>
      <c r="R55" s="1" t="s">
        <v>55</v>
      </c>
      <c r="S55" s="2">
        <v>46169</v>
      </c>
      <c r="T55" s="2">
        <v>46169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</row>
    <row r="56" spans="1:33" hidden="1" x14ac:dyDescent="0.25">
      <c r="A56" s="1">
        <v>512</v>
      </c>
      <c r="B56" s="1" t="s">
        <v>739</v>
      </c>
      <c r="C56" s="1" t="s">
        <v>698</v>
      </c>
      <c r="D56" s="1" t="s">
        <v>740</v>
      </c>
      <c r="E56" s="1" t="s">
        <v>741</v>
      </c>
      <c r="F56" s="3">
        <v>46176</v>
      </c>
      <c r="G56" s="3">
        <v>46191</v>
      </c>
      <c r="H56" s="4">
        <v>0.8</v>
      </c>
      <c r="L56" s="1" t="s">
        <v>35</v>
      </c>
      <c r="M56" s="1" t="s">
        <v>187</v>
      </c>
      <c r="N56" s="3">
        <v>46169</v>
      </c>
      <c r="P56" s="1" t="s">
        <v>696</v>
      </c>
      <c r="Q56" s="1" t="s">
        <v>211</v>
      </c>
      <c r="R56" s="1" t="s">
        <v>55</v>
      </c>
      <c r="S56" s="2">
        <v>46162</v>
      </c>
      <c r="T56" s="2">
        <v>46169</v>
      </c>
      <c r="V56" s="1">
        <v>0.8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hidden="1" x14ac:dyDescent="0.25">
      <c r="A57" s="1">
        <v>515</v>
      </c>
      <c r="B57" s="1" t="s">
        <v>746</v>
      </c>
      <c r="C57" s="1" t="s">
        <v>743</v>
      </c>
      <c r="D57" s="1" t="s">
        <v>102</v>
      </c>
      <c r="E57" s="1" t="s">
        <v>121</v>
      </c>
      <c r="F57" s="3">
        <v>46189</v>
      </c>
      <c r="G57" s="3">
        <v>46190</v>
      </c>
      <c r="H57" s="4">
        <v>0.5</v>
      </c>
      <c r="J57" s="1">
        <v>514</v>
      </c>
      <c r="K57" s="1">
        <v>516</v>
      </c>
      <c r="L57" s="1" t="s">
        <v>35</v>
      </c>
      <c r="M57" s="1" t="s">
        <v>137</v>
      </c>
      <c r="N57" s="3">
        <v>46168</v>
      </c>
      <c r="P57" s="1" t="s">
        <v>696</v>
      </c>
      <c r="Q57" s="1" t="s">
        <v>138</v>
      </c>
      <c r="R57" s="1" t="s">
        <v>55</v>
      </c>
      <c r="S57" s="2">
        <v>46167</v>
      </c>
      <c r="T57" s="2">
        <v>46168</v>
      </c>
      <c r="V57" s="1">
        <v>0.5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</row>
    <row r="58" spans="1:33" hidden="1" x14ac:dyDescent="0.25">
      <c r="A58" s="1">
        <v>516</v>
      </c>
      <c r="B58" s="1" t="s">
        <v>747</v>
      </c>
      <c r="C58" s="1" t="s">
        <v>743</v>
      </c>
      <c r="D58" s="1" t="s">
        <v>108</v>
      </c>
      <c r="E58" s="1" t="s">
        <v>53</v>
      </c>
      <c r="F58" s="3">
        <v>46191</v>
      </c>
      <c r="G58" s="3">
        <v>46191</v>
      </c>
      <c r="H58" s="4">
        <v>0</v>
      </c>
      <c r="J58" s="1">
        <v>515</v>
      </c>
      <c r="L58" s="1" t="s">
        <v>35</v>
      </c>
      <c r="M58" s="1" t="s">
        <v>436</v>
      </c>
      <c r="N58" s="3">
        <v>46169</v>
      </c>
      <c r="P58" s="1" t="s">
        <v>696</v>
      </c>
      <c r="Q58" s="1" t="s">
        <v>138</v>
      </c>
      <c r="R58" s="1" t="s">
        <v>55</v>
      </c>
      <c r="S58" s="2">
        <v>46169</v>
      </c>
      <c r="T58" s="2">
        <v>46169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</row>
    <row r="59" spans="1:33" hidden="1" x14ac:dyDescent="0.25">
      <c r="A59" s="1">
        <v>517</v>
      </c>
      <c r="B59" s="1" t="s">
        <v>748</v>
      </c>
      <c r="C59" s="1" t="s">
        <v>698</v>
      </c>
      <c r="D59" s="1" t="s">
        <v>749</v>
      </c>
      <c r="E59" s="1" t="s">
        <v>741</v>
      </c>
      <c r="F59" s="3">
        <v>46176</v>
      </c>
      <c r="G59" s="3">
        <v>46191</v>
      </c>
      <c r="H59" s="4">
        <v>0.8</v>
      </c>
      <c r="L59" s="1" t="s">
        <v>35</v>
      </c>
      <c r="M59" s="1" t="s">
        <v>187</v>
      </c>
      <c r="N59" s="3">
        <v>46169</v>
      </c>
      <c r="P59" s="1" t="s">
        <v>696</v>
      </c>
      <c r="Q59" s="1" t="s">
        <v>211</v>
      </c>
      <c r="R59" s="1" t="s">
        <v>55</v>
      </c>
      <c r="S59" s="2">
        <v>46162</v>
      </c>
      <c r="T59" s="2">
        <v>46169</v>
      </c>
      <c r="V59" s="1">
        <v>0.8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hidden="1" x14ac:dyDescent="0.25">
      <c r="A60" s="1">
        <v>520</v>
      </c>
      <c r="B60" s="1" t="s">
        <v>753</v>
      </c>
      <c r="C60" s="1" t="s">
        <v>751</v>
      </c>
      <c r="D60" s="1" t="s">
        <v>102</v>
      </c>
      <c r="E60" s="1" t="s">
        <v>121</v>
      </c>
      <c r="F60" s="3">
        <v>46189</v>
      </c>
      <c r="G60" s="3">
        <v>46190</v>
      </c>
      <c r="H60" s="4">
        <v>0.5</v>
      </c>
      <c r="J60" s="1">
        <v>519</v>
      </c>
      <c r="K60" s="1">
        <v>521</v>
      </c>
      <c r="L60" s="1" t="s">
        <v>35</v>
      </c>
      <c r="M60" s="1" t="s">
        <v>137</v>
      </c>
      <c r="N60" s="3">
        <v>46168</v>
      </c>
      <c r="P60" s="1" t="s">
        <v>696</v>
      </c>
      <c r="Q60" s="1" t="s">
        <v>138</v>
      </c>
      <c r="R60" s="1" t="s">
        <v>55</v>
      </c>
      <c r="S60" s="2">
        <v>46167</v>
      </c>
      <c r="T60" s="2">
        <v>46168</v>
      </c>
      <c r="V60" s="1">
        <v>0.5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</row>
    <row r="61" spans="1:33" hidden="1" x14ac:dyDescent="0.25">
      <c r="A61" s="1">
        <v>521</v>
      </c>
      <c r="B61" s="1" t="s">
        <v>754</v>
      </c>
      <c r="C61" s="1" t="s">
        <v>751</v>
      </c>
      <c r="D61" s="1" t="s">
        <v>108</v>
      </c>
      <c r="E61" s="1" t="s">
        <v>53</v>
      </c>
      <c r="F61" s="3">
        <v>46191</v>
      </c>
      <c r="G61" s="3">
        <v>46191</v>
      </c>
      <c r="H61" s="4">
        <v>0</v>
      </c>
      <c r="J61" s="1">
        <v>520</v>
      </c>
      <c r="L61" s="1" t="s">
        <v>35</v>
      </c>
      <c r="M61" s="1" t="s">
        <v>436</v>
      </c>
      <c r="N61" s="3">
        <v>46169</v>
      </c>
      <c r="P61" s="1" t="s">
        <v>696</v>
      </c>
      <c r="Q61" s="1" t="s">
        <v>138</v>
      </c>
      <c r="R61" s="1" t="s">
        <v>55</v>
      </c>
      <c r="S61" s="2">
        <v>46169</v>
      </c>
      <c r="T61" s="2">
        <v>46169</v>
      </c>
      <c r="V61" s="1">
        <v>0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</row>
    <row r="62" spans="1:33" hidden="1" x14ac:dyDescent="0.25">
      <c r="A62" s="1">
        <v>522</v>
      </c>
      <c r="B62" s="1" t="s">
        <v>755</v>
      </c>
      <c r="C62" s="1" t="s">
        <v>698</v>
      </c>
      <c r="D62" s="1" t="s">
        <v>756</v>
      </c>
      <c r="E62" s="1" t="s">
        <v>741</v>
      </c>
      <c r="F62" s="3">
        <v>46195</v>
      </c>
      <c r="G62" s="3">
        <v>46206</v>
      </c>
      <c r="H62" s="4">
        <v>0.56000000000000005</v>
      </c>
      <c r="L62" s="1" t="s">
        <v>35</v>
      </c>
      <c r="M62" s="1" t="s">
        <v>436</v>
      </c>
      <c r="N62" s="3">
        <v>46188</v>
      </c>
      <c r="P62" s="1" t="s">
        <v>696</v>
      </c>
      <c r="Q62" s="1" t="s">
        <v>146</v>
      </c>
      <c r="R62" s="1" t="s">
        <v>55</v>
      </c>
      <c r="S62" s="2">
        <v>46169</v>
      </c>
      <c r="T62" s="2">
        <v>46188</v>
      </c>
      <c r="V62" s="1">
        <v>0.56000000000000005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hidden="1" x14ac:dyDescent="0.25">
      <c r="A63" s="1">
        <v>524</v>
      </c>
      <c r="B63" s="1" t="s">
        <v>759</v>
      </c>
      <c r="C63" s="1" t="s">
        <v>758</v>
      </c>
      <c r="D63" s="1" t="s">
        <v>98</v>
      </c>
      <c r="E63" s="1" t="s">
        <v>53</v>
      </c>
      <c r="F63" s="3">
        <v>46199</v>
      </c>
      <c r="G63" s="3">
        <v>46199</v>
      </c>
      <c r="H63" s="4">
        <v>0.5</v>
      </c>
      <c r="J63" s="1">
        <v>523</v>
      </c>
      <c r="K63" s="1">
        <v>525</v>
      </c>
      <c r="L63" s="1" t="s">
        <v>35</v>
      </c>
      <c r="M63" s="1" t="s">
        <v>292</v>
      </c>
      <c r="N63" s="3">
        <v>46183</v>
      </c>
      <c r="P63" s="1" t="s">
        <v>696</v>
      </c>
      <c r="Q63" s="1" t="s">
        <v>151</v>
      </c>
      <c r="R63" s="1" t="s">
        <v>55</v>
      </c>
      <c r="S63" s="2">
        <v>46183</v>
      </c>
      <c r="T63" s="2">
        <v>46183</v>
      </c>
      <c r="V63" s="1">
        <v>0.5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hidden="1" x14ac:dyDescent="0.25">
      <c r="A64" s="1">
        <v>525</v>
      </c>
      <c r="B64" s="1" t="s">
        <v>760</v>
      </c>
      <c r="C64" s="1" t="s">
        <v>758</v>
      </c>
      <c r="D64" s="1" t="s">
        <v>102</v>
      </c>
      <c r="E64" s="1" t="s">
        <v>121</v>
      </c>
      <c r="F64" s="3">
        <v>46202</v>
      </c>
      <c r="G64" s="3">
        <v>46203</v>
      </c>
      <c r="H64" s="4">
        <v>0</v>
      </c>
      <c r="J64" s="1">
        <v>524</v>
      </c>
      <c r="K64" s="1">
        <v>526</v>
      </c>
      <c r="L64" s="1" t="s">
        <v>35</v>
      </c>
      <c r="M64" s="1" t="s">
        <v>294</v>
      </c>
      <c r="N64" s="3">
        <v>46185</v>
      </c>
      <c r="P64" s="1" t="s">
        <v>696</v>
      </c>
      <c r="Q64" s="1" t="s">
        <v>151</v>
      </c>
      <c r="R64" s="1" t="s">
        <v>55</v>
      </c>
      <c r="S64" s="2">
        <v>46184</v>
      </c>
      <c r="T64" s="2">
        <v>46185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</row>
    <row r="65" spans="1:33" hidden="1" x14ac:dyDescent="0.25">
      <c r="A65" s="1">
        <v>526</v>
      </c>
      <c r="B65" s="1" t="s">
        <v>761</v>
      </c>
      <c r="C65" s="1" t="s">
        <v>758</v>
      </c>
      <c r="D65" s="1" t="s">
        <v>108</v>
      </c>
      <c r="E65" s="1" t="s">
        <v>53</v>
      </c>
      <c r="F65" s="3">
        <v>46206</v>
      </c>
      <c r="G65" s="3">
        <v>46206</v>
      </c>
      <c r="H65" s="4">
        <v>0</v>
      </c>
      <c r="J65" s="1">
        <v>525</v>
      </c>
      <c r="L65" s="1" t="s">
        <v>131</v>
      </c>
      <c r="M65" s="1" t="s">
        <v>296</v>
      </c>
      <c r="N65" s="3">
        <v>46188</v>
      </c>
      <c r="P65" s="1" t="s">
        <v>696</v>
      </c>
      <c r="Q65" s="1" t="s">
        <v>151</v>
      </c>
      <c r="R65" s="1" t="s">
        <v>55</v>
      </c>
      <c r="S65" s="2">
        <v>46188</v>
      </c>
      <c r="T65" s="2">
        <v>46188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hidden="1" x14ac:dyDescent="0.25">
      <c r="A66" s="1">
        <v>527</v>
      </c>
      <c r="B66" s="1" t="s">
        <v>762</v>
      </c>
      <c r="C66" s="1" t="s">
        <v>698</v>
      </c>
      <c r="D66" s="1" t="s">
        <v>763</v>
      </c>
      <c r="E66" s="1" t="s">
        <v>741</v>
      </c>
      <c r="F66" s="3">
        <v>46192</v>
      </c>
      <c r="G66" s="3">
        <v>46205</v>
      </c>
      <c r="H66" s="4">
        <v>0.56000000000000005</v>
      </c>
      <c r="L66" s="1" t="s">
        <v>35</v>
      </c>
      <c r="M66" s="1" t="s">
        <v>436</v>
      </c>
      <c r="N66" s="3">
        <v>46188</v>
      </c>
      <c r="P66" s="1" t="s">
        <v>696</v>
      </c>
      <c r="Q66" s="1" t="s">
        <v>138</v>
      </c>
      <c r="R66" s="1" t="s">
        <v>55</v>
      </c>
      <c r="S66" s="2">
        <v>46169</v>
      </c>
      <c r="T66" s="2">
        <v>46188</v>
      </c>
      <c r="V66" s="1">
        <v>0.56000000000000005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hidden="1" x14ac:dyDescent="0.25">
      <c r="A67" s="1">
        <v>529</v>
      </c>
      <c r="B67" s="1" t="s">
        <v>766</v>
      </c>
      <c r="C67" s="1" t="s">
        <v>765</v>
      </c>
      <c r="D67" s="1" t="s">
        <v>98</v>
      </c>
      <c r="E67" s="1" t="s">
        <v>53</v>
      </c>
      <c r="F67" s="3">
        <v>46198</v>
      </c>
      <c r="G67" s="3">
        <v>46198</v>
      </c>
      <c r="H67" s="4">
        <v>0.5</v>
      </c>
      <c r="J67" s="1">
        <v>528</v>
      </c>
      <c r="K67" s="1">
        <v>530</v>
      </c>
      <c r="L67" s="1" t="s">
        <v>35</v>
      </c>
      <c r="M67" s="1" t="s">
        <v>292</v>
      </c>
      <c r="N67" s="3">
        <v>46183</v>
      </c>
      <c r="P67" s="1" t="s">
        <v>696</v>
      </c>
      <c r="Q67" s="1" t="s">
        <v>146</v>
      </c>
      <c r="R67" s="1" t="s">
        <v>55</v>
      </c>
      <c r="S67" s="2">
        <v>46183</v>
      </c>
      <c r="T67" s="2">
        <v>46183</v>
      </c>
      <c r="V67" s="1">
        <v>0.5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hidden="1" x14ac:dyDescent="0.25">
      <c r="A68" s="1">
        <v>530</v>
      </c>
      <c r="B68" s="1" t="s">
        <v>767</v>
      </c>
      <c r="C68" s="1" t="s">
        <v>765</v>
      </c>
      <c r="D68" s="1" t="s">
        <v>102</v>
      </c>
      <c r="E68" s="1" t="s">
        <v>121</v>
      </c>
      <c r="F68" s="3">
        <v>46199</v>
      </c>
      <c r="G68" s="3">
        <v>46202</v>
      </c>
      <c r="H68" s="4">
        <v>0</v>
      </c>
      <c r="J68" s="1">
        <v>529</v>
      </c>
      <c r="K68" s="1">
        <v>531</v>
      </c>
      <c r="L68" s="1" t="s">
        <v>35</v>
      </c>
      <c r="M68" s="1" t="s">
        <v>294</v>
      </c>
      <c r="N68" s="3">
        <v>46185</v>
      </c>
      <c r="P68" s="1" t="s">
        <v>696</v>
      </c>
      <c r="Q68" s="1" t="s">
        <v>146</v>
      </c>
      <c r="R68" s="1" t="s">
        <v>55</v>
      </c>
      <c r="S68" s="2">
        <v>46184</v>
      </c>
      <c r="T68" s="2">
        <v>46185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</row>
    <row r="69" spans="1:33" hidden="1" x14ac:dyDescent="0.25">
      <c r="A69" s="1">
        <v>531</v>
      </c>
      <c r="B69" s="1" t="s">
        <v>768</v>
      </c>
      <c r="C69" s="1" t="s">
        <v>765</v>
      </c>
      <c r="D69" s="1" t="s">
        <v>108</v>
      </c>
      <c r="E69" s="1" t="s">
        <v>53</v>
      </c>
      <c r="F69" s="3">
        <v>46205</v>
      </c>
      <c r="G69" s="3">
        <v>46205</v>
      </c>
      <c r="H69" s="4">
        <v>0</v>
      </c>
      <c r="J69" s="1">
        <v>530</v>
      </c>
      <c r="L69" s="1" t="s">
        <v>35</v>
      </c>
      <c r="M69" s="1" t="s">
        <v>296</v>
      </c>
      <c r="N69" s="3">
        <v>46188</v>
      </c>
      <c r="P69" s="1" t="s">
        <v>696</v>
      </c>
      <c r="Q69" s="1" t="s">
        <v>151</v>
      </c>
      <c r="R69" s="1" t="s">
        <v>55</v>
      </c>
      <c r="S69" s="2">
        <v>46188</v>
      </c>
      <c r="T69" s="2">
        <v>46188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</row>
    <row r="70" spans="1:33" hidden="1" x14ac:dyDescent="0.25">
      <c r="A70" s="1">
        <v>532</v>
      </c>
      <c r="B70" s="1" t="s">
        <v>769</v>
      </c>
      <c r="C70" s="1" t="s">
        <v>698</v>
      </c>
      <c r="D70" s="1" t="s">
        <v>770</v>
      </c>
      <c r="E70" s="1" t="s">
        <v>136</v>
      </c>
      <c r="F70" s="3">
        <v>46197</v>
      </c>
      <c r="G70" s="3">
        <v>46205</v>
      </c>
      <c r="H70" s="4">
        <v>0.5</v>
      </c>
      <c r="L70" s="1" t="s">
        <v>35</v>
      </c>
      <c r="M70" s="1" t="s">
        <v>436</v>
      </c>
      <c r="N70" s="3">
        <v>46188</v>
      </c>
      <c r="P70" s="1" t="s">
        <v>696</v>
      </c>
      <c r="Q70" s="1" t="s">
        <v>146</v>
      </c>
      <c r="R70" s="1" t="s">
        <v>55</v>
      </c>
      <c r="S70" s="2">
        <v>46169</v>
      </c>
      <c r="T70" s="2">
        <v>46188</v>
      </c>
      <c r="V70" s="1">
        <v>0.5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hidden="1" x14ac:dyDescent="0.25">
      <c r="A71" s="1">
        <v>534</v>
      </c>
      <c r="B71" s="1" t="s">
        <v>773</v>
      </c>
      <c r="C71" s="1" t="s">
        <v>772</v>
      </c>
      <c r="D71" s="1" t="s">
        <v>98</v>
      </c>
      <c r="E71" s="1" t="s">
        <v>53</v>
      </c>
      <c r="F71" s="3">
        <v>46202</v>
      </c>
      <c r="G71" s="3">
        <v>46202</v>
      </c>
      <c r="H71" s="4">
        <v>0.5</v>
      </c>
      <c r="J71" s="1">
        <v>533</v>
      </c>
      <c r="K71" s="1">
        <v>535</v>
      </c>
      <c r="L71" s="1" t="s">
        <v>35</v>
      </c>
      <c r="M71" s="1" t="s">
        <v>292</v>
      </c>
      <c r="N71" s="3">
        <v>46183</v>
      </c>
      <c r="P71" s="1" t="s">
        <v>696</v>
      </c>
      <c r="Q71" s="1" t="s">
        <v>151</v>
      </c>
      <c r="R71" s="1" t="s">
        <v>55</v>
      </c>
      <c r="S71" s="2">
        <v>46183</v>
      </c>
      <c r="T71" s="2">
        <v>46183</v>
      </c>
      <c r="V71" s="1">
        <v>0.5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hidden="1" x14ac:dyDescent="0.25">
      <c r="A72" s="1">
        <v>535</v>
      </c>
      <c r="B72" s="1" t="s">
        <v>774</v>
      </c>
      <c r="C72" s="1" t="s">
        <v>772</v>
      </c>
      <c r="D72" s="1" t="s">
        <v>102</v>
      </c>
      <c r="E72" s="1" t="s">
        <v>121</v>
      </c>
      <c r="F72" s="3">
        <v>46203</v>
      </c>
      <c r="G72" s="3">
        <v>46204</v>
      </c>
      <c r="H72" s="4">
        <v>0</v>
      </c>
      <c r="J72" s="1">
        <v>534</v>
      </c>
      <c r="K72" s="1">
        <v>536</v>
      </c>
      <c r="L72" s="1" t="s">
        <v>35</v>
      </c>
      <c r="M72" s="1" t="s">
        <v>294</v>
      </c>
      <c r="N72" s="3">
        <v>46185</v>
      </c>
      <c r="P72" s="1" t="s">
        <v>696</v>
      </c>
      <c r="Q72" s="1" t="s">
        <v>151</v>
      </c>
      <c r="R72" s="1" t="s">
        <v>55</v>
      </c>
      <c r="S72" s="2">
        <v>46184</v>
      </c>
      <c r="T72" s="2">
        <v>46185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</row>
    <row r="73" spans="1:33" hidden="1" x14ac:dyDescent="0.25">
      <c r="A73" s="1">
        <v>536</v>
      </c>
      <c r="B73" s="1" t="s">
        <v>775</v>
      </c>
      <c r="C73" s="1" t="s">
        <v>772</v>
      </c>
      <c r="D73" s="1" t="s">
        <v>108</v>
      </c>
      <c r="E73" s="1" t="s">
        <v>53</v>
      </c>
      <c r="F73" s="3">
        <v>46205</v>
      </c>
      <c r="G73" s="3">
        <v>46205</v>
      </c>
      <c r="H73" s="4">
        <v>0</v>
      </c>
      <c r="J73" s="1">
        <v>535</v>
      </c>
      <c r="L73" s="1" t="s">
        <v>35</v>
      </c>
      <c r="M73" s="1" t="s">
        <v>296</v>
      </c>
      <c r="N73" s="3">
        <v>46188</v>
      </c>
      <c r="P73" s="1" t="s">
        <v>696</v>
      </c>
      <c r="Q73" s="1" t="s">
        <v>151</v>
      </c>
      <c r="R73" s="1" t="s">
        <v>55</v>
      </c>
      <c r="S73" s="2">
        <v>46188</v>
      </c>
      <c r="T73" s="2">
        <v>46188</v>
      </c>
      <c r="V73" s="1">
        <v>0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</row>
    <row r="74" spans="1:33" hidden="1" x14ac:dyDescent="0.25">
      <c r="A74" s="1">
        <v>537</v>
      </c>
      <c r="B74" s="1" t="s">
        <v>776</v>
      </c>
      <c r="C74" s="1" t="s">
        <v>698</v>
      </c>
      <c r="D74" s="1" t="s">
        <v>777</v>
      </c>
      <c r="E74" s="1" t="s">
        <v>622</v>
      </c>
      <c r="F74" s="3">
        <v>46192</v>
      </c>
      <c r="G74" s="3">
        <v>46203</v>
      </c>
      <c r="H74" s="4">
        <v>0.56000000000000005</v>
      </c>
      <c r="L74" s="1" t="s">
        <v>35</v>
      </c>
      <c r="M74" s="1" t="s">
        <v>436</v>
      </c>
      <c r="N74" s="3">
        <v>46188</v>
      </c>
      <c r="P74" s="1" t="s">
        <v>696</v>
      </c>
      <c r="Q74" s="1" t="s">
        <v>138</v>
      </c>
      <c r="R74" s="1" t="s">
        <v>55</v>
      </c>
      <c r="S74" s="2">
        <v>46169</v>
      </c>
      <c r="T74" s="2">
        <v>46188</v>
      </c>
      <c r="V74" s="1">
        <v>0.56000000000000005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hidden="1" x14ac:dyDescent="0.25">
      <c r="A75" s="1">
        <v>539</v>
      </c>
      <c r="B75" s="1" t="s">
        <v>780</v>
      </c>
      <c r="C75" s="1" t="s">
        <v>779</v>
      </c>
      <c r="D75" s="1" t="s">
        <v>98</v>
      </c>
      <c r="E75" s="1" t="s">
        <v>53</v>
      </c>
      <c r="F75" s="3">
        <v>46198</v>
      </c>
      <c r="G75" s="3">
        <v>46198</v>
      </c>
      <c r="H75" s="4">
        <v>0.5</v>
      </c>
      <c r="J75" s="1">
        <v>538</v>
      </c>
      <c r="K75" s="1">
        <v>540</v>
      </c>
      <c r="L75" s="1" t="s">
        <v>35</v>
      </c>
      <c r="M75" s="1" t="s">
        <v>292</v>
      </c>
      <c r="N75" s="3">
        <v>46183</v>
      </c>
      <c r="P75" s="1" t="s">
        <v>696</v>
      </c>
      <c r="Q75" s="1" t="s">
        <v>146</v>
      </c>
      <c r="R75" s="1" t="s">
        <v>55</v>
      </c>
      <c r="S75" s="2">
        <v>46183</v>
      </c>
      <c r="T75" s="2">
        <v>46183</v>
      </c>
      <c r="V75" s="1">
        <v>0.5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hidden="1" x14ac:dyDescent="0.25">
      <c r="A76" s="1">
        <v>540</v>
      </c>
      <c r="B76" s="1" t="s">
        <v>781</v>
      </c>
      <c r="C76" s="1" t="s">
        <v>779</v>
      </c>
      <c r="D76" s="1" t="s">
        <v>102</v>
      </c>
      <c r="E76" s="1" t="s">
        <v>121</v>
      </c>
      <c r="F76" s="3">
        <v>46199</v>
      </c>
      <c r="G76" s="3">
        <v>46202</v>
      </c>
      <c r="H76" s="4">
        <v>0</v>
      </c>
      <c r="J76" s="1">
        <v>539</v>
      </c>
      <c r="K76" s="1">
        <v>541</v>
      </c>
      <c r="L76" s="1" t="s">
        <v>35</v>
      </c>
      <c r="M76" s="1" t="s">
        <v>294</v>
      </c>
      <c r="N76" s="3">
        <v>46185</v>
      </c>
      <c r="P76" s="1" t="s">
        <v>696</v>
      </c>
      <c r="Q76" s="1" t="s">
        <v>146</v>
      </c>
      <c r="R76" s="1" t="s">
        <v>55</v>
      </c>
      <c r="S76" s="2">
        <v>46184</v>
      </c>
      <c r="T76" s="2">
        <v>46185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</row>
    <row r="77" spans="1:33" hidden="1" x14ac:dyDescent="0.25">
      <c r="A77" s="1">
        <v>541</v>
      </c>
      <c r="B77" s="1" t="s">
        <v>782</v>
      </c>
      <c r="C77" s="1" t="s">
        <v>779</v>
      </c>
      <c r="D77" s="1" t="s">
        <v>108</v>
      </c>
      <c r="E77" s="1" t="s">
        <v>53</v>
      </c>
      <c r="F77" s="3">
        <v>46203</v>
      </c>
      <c r="G77" s="3">
        <v>46203</v>
      </c>
      <c r="H77" s="4">
        <v>0</v>
      </c>
      <c r="J77" s="1">
        <v>540</v>
      </c>
      <c r="L77" s="1" t="s">
        <v>35</v>
      </c>
      <c r="M77" s="1" t="s">
        <v>296</v>
      </c>
      <c r="N77" s="3">
        <v>46188</v>
      </c>
      <c r="P77" s="1" t="s">
        <v>696</v>
      </c>
      <c r="Q77" s="1" t="s">
        <v>151</v>
      </c>
      <c r="R77" s="1" t="s">
        <v>55</v>
      </c>
      <c r="S77" s="2">
        <v>46188</v>
      </c>
      <c r="T77" s="2">
        <v>46188</v>
      </c>
      <c r="V77" s="1">
        <v>0</v>
      </c>
      <c r="W77" s="1">
        <v>0</v>
      </c>
      <c r="X77" s="1">
        <v>0</v>
      </c>
      <c r="Y77" s="1">
        <v>0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</row>
    <row r="78" spans="1:33" hidden="1" x14ac:dyDescent="0.25">
      <c r="A78" s="1">
        <v>567</v>
      </c>
      <c r="B78" s="1" t="s">
        <v>808</v>
      </c>
      <c r="C78" s="1" t="s">
        <v>698</v>
      </c>
      <c r="D78" s="1" t="s">
        <v>809</v>
      </c>
      <c r="E78" s="1" t="s">
        <v>741</v>
      </c>
      <c r="F78" s="3">
        <v>46188</v>
      </c>
      <c r="G78" s="3">
        <v>46199</v>
      </c>
      <c r="H78" s="4">
        <v>0.75</v>
      </c>
      <c r="L78" s="1" t="s">
        <v>35</v>
      </c>
      <c r="M78" s="1" t="s">
        <v>386</v>
      </c>
      <c r="N78" s="3">
        <v>46210</v>
      </c>
      <c r="P78" s="1" t="s">
        <v>696</v>
      </c>
      <c r="Q78" s="1" t="s">
        <v>138</v>
      </c>
      <c r="R78" s="1" t="s">
        <v>55</v>
      </c>
      <c r="S78" s="2">
        <v>46191</v>
      </c>
      <c r="T78" s="2">
        <v>46210</v>
      </c>
      <c r="V78" s="1">
        <v>0.75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hidden="1" x14ac:dyDescent="0.25">
      <c r="A79" s="1">
        <v>569</v>
      </c>
      <c r="B79" s="1" t="s">
        <v>814</v>
      </c>
      <c r="C79" s="1" t="s">
        <v>811</v>
      </c>
      <c r="D79" s="1" t="s">
        <v>98</v>
      </c>
      <c r="E79" s="1" t="s">
        <v>53</v>
      </c>
      <c r="F79" s="3">
        <v>46197</v>
      </c>
      <c r="G79" s="3">
        <v>46197</v>
      </c>
      <c r="H79" s="4">
        <v>0.5</v>
      </c>
      <c r="J79" s="1">
        <v>568</v>
      </c>
      <c r="K79" s="1">
        <v>570</v>
      </c>
      <c r="L79" s="1" t="s">
        <v>35</v>
      </c>
      <c r="M79" s="1" t="s">
        <v>535</v>
      </c>
      <c r="N79" s="3">
        <v>46205</v>
      </c>
      <c r="P79" s="1" t="s">
        <v>696</v>
      </c>
      <c r="Q79" s="1" t="s">
        <v>146</v>
      </c>
      <c r="R79" s="1" t="s">
        <v>55</v>
      </c>
      <c r="S79" s="2">
        <v>46205</v>
      </c>
      <c r="T79" s="2">
        <v>46205</v>
      </c>
      <c r="V79" s="1">
        <v>0.5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hidden="1" x14ac:dyDescent="0.25">
      <c r="A80" s="1">
        <v>570</v>
      </c>
      <c r="B80" s="1" t="s">
        <v>815</v>
      </c>
      <c r="C80" s="1" t="s">
        <v>811</v>
      </c>
      <c r="D80" s="1" t="s">
        <v>102</v>
      </c>
      <c r="E80" s="1" t="s">
        <v>53</v>
      </c>
      <c r="F80" s="3">
        <v>46198</v>
      </c>
      <c r="G80" s="3">
        <v>46198</v>
      </c>
      <c r="H80" s="4">
        <v>0</v>
      </c>
      <c r="J80" s="1">
        <v>569</v>
      </c>
      <c r="K80" s="1">
        <v>571</v>
      </c>
      <c r="L80" s="1" t="s">
        <v>35</v>
      </c>
      <c r="M80" s="1" t="s">
        <v>159</v>
      </c>
      <c r="N80" s="3">
        <v>46209</v>
      </c>
      <c r="P80" s="1" t="s">
        <v>696</v>
      </c>
      <c r="Q80" s="1" t="s">
        <v>146</v>
      </c>
      <c r="R80" s="1" t="s">
        <v>55</v>
      </c>
      <c r="S80" s="2">
        <v>46206</v>
      </c>
      <c r="T80" s="2">
        <v>46209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</row>
    <row r="81" spans="1:33" hidden="1" x14ac:dyDescent="0.25">
      <c r="A81" s="1">
        <v>571</v>
      </c>
      <c r="B81" s="1" t="s">
        <v>816</v>
      </c>
      <c r="C81" s="1" t="s">
        <v>811</v>
      </c>
      <c r="D81" s="1" t="s">
        <v>108</v>
      </c>
      <c r="E81" s="1" t="s">
        <v>53</v>
      </c>
      <c r="F81" s="3">
        <v>46199</v>
      </c>
      <c r="G81" s="3">
        <v>46199</v>
      </c>
      <c r="H81" s="4">
        <v>0</v>
      </c>
      <c r="J81" s="1">
        <v>570</v>
      </c>
      <c r="L81" s="1" t="s">
        <v>35</v>
      </c>
      <c r="M81" s="1" t="s">
        <v>538</v>
      </c>
      <c r="N81" s="3">
        <v>46210</v>
      </c>
      <c r="P81" s="1" t="s">
        <v>696</v>
      </c>
      <c r="Q81" s="1" t="s">
        <v>146</v>
      </c>
      <c r="R81" s="1" t="s">
        <v>55</v>
      </c>
      <c r="S81" s="2">
        <v>46210</v>
      </c>
      <c r="T81" s="2">
        <v>46210</v>
      </c>
      <c r="V81" s="1">
        <v>0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</row>
    <row r="82" spans="1:33" hidden="1" x14ac:dyDescent="0.25">
      <c r="A82" s="1">
        <v>572</v>
      </c>
      <c r="B82" s="1" t="s">
        <v>817</v>
      </c>
      <c r="C82" s="1" t="s">
        <v>698</v>
      </c>
      <c r="D82" s="1" t="s">
        <v>818</v>
      </c>
      <c r="E82" s="1" t="s">
        <v>741</v>
      </c>
      <c r="F82" s="3">
        <v>46189</v>
      </c>
      <c r="G82" s="3">
        <v>46202</v>
      </c>
      <c r="H82" s="4">
        <v>0.75</v>
      </c>
      <c r="L82" s="1" t="s">
        <v>35</v>
      </c>
      <c r="M82" s="1" t="s">
        <v>386</v>
      </c>
      <c r="N82" s="3">
        <v>46210</v>
      </c>
      <c r="P82" s="1" t="s">
        <v>696</v>
      </c>
      <c r="Q82" s="1" t="s">
        <v>138</v>
      </c>
      <c r="R82" s="1" t="s">
        <v>55</v>
      </c>
      <c r="S82" s="2">
        <v>46191</v>
      </c>
      <c r="T82" s="2">
        <v>46210</v>
      </c>
      <c r="V82" s="1">
        <v>0.75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hidden="1" x14ac:dyDescent="0.25">
      <c r="A83" s="1">
        <v>574</v>
      </c>
      <c r="B83" s="1" t="s">
        <v>822</v>
      </c>
      <c r="C83" s="1" t="s">
        <v>820</v>
      </c>
      <c r="D83" s="1" t="s">
        <v>98</v>
      </c>
      <c r="E83" s="1" t="s">
        <v>53</v>
      </c>
      <c r="F83" s="3">
        <v>46198</v>
      </c>
      <c r="G83" s="3">
        <v>46198</v>
      </c>
      <c r="H83" s="4">
        <v>0.5</v>
      </c>
      <c r="J83" s="1">
        <v>573</v>
      </c>
      <c r="K83" s="1">
        <v>575</v>
      </c>
      <c r="L83" s="1" t="s">
        <v>35</v>
      </c>
      <c r="M83" s="1" t="s">
        <v>535</v>
      </c>
      <c r="N83" s="3">
        <v>46205</v>
      </c>
      <c r="P83" s="1" t="s">
        <v>696</v>
      </c>
      <c r="Q83" s="1" t="s">
        <v>146</v>
      </c>
      <c r="R83" s="1" t="s">
        <v>55</v>
      </c>
      <c r="S83" s="2">
        <v>46205</v>
      </c>
      <c r="T83" s="2">
        <v>46205</v>
      </c>
      <c r="V83" s="1">
        <v>0.5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hidden="1" x14ac:dyDescent="0.25">
      <c r="A84" s="1">
        <v>575</v>
      </c>
      <c r="B84" s="1" t="s">
        <v>823</v>
      </c>
      <c r="C84" s="1" t="s">
        <v>820</v>
      </c>
      <c r="D84" s="1" t="s">
        <v>102</v>
      </c>
      <c r="E84" s="1" t="s">
        <v>53</v>
      </c>
      <c r="F84" s="3">
        <v>46199</v>
      </c>
      <c r="G84" s="3">
        <v>46199</v>
      </c>
      <c r="H84" s="4">
        <v>0</v>
      </c>
      <c r="J84" s="1">
        <v>574</v>
      </c>
      <c r="K84" s="1">
        <v>576</v>
      </c>
      <c r="L84" s="1" t="s">
        <v>35</v>
      </c>
      <c r="M84" s="1" t="s">
        <v>159</v>
      </c>
      <c r="N84" s="3">
        <v>46209</v>
      </c>
      <c r="P84" s="1" t="s">
        <v>696</v>
      </c>
      <c r="Q84" s="1" t="s">
        <v>146</v>
      </c>
      <c r="R84" s="1" t="s">
        <v>55</v>
      </c>
      <c r="S84" s="2">
        <v>46206</v>
      </c>
      <c r="T84" s="2">
        <v>46209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</row>
    <row r="85" spans="1:33" hidden="1" x14ac:dyDescent="0.25">
      <c r="A85" s="1">
        <v>576</v>
      </c>
      <c r="B85" s="1" t="s">
        <v>824</v>
      </c>
      <c r="C85" s="1" t="s">
        <v>820</v>
      </c>
      <c r="D85" s="1" t="s">
        <v>108</v>
      </c>
      <c r="E85" s="1" t="s">
        <v>53</v>
      </c>
      <c r="F85" s="3">
        <v>46202</v>
      </c>
      <c r="G85" s="3">
        <v>46202</v>
      </c>
      <c r="H85" s="4">
        <v>0</v>
      </c>
      <c r="J85" s="1">
        <v>575</v>
      </c>
      <c r="L85" s="1" t="s">
        <v>35</v>
      </c>
      <c r="M85" s="1" t="s">
        <v>538</v>
      </c>
      <c r="N85" s="3">
        <v>46210</v>
      </c>
      <c r="P85" s="1" t="s">
        <v>696</v>
      </c>
      <c r="Q85" s="1" t="s">
        <v>151</v>
      </c>
      <c r="R85" s="1" t="s">
        <v>55</v>
      </c>
      <c r="S85" s="2">
        <v>46210</v>
      </c>
      <c r="T85" s="2">
        <v>46210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</row>
    <row r="86" spans="1:33" hidden="1" x14ac:dyDescent="0.25">
      <c r="A86" s="1">
        <v>577</v>
      </c>
      <c r="B86" s="1" t="s">
        <v>825</v>
      </c>
      <c r="C86" s="1" t="s">
        <v>698</v>
      </c>
      <c r="D86" s="1" t="s">
        <v>826</v>
      </c>
      <c r="E86" s="1" t="s">
        <v>741</v>
      </c>
      <c r="F86" s="3">
        <v>46189</v>
      </c>
      <c r="G86" s="3">
        <v>46202</v>
      </c>
      <c r="H86" s="4">
        <v>0.75</v>
      </c>
      <c r="L86" s="1" t="s">
        <v>35</v>
      </c>
      <c r="M86" s="1" t="s">
        <v>386</v>
      </c>
      <c r="N86" s="3">
        <v>46210</v>
      </c>
      <c r="P86" s="1" t="s">
        <v>696</v>
      </c>
      <c r="Q86" s="1" t="s">
        <v>138</v>
      </c>
      <c r="R86" s="1" t="s">
        <v>55</v>
      </c>
      <c r="S86" s="2">
        <v>46191</v>
      </c>
      <c r="T86" s="2">
        <v>46210</v>
      </c>
      <c r="V86" s="1">
        <v>0.75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hidden="1" x14ac:dyDescent="0.25">
      <c r="A87" s="1">
        <v>579</v>
      </c>
      <c r="B87" s="1" t="s">
        <v>829</v>
      </c>
      <c r="C87" s="1" t="s">
        <v>828</v>
      </c>
      <c r="D87" s="1" t="s">
        <v>98</v>
      </c>
      <c r="E87" s="1" t="s">
        <v>53</v>
      </c>
      <c r="F87" s="3">
        <v>46198</v>
      </c>
      <c r="G87" s="3">
        <v>46198</v>
      </c>
      <c r="H87" s="4">
        <v>0.5</v>
      </c>
      <c r="J87" s="1">
        <v>578</v>
      </c>
      <c r="K87" s="1">
        <v>580</v>
      </c>
      <c r="L87" s="1" t="s">
        <v>35</v>
      </c>
      <c r="M87" s="1" t="s">
        <v>535</v>
      </c>
      <c r="N87" s="3">
        <v>46205</v>
      </c>
      <c r="P87" s="1" t="s">
        <v>696</v>
      </c>
      <c r="Q87" s="1" t="s">
        <v>146</v>
      </c>
      <c r="R87" s="1" t="s">
        <v>55</v>
      </c>
      <c r="S87" s="2">
        <v>46205</v>
      </c>
      <c r="T87" s="2">
        <v>46205</v>
      </c>
      <c r="V87" s="1">
        <v>0.5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hidden="1" x14ac:dyDescent="0.25">
      <c r="A88" s="1">
        <v>580</v>
      </c>
      <c r="B88" s="1" t="s">
        <v>830</v>
      </c>
      <c r="C88" s="1" t="s">
        <v>828</v>
      </c>
      <c r="D88" s="1" t="s">
        <v>102</v>
      </c>
      <c r="E88" s="1" t="s">
        <v>53</v>
      </c>
      <c r="F88" s="3">
        <v>46199</v>
      </c>
      <c r="G88" s="3">
        <v>46199</v>
      </c>
      <c r="H88" s="4">
        <v>0</v>
      </c>
      <c r="J88" s="1">
        <v>579</v>
      </c>
      <c r="K88" s="1">
        <v>581</v>
      </c>
      <c r="L88" s="1" t="s">
        <v>35</v>
      </c>
      <c r="M88" s="1" t="s">
        <v>159</v>
      </c>
      <c r="N88" s="3">
        <v>46209</v>
      </c>
      <c r="P88" s="1" t="s">
        <v>696</v>
      </c>
      <c r="Q88" s="1" t="s">
        <v>146</v>
      </c>
      <c r="R88" s="1" t="s">
        <v>55</v>
      </c>
      <c r="S88" s="2">
        <v>46206</v>
      </c>
      <c r="T88" s="2">
        <v>46209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</row>
    <row r="89" spans="1:33" hidden="1" x14ac:dyDescent="0.25">
      <c r="A89" s="1">
        <v>581</v>
      </c>
      <c r="B89" s="1" t="s">
        <v>831</v>
      </c>
      <c r="C89" s="1" t="s">
        <v>828</v>
      </c>
      <c r="D89" s="1" t="s">
        <v>108</v>
      </c>
      <c r="E89" s="1" t="s">
        <v>53</v>
      </c>
      <c r="F89" s="3">
        <v>46202</v>
      </c>
      <c r="G89" s="3">
        <v>46202</v>
      </c>
      <c r="H89" s="4">
        <v>0</v>
      </c>
      <c r="J89" s="1">
        <v>580</v>
      </c>
      <c r="L89" s="1" t="s">
        <v>35</v>
      </c>
      <c r="M89" s="1" t="s">
        <v>538</v>
      </c>
      <c r="N89" s="3">
        <v>46210</v>
      </c>
      <c r="P89" s="1" t="s">
        <v>696</v>
      </c>
      <c r="Q89" s="1" t="s">
        <v>151</v>
      </c>
      <c r="R89" s="1" t="s">
        <v>55</v>
      </c>
      <c r="S89" s="2">
        <v>46210</v>
      </c>
      <c r="T89" s="2">
        <v>46210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</row>
    <row r="90" spans="1:33" hidden="1" x14ac:dyDescent="0.25">
      <c r="A90" s="1">
        <v>582</v>
      </c>
      <c r="B90" s="1" t="s">
        <v>832</v>
      </c>
      <c r="C90" s="1" t="s">
        <v>698</v>
      </c>
      <c r="D90" s="1" t="s">
        <v>833</v>
      </c>
      <c r="E90" s="1" t="s">
        <v>741</v>
      </c>
      <c r="F90" s="3">
        <v>46189</v>
      </c>
      <c r="G90" s="3">
        <v>46202</v>
      </c>
      <c r="H90" s="4">
        <v>0.75</v>
      </c>
      <c r="L90" s="1" t="s">
        <v>35</v>
      </c>
      <c r="M90" s="1" t="s">
        <v>386</v>
      </c>
      <c r="N90" s="3">
        <v>46210</v>
      </c>
      <c r="P90" s="1" t="s">
        <v>696</v>
      </c>
      <c r="Q90" s="1" t="s">
        <v>138</v>
      </c>
      <c r="R90" s="1" t="s">
        <v>55</v>
      </c>
      <c r="S90" s="2">
        <v>46191</v>
      </c>
      <c r="T90" s="2">
        <v>46210</v>
      </c>
      <c r="V90" s="1">
        <v>0.75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hidden="1" x14ac:dyDescent="0.25">
      <c r="A91" s="1">
        <v>584</v>
      </c>
      <c r="B91" s="1" t="s">
        <v>836</v>
      </c>
      <c r="C91" s="1" t="s">
        <v>835</v>
      </c>
      <c r="D91" s="1" t="s">
        <v>98</v>
      </c>
      <c r="E91" s="1" t="s">
        <v>53</v>
      </c>
      <c r="F91" s="3">
        <v>46198</v>
      </c>
      <c r="G91" s="3">
        <v>46198</v>
      </c>
      <c r="H91" s="4">
        <v>0.5</v>
      </c>
      <c r="J91" s="1">
        <v>583</v>
      </c>
      <c r="K91" s="1">
        <v>585</v>
      </c>
      <c r="L91" s="1" t="s">
        <v>35</v>
      </c>
      <c r="M91" s="1" t="s">
        <v>535</v>
      </c>
      <c r="N91" s="3">
        <v>46205</v>
      </c>
      <c r="P91" s="1" t="s">
        <v>696</v>
      </c>
      <c r="Q91" s="1" t="s">
        <v>146</v>
      </c>
      <c r="R91" s="1" t="s">
        <v>55</v>
      </c>
      <c r="S91" s="2">
        <v>46205</v>
      </c>
      <c r="T91" s="2">
        <v>46205</v>
      </c>
      <c r="V91" s="1">
        <v>0.5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hidden="1" x14ac:dyDescent="0.25">
      <c r="A92" s="1">
        <v>585</v>
      </c>
      <c r="B92" s="1" t="s">
        <v>837</v>
      </c>
      <c r="C92" s="1" t="s">
        <v>835</v>
      </c>
      <c r="D92" s="1" t="s">
        <v>102</v>
      </c>
      <c r="E92" s="1" t="s">
        <v>53</v>
      </c>
      <c r="F92" s="3">
        <v>46199</v>
      </c>
      <c r="G92" s="3">
        <v>46199</v>
      </c>
      <c r="H92" s="4">
        <v>0</v>
      </c>
      <c r="J92" s="1">
        <v>584</v>
      </c>
      <c r="K92" s="1">
        <v>586</v>
      </c>
      <c r="L92" s="1" t="s">
        <v>35</v>
      </c>
      <c r="M92" s="1" t="s">
        <v>159</v>
      </c>
      <c r="N92" s="3">
        <v>46209</v>
      </c>
      <c r="P92" s="1" t="s">
        <v>696</v>
      </c>
      <c r="Q92" s="1" t="s">
        <v>146</v>
      </c>
      <c r="R92" s="1" t="s">
        <v>55</v>
      </c>
      <c r="S92" s="2">
        <v>46206</v>
      </c>
      <c r="T92" s="2">
        <v>46209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</v>
      </c>
      <c r="AE92" s="1">
        <v>0</v>
      </c>
      <c r="AF92" s="1">
        <v>0</v>
      </c>
      <c r="AG92" s="1">
        <v>0</v>
      </c>
    </row>
    <row r="93" spans="1:33" hidden="1" x14ac:dyDescent="0.25">
      <c r="A93" s="1">
        <v>586</v>
      </c>
      <c r="B93" s="1" t="s">
        <v>838</v>
      </c>
      <c r="C93" s="1" t="s">
        <v>835</v>
      </c>
      <c r="D93" s="1" t="s">
        <v>108</v>
      </c>
      <c r="E93" s="1" t="s">
        <v>53</v>
      </c>
      <c r="F93" s="3">
        <v>46202</v>
      </c>
      <c r="G93" s="3">
        <v>46202</v>
      </c>
      <c r="H93" s="4">
        <v>0</v>
      </c>
      <c r="J93" s="1">
        <v>585</v>
      </c>
      <c r="L93" s="1" t="s">
        <v>35</v>
      </c>
      <c r="M93" s="1" t="s">
        <v>538</v>
      </c>
      <c r="N93" s="3">
        <v>46210</v>
      </c>
      <c r="P93" s="1" t="s">
        <v>696</v>
      </c>
      <c r="Q93" s="1" t="s">
        <v>151</v>
      </c>
      <c r="R93" s="1" t="s">
        <v>55</v>
      </c>
      <c r="S93" s="2">
        <v>46210</v>
      </c>
      <c r="T93" s="2">
        <v>46210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0</v>
      </c>
    </row>
    <row r="94" spans="1:33" hidden="1" x14ac:dyDescent="0.25">
      <c r="A94" s="1">
        <v>587</v>
      </c>
      <c r="B94" s="1" t="s">
        <v>839</v>
      </c>
      <c r="C94" s="1" t="s">
        <v>698</v>
      </c>
      <c r="D94" s="1" t="s">
        <v>840</v>
      </c>
      <c r="E94" s="1" t="s">
        <v>741</v>
      </c>
      <c r="F94" s="3">
        <v>46189</v>
      </c>
      <c r="G94" s="3">
        <v>46202</v>
      </c>
      <c r="H94" s="4">
        <v>0.75</v>
      </c>
      <c r="L94" s="1" t="s">
        <v>35</v>
      </c>
      <c r="M94" s="1" t="s">
        <v>386</v>
      </c>
      <c r="N94" s="3">
        <v>46210</v>
      </c>
      <c r="P94" s="1" t="s">
        <v>696</v>
      </c>
      <c r="Q94" s="1" t="s">
        <v>138</v>
      </c>
      <c r="R94" s="1" t="s">
        <v>55</v>
      </c>
      <c r="S94" s="2">
        <v>46191</v>
      </c>
      <c r="T94" s="2">
        <v>46210</v>
      </c>
      <c r="V94" s="1">
        <v>0.75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hidden="1" x14ac:dyDescent="0.25">
      <c r="A95" s="1">
        <v>589</v>
      </c>
      <c r="B95" s="1" t="s">
        <v>843</v>
      </c>
      <c r="C95" s="1" t="s">
        <v>842</v>
      </c>
      <c r="D95" s="1" t="s">
        <v>98</v>
      </c>
      <c r="E95" s="1" t="s">
        <v>53</v>
      </c>
      <c r="F95" s="3">
        <v>46198</v>
      </c>
      <c r="G95" s="3">
        <v>46198</v>
      </c>
      <c r="H95" s="4">
        <v>0.5</v>
      </c>
      <c r="J95" s="1">
        <v>588</v>
      </c>
      <c r="K95" s="1">
        <v>590</v>
      </c>
      <c r="L95" s="1" t="s">
        <v>35</v>
      </c>
      <c r="M95" s="1" t="s">
        <v>535</v>
      </c>
      <c r="N95" s="3">
        <v>46205</v>
      </c>
      <c r="P95" s="1" t="s">
        <v>696</v>
      </c>
      <c r="Q95" s="1" t="s">
        <v>146</v>
      </c>
      <c r="R95" s="1" t="s">
        <v>55</v>
      </c>
      <c r="S95" s="2">
        <v>46205</v>
      </c>
      <c r="T95" s="2">
        <v>46205</v>
      </c>
      <c r="V95" s="1">
        <v>0.5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hidden="1" x14ac:dyDescent="0.25">
      <c r="A96" s="1">
        <v>590</v>
      </c>
      <c r="B96" s="1" t="s">
        <v>844</v>
      </c>
      <c r="C96" s="1" t="s">
        <v>842</v>
      </c>
      <c r="D96" s="1" t="s">
        <v>102</v>
      </c>
      <c r="E96" s="1" t="s">
        <v>53</v>
      </c>
      <c r="F96" s="3">
        <v>46199</v>
      </c>
      <c r="G96" s="3">
        <v>46199</v>
      </c>
      <c r="H96" s="4">
        <v>0</v>
      </c>
      <c r="J96" s="1">
        <v>589</v>
      </c>
      <c r="K96" s="1">
        <v>591</v>
      </c>
      <c r="L96" s="1" t="s">
        <v>35</v>
      </c>
      <c r="M96" s="1" t="s">
        <v>159</v>
      </c>
      <c r="N96" s="3">
        <v>46209</v>
      </c>
      <c r="P96" s="1" t="s">
        <v>696</v>
      </c>
      <c r="Q96" s="1" t="s">
        <v>146</v>
      </c>
      <c r="R96" s="1" t="s">
        <v>55</v>
      </c>
      <c r="S96" s="2">
        <v>46206</v>
      </c>
      <c r="T96" s="2">
        <v>46209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</row>
    <row r="97" spans="1:33" hidden="1" x14ac:dyDescent="0.25">
      <c r="A97" s="1">
        <v>591</v>
      </c>
      <c r="B97" s="1" t="s">
        <v>845</v>
      </c>
      <c r="C97" s="1" t="s">
        <v>842</v>
      </c>
      <c r="D97" s="1" t="s">
        <v>108</v>
      </c>
      <c r="E97" s="1" t="s">
        <v>53</v>
      </c>
      <c r="F97" s="3">
        <v>46202</v>
      </c>
      <c r="G97" s="3">
        <v>46202</v>
      </c>
      <c r="H97" s="4">
        <v>0</v>
      </c>
      <c r="J97" s="1">
        <v>590</v>
      </c>
      <c r="L97" s="1" t="s">
        <v>35</v>
      </c>
      <c r="M97" s="1" t="s">
        <v>538</v>
      </c>
      <c r="N97" s="3">
        <v>46210</v>
      </c>
      <c r="P97" s="1" t="s">
        <v>696</v>
      </c>
      <c r="Q97" s="1" t="s">
        <v>151</v>
      </c>
      <c r="R97" s="1" t="s">
        <v>55</v>
      </c>
      <c r="S97" s="2">
        <v>46210</v>
      </c>
      <c r="T97" s="2">
        <v>46210</v>
      </c>
      <c r="V97" s="1">
        <v>0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</row>
    <row r="98" spans="1:33" hidden="1" x14ac:dyDescent="0.25">
      <c r="A98" s="1">
        <v>592</v>
      </c>
      <c r="B98" s="1" t="s">
        <v>846</v>
      </c>
      <c r="C98" s="1" t="s">
        <v>698</v>
      </c>
      <c r="D98" s="1" t="s">
        <v>847</v>
      </c>
      <c r="E98" s="1" t="s">
        <v>741</v>
      </c>
      <c r="F98" s="3">
        <v>46189</v>
      </c>
      <c r="G98" s="3">
        <v>46202</v>
      </c>
      <c r="H98" s="4">
        <v>0.75</v>
      </c>
      <c r="L98" s="1" t="s">
        <v>35</v>
      </c>
      <c r="M98" s="1" t="s">
        <v>386</v>
      </c>
      <c r="N98" s="3">
        <v>46210</v>
      </c>
      <c r="P98" s="1" t="s">
        <v>696</v>
      </c>
      <c r="Q98" s="1" t="s">
        <v>138</v>
      </c>
      <c r="R98" s="1" t="s">
        <v>55</v>
      </c>
      <c r="S98" s="2">
        <v>46191</v>
      </c>
      <c r="T98" s="2">
        <v>46210</v>
      </c>
      <c r="V98" s="1">
        <v>0.75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hidden="1" x14ac:dyDescent="0.25">
      <c r="A99" s="1">
        <v>594</v>
      </c>
      <c r="B99" s="1" t="s">
        <v>850</v>
      </c>
      <c r="C99" s="1" t="s">
        <v>849</v>
      </c>
      <c r="D99" s="1" t="s">
        <v>98</v>
      </c>
      <c r="E99" s="1" t="s">
        <v>53</v>
      </c>
      <c r="F99" s="3">
        <v>46198</v>
      </c>
      <c r="G99" s="3">
        <v>46198</v>
      </c>
      <c r="H99" s="4">
        <v>0.5</v>
      </c>
      <c r="J99" s="1">
        <v>593</v>
      </c>
      <c r="K99" s="1">
        <v>595</v>
      </c>
      <c r="L99" s="1" t="s">
        <v>35</v>
      </c>
      <c r="M99" s="1" t="s">
        <v>535</v>
      </c>
      <c r="N99" s="3">
        <v>46205</v>
      </c>
      <c r="P99" s="1" t="s">
        <v>696</v>
      </c>
      <c r="Q99" s="1" t="s">
        <v>146</v>
      </c>
      <c r="R99" s="1" t="s">
        <v>55</v>
      </c>
      <c r="S99" s="2">
        <v>46205</v>
      </c>
      <c r="T99" s="2">
        <v>46205</v>
      </c>
      <c r="V99" s="1">
        <v>0.5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hidden="1" x14ac:dyDescent="0.25">
      <c r="A100" s="1">
        <v>595</v>
      </c>
      <c r="B100" s="1" t="s">
        <v>851</v>
      </c>
      <c r="C100" s="1" t="s">
        <v>849</v>
      </c>
      <c r="D100" s="1" t="s">
        <v>102</v>
      </c>
      <c r="E100" s="1" t="s">
        <v>53</v>
      </c>
      <c r="F100" s="3">
        <v>46199</v>
      </c>
      <c r="G100" s="3">
        <v>46199</v>
      </c>
      <c r="H100" s="4">
        <v>0</v>
      </c>
      <c r="J100" s="1">
        <v>594</v>
      </c>
      <c r="K100" s="1">
        <v>596</v>
      </c>
      <c r="L100" s="1" t="s">
        <v>35</v>
      </c>
      <c r="M100" s="1" t="s">
        <v>159</v>
      </c>
      <c r="N100" s="3">
        <v>46209</v>
      </c>
      <c r="P100" s="1" t="s">
        <v>696</v>
      </c>
      <c r="Q100" s="1" t="s">
        <v>146</v>
      </c>
      <c r="R100" s="1" t="s">
        <v>55</v>
      </c>
      <c r="S100" s="2">
        <v>46206</v>
      </c>
      <c r="T100" s="2">
        <v>46209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</row>
    <row r="101" spans="1:33" hidden="1" x14ac:dyDescent="0.25">
      <c r="A101" s="1">
        <v>596</v>
      </c>
      <c r="B101" s="1" t="s">
        <v>852</v>
      </c>
      <c r="C101" s="1" t="s">
        <v>849</v>
      </c>
      <c r="D101" s="1" t="s">
        <v>108</v>
      </c>
      <c r="E101" s="1" t="s">
        <v>53</v>
      </c>
      <c r="F101" s="3">
        <v>46202</v>
      </c>
      <c r="G101" s="3">
        <v>46202</v>
      </c>
      <c r="H101" s="4">
        <v>0</v>
      </c>
      <c r="J101" s="1">
        <v>595</v>
      </c>
      <c r="L101" s="1" t="s">
        <v>35</v>
      </c>
      <c r="M101" s="1" t="s">
        <v>538</v>
      </c>
      <c r="N101" s="3">
        <v>46210</v>
      </c>
      <c r="P101" s="1" t="s">
        <v>696</v>
      </c>
      <c r="Q101" s="1" t="s">
        <v>151</v>
      </c>
      <c r="R101" s="1" t="s">
        <v>55</v>
      </c>
      <c r="S101" s="2">
        <v>46210</v>
      </c>
      <c r="T101" s="2">
        <v>46210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</row>
    <row r="102" spans="1:33" hidden="1" x14ac:dyDescent="0.25">
      <c r="A102" s="1">
        <v>597</v>
      </c>
      <c r="B102" s="1" t="s">
        <v>853</v>
      </c>
      <c r="C102" s="1" t="s">
        <v>698</v>
      </c>
      <c r="D102" s="1" t="s">
        <v>854</v>
      </c>
      <c r="E102" s="1" t="s">
        <v>741</v>
      </c>
      <c r="F102" s="3">
        <v>46189</v>
      </c>
      <c r="G102" s="3">
        <v>46202</v>
      </c>
      <c r="H102" s="4">
        <v>0.75</v>
      </c>
      <c r="L102" s="1" t="s">
        <v>35</v>
      </c>
      <c r="M102" s="1" t="s">
        <v>386</v>
      </c>
      <c r="N102" s="3">
        <v>46210</v>
      </c>
      <c r="P102" s="1" t="s">
        <v>696</v>
      </c>
      <c r="Q102" s="1" t="s">
        <v>138</v>
      </c>
      <c r="R102" s="1" t="s">
        <v>55</v>
      </c>
      <c r="S102" s="2">
        <v>46191</v>
      </c>
      <c r="T102" s="2">
        <v>46210</v>
      </c>
      <c r="V102" s="1">
        <v>0.75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hidden="1" x14ac:dyDescent="0.25">
      <c r="A103" s="1">
        <v>599</v>
      </c>
      <c r="B103" s="1" t="s">
        <v>857</v>
      </c>
      <c r="C103" s="1" t="s">
        <v>856</v>
      </c>
      <c r="D103" s="1" t="s">
        <v>98</v>
      </c>
      <c r="E103" s="1" t="s">
        <v>53</v>
      </c>
      <c r="F103" s="3">
        <v>46198</v>
      </c>
      <c r="G103" s="3">
        <v>46198</v>
      </c>
      <c r="H103" s="4">
        <v>0.5</v>
      </c>
      <c r="J103" s="1">
        <v>598</v>
      </c>
      <c r="K103" s="1">
        <v>600</v>
      </c>
      <c r="L103" s="1" t="s">
        <v>35</v>
      </c>
      <c r="M103" s="1" t="s">
        <v>535</v>
      </c>
      <c r="N103" s="3">
        <v>46205</v>
      </c>
      <c r="P103" s="1" t="s">
        <v>696</v>
      </c>
      <c r="Q103" s="1" t="s">
        <v>146</v>
      </c>
      <c r="R103" s="1" t="s">
        <v>55</v>
      </c>
      <c r="S103" s="2">
        <v>46205</v>
      </c>
      <c r="T103" s="2">
        <v>46205</v>
      </c>
      <c r="V103" s="1">
        <v>0.5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hidden="1" x14ac:dyDescent="0.25">
      <c r="A104" s="1">
        <v>600</v>
      </c>
      <c r="B104" s="1" t="s">
        <v>858</v>
      </c>
      <c r="C104" s="1" t="s">
        <v>856</v>
      </c>
      <c r="D104" s="1" t="s">
        <v>102</v>
      </c>
      <c r="E104" s="1" t="s">
        <v>53</v>
      </c>
      <c r="F104" s="3">
        <v>46199</v>
      </c>
      <c r="G104" s="3">
        <v>46199</v>
      </c>
      <c r="H104" s="4">
        <v>0</v>
      </c>
      <c r="J104" s="1">
        <v>599</v>
      </c>
      <c r="K104" s="1">
        <v>601</v>
      </c>
      <c r="L104" s="1" t="s">
        <v>35</v>
      </c>
      <c r="M104" s="1" t="s">
        <v>159</v>
      </c>
      <c r="N104" s="3">
        <v>46209</v>
      </c>
      <c r="P104" s="1" t="s">
        <v>696</v>
      </c>
      <c r="Q104" s="1" t="s">
        <v>146</v>
      </c>
      <c r="R104" s="1" t="s">
        <v>55</v>
      </c>
      <c r="S104" s="2">
        <v>46206</v>
      </c>
      <c r="T104" s="2">
        <v>46209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</row>
    <row r="105" spans="1:33" hidden="1" x14ac:dyDescent="0.25">
      <c r="A105" s="1">
        <v>601</v>
      </c>
      <c r="B105" s="1" t="s">
        <v>859</v>
      </c>
      <c r="C105" s="1" t="s">
        <v>856</v>
      </c>
      <c r="D105" s="1" t="s">
        <v>108</v>
      </c>
      <c r="E105" s="1" t="s">
        <v>53</v>
      </c>
      <c r="F105" s="3">
        <v>46202</v>
      </c>
      <c r="G105" s="3">
        <v>46202</v>
      </c>
      <c r="H105" s="4">
        <v>0</v>
      </c>
      <c r="J105" s="1">
        <v>600</v>
      </c>
      <c r="L105" s="1" t="s">
        <v>35</v>
      </c>
      <c r="M105" s="1" t="s">
        <v>538</v>
      </c>
      <c r="N105" s="3">
        <v>46210</v>
      </c>
      <c r="P105" s="1" t="s">
        <v>696</v>
      </c>
      <c r="Q105" s="1" t="s">
        <v>151</v>
      </c>
      <c r="R105" s="1" t="s">
        <v>55</v>
      </c>
      <c r="S105" s="2">
        <v>46210</v>
      </c>
      <c r="T105" s="2">
        <v>46210</v>
      </c>
      <c r="V105" s="1">
        <v>0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</row>
    <row r="106" spans="1:33" hidden="1" x14ac:dyDescent="0.25">
      <c r="A106" s="1">
        <v>602</v>
      </c>
      <c r="B106" s="1" t="s">
        <v>860</v>
      </c>
      <c r="C106" s="1" t="s">
        <v>698</v>
      </c>
      <c r="D106" s="1" t="s">
        <v>861</v>
      </c>
      <c r="E106" s="1" t="s">
        <v>741</v>
      </c>
      <c r="F106" s="3">
        <v>46189</v>
      </c>
      <c r="G106" s="3">
        <v>46202</v>
      </c>
      <c r="H106" s="4">
        <v>0.75</v>
      </c>
      <c r="L106" s="1" t="s">
        <v>35</v>
      </c>
      <c r="M106" s="1" t="s">
        <v>386</v>
      </c>
      <c r="N106" s="3">
        <v>46210</v>
      </c>
      <c r="P106" s="1" t="s">
        <v>696</v>
      </c>
      <c r="Q106" s="1" t="s">
        <v>138</v>
      </c>
      <c r="R106" s="1" t="s">
        <v>55</v>
      </c>
      <c r="S106" s="2">
        <v>46191</v>
      </c>
      <c r="T106" s="2">
        <v>46210</v>
      </c>
      <c r="V106" s="1">
        <v>0.75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hidden="1" x14ac:dyDescent="0.25">
      <c r="A107" s="1">
        <v>604</v>
      </c>
      <c r="B107" s="1" t="s">
        <v>864</v>
      </c>
      <c r="C107" s="1" t="s">
        <v>863</v>
      </c>
      <c r="D107" s="1" t="s">
        <v>98</v>
      </c>
      <c r="E107" s="1" t="s">
        <v>53</v>
      </c>
      <c r="F107" s="3">
        <v>46198</v>
      </c>
      <c r="G107" s="3">
        <v>46198</v>
      </c>
      <c r="H107" s="4">
        <v>0.5</v>
      </c>
      <c r="J107" s="1">
        <v>603</v>
      </c>
      <c r="K107" s="1">
        <v>605</v>
      </c>
      <c r="L107" s="1" t="s">
        <v>35</v>
      </c>
      <c r="M107" s="1" t="s">
        <v>535</v>
      </c>
      <c r="N107" s="3">
        <v>46205</v>
      </c>
      <c r="P107" s="1" t="s">
        <v>696</v>
      </c>
      <c r="Q107" s="1" t="s">
        <v>146</v>
      </c>
      <c r="R107" s="1" t="s">
        <v>55</v>
      </c>
      <c r="S107" s="2">
        <v>46205</v>
      </c>
      <c r="T107" s="2">
        <v>46205</v>
      </c>
      <c r="V107" s="1">
        <v>0.5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</row>
    <row r="108" spans="1:33" hidden="1" x14ac:dyDescent="0.25">
      <c r="A108" s="1">
        <v>605</v>
      </c>
      <c r="B108" s="1" t="s">
        <v>865</v>
      </c>
      <c r="C108" s="1" t="s">
        <v>863</v>
      </c>
      <c r="D108" s="1" t="s">
        <v>102</v>
      </c>
      <c r="E108" s="1" t="s">
        <v>53</v>
      </c>
      <c r="F108" s="3">
        <v>46199</v>
      </c>
      <c r="G108" s="3">
        <v>46199</v>
      </c>
      <c r="H108" s="4">
        <v>0</v>
      </c>
      <c r="J108" s="1">
        <v>604</v>
      </c>
      <c r="K108" s="1">
        <v>606</v>
      </c>
      <c r="L108" s="1" t="s">
        <v>35</v>
      </c>
      <c r="M108" s="1" t="s">
        <v>159</v>
      </c>
      <c r="N108" s="3">
        <v>46209</v>
      </c>
      <c r="P108" s="1" t="s">
        <v>696</v>
      </c>
      <c r="Q108" s="1" t="s">
        <v>146</v>
      </c>
      <c r="R108" s="1" t="s">
        <v>55</v>
      </c>
      <c r="S108" s="2">
        <v>46206</v>
      </c>
      <c r="T108" s="2">
        <v>46209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>
        <v>0</v>
      </c>
      <c r="AG108" s="1">
        <v>0</v>
      </c>
    </row>
    <row r="109" spans="1:33" hidden="1" x14ac:dyDescent="0.25">
      <c r="A109" s="1">
        <v>606</v>
      </c>
      <c r="B109" s="1" t="s">
        <v>866</v>
      </c>
      <c r="C109" s="1" t="s">
        <v>863</v>
      </c>
      <c r="D109" s="1" t="s">
        <v>108</v>
      </c>
      <c r="E109" s="1" t="s">
        <v>53</v>
      </c>
      <c r="F109" s="3">
        <v>46202</v>
      </c>
      <c r="G109" s="3">
        <v>46202</v>
      </c>
      <c r="H109" s="4">
        <v>0</v>
      </c>
      <c r="J109" s="1">
        <v>605</v>
      </c>
      <c r="L109" s="1" t="s">
        <v>35</v>
      </c>
      <c r="M109" s="1" t="s">
        <v>538</v>
      </c>
      <c r="N109" s="3">
        <v>46210</v>
      </c>
      <c r="P109" s="1" t="s">
        <v>696</v>
      </c>
      <c r="Q109" s="1" t="s">
        <v>151</v>
      </c>
      <c r="R109" s="1" t="s">
        <v>55</v>
      </c>
      <c r="S109" s="2">
        <v>46210</v>
      </c>
      <c r="T109" s="2">
        <v>46210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</row>
    <row r="110" spans="1:33" hidden="1" x14ac:dyDescent="0.25">
      <c r="A110" s="1">
        <v>607</v>
      </c>
      <c r="B110" s="1" t="s">
        <v>867</v>
      </c>
      <c r="C110" s="1" t="s">
        <v>698</v>
      </c>
      <c r="D110" s="1" t="s">
        <v>868</v>
      </c>
      <c r="E110" s="1" t="s">
        <v>741</v>
      </c>
      <c r="F110" s="3">
        <v>46188</v>
      </c>
      <c r="G110" s="3">
        <v>46199</v>
      </c>
      <c r="H110" s="4">
        <v>0.72</v>
      </c>
      <c r="L110" s="1" t="s">
        <v>35</v>
      </c>
      <c r="M110" s="1" t="s">
        <v>386</v>
      </c>
      <c r="N110" s="3">
        <v>46210</v>
      </c>
      <c r="P110" s="1" t="s">
        <v>696</v>
      </c>
      <c r="Q110" s="1" t="s">
        <v>138</v>
      </c>
      <c r="R110" s="1" t="s">
        <v>55</v>
      </c>
      <c r="S110" s="2">
        <v>46191</v>
      </c>
      <c r="T110" s="2">
        <v>46210</v>
      </c>
      <c r="V110" s="1">
        <v>0.72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</row>
    <row r="111" spans="1:33" hidden="1" x14ac:dyDescent="0.25">
      <c r="A111" s="1">
        <v>609</v>
      </c>
      <c r="B111" s="1" t="s">
        <v>871</v>
      </c>
      <c r="C111" s="1" t="s">
        <v>870</v>
      </c>
      <c r="D111" s="1" t="s">
        <v>98</v>
      </c>
      <c r="E111" s="1" t="s">
        <v>53</v>
      </c>
      <c r="F111" s="3">
        <v>46197</v>
      </c>
      <c r="G111" s="3">
        <v>46197</v>
      </c>
      <c r="H111" s="4">
        <v>0.15</v>
      </c>
      <c r="J111" s="1">
        <v>608</v>
      </c>
      <c r="K111" s="1">
        <v>610</v>
      </c>
      <c r="L111" s="1" t="s">
        <v>35</v>
      </c>
      <c r="M111" s="1" t="s">
        <v>535</v>
      </c>
      <c r="N111" s="3">
        <v>46205</v>
      </c>
      <c r="P111" s="1" t="s">
        <v>696</v>
      </c>
      <c r="Q111" s="1" t="s">
        <v>146</v>
      </c>
      <c r="R111" s="1" t="s">
        <v>55</v>
      </c>
      <c r="S111" s="2">
        <v>46205</v>
      </c>
      <c r="T111" s="2">
        <v>46205</v>
      </c>
      <c r="V111" s="1">
        <v>0.15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hidden="1" x14ac:dyDescent="0.25">
      <c r="A112" s="1">
        <v>610</v>
      </c>
      <c r="B112" s="1" t="s">
        <v>872</v>
      </c>
      <c r="C112" s="1" t="s">
        <v>870</v>
      </c>
      <c r="D112" s="1" t="s">
        <v>102</v>
      </c>
      <c r="E112" s="1" t="s">
        <v>53</v>
      </c>
      <c r="F112" s="3">
        <v>46198</v>
      </c>
      <c r="G112" s="3">
        <v>46198</v>
      </c>
      <c r="H112" s="4">
        <v>0</v>
      </c>
      <c r="J112" s="1">
        <v>609</v>
      </c>
      <c r="K112" s="1">
        <v>611</v>
      </c>
      <c r="L112" s="1" t="s">
        <v>35</v>
      </c>
      <c r="M112" s="1" t="s">
        <v>159</v>
      </c>
      <c r="N112" s="3">
        <v>46209</v>
      </c>
      <c r="P112" s="1" t="s">
        <v>696</v>
      </c>
      <c r="Q112" s="1" t="s">
        <v>146</v>
      </c>
      <c r="R112" s="1" t="s">
        <v>55</v>
      </c>
      <c r="S112" s="2">
        <v>46206</v>
      </c>
      <c r="T112" s="2">
        <v>46209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</row>
    <row r="113" spans="1:33" hidden="1" x14ac:dyDescent="0.25">
      <c r="A113" s="1">
        <v>611</v>
      </c>
      <c r="B113" s="1" t="s">
        <v>873</v>
      </c>
      <c r="C113" s="1" t="s">
        <v>870</v>
      </c>
      <c r="D113" s="1" t="s">
        <v>108</v>
      </c>
      <c r="E113" s="1" t="s">
        <v>53</v>
      </c>
      <c r="F113" s="3">
        <v>46199</v>
      </c>
      <c r="G113" s="3">
        <v>46199</v>
      </c>
      <c r="H113" s="4">
        <v>0</v>
      </c>
      <c r="J113" s="1">
        <v>610</v>
      </c>
      <c r="L113" s="1" t="s">
        <v>35</v>
      </c>
      <c r="M113" s="1" t="s">
        <v>538</v>
      </c>
      <c r="N113" s="3">
        <v>46210</v>
      </c>
      <c r="P113" s="1" t="s">
        <v>696</v>
      </c>
      <c r="Q113" s="1" t="s">
        <v>146</v>
      </c>
      <c r="R113" s="1" t="s">
        <v>55</v>
      </c>
      <c r="S113" s="2">
        <v>46210</v>
      </c>
      <c r="T113" s="2">
        <v>46210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</row>
    <row r="114" spans="1:33" hidden="1" x14ac:dyDescent="0.25">
      <c r="A114" s="1">
        <v>612</v>
      </c>
      <c r="B114" s="1" t="s">
        <v>874</v>
      </c>
      <c r="C114" s="1" t="s">
        <v>698</v>
      </c>
      <c r="D114" s="1" t="s">
        <v>875</v>
      </c>
      <c r="E114" s="1" t="s">
        <v>741</v>
      </c>
      <c r="F114" s="3">
        <v>46188</v>
      </c>
      <c r="G114" s="3">
        <v>46199</v>
      </c>
      <c r="H114" s="4">
        <v>0.72</v>
      </c>
      <c r="L114" s="1" t="s">
        <v>35</v>
      </c>
      <c r="M114" s="1" t="s">
        <v>386</v>
      </c>
      <c r="N114" s="3">
        <v>46210</v>
      </c>
      <c r="P114" s="1" t="s">
        <v>696</v>
      </c>
      <c r="Q114" s="1" t="s">
        <v>138</v>
      </c>
      <c r="R114" s="1" t="s">
        <v>55</v>
      </c>
      <c r="S114" s="2">
        <v>46191</v>
      </c>
      <c r="T114" s="2">
        <v>46210</v>
      </c>
      <c r="V114" s="1">
        <v>0.72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hidden="1" x14ac:dyDescent="0.25">
      <c r="A115" s="1">
        <v>614</v>
      </c>
      <c r="B115" s="1" t="s">
        <v>878</v>
      </c>
      <c r="C115" s="1" t="s">
        <v>877</v>
      </c>
      <c r="D115" s="1" t="s">
        <v>98</v>
      </c>
      <c r="E115" s="1" t="s">
        <v>53</v>
      </c>
      <c r="F115" s="3">
        <v>46197</v>
      </c>
      <c r="G115" s="3">
        <v>46197</v>
      </c>
      <c r="H115" s="4">
        <v>0.15</v>
      </c>
      <c r="J115" s="1">
        <v>613</v>
      </c>
      <c r="K115" s="1">
        <v>615</v>
      </c>
      <c r="L115" s="1" t="s">
        <v>35</v>
      </c>
      <c r="M115" s="1" t="s">
        <v>535</v>
      </c>
      <c r="N115" s="3">
        <v>46205</v>
      </c>
      <c r="P115" s="1" t="s">
        <v>696</v>
      </c>
      <c r="Q115" s="1" t="s">
        <v>146</v>
      </c>
      <c r="R115" s="1" t="s">
        <v>55</v>
      </c>
      <c r="S115" s="2">
        <v>46205</v>
      </c>
      <c r="T115" s="2">
        <v>46205</v>
      </c>
      <c r="V115" s="1">
        <v>0.15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</row>
    <row r="116" spans="1:33" hidden="1" x14ac:dyDescent="0.25">
      <c r="A116" s="1">
        <v>615</v>
      </c>
      <c r="B116" s="1" t="s">
        <v>879</v>
      </c>
      <c r="C116" s="1" t="s">
        <v>877</v>
      </c>
      <c r="D116" s="1" t="s">
        <v>102</v>
      </c>
      <c r="E116" s="1" t="s">
        <v>53</v>
      </c>
      <c r="F116" s="3">
        <v>46198</v>
      </c>
      <c r="G116" s="3">
        <v>46198</v>
      </c>
      <c r="H116" s="4">
        <v>0</v>
      </c>
      <c r="J116" s="1">
        <v>614</v>
      </c>
      <c r="K116" s="1">
        <v>616</v>
      </c>
      <c r="L116" s="1" t="s">
        <v>35</v>
      </c>
      <c r="M116" s="1" t="s">
        <v>159</v>
      </c>
      <c r="N116" s="3">
        <v>46209</v>
      </c>
      <c r="P116" s="1" t="s">
        <v>696</v>
      </c>
      <c r="Q116" s="1" t="s">
        <v>146</v>
      </c>
      <c r="R116" s="1" t="s">
        <v>55</v>
      </c>
      <c r="S116" s="2">
        <v>46206</v>
      </c>
      <c r="T116" s="2">
        <v>46209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</row>
    <row r="117" spans="1:33" hidden="1" x14ac:dyDescent="0.25">
      <c r="A117" s="1">
        <v>616</v>
      </c>
      <c r="B117" s="1" t="s">
        <v>880</v>
      </c>
      <c r="C117" s="1" t="s">
        <v>877</v>
      </c>
      <c r="D117" s="1" t="s">
        <v>108</v>
      </c>
      <c r="E117" s="1" t="s">
        <v>53</v>
      </c>
      <c r="F117" s="3">
        <v>46199</v>
      </c>
      <c r="G117" s="3">
        <v>46199</v>
      </c>
      <c r="H117" s="4">
        <v>0</v>
      </c>
      <c r="J117" s="1">
        <v>615</v>
      </c>
      <c r="L117" s="1" t="s">
        <v>35</v>
      </c>
      <c r="M117" s="1" t="s">
        <v>538</v>
      </c>
      <c r="N117" s="3">
        <v>46210</v>
      </c>
      <c r="P117" s="1" t="s">
        <v>696</v>
      </c>
      <c r="Q117" s="1" t="s">
        <v>146</v>
      </c>
      <c r="R117" s="1" t="s">
        <v>55</v>
      </c>
      <c r="S117" s="2">
        <v>46210</v>
      </c>
      <c r="T117" s="2">
        <v>46210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</row>
    <row r="118" spans="1:33" hidden="1" x14ac:dyDescent="0.25">
      <c r="A118" s="1">
        <v>617</v>
      </c>
      <c r="B118" s="1" t="s">
        <v>881</v>
      </c>
      <c r="C118" s="1" t="s">
        <v>698</v>
      </c>
      <c r="D118" s="1" t="s">
        <v>882</v>
      </c>
      <c r="E118" s="1" t="s">
        <v>741</v>
      </c>
      <c r="F118" s="3">
        <v>46188</v>
      </c>
      <c r="G118" s="3">
        <v>46199</v>
      </c>
      <c r="H118" s="4">
        <v>0.72</v>
      </c>
      <c r="L118" s="1" t="s">
        <v>35</v>
      </c>
      <c r="M118" s="1" t="s">
        <v>386</v>
      </c>
      <c r="N118" s="3">
        <v>46210</v>
      </c>
      <c r="P118" s="1" t="s">
        <v>696</v>
      </c>
      <c r="Q118" s="1" t="s">
        <v>138</v>
      </c>
      <c r="R118" s="1" t="s">
        <v>55</v>
      </c>
      <c r="S118" s="2">
        <v>46191</v>
      </c>
      <c r="T118" s="2">
        <v>46210</v>
      </c>
      <c r="V118" s="1">
        <v>0.72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hidden="1" x14ac:dyDescent="0.25">
      <c r="A119" s="1">
        <v>619</v>
      </c>
      <c r="B119" s="1" t="s">
        <v>885</v>
      </c>
      <c r="C119" s="1" t="s">
        <v>884</v>
      </c>
      <c r="D119" s="1" t="s">
        <v>98</v>
      </c>
      <c r="E119" s="1" t="s">
        <v>53</v>
      </c>
      <c r="F119" s="3">
        <v>46197</v>
      </c>
      <c r="G119" s="3">
        <v>46197</v>
      </c>
      <c r="H119" s="4">
        <v>0.15</v>
      </c>
      <c r="J119" s="1">
        <v>618</v>
      </c>
      <c r="K119" s="1">
        <v>620</v>
      </c>
      <c r="L119" s="1" t="s">
        <v>35</v>
      </c>
      <c r="M119" s="1" t="s">
        <v>535</v>
      </c>
      <c r="N119" s="3">
        <v>46205</v>
      </c>
      <c r="P119" s="1" t="s">
        <v>696</v>
      </c>
      <c r="Q119" s="1" t="s">
        <v>146</v>
      </c>
      <c r="R119" s="1" t="s">
        <v>55</v>
      </c>
      <c r="S119" s="2">
        <v>46205</v>
      </c>
      <c r="T119" s="2">
        <v>46205</v>
      </c>
      <c r="V119" s="1">
        <v>0.15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hidden="1" x14ac:dyDescent="0.25">
      <c r="A120" s="1">
        <v>620</v>
      </c>
      <c r="B120" s="1" t="s">
        <v>886</v>
      </c>
      <c r="C120" s="1" t="s">
        <v>884</v>
      </c>
      <c r="D120" s="1" t="s">
        <v>102</v>
      </c>
      <c r="E120" s="1" t="s">
        <v>53</v>
      </c>
      <c r="F120" s="3">
        <v>46198</v>
      </c>
      <c r="G120" s="3">
        <v>46198</v>
      </c>
      <c r="H120" s="4">
        <v>0</v>
      </c>
      <c r="J120" s="1">
        <v>619</v>
      </c>
      <c r="K120" s="1">
        <v>621</v>
      </c>
      <c r="L120" s="1" t="s">
        <v>35</v>
      </c>
      <c r="M120" s="1" t="s">
        <v>159</v>
      </c>
      <c r="N120" s="3">
        <v>46209</v>
      </c>
      <c r="P120" s="1" t="s">
        <v>696</v>
      </c>
      <c r="Q120" s="1" t="s">
        <v>146</v>
      </c>
      <c r="R120" s="1" t="s">
        <v>55</v>
      </c>
      <c r="S120" s="2">
        <v>46206</v>
      </c>
      <c r="T120" s="2">
        <v>46209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</row>
    <row r="121" spans="1:33" hidden="1" x14ac:dyDescent="0.25">
      <c r="A121" s="1">
        <v>621</v>
      </c>
      <c r="B121" s="1" t="s">
        <v>887</v>
      </c>
      <c r="C121" s="1" t="s">
        <v>884</v>
      </c>
      <c r="D121" s="1" t="s">
        <v>108</v>
      </c>
      <c r="E121" s="1" t="s">
        <v>53</v>
      </c>
      <c r="F121" s="3">
        <v>46199</v>
      </c>
      <c r="G121" s="3">
        <v>46199</v>
      </c>
      <c r="H121" s="4">
        <v>0</v>
      </c>
      <c r="J121" s="1">
        <v>620</v>
      </c>
      <c r="L121" s="1" t="s">
        <v>35</v>
      </c>
      <c r="M121" s="1" t="s">
        <v>538</v>
      </c>
      <c r="N121" s="3">
        <v>46210</v>
      </c>
      <c r="P121" s="1" t="s">
        <v>696</v>
      </c>
      <c r="Q121" s="1" t="s">
        <v>146</v>
      </c>
      <c r="R121" s="1" t="s">
        <v>55</v>
      </c>
      <c r="S121" s="2">
        <v>46210</v>
      </c>
      <c r="T121" s="2">
        <v>46210</v>
      </c>
      <c r="V121" s="1">
        <v>0</v>
      </c>
      <c r="W121" s="1">
        <v>0</v>
      </c>
      <c r="X121" s="1">
        <v>0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</row>
    <row r="122" spans="1:33" hidden="1" x14ac:dyDescent="0.25">
      <c r="A122" s="1">
        <v>622</v>
      </c>
      <c r="B122" s="1" t="s">
        <v>888</v>
      </c>
      <c r="C122" s="1" t="s">
        <v>698</v>
      </c>
      <c r="D122" s="1" t="s">
        <v>889</v>
      </c>
      <c r="E122" s="1" t="s">
        <v>741</v>
      </c>
      <c r="F122" s="3">
        <v>46191</v>
      </c>
      <c r="G122" s="3">
        <v>46204</v>
      </c>
      <c r="H122" s="4">
        <v>0.72</v>
      </c>
      <c r="L122" s="1" t="s">
        <v>35</v>
      </c>
      <c r="M122" s="1" t="s">
        <v>386</v>
      </c>
      <c r="N122" s="3">
        <v>46210</v>
      </c>
      <c r="P122" s="1" t="s">
        <v>696</v>
      </c>
      <c r="Q122" s="1" t="s">
        <v>138</v>
      </c>
      <c r="R122" s="1" t="s">
        <v>55</v>
      </c>
      <c r="S122" s="2">
        <v>46191</v>
      </c>
      <c r="T122" s="2">
        <v>46210</v>
      </c>
      <c r="V122" s="1">
        <v>0.72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</row>
    <row r="123" spans="1:33" hidden="1" x14ac:dyDescent="0.25">
      <c r="A123" s="1">
        <v>624</v>
      </c>
      <c r="B123" s="1" t="s">
        <v>892</v>
      </c>
      <c r="C123" s="1" t="s">
        <v>891</v>
      </c>
      <c r="D123" s="1" t="s">
        <v>98</v>
      </c>
      <c r="E123" s="1" t="s">
        <v>53</v>
      </c>
      <c r="F123" s="3">
        <v>46202</v>
      </c>
      <c r="G123" s="3">
        <v>46202</v>
      </c>
      <c r="H123" s="4">
        <v>0.15</v>
      </c>
      <c r="J123" s="1">
        <v>623</v>
      </c>
      <c r="K123" s="1">
        <v>625</v>
      </c>
      <c r="L123" s="1" t="s">
        <v>35</v>
      </c>
      <c r="M123" s="1" t="s">
        <v>535</v>
      </c>
      <c r="N123" s="3">
        <v>46205</v>
      </c>
      <c r="P123" s="1" t="s">
        <v>696</v>
      </c>
      <c r="Q123" s="1" t="s">
        <v>146</v>
      </c>
      <c r="R123" s="1" t="s">
        <v>55</v>
      </c>
      <c r="S123" s="2">
        <v>46205</v>
      </c>
      <c r="T123" s="2">
        <v>46205</v>
      </c>
      <c r="V123" s="1">
        <v>0.15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hidden="1" x14ac:dyDescent="0.25">
      <c r="A124" s="1">
        <v>625</v>
      </c>
      <c r="B124" s="1" t="s">
        <v>893</v>
      </c>
      <c r="C124" s="1" t="s">
        <v>891</v>
      </c>
      <c r="D124" s="1" t="s">
        <v>102</v>
      </c>
      <c r="E124" s="1" t="s">
        <v>53</v>
      </c>
      <c r="F124" s="3">
        <v>46203</v>
      </c>
      <c r="G124" s="3">
        <v>46203</v>
      </c>
      <c r="H124" s="4">
        <v>0</v>
      </c>
      <c r="J124" s="1">
        <v>624</v>
      </c>
      <c r="K124" s="1">
        <v>626</v>
      </c>
      <c r="L124" s="1" t="s">
        <v>35</v>
      </c>
      <c r="M124" s="1" t="s">
        <v>159</v>
      </c>
      <c r="N124" s="3">
        <v>46209</v>
      </c>
      <c r="P124" s="1" t="s">
        <v>696</v>
      </c>
      <c r="Q124" s="1" t="s">
        <v>146</v>
      </c>
      <c r="R124" s="1" t="s">
        <v>55</v>
      </c>
      <c r="S124" s="2">
        <v>46206</v>
      </c>
      <c r="T124" s="2">
        <v>46209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</row>
    <row r="125" spans="1:33" hidden="1" x14ac:dyDescent="0.25">
      <c r="A125" s="1">
        <v>626</v>
      </c>
      <c r="B125" s="1" t="s">
        <v>894</v>
      </c>
      <c r="C125" s="1" t="s">
        <v>891</v>
      </c>
      <c r="D125" s="1" t="s">
        <v>108</v>
      </c>
      <c r="E125" s="1" t="s">
        <v>53</v>
      </c>
      <c r="F125" s="3">
        <v>46204</v>
      </c>
      <c r="G125" s="3">
        <v>46204</v>
      </c>
      <c r="H125" s="4">
        <v>0</v>
      </c>
      <c r="J125" s="1">
        <v>625</v>
      </c>
      <c r="L125" s="1" t="s">
        <v>35</v>
      </c>
      <c r="M125" s="1" t="s">
        <v>538</v>
      </c>
      <c r="N125" s="3">
        <v>46210</v>
      </c>
      <c r="P125" s="1" t="s">
        <v>696</v>
      </c>
      <c r="Q125" s="1" t="s">
        <v>146</v>
      </c>
      <c r="R125" s="1" t="s">
        <v>55</v>
      </c>
      <c r="S125" s="2">
        <v>46210</v>
      </c>
      <c r="T125" s="2">
        <v>46210</v>
      </c>
      <c r="V125" s="1">
        <v>0</v>
      </c>
      <c r="W125" s="1">
        <v>0</v>
      </c>
      <c r="X125" s="1">
        <v>0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</row>
    <row r="126" spans="1:33" hidden="1" x14ac:dyDescent="0.25">
      <c r="A126" s="1">
        <v>627</v>
      </c>
      <c r="B126" s="1" t="s">
        <v>895</v>
      </c>
      <c r="C126" s="1" t="s">
        <v>698</v>
      </c>
      <c r="D126" s="1" t="s">
        <v>896</v>
      </c>
      <c r="E126" s="1" t="s">
        <v>741</v>
      </c>
      <c r="F126" s="3">
        <v>46191</v>
      </c>
      <c r="G126" s="3">
        <v>46204</v>
      </c>
      <c r="H126" s="4">
        <v>0.72</v>
      </c>
      <c r="L126" s="1" t="s">
        <v>35</v>
      </c>
      <c r="M126" s="1" t="s">
        <v>386</v>
      </c>
      <c r="N126" s="3">
        <v>46210</v>
      </c>
      <c r="P126" s="1" t="s">
        <v>696</v>
      </c>
      <c r="Q126" s="1" t="s">
        <v>138</v>
      </c>
      <c r="R126" s="1" t="s">
        <v>55</v>
      </c>
      <c r="S126" s="2">
        <v>46191</v>
      </c>
      <c r="T126" s="2">
        <v>46210</v>
      </c>
      <c r="V126" s="1">
        <v>0.72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hidden="1" x14ac:dyDescent="0.25">
      <c r="A127" s="1">
        <v>629</v>
      </c>
      <c r="B127" s="1" t="s">
        <v>899</v>
      </c>
      <c r="C127" s="1" t="s">
        <v>898</v>
      </c>
      <c r="D127" s="1" t="s">
        <v>98</v>
      </c>
      <c r="E127" s="1" t="s">
        <v>53</v>
      </c>
      <c r="F127" s="3">
        <v>46202</v>
      </c>
      <c r="G127" s="3">
        <v>46202</v>
      </c>
      <c r="H127" s="4">
        <v>0.15</v>
      </c>
      <c r="J127" s="1">
        <v>628</v>
      </c>
      <c r="K127" s="1">
        <v>630</v>
      </c>
      <c r="L127" s="1" t="s">
        <v>35</v>
      </c>
      <c r="M127" s="1" t="s">
        <v>535</v>
      </c>
      <c r="N127" s="3">
        <v>46205</v>
      </c>
      <c r="P127" s="1" t="s">
        <v>696</v>
      </c>
      <c r="Q127" s="1" t="s">
        <v>146</v>
      </c>
      <c r="R127" s="1" t="s">
        <v>55</v>
      </c>
      <c r="S127" s="2">
        <v>46205</v>
      </c>
      <c r="T127" s="2">
        <v>46205</v>
      </c>
      <c r="V127" s="1">
        <v>0.15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hidden="1" x14ac:dyDescent="0.25">
      <c r="A128" s="1">
        <v>630</v>
      </c>
      <c r="B128" s="1" t="s">
        <v>900</v>
      </c>
      <c r="C128" s="1" t="s">
        <v>898</v>
      </c>
      <c r="D128" s="1" t="s">
        <v>102</v>
      </c>
      <c r="E128" s="1" t="s">
        <v>53</v>
      </c>
      <c r="F128" s="3">
        <v>46203</v>
      </c>
      <c r="G128" s="3">
        <v>46203</v>
      </c>
      <c r="H128" s="4">
        <v>0</v>
      </c>
      <c r="J128" s="1">
        <v>629</v>
      </c>
      <c r="K128" s="1">
        <v>631</v>
      </c>
      <c r="L128" s="1" t="s">
        <v>35</v>
      </c>
      <c r="M128" s="1" t="s">
        <v>159</v>
      </c>
      <c r="N128" s="3">
        <v>46209</v>
      </c>
      <c r="P128" s="1" t="s">
        <v>696</v>
      </c>
      <c r="Q128" s="1" t="s">
        <v>146</v>
      </c>
      <c r="R128" s="1" t="s">
        <v>55</v>
      </c>
      <c r="S128" s="2">
        <v>46206</v>
      </c>
      <c r="T128" s="2">
        <v>46209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</row>
    <row r="129" spans="1:33" hidden="1" x14ac:dyDescent="0.25">
      <c r="A129" s="1">
        <v>631</v>
      </c>
      <c r="B129" s="1" t="s">
        <v>901</v>
      </c>
      <c r="C129" s="1" t="s">
        <v>898</v>
      </c>
      <c r="D129" s="1" t="s">
        <v>108</v>
      </c>
      <c r="E129" s="1" t="s">
        <v>53</v>
      </c>
      <c r="F129" s="3">
        <v>46204</v>
      </c>
      <c r="G129" s="3">
        <v>46204</v>
      </c>
      <c r="H129" s="4">
        <v>0</v>
      </c>
      <c r="J129" s="1">
        <v>630</v>
      </c>
      <c r="L129" s="1" t="s">
        <v>35</v>
      </c>
      <c r="M129" s="1" t="s">
        <v>538</v>
      </c>
      <c r="N129" s="3">
        <v>46210</v>
      </c>
      <c r="P129" s="1" t="s">
        <v>696</v>
      </c>
      <c r="Q129" s="1" t="s">
        <v>146</v>
      </c>
      <c r="R129" s="1" t="s">
        <v>55</v>
      </c>
      <c r="S129" s="2">
        <v>46210</v>
      </c>
      <c r="T129" s="2">
        <v>46210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</row>
    <row r="130" spans="1:33" hidden="1" x14ac:dyDescent="0.25">
      <c r="A130" s="1">
        <v>632</v>
      </c>
      <c r="B130" s="1" t="s">
        <v>902</v>
      </c>
      <c r="C130" s="1" t="s">
        <v>698</v>
      </c>
      <c r="D130" s="1" t="s">
        <v>903</v>
      </c>
      <c r="E130" s="1" t="s">
        <v>741</v>
      </c>
      <c r="F130" s="3">
        <v>46191</v>
      </c>
      <c r="G130" s="3">
        <v>46204</v>
      </c>
      <c r="H130" s="4">
        <v>0.72</v>
      </c>
      <c r="L130" s="1" t="s">
        <v>35</v>
      </c>
      <c r="M130" s="1" t="s">
        <v>386</v>
      </c>
      <c r="N130" s="3">
        <v>46210</v>
      </c>
      <c r="P130" s="1" t="s">
        <v>696</v>
      </c>
      <c r="Q130" s="1" t="s">
        <v>138</v>
      </c>
      <c r="R130" s="1" t="s">
        <v>55</v>
      </c>
      <c r="S130" s="2">
        <v>46191</v>
      </c>
      <c r="T130" s="2">
        <v>46210</v>
      </c>
      <c r="V130" s="1">
        <v>0.72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hidden="1" x14ac:dyDescent="0.25">
      <c r="A131" s="1">
        <v>634</v>
      </c>
      <c r="B131" s="1" t="s">
        <v>906</v>
      </c>
      <c r="C131" s="1" t="s">
        <v>905</v>
      </c>
      <c r="D131" s="1" t="s">
        <v>98</v>
      </c>
      <c r="E131" s="1" t="s">
        <v>53</v>
      </c>
      <c r="F131" s="3">
        <v>46202</v>
      </c>
      <c r="G131" s="3">
        <v>46202</v>
      </c>
      <c r="H131" s="4">
        <v>0.15</v>
      </c>
      <c r="J131" s="1">
        <v>633</v>
      </c>
      <c r="K131" s="1">
        <v>635</v>
      </c>
      <c r="L131" s="1" t="s">
        <v>35</v>
      </c>
      <c r="M131" s="1" t="s">
        <v>535</v>
      </c>
      <c r="N131" s="3">
        <v>46205</v>
      </c>
      <c r="P131" s="1" t="s">
        <v>696</v>
      </c>
      <c r="Q131" s="1" t="s">
        <v>146</v>
      </c>
      <c r="R131" s="1" t="s">
        <v>55</v>
      </c>
      <c r="S131" s="2">
        <v>46205</v>
      </c>
      <c r="T131" s="2">
        <v>46205</v>
      </c>
      <c r="V131" s="1">
        <v>0.15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hidden="1" x14ac:dyDescent="0.25">
      <c r="A132" s="1">
        <v>635</v>
      </c>
      <c r="B132" s="1" t="s">
        <v>907</v>
      </c>
      <c r="C132" s="1" t="s">
        <v>905</v>
      </c>
      <c r="D132" s="1" t="s">
        <v>102</v>
      </c>
      <c r="E132" s="1" t="s">
        <v>53</v>
      </c>
      <c r="F132" s="3">
        <v>46203</v>
      </c>
      <c r="G132" s="3">
        <v>46203</v>
      </c>
      <c r="H132" s="4">
        <v>0</v>
      </c>
      <c r="J132" s="1">
        <v>634</v>
      </c>
      <c r="K132" s="1">
        <v>636</v>
      </c>
      <c r="L132" s="1" t="s">
        <v>35</v>
      </c>
      <c r="M132" s="1" t="s">
        <v>159</v>
      </c>
      <c r="N132" s="3">
        <v>46209</v>
      </c>
      <c r="P132" s="1" t="s">
        <v>696</v>
      </c>
      <c r="Q132" s="1" t="s">
        <v>146</v>
      </c>
      <c r="R132" s="1" t="s">
        <v>55</v>
      </c>
      <c r="S132" s="2">
        <v>46206</v>
      </c>
      <c r="T132" s="2">
        <v>46209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</row>
    <row r="133" spans="1:33" hidden="1" x14ac:dyDescent="0.25">
      <c r="A133" s="1">
        <v>636</v>
      </c>
      <c r="B133" s="1" t="s">
        <v>908</v>
      </c>
      <c r="C133" s="1" t="s">
        <v>905</v>
      </c>
      <c r="D133" s="1" t="s">
        <v>108</v>
      </c>
      <c r="E133" s="1" t="s">
        <v>53</v>
      </c>
      <c r="F133" s="3">
        <v>46204</v>
      </c>
      <c r="G133" s="3">
        <v>46204</v>
      </c>
      <c r="H133" s="4">
        <v>0</v>
      </c>
      <c r="J133" s="1">
        <v>635</v>
      </c>
      <c r="L133" s="1" t="s">
        <v>35</v>
      </c>
      <c r="M133" s="1" t="s">
        <v>538</v>
      </c>
      <c r="N133" s="3">
        <v>46210</v>
      </c>
      <c r="P133" s="1" t="s">
        <v>696</v>
      </c>
      <c r="Q133" s="1" t="s">
        <v>146</v>
      </c>
      <c r="R133" s="1" t="s">
        <v>55</v>
      </c>
      <c r="S133" s="2">
        <v>46210</v>
      </c>
      <c r="T133" s="2">
        <v>46210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</row>
    <row r="134" spans="1:33" hidden="1" x14ac:dyDescent="0.25">
      <c r="A134" s="1">
        <v>637</v>
      </c>
      <c r="B134" s="1" t="s">
        <v>909</v>
      </c>
      <c r="C134" s="1" t="s">
        <v>698</v>
      </c>
      <c r="D134" s="1" t="s">
        <v>910</v>
      </c>
      <c r="E134" s="1" t="s">
        <v>741</v>
      </c>
      <c r="F134" s="3">
        <v>46188</v>
      </c>
      <c r="G134" s="3">
        <v>46199</v>
      </c>
      <c r="H134" s="4">
        <v>0.72</v>
      </c>
      <c r="L134" s="1" t="s">
        <v>35</v>
      </c>
      <c r="M134" s="1" t="s">
        <v>386</v>
      </c>
      <c r="N134" s="3">
        <v>46210</v>
      </c>
      <c r="P134" s="1" t="s">
        <v>696</v>
      </c>
      <c r="Q134" s="1" t="s">
        <v>138</v>
      </c>
      <c r="R134" s="1" t="s">
        <v>55</v>
      </c>
      <c r="S134" s="2">
        <v>46191</v>
      </c>
      <c r="T134" s="2">
        <v>46210</v>
      </c>
      <c r="V134" s="1">
        <v>0.72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</row>
    <row r="135" spans="1:33" hidden="1" x14ac:dyDescent="0.25">
      <c r="A135" s="1">
        <v>639</v>
      </c>
      <c r="B135" s="1" t="s">
        <v>913</v>
      </c>
      <c r="C135" s="1" t="s">
        <v>912</v>
      </c>
      <c r="D135" s="1" t="s">
        <v>98</v>
      </c>
      <c r="E135" s="1" t="s">
        <v>53</v>
      </c>
      <c r="F135" s="3">
        <v>46197</v>
      </c>
      <c r="G135" s="3">
        <v>46197</v>
      </c>
      <c r="H135" s="4">
        <v>0.15</v>
      </c>
      <c r="J135" s="1">
        <v>638</v>
      </c>
      <c r="K135" s="1">
        <v>640</v>
      </c>
      <c r="L135" s="1" t="s">
        <v>35</v>
      </c>
      <c r="M135" s="1" t="s">
        <v>535</v>
      </c>
      <c r="N135" s="3">
        <v>46205</v>
      </c>
      <c r="P135" s="1" t="s">
        <v>696</v>
      </c>
      <c r="Q135" s="1" t="s">
        <v>146</v>
      </c>
      <c r="R135" s="1" t="s">
        <v>55</v>
      </c>
      <c r="S135" s="2">
        <v>46205</v>
      </c>
      <c r="T135" s="2">
        <v>46205</v>
      </c>
      <c r="V135" s="1">
        <v>0.15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hidden="1" x14ac:dyDescent="0.25">
      <c r="A136" s="1">
        <v>640</v>
      </c>
      <c r="B136" s="1" t="s">
        <v>914</v>
      </c>
      <c r="C136" s="1" t="s">
        <v>912</v>
      </c>
      <c r="D136" s="1" t="s">
        <v>102</v>
      </c>
      <c r="E136" s="1" t="s">
        <v>53</v>
      </c>
      <c r="F136" s="3">
        <v>46198</v>
      </c>
      <c r="G136" s="3">
        <v>46198</v>
      </c>
      <c r="H136" s="4">
        <v>0</v>
      </c>
      <c r="J136" s="1">
        <v>639</v>
      </c>
      <c r="K136" s="1">
        <v>641</v>
      </c>
      <c r="L136" s="1" t="s">
        <v>35</v>
      </c>
      <c r="M136" s="1" t="s">
        <v>159</v>
      </c>
      <c r="N136" s="3">
        <v>46209</v>
      </c>
      <c r="P136" s="1" t="s">
        <v>696</v>
      </c>
      <c r="Q136" s="1" t="s">
        <v>146</v>
      </c>
      <c r="R136" s="1" t="s">
        <v>55</v>
      </c>
      <c r="S136" s="2">
        <v>46206</v>
      </c>
      <c r="T136" s="2">
        <v>46209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</row>
    <row r="137" spans="1:33" hidden="1" x14ac:dyDescent="0.25">
      <c r="A137" s="1">
        <v>641</v>
      </c>
      <c r="B137" s="1" t="s">
        <v>915</v>
      </c>
      <c r="C137" s="1" t="s">
        <v>912</v>
      </c>
      <c r="D137" s="1" t="s">
        <v>108</v>
      </c>
      <c r="E137" s="1" t="s">
        <v>53</v>
      </c>
      <c r="F137" s="3">
        <v>46199</v>
      </c>
      <c r="G137" s="3">
        <v>46199</v>
      </c>
      <c r="H137" s="4">
        <v>0</v>
      </c>
      <c r="J137" s="1">
        <v>640</v>
      </c>
      <c r="L137" s="1" t="s">
        <v>35</v>
      </c>
      <c r="M137" s="1" t="s">
        <v>538</v>
      </c>
      <c r="N137" s="3">
        <v>46210</v>
      </c>
      <c r="P137" s="1" t="s">
        <v>696</v>
      </c>
      <c r="Q137" s="1" t="s">
        <v>146</v>
      </c>
      <c r="R137" s="1" t="s">
        <v>55</v>
      </c>
      <c r="S137" s="2">
        <v>46210</v>
      </c>
      <c r="T137" s="2">
        <v>46210</v>
      </c>
      <c r="V137" s="1">
        <v>0</v>
      </c>
      <c r="W137" s="1">
        <v>0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</row>
    <row r="138" spans="1:33" hidden="1" x14ac:dyDescent="0.25">
      <c r="A138" s="1">
        <v>642</v>
      </c>
      <c r="B138" s="1" t="s">
        <v>916</v>
      </c>
      <c r="C138" s="1" t="s">
        <v>698</v>
      </c>
      <c r="D138" s="1" t="s">
        <v>917</v>
      </c>
      <c r="E138" s="1" t="s">
        <v>741</v>
      </c>
      <c r="F138" s="3">
        <v>46188</v>
      </c>
      <c r="G138" s="3">
        <v>46199</v>
      </c>
      <c r="H138" s="4">
        <v>0.72</v>
      </c>
      <c r="L138" s="1" t="s">
        <v>35</v>
      </c>
      <c r="M138" s="1" t="s">
        <v>386</v>
      </c>
      <c r="N138" s="3">
        <v>46210</v>
      </c>
      <c r="P138" s="1" t="s">
        <v>696</v>
      </c>
      <c r="Q138" s="1" t="s">
        <v>138</v>
      </c>
      <c r="R138" s="1" t="s">
        <v>55</v>
      </c>
      <c r="S138" s="2">
        <v>46191</v>
      </c>
      <c r="T138" s="2">
        <v>46210</v>
      </c>
      <c r="V138" s="1">
        <v>0.72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</row>
    <row r="139" spans="1:33" hidden="1" x14ac:dyDescent="0.25">
      <c r="A139" s="1">
        <v>644</v>
      </c>
      <c r="B139" s="1" t="s">
        <v>920</v>
      </c>
      <c r="C139" s="1" t="s">
        <v>919</v>
      </c>
      <c r="D139" s="1" t="s">
        <v>98</v>
      </c>
      <c r="E139" s="1" t="s">
        <v>53</v>
      </c>
      <c r="F139" s="3">
        <v>46197</v>
      </c>
      <c r="G139" s="3">
        <v>46197</v>
      </c>
      <c r="H139" s="4">
        <v>0.15</v>
      </c>
      <c r="J139" s="1">
        <v>643</v>
      </c>
      <c r="K139" s="1">
        <v>645</v>
      </c>
      <c r="L139" s="1" t="s">
        <v>35</v>
      </c>
      <c r="M139" s="1" t="s">
        <v>535</v>
      </c>
      <c r="N139" s="3">
        <v>46205</v>
      </c>
      <c r="P139" s="1" t="s">
        <v>696</v>
      </c>
      <c r="Q139" s="1" t="s">
        <v>146</v>
      </c>
      <c r="R139" s="1" t="s">
        <v>55</v>
      </c>
      <c r="S139" s="2">
        <v>46205</v>
      </c>
      <c r="T139" s="2">
        <v>46205</v>
      </c>
      <c r="V139" s="1">
        <v>0.15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hidden="1" x14ac:dyDescent="0.25">
      <c r="A140" s="1">
        <v>645</v>
      </c>
      <c r="B140" s="1" t="s">
        <v>921</v>
      </c>
      <c r="C140" s="1" t="s">
        <v>919</v>
      </c>
      <c r="D140" s="1" t="s">
        <v>102</v>
      </c>
      <c r="E140" s="1" t="s">
        <v>53</v>
      </c>
      <c r="F140" s="3">
        <v>46198</v>
      </c>
      <c r="G140" s="3">
        <v>46198</v>
      </c>
      <c r="H140" s="4">
        <v>0</v>
      </c>
      <c r="J140" s="1">
        <v>644</v>
      </c>
      <c r="K140" s="1">
        <v>646</v>
      </c>
      <c r="L140" s="1" t="s">
        <v>35</v>
      </c>
      <c r="M140" s="1" t="s">
        <v>159</v>
      </c>
      <c r="N140" s="3">
        <v>46209</v>
      </c>
      <c r="P140" s="1" t="s">
        <v>696</v>
      </c>
      <c r="Q140" s="1" t="s">
        <v>146</v>
      </c>
      <c r="R140" s="1" t="s">
        <v>55</v>
      </c>
      <c r="S140" s="2">
        <v>46206</v>
      </c>
      <c r="T140" s="2">
        <v>46209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</row>
    <row r="141" spans="1:33" hidden="1" x14ac:dyDescent="0.25">
      <c r="A141" s="1">
        <v>646</v>
      </c>
      <c r="B141" s="1" t="s">
        <v>922</v>
      </c>
      <c r="C141" s="1" t="s">
        <v>919</v>
      </c>
      <c r="D141" s="1" t="s">
        <v>108</v>
      </c>
      <c r="E141" s="1" t="s">
        <v>53</v>
      </c>
      <c r="F141" s="3">
        <v>46199</v>
      </c>
      <c r="G141" s="3">
        <v>46199</v>
      </c>
      <c r="H141" s="4">
        <v>0</v>
      </c>
      <c r="J141" s="1">
        <v>645</v>
      </c>
      <c r="L141" s="1" t="s">
        <v>35</v>
      </c>
      <c r="M141" s="1" t="s">
        <v>538</v>
      </c>
      <c r="N141" s="3">
        <v>46210</v>
      </c>
      <c r="P141" s="1" t="s">
        <v>696</v>
      </c>
      <c r="Q141" s="1" t="s">
        <v>146</v>
      </c>
      <c r="R141" s="1" t="s">
        <v>55</v>
      </c>
      <c r="S141" s="2">
        <v>46210</v>
      </c>
      <c r="T141" s="2">
        <v>46210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</row>
    <row r="142" spans="1:33" hidden="1" x14ac:dyDescent="0.25">
      <c r="A142" s="1">
        <v>647</v>
      </c>
      <c r="B142" s="1" t="s">
        <v>923</v>
      </c>
      <c r="C142" s="1" t="s">
        <v>698</v>
      </c>
      <c r="D142" s="1" t="s">
        <v>924</v>
      </c>
      <c r="E142" s="1" t="s">
        <v>741</v>
      </c>
      <c r="F142" s="3">
        <v>46188</v>
      </c>
      <c r="G142" s="3">
        <v>46199</v>
      </c>
      <c r="H142" s="4">
        <v>0.72</v>
      </c>
      <c r="L142" s="1" t="s">
        <v>35</v>
      </c>
      <c r="M142" s="1" t="s">
        <v>386</v>
      </c>
      <c r="N142" s="3">
        <v>46210</v>
      </c>
      <c r="P142" s="1" t="s">
        <v>696</v>
      </c>
      <c r="Q142" s="1" t="s">
        <v>138</v>
      </c>
      <c r="R142" s="1" t="s">
        <v>55</v>
      </c>
      <c r="S142" s="2">
        <v>46191</v>
      </c>
      <c r="T142" s="2">
        <v>46210</v>
      </c>
      <c r="U142" s="1" t="s">
        <v>320</v>
      </c>
      <c r="V142" s="1">
        <v>0.72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</row>
    <row r="143" spans="1:33" hidden="1" x14ac:dyDescent="0.25">
      <c r="A143" s="1">
        <v>649</v>
      </c>
      <c r="B143" s="1" t="s">
        <v>927</v>
      </c>
      <c r="C143" s="1" t="s">
        <v>926</v>
      </c>
      <c r="D143" s="1" t="s">
        <v>98</v>
      </c>
      <c r="E143" s="1" t="s">
        <v>53</v>
      </c>
      <c r="F143" s="3">
        <v>46197</v>
      </c>
      <c r="G143" s="3">
        <v>46197</v>
      </c>
      <c r="H143" s="4">
        <v>0.15</v>
      </c>
      <c r="J143" s="1">
        <v>648</v>
      </c>
      <c r="K143" s="1">
        <v>650</v>
      </c>
      <c r="L143" s="1" t="s">
        <v>35</v>
      </c>
      <c r="M143" s="1" t="s">
        <v>535</v>
      </c>
      <c r="N143" s="3">
        <v>46205</v>
      </c>
      <c r="P143" s="1" t="s">
        <v>696</v>
      </c>
      <c r="Q143" s="1" t="s">
        <v>146</v>
      </c>
      <c r="R143" s="1" t="s">
        <v>55</v>
      </c>
      <c r="S143" s="2">
        <v>46205</v>
      </c>
      <c r="T143" s="2">
        <v>46205</v>
      </c>
      <c r="V143" s="1">
        <v>0.15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</row>
    <row r="144" spans="1:33" hidden="1" x14ac:dyDescent="0.25">
      <c r="A144" s="1">
        <v>650</v>
      </c>
      <c r="B144" s="1" t="s">
        <v>928</v>
      </c>
      <c r="C144" s="1" t="s">
        <v>926</v>
      </c>
      <c r="D144" s="1" t="s">
        <v>102</v>
      </c>
      <c r="E144" s="1" t="s">
        <v>53</v>
      </c>
      <c r="F144" s="3">
        <v>46198</v>
      </c>
      <c r="G144" s="3">
        <v>46198</v>
      </c>
      <c r="H144" s="4">
        <v>0</v>
      </c>
      <c r="J144" s="1">
        <v>649</v>
      </c>
      <c r="K144" s="1">
        <v>651</v>
      </c>
      <c r="L144" s="1" t="s">
        <v>35</v>
      </c>
      <c r="M144" s="1" t="s">
        <v>159</v>
      </c>
      <c r="N144" s="3">
        <v>46209</v>
      </c>
      <c r="P144" s="1" t="s">
        <v>696</v>
      </c>
      <c r="Q144" s="1" t="s">
        <v>146</v>
      </c>
      <c r="R144" s="1" t="s">
        <v>55</v>
      </c>
      <c r="S144" s="2">
        <v>46206</v>
      </c>
      <c r="T144" s="2">
        <v>46209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</row>
    <row r="145" spans="1:33" hidden="1" x14ac:dyDescent="0.25">
      <c r="A145" s="1">
        <v>651</v>
      </c>
      <c r="B145" s="1" t="s">
        <v>929</v>
      </c>
      <c r="C145" s="1" t="s">
        <v>926</v>
      </c>
      <c r="D145" s="1" t="s">
        <v>108</v>
      </c>
      <c r="E145" s="1" t="s">
        <v>53</v>
      </c>
      <c r="F145" s="3">
        <v>46199</v>
      </c>
      <c r="G145" s="3">
        <v>46199</v>
      </c>
      <c r="H145" s="4">
        <v>0</v>
      </c>
      <c r="J145" s="1">
        <v>650</v>
      </c>
      <c r="L145" s="1" t="s">
        <v>35</v>
      </c>
      <c r="M145" s="1" t="s">
        <v>538</v>
      </c>
      <c r="N145" s="3">
        <v>46210</v>
      </c>
      <c r="P145" s="1" t="s">
        <v>696</v>
      </c>
      <c r="Q145" s="1" t="s">
        <v>146</v>
      </c>
      <c r="R145" s="1" t="s">
        <v>55</v>
      </c>
      <c r="S145" s="2">
        <v>46210</v>
      </c>
      <c r="T145" s="2">
        <v>46210</v>
      </c>
      <c r="V145" s="1">
        <v>0</v>
      </c>
      <c r="W145" s="1">
        <v>0</v>
      </c>
      <c r="X145" s="1">
        <v>0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</row>
    <row r="146" spans="1:33" hidden="1" x14ac:dyDescent="0.25">
      <c r="A146" s="1">
        <v>652</v>
      </c>
      <c r="B146" s="1" t="s">
        <v>930</v>
      </c>
      <c r="C146" s="1" t="s">
        <v>698</v>
      </c>
      <c r="D146" s="1" t="s">
        <v>931</v>
      </c>
      <c r="E146" s="1" t="s">
        <v>741</v>
      </c>
      <c r="F146" s="3">
        <v>46188</v>
      </c>
      <c r="G146" s="3">
        <v>46199</v>
      </c>
      <c r="H146" s="4">
        <v>0.72</v>
      </c>
      <c r="L146" s="1" t="s">
        <v>35</v>
      </c>
      <c r="M146" s="1" t="s">
        <v>386</v>
      </c>
      <c r="N146" s="3">
        <v>46210</v>
      </c>
      <c r="P146" s="1" t="s">
        <v>696</v>
      </c>
      <c r="Q146" s="1" t="s">
        <v>138</v>
      </c>
      <c r="R146" s="1" t="s">
        <v>55</v>
      </c>
      <c r="S146" s="2">
        <v>46191</v>
      </c>
      <c r="T146" s="2">
        <v>46210</v>
      </c>
      <c r="U146" s="1" t="s">
        <v>320</v>
      </c>
      <c r="V146" s="1">
        <v>0.72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</row>
    <row r="147" spans="1:33" hidden="1" x14ac:dyDescent="0.25">
      <c r="A147" s="1">
        <v>654</v>
      </c>
      <c r="B147" s="1" t="s">
        <v>934</v>
      </c>
      <c r="C147" s="1" t="s">
        <v>933</v>
      </c>
      <c r="D147" s="1" t="s">
        <v>98</v>
      </c>
      <c r="E147" s="1" t="s">
        <v>53</v>
      </c>
      <c r="F147" s="3">
        <v>46197</v>
      </c>
      <c r="G147" s="3">
        <v>46197</v>
      </c>
      <c r="H147" s="4">
        <v>0.15</v>
      </c>
      <c r="J147" s="1">
        <v>653</v>
      </c>
      <c r="K147" s="1">
        <v>655</v>
      </c>
      <c r="L147" s="1" t="s">
        <v>35</v>
      </c>
      <c r="M147" s="1" t="s">
        <v>535</v>
      </c>
      <c r="N147" s="3">
        <v>46205</v>
      </c>
      <c r="P147" s="1" t="s">
        <v>696</v>
      </c>
      <c r="Q147" s="1" t="s">
        <v>146</v>
      </c>
      <c r="R147" s="1" t="s">
        <v>55</v>
      </c>
      <c r="S147" s="2">
        <v>46205</v>
      </c>
      <c r="T147" s="2">
        <v>46205</v>
      </c>
      <c r="V147" s="1">
        <v>0.15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</row>
    <row r="148" spans="1:33" hidden="1" x14ac:dyDescent="0.25">
      <c r="A148" s="1">
        <v>655</v>
      </c>
      <c r="B148" s="1" t="s">
        <v>935</v>
      </c>
      <c r="C148" s="1" t="s">
        <v>933</v>
      </c>
      <c r="D148" s="1" t="s">
        <v>102</v>
      </c>
      <c r="E148" s="1" t="s">
        <v>53</v>
      </c>
      <c r="F148" s="3">
        <v>46198</v>
      </c>
      <c r="G148" s="3">
        <v>46198</v>
      </c>
      <c r="H148" s="4">
        <v>0</v>
      </c>
      <c r="J148" s="1">
        <v>654</v>
      </c>
      <c r="K148" s="1">
        <v>656</v>
      </c>
      <c r="L148" s="1" t="s">
        <v>35</v>
      </c>
      <c r="M148" s="1" t="s">
        <v>159</v>
      </c>
      <c r="N148" s="3">
        <v>46209</v>
      </c>
      <c r="P148" s="1" t="s">
        <v>696</v>
      </c>
      <c r="Q148" s="1" t="s">
        <v>146</v>
      </c>
      <c r="R148" s="1" t="s">
        <v>55</v>
      </c>
      <c r="S148" s="2">
        <v>46206</v>
      </c>
      <c r="T148" s="2">
        <v>46209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</row>
    <row r="149" spans="1:33" hidden="1" x14ac:dyDescent="0.25">
      <c r="A149" s="1">
        <v>656</v>
      </c>
      <c r="B149" s="1" t="s">
        <v>936</v>
      </c>
      <c r="C149" s="1" t="s">
        <v>933</v>
      </c>
      <c r="D149" s="1" t="s">
        <v>108</v>
      </c>
      <c r="E149" s="1" t="s">
        <v>53</v>
      </c>
      <c r="F149" s="3">
        <v>46199</v>
      </c>
      <c r="G149" s="3">
        <v>46199</v>
      </c>
      <c r="H149" s="4">
        <v>0</v>
      </c>
      <c r="J149" s="1">
        <v>655</v>
      </c>
      <c r="L149" s="1" t="s">
        <v>35</v>
      </c>
      <c r="M149" s="1" t="s">
        <v>538</v>
      </c>
      <c r="N149" s="3">
        <v>46210</v>
      </c>
      <c r="P149" s="1" t="s">
        <v>696</v>
      </c>
      <c r="Q149" s="1" t="s">
        <v>146</v>
      </c>
      <c r="R149" s="1" t="s">
        <v>55</v>
      </c>
      <c r="S149" s="2">
        <v>46210</v>
      </c>
      <c r="T149" s="2">
        <v>46210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</row>
    <row r="150" spans="1:33" hidden="1" x14ac:dyDescent="0.25">
      <c r="A150" s="1">
        <v>657</v>
      </c>
      <c r="B150" s="1" t="s">
        <v>937</v>
      </c>
      <c r="C150" s="1" t="s">
        <v>698</v>
      </c>
      <c r="D150" s="1" t="s">
        <v>938</v>
      </c>
      <c r="E150" s="1" t="s">
        <v>741</v>
      </c>
      <c r="F150" s="3">
        <v>46188</v>
      </c>
      <c r="G150" s="3">
        <v>46199</v>
      </c>
      <c r="H150" s="4">
        <v>0.72</v>
      </c>
      <c r="L150" s="1" t="s">
        <v>35</v>
      </c>
      <c r="M150" s="1" t="s">
        <v>386</v>
      </c>
      <c r="N150" s="3">
        <v>46210</v>
      </c>
      <c r="P150" s="1" t="s">
        <v>696</v>
      </c>
      <c r="Q150" s="1" t="s">
        <v>138</v>
      </c>
      <c r="R150" s="1" t="s">
        <v>55</v>
      </c>
      <c r="S150" s="2">
        <v>46191</v>
      </c>
      <c r="T150" s="2">
        <v>46210</v>
      </c>
      <c r="U150" s="1" t="s">
        <v>320</v>
      </c>
      <c r="V150" s="1">
        <v>0.72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hidden="1" x14ac:dyDescent="0.25">
      <c r="A151" s="1">
        <v>659</v>
      </c>
      <c r="B151" s="1" t="s">
        <v>941</v>
      </c>
      <c r="C151" s="1" t="s">
        <v>940</v>
      </c>
      <c r="D151" s="1" t="s">
        <v>98</v>
      </c>
      <c r="E151" s="1" t="s">
        <v>53</v>
      </c>
      <c r="F151" s="3">
        <v>46197</v>
      </c>
      <c r="G151" s="3">
        <v>46197</v>
      </c>
      <c r="H151" s="4">
        <v>0.15</v>
      </c>
      <c r="J151" s="1">
        <v>658</v>
      </c>
      <c r="K151" s="1">
        <v>660</v>
      </c>
      <c r="L151" s="1" t="s">
        <v>35</v>
      </c>
      <c r="M151" s="1" t="s">
        <v>535</v>
      </c>
      <c r="N151" s="3">
        <v>46205</v>
      </c>
      <c r="P151" s="1" t="s">
        <v>696</v>
      </c>
      <c r="Q151" s="1" t="s">
        <v>146</v>
      </c>
      <c r="R151" s="1" t="s">
        <v>55</v>
      </c>
      <c r="S151" s="2">
        <v>46205</v>
      </c>
      <c r="T151" s="2">
        <v>46205</v>
      </c>
      <c r="V151" s="1">
        <v>0.15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hidden="1" x14ac:dyDescent="0.25">
      <c r="A152" s="1">
        <v>660</v>
      </c>
      <c r="B152" s="1" t="s">
        <v>942</v>
      </c>
      <c r="C152" s="1" t="s">
        <v>940</v>
      </c>
      <c r="D152" s="1" t="s">
        <v>102</v>
      </c>
      <c r="E152" s="1" t="s">
        <v>53</v>
      </c>
      <c r="F152" s="3">
        <v>46198</v>
      </c>
      <c r="G152" s="3">
        <v>46198</v>
      </c>
      <c r="H152" s="4">
        <v>0</v>
      </c>
      <c r="J152" s="1">
        <v>659</v>
      </c>
      <c r="K152" s="1">
        <v>661</v>
      </c>
      <c r="L152" s="1" t="s">
        <v>35</v>
      </c>
      <c r="M152" s="1" t="s">
        <v>159</v>
      </c>
      <c r="N152" s="3">
        <v>46209</v>
      </c>
      <c r="P152" s="1" t="s">
        <v>696</v>
      </c>
      <c r="Q152" s="1" t="s">
        <v>146</v>
      </c>
      <c r="R152" s="1" t="s">
        <v>55</v>
      </c>
      <c r="S152" s="2">
        <v>46206</v>
      </c>
      <c r="T152" s="2">
        <v>46209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</row>
    <row r="153" spans="1:33" hidden="1" x14ac:dyDescent="0.25">
      <c r="A153" s="1">
        <v>661</v>
      </c>
      <c r="B153" s="1" t="s">
        <v>943</v>
      </c>
      <c r="C153" s="1" t="s">
        <v>940</v>
      </c>
      <c r="D153" s="1" t="s">
        <v>108</v>
      </c>
      <c r="E153" s="1" t="s">
        <v>53</v>
      </c>
      <c r="F153" s="3">
        <v>46199</v>
      </c>
      <c r="G153" s="3">
        <v>46199</v>
      </c>
      <c r="H153" s="4">
        <v>0</v>
      </c>
      <c r="J153" s="1">
        <v>660</v>
      </c>
      <c r="L153" s="1" t="s">
        <v>35</v>
      </c>
      <c r="M153" s="1" t="s">
        <v>538</v>
      </c>
      <c r="N153" s="3">
        <v>46210</v>
      </c>
      <c r="P153" s="1" t="s">
        <v>696</v>
      </c>
      <c r="Q153" s="1" t="s">
        <v>146</v>
      </c>
      <c r="R153" s="1" t="s">
        <v>55</v>
      </c>
      <c r="S153" s="2">
        <v>46210</v>
      </c>
      <c r="T153" s="2">
        <v>46210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</row>
    <row r="154" spans="1:33" hidden="1" x14ac:dyDescent="0.25">
      <c r="A154" s="1">
        <v>662</v>
      </c>
      <c r="B154" s="1" t="s">
        <v>944</v>
      </c>
      <c r="C154" s="1" t="s">
        <v>698</v>
      </c>
      <c r="D154" s="1" t="s">
        <v>945</v>
      </c>
      <c r="E154" s="1" t="s">
        <v>741</v>
      </c>
      <c r="F154" s="3">
        <v>46188</v>
      </c>
      <c r="G154" s="3">
        <v>46199</v>
      </c>
      <c r="H154" s="4">
        <v>0.72</v>
      </c>
      <c r="L154" s="1" t="s">
        <v>35</v>
      </c>
      <c r="M154" s="1" t="s">
        <v>386</v>
      </c>
      <c r="N154" s="3">
        <v>46210</v>
      </c>
      <c r="P154" s="1" t="s">
        <v>696</v>
      </c>
      <c r="Q154" s="1" t="s">
        <v>138</v>
      </c>
      <c r="R154" s="1" t="s">
        <v>55</v>
      </c>
      <c r="S154" s="2">
        <v>46191</v>
      </c>
      <c r="T154" s="2">
        <v>46210</v>
      </c>
      <c r="U154" s="1" t="s">
        <v>320</v>
      </c>
      <c r="V154" s="1">
        <v>0.72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hidden="1" x14ac:dyDescent="0.25">
      <c r="A155" s="1">
        <v>664</v>
      </c>
      <c r="B155" s="1" t="s">
        <v>948</v>
      </c>
      <c r="C155" s="1" t="s">
        <v>947</v>
      </c>
      <c r="D155" s="1" t="s">
        <v>98</v>
      </c>
      <c r="E155" s="1" t="s">
        <v>53</v>
      </c>
      <c r="F155" s="3">
        <v>46197</v>
      </c>
      <c r="G155" s="3">
        <v>46197</v>
      </c>
      <c r="H155" s="4">
        <v>0.15</v>
      </c>
      <c r="J155" s="1">
        <v>663</v>
      </c>
      <c r="K155" s="1">
        <v>665</v>
      </c>
      <c r="L155" s="1" t="s">
        <v>35</v>
      </c>
      <c r="M155" s="1" t="s">
        <v>535</v>
      </c>
      <c r="N155" s="3">
        <v>46205</v>
      </c>
      <c r="P155" s="1" t="s">
        <v>696</v>
      </c>
      <c r="Q155" s="1" t="s">
        <v>146</v>
      </c>
      <c r="R155" s="1" t="s">
        <v>55</v>
      </c>
      <c r="S155" s="2">
        <v>46205</v>
      </c>
      <c r="T155" s="2">
        <v>46205</v>
      </c>
      <c r="V155" s="1">
        <v>0.15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</row>
    <row r="156" spans="1:33" hidden="1" x14ac:dyDescent="0.25">
      <c r="A156" s="1">
        <v>665</v>
      </c>
      <c r="B156" s="1" t="s">
        <v>949</v>
      </c>
      <c r="C156" s="1" t="s">
        <v>947</v>
      </c>
      <c r="D156" s="1" t="s">
        <v>102</v>
      </c>
      <c r="E156" s="1" t="s">
        <v>53</v>
      </c>
      <c r="F156" s="3">
        <v>46198</v>
      </c>
      <c r="G156" s="3">
        <v>46198</v>
      </c>
      <c r="H156" s="4">
        <v>0</v>
      </c>
      <c r="J156" s="1">
        <v>664</v>
      </c>
      <c r="K156" s="1">
        <v>666</v>
      </c>
      <c r="L156" s="1" t="s">
        <v>35</v>
      </c>
      <c r="M156" s="1" t="s">
        <v>159</v>
      </c>
      <c r="N156" s="3">
        <v>46209</v>
      </c>
      <c r="P156" s="1" t="s">
        <v>696</v>
      </c>
      <c r="Q156" s="1" t="s">
        <v>146</v>
      </c>
      <c r="R156" s="1" t="s">
        <v>55</v>
      </c>
      <c r="S156" s="2">
        <v>46206</v>
      </c>
      <c r="T156" s="2">
        <v>46209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</row>
    <row r="157" spans="1:33" hidden="1" x14ac:dyDescent="0.25">
      <c r="A157" s="1">
        <v>666</v>
      </c>
      <c r="B157" s="1" t="s">
        <v>950</v>
      </c>
      <c r="C157" s="1" t="s">
        <v>947</v>
      </c>
      <c r="D157" s="1" t="s">
        <v>108</v>
      </c>
      <c r="E157" s="1" t="s">
        <v>53</v>
      </c>
      <c r="F157" s="3">
        <v>46199</v>
      </c>
      <c r="G157" s="3">
        <v>46199</v>
      </c>
      <c r="H157" s="4">
        <v>0</v>
      </c>
      <c r="J157" s="1">
        <v>665</v>
      </c>
      <c r="L157" s="1" t="s">
        <v>35</v>
      </c>
      <c r="M157" s="1" t="s">
        <v>538</v>
      </c>
      <c r="N157" s="3">
        <v>46210</v>
      </c>
      <c r="P157" s="1" t="s">
        <v>696</v>
      </c>
      <c r="Q157" s="1" t="s">
        <v>146</v>
      </c>
      <c r="R157" s="1" t="s">
        <v>55</v>
      </c>
      <c r="S157" s="2">
        <v>46210</v>
      </c>
      <c r="T157" s="2">
        <v>46210</v>
      </c>
      <c r="V157" s="1">
        <v>0</v>
      </c>
      <c r="W157" s="1">
        <v>0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</row>
    <row r="158" spans="1:33" hidden="1" x14ac:dyDescent="0.25">
      <c r="A158" s="1">
        <v>667</v>
      </c>
      <c r="B158" s="1" t="s">
        <v>951</v>
      </c>
      <c r="C158" s="1" t="s">
        <v>698</v>
      </c>
      <c r="D158" s="1" t="s">
        <v>952</v>
      </c>
      <c r="E158" s="1" t="s">
        <v>741</v>
      </c>
      <c r="F158" s="3">
        <v>46188</v>
      </c>
      <c r="G158" s="3">
        <v>46199</v>
      </c>
      <c r="H158" s="4">
        <v>0.72</v>
      </c>
      <c r="L158" s="1" t="s">
        <v>35</v>
      </c>
      <c r="M158" s="1" t="s">
        <v>386</v>
      </c>
      <c r="N158" s="3">
        <v>46210</v>
      </c>
      <c r="P158" s="1" t="s">
        <v>696</v>
      </c>
      <c r="Q158" s="1" t="s">
        <v>138</v>
      </c>
      <c r="R158" s="1" t="s">
        <v>55</v>
      </c>
      <c r="S158" s="2">
        <v>46191</v>
      </c>
      <c r="T158" s="2">
        <v>46210</v>
      </c>
      <c r="U158" s="1" t="s">
        <v>320</v>
      </c>
      <c r="V158" s="1">
        <v>0.72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</row>
    <row r="159" spans="1:33" hidden="1" x14ac:dyDescent="0.25">
      <c r="A159" s="1">
        <v>669</v>
      </c>
      <c r="B159" s="1" t="s">
        <v>955</v>
      </c>
      <c r="C159" s="1" t="s">
        <v>954</v>
      </c>
      <c r="D159" s="1" t="s">
        <v>98</v>
      </c>
      <c r="E159" s="1" t="s">
        <v>53</v>
      </c>
      <c r="F159" s="3">
        <v>46197</v>
      </c>
      <c r="G159" s="3">
        <v>46197</v>
      </c>
      <c r="H159" s="4">
        <v>0.15</v>
      </c>
      <c r="J159" s="1">
        <v>668</v>
      </c>
      <c r="K159" s="1">
        <v>670</v>
      </c>
      <c r="L159" s="1" t="s">
        <v>35</v>
      </c>
      <c r="M159" s="1" t="s">
        <v>535</v>
      </c>
      <c r="N159" s="3">
        <v>46205</v>
      </c>
      <c r="P159" s="1" t="s">
        <v>696</v>
      </c>
      <c r="Q159" s="1" t="s">
        <v>146</v>
      </c>
      <c r="R159" s="1" t="s">
        <v>55</v>
      </c>
      <c r="S159" s="2">
        <v>46205</v>
      </c>
      <c r="T159" s="2">
        <v>46205</v>
      </c>
      <c r="V159" s="1">
        <v>0.15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hidden="1" x14ac:dyDescent="0.25">
      <c r="A160" s="1">
        <v>670</v>
      </c>
      <c r="B160" s="1" t="s">
        <v>956</v>
      </c>
      <c r="C160" s="1" t="s">
        <v>954</v>
      </c>
      <c r="D160" s="1" t="s">
        <v>102</v>
      </c>
      <c r="E160" s="1" t="s">
        <v>53</v>
      </c>
      <c r="F160" s="3">
        <v>46198</v>
      </c>
      <c r="G160" s="3">
        <v>46198</v>
      </c>
      <c r="H160" s="4">
        <v>0</v>
      </c>
      <c r="J160" s="1">
        <v>669</v>
      </c>
      <c r="K160" s="1">
        <v>671</v>
      </c>
      <c r="L160" s="1" t="s">
        <v>35</v>
      </c>
      <c r="M160" s="1" t="s">
        <v>159</v>
      </c>
      <c r="N160" s="3">
        <v>46209</v>
      </c>
      <c r="P160" s="1" t="s">
        <v>696</v>
      </c>
      <c r="Q160" s="1" t="s">
        <v>146</v>
      </c>
      <c r="R160" s="1" t="s">
        <v>55</v>
      </c>
      <c r="S160" s="2">
        <v>46206</v>
      </c>
      <c r="T160" s="2">
        <v>46209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</row>
    <row r="161" spans="1:33" hidden="1" x14ac:dyDescent="0.25">
      <c r="A161" s="1">
        <v>671</v>
      </c>
      <c r="B161" s="1" t="s">
        <v>957</v>
      </c>
      <c r="C161" s="1" t="s">
        <v>954</v>
      </c>
      <c r="D161" s="1" t="s">
        <v>108</v>
      </c>
      <c r="E161" s="1" t="s">
        <v>53</v>
      </c>
      <c r="F161" s="3">
        <v>46199</v>
      </c>
      <c r="G161" s="3">
        <v>46199</v>
      </c>
      <c r="H161" s="4">
        <v>0</v>
      </c>
      <c r="J161" s="1">
        <v>670</v>
      </c>
      <c r="L161" s="1" t="s">
        <v>35</v>
      </c>
      <c r="M161" s="1" t="s">
        <v>538</v>
      </c>
      <c r="N161" s="3">
        <v>46210</v>
      </c>
      <c r="P161" s="1" t="s">
        <v>696</v>
      </c>
      <c r="Q161" s="1" t="s">
        <v>146</v>
      </c>
      <c r="R161" s="1" t="s">
        <v>55</v>
      </c>
      <c r="S161" s="2">
        <v>46210</v>
      </c>
      <c r="T161" s="2">
        <v>46210</v>
      </c>
      <c r="V161" s="1">
        <v>0</v>
      </c>
      <c r="W161" s="1">
        <v>0</v>
      </c>
      <c r="X161" s="1">
        <v>0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</row>
    <row r="162" spans="1:33" hidden="1" x14ac:dyDescent="0.25">
      <c r="A162" s="1">
        <v>672</v>
      </c>
      <c r="B162" s="1" t="s">
        <v>958</v>
      </c>
      <c r="C162" s="1" t="s">
        <v>698</v>
      </c>
      <c r="D162" s="1" t="s">
        <v>959</v>
      </c>
      <c r="E162" s="1" t="s">
        <v>960</v>
      </c>
      <c r="F162" s="3">
        <v>46192</v>
      </c>
      <c r="G162" s="3">
        <v>46205</v>
      </c>
      <c r="H162" s="4">
        <v>0.72</v>
      </c>
      <c r="L162" s="1" t="s">
        <v>35</v>
      </c>
      <c r="M162" s="1" t="s">
        <v>386</v>
      </c>
      <c r="N162" s="3">
        <v>46210</v>
      </c>
      <c r="P162" s="1" t="s">
        <v>696</v>
      </c>
      <c r="Q162" s="1" t="s">
        <v>138</v>
      </c>
      <c r="R162" s="1" t="s">
        <v>55</v>
      </c>
      <c r="S162" s="2">
        <v>46191</v>
      </c>
      <c r="T162" s="2">
        <v>46210</v>
      </c>
      <c r="U162" s="1" t="s">
        <v>320</v>
      </c>
      <c r="V162" s="1">
        <v>0.72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</row>
    <row r="163" spans="1:33" hidden="1" x14ac:dyDescent="0.25">
      <c r="A163" s="1">
        <v>674</v>
      </c>
      <c r="B163" s="1" t="s">
        <v>963</v>
      </c>
      <c r="C163" s="1" t="s">
        <v>962</v>
      </c>
      <c r="D163" s="1" t="s">
        <v>98</v>
      </c>
      <c r="E163" s="1" t="s">
        <v>53</v>
      </c>
      <c r="F163" s="3">
        <v>46197</v>
      </c>
      <c r="G163" s="3">
        <v>46203</v>
      </c>
      <c r="H163" s="4">
        <v>0.15</v>
      </c>
      <c r="J163" s="1">
        <v>673</v>
      </c>
      <c r="K163" s="1">
        <v>675</v>
      </c>
      <c r="L163" s="1" t="s">
        <v>35</v>
      </c>
      <c r="M163" s="1" t="s">
        <v>535</v>
      </c>
      <c r="N163" s="3">
        <v>46205</v>
      </c>
      <c r="P163" s="1" t="s">
        <v>696</v>
      </c>
      <c r="Q163" s="1" t="s">
        <v>146</v>
      </c>
      <c r="R163" s="1" t="s">
        <v>55</v>
      </c>
      <c r="S163" s="2">
        <v>46205</v>
      </c>
      <c r="T163" s="2">
        <v>46205</v>
      </c>
      <c r="V163" s="1">
        <v>0.15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</row>
    <row r="164" spans="1:33" hidden="1" x14ac:dyDescent="0.25">
      <c r="A164" s="1">
        <v>675</v>
      </c>
      <c r="B164" s="1" t="s">
        <v>964</v>
      </c>
      <c r="C164" s="1" t="s">
        <v>962</v>
      </c>
      <c r="D164" s="1" t="s">
        <v>102</v>
      </c>
      <c r="E164" s="1" t="s">
        <v>53</v>
      </c>
      <c r="F164" s="3">
        <v>46203</v>
      </c>
      <c r="G164" s="3">
        <v>46204</v>
      </c>
      <c r="H164" s="4">
        <v>0</v>
      </c>
      <c r="J164" s="1">
        <v>674</v>
      </c>
      <c r="K164" s="1">
        <v>676</v>
      </c>
      <c r="L164" s="1" t="s">
        <v>35</v>
      </c>
      <c r="M164" s="1" t="s">
        <v>159</v>
      </c>
      <c r="N164" s="3">
        <v>46209</v>
      </c>
      <c r="P164" s="1" t="s">
        <v>696</v>
      </c>
      <c r="Q164" s="1" t="s">
        <v>146</v>
      </c>
      <c r="R164" s="1" t="s">
        <v>55</v>
      </c>
      <c r="S164" s="2">
        <v>46206</v>
      </c>
      <c r="T164" s="2">
        <v>46209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</row>
    <row r="165" spans="1:33" hidden="1" x14ac:dyDescent="0.25">
      <c r="A165" s="1">
        <v>676</v>
      </c>
      <c r="B165" s="1" t="s">
        <v>965</v>
      </c>
      <c r="C165" s="1" t="s">
        <v>962</v>
      </c>
      <c r="D165" s="1" t="s">
        <v>108</v>
      </c>
      <c r="E165" s="1" t="s">
        <v>53</v>
      </c>
      <c r="F165" s="3">
        <v>46204</v>
      </c>
      <c r="G165" s="3">
        <v>46205</v>
      </c>
      <c r="H165" s="4">
        <v>0</v>
      </c>
      <c r="J165" s="1">
        <v>675</v>
      </c>
      <c r="L165" s="1" t="s">
        <v>35</v>
      </c>
      <c r="M165" s="1" t="s">
        <v>538</v>
      </c>
      <c r="N165" s="3">
        <v>46210</v>
      </c>
      <c r="P165" s="1" t="s">
        <v>696</v>
      </c>
      <c r="Q165" s="1" t="s">
        <v>146</v>
      </c>
      <c r="R165" s="1" t="s">
        <v>55</v>
      </c>
      <c r="S165" s="2">
        <v>46210</v>
      </c>
      <c r="T165" s="2">
        <v>46210</v>
      </c>
      <c r="V165" s="1">
        <v>0</v>
      </c>
      <c r="W165" s="1">
        <v>0</v>
      </c>
      <c r="X165" s="1">
        <v>0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</row>
    <row r="166" spans="1:33" hidden="1" x14ac:dyDescent="0.25">
      <c r="A166" s="1">
        <v>677</v>
      </c>
      <c r="B166" s="1" t="s">
        <v>966</v>
      </c>
      <c r="C166" s="1" t="s">
        <v>698</v>
      </c>
      <c r="D166" s="1" t="s">
        <v>967</v>
      </c>
      <c r="E166" s="1" t="s">
        <v>960</v>
      </c>
      <c r="F166" s="3">
        <v>46192</v>
      </c>
      <c r="G166" s="3">
        <v>46205</v>
      </c>
      <c r="H166" s="4">
        <v>0.72</v>
      </c>
      <c r="L166" s="1" t="s">
        <v>35</v>
      </c>
      <c r="M166" s="1" t="s">
        <v>386</v>
      </c>
      <c r="N166" s="3">
        <v>46210</v>
      </c>
      <c r="P166" s="1" t="s">
        <v>696</v>
      </c>
      <c r="Q166" s="1" t="s">
        <v>138</v>
      </c>
      <c r="R166" s="1" t="s">
        <v>55</v>
      </c>
      <c r="S166" s="2">
        <v>46191</v>
      </c>
      <c r="T166" s="2">
        <v>46210</v>
      </c>
      <c r="U166" s="1" t="s">
        <v>320</v>
      </c>
      <c r="V166" s="1">
        <v>0.72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hidden="1" x14ac:dyDescent="0.25">
      <c r="A167" s="1">
        <v>679</v>
      </c>
      <c r="B167" s="1" t="s">
        <v>970</v>
      </c>
      <c r="C167" s="1" t="s">
        <v>969</v>
      </c>
      <c r="D167" s="1" t="s">
        <v>98</v>
      </c>
      <c r="E167" s="1" t="s">
        <v>53</v>
      </c>
      <c r="F167" s="3">
        <v>46197</v>
      </c>
      <c r="G167" s="3">
        <v>46203</v>
      </c>
      <c r="H167" s="4">
        <v>0.15</v>
      </c>
      <c r="J167" s="1">
        <v>678</v>
      </c>
      <c r="K167" s="1">
        <v>680</v>
      </c>
      <c r="L167" s="1" t="s">
        <v>35</v>
      </c>
      <c r="M167" s="1" t="s">
        <v>535</v>
      </c>
      <c r="N167" s="3">
        <v>46205</v>
      </c>
      <c r="P167" s="1" t="s">
        <v>696</v>
      </c>
      <c r="Q167" s="1" t="s">
        <v>146</v>
      </c>
      <c r="R167" s="1" t="s">
        <v>55</v>
      </c>
      <c r="S167" s="2">
        <v>46205</v>
      </c>
      <c r="T167" s="2">
        <v>46205</v>
      </c>
      <c r="V167" s="1">
        <v>0.15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</row>
    <row r="168" spans="1:33" hidden="1" x14ac:dyDescent="0.25">
      <c r="A168" s="1">
        <v>680</v>
      </c>
      <c r="B168" s="1" t="s">
        <v>971</v>
      </c>
      <c r="C168" s="1" t="s">
        <v>969</v>
      </c>
      <c r="D168" s="1" t="s">
        <v>102</v>
      </c>
      <c r="E168" s="1" t="s">
        <v>53</v>
      </c>
      <c r="F168" s="3">
        <v>46203</v>
      </c>
      <c r="G168" s="3">
        <v>46204</v>
      </c>
      <c r="H168" s="4">
        <v>0</v>
      </c>
      <c r="J168" s="1">
        <v>679</v>
      </c>
      <c r="K168" s="1">
        <v>681</v>
      </c>
      <c r="L168" s="1" t="s">
        <v>35</v>
      </c>
      <c r="M168" s="1" t="s">
        <v>159</v>
      </c>
      <c r="N168" s="3">
        <v>46209</v>
      </c>
      <c r="P168" s="1" t="s">
        <v>696</v>
      </c>
      <c r="Q168" s="1" t="s">
        <v>146</v>
      </c>
      <c r="R168" s="1" t="s">
        <v>55</v>
      </c>
      <c r="S168" s="2">
        <v>46206</v>
      </c>
      <c r="T168" s="2">
        <v>46209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</row>
    <row r="169" spans="1:33" hidden="1" x14ac:dyDescent="0.25">
      <c r="A169" s="1">
        <v>681</v>
      </c>
      <c r="B169" s="1" t="s">
        <v>972</v>
      </c>
      <c r="C169" s="1" t="s">
        <v>969</v>
      </c>
      <c r="D169" s="1" t="s">
        <v>108</v>
      </c>
      <c r="E169" s="1" t="s">
        <v>53</v>
      </c>
      <c r="F169" s="3">
        <v>46204</v>
      </c>
      <c r="G169" s="3">
        <v>46205</v>
      </c>
      <c r="H169" s="4">
        <v>0</v>
      </c>
      <c r="J169" s="1">
        <v>680</v>
      </c>
      <c r="L169" s="1" t="s">
        <v>35</v>
      </c>
      <c r="M169" s="1" t="s">
        <v>538</v>
      </c>
      <c r="N169" s="3">
        <v>46210</v>
      </c>
      <c r="P169" s="1" t="s">
        <v>696</v>
      </c>
      <c r="Q169" s="1" t="s">
        <v>146</v>
      </c>
      <c r="R169" s="1" t="s">
        <v>55</v>
      </c>
      <c r="S169" s="2">
        <v>46210</v>
      </c>
      <c r="T169" s="2">
        <v>46210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</row>
    <row r="170" spans="1:33" hidden="1" x14ac:dyDescent="0.25">
      <c r="A170" s="1">
        <v>682</v>
      </c>
      <c r="B170" s="1" t="s">
        <v>973</v>
      </c>
      <c r="C170" s="1" t="s">
        <v>698</v>
      </c>
      <c r="D170" s="1" t="s">
        <v>974</v>
      </c>
      <c r="E170" s="1" t="s">
        <v>960</v>
      </c>
      <c r="F170" s="3">
        <v>46192</v>
      </c>
      <c r="G170" s="3">
        <v>46205</v>
      </c>
      <c r="H170" s="4">
        <v>0.72</v>
      </c>
      <c r="L170" s="1" t="s">
        <v>35</v>
      </c>
      <c r="M170" s="1" t="s">
        <v>386</v>
      </c>
      <c r="N170" s="3">
        <v>46210</v>
      </c>
      <c r="P170" s="1" t="s">
        <v>696</v>
      </c>
      <c r="Q170" s="1" t="s">
        <v>138</v>
      </c>
      <c r="R170" s="1" t="s">
        <v>55</v>
      </c>
      <c r="S170" s="2">
        <v>46191</v>
      </c>
      <c r="T170" s="2">
        <v>46210</v>
      </c>
      <c r="U170" s="1" t="s">
        <v>320</v>
      </c>
      <c r="V170" s="1">
        <v>0.72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</row>
    <row r="171" spans="1:33" hidden="1" x14ac:dyDescent="0.25">
      <c r="A171" s="1">
        <v>684</v>
      </c>
      <c r="B171" s="1" t="s">
        <v>977</v>
      </c>
      <c r="C171" s="1" t="s">
        <v>976</v>
      </c>
      <c r="D171" s="1" t="s">
        <v>98</v>
      </c>
      <c r="E171" s="1" t="s">
        <v>53</v>
      </c>
      <c r="F171" s="3">
        <v>46197</v>
      </c>
      <c r="G171" s="3">
        <v>46203</v>
      </c>
      <c r="H171" s="4">
        <v>0.15</v>
      </c>
      <c r="J171" s="1">
        <v>683</v>
      </c>
      <c r="K171" s="1">
        <v>685</v>
      </c>
      <c r="L171" s="1" t="s">
        <v>35</v>
      </c>
      <c r="M171" s="1" t="s">
        <v>535</v>
      </c>
      <c r="N171" s="3">
        <v>46205</v>
      </c>
      <c r="P171" s="1" t="s">
        <v>696</v>
      </c>
      <c r="Q171" s="1" t="s">
        <v>146</v>
      </c>
      <c r="R171" s="1" t="s">
        <v>55</v>
      </c>
      <c r="S171" s="2">
        <v>46205</v>
      </c>
      <c r="T171" s="2">
        <v>46205</v>
      </c>
      <c r="V171" s="1">
        <v>0.15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hidden="1" x14ac:dyDescent="0.25">
      <c r="A172" s="1">
        <v>685</v>
      </c>
      <c r="B172" s="1" t="s">
        <v>978</v>
      </c>
      <c r="C172" s="1" t="s">
        <v>976</v>
      </c>
      <c r="D172" s="1" t="s">
        <v>102</v>
      </c>
      <c r="E172" s="1" t="s">
        <v>53</v>
      </c>
      <c r="F172" s="3">
        <v>46203</v>
      </c>
      <c r="G172" s="3">
        <v>46204</v>
      </c>
      <c r="H172" s="4">
        <v>0</v>
      </c>
      <c r="J172" s="1">
        <v>684</v>
      </c>
      <c r="K172" s="1">
        <v>686</v>
      </c>
      <c r="L172" s="1" t="s">
        <v>35</v>
      </c>
      <c r="M172" s="1" t="s">
        <v>159</v>
      </c>
      <c r="N172" s="3">
        <v>46209</v>
      </c>
      <c r="P172" s="1" t="s">
        <v>696</v>
      </c>
      <c r="Q172" s="1" t="s">
        <v>146</v>
      </c>
      <c r="R172" s="1" t="s">
        <v>55</v>
      </c>
      <c r="S172" s="2">
        <v>46206</v>
      </c>
      <c r="T172" s="2">
        <v>46209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</row>
    <row r="173" spans="1:33" hidden="1" x14ac:dyDescent="0.25">
      <c r="A173" s="1">
        <v>686</v>
      </c>
      <c r="B173" s="1" t="s">
        <v>979</v>
      </c>
      <c r="C173" s="1" t="s">
        <v>976</v>
      </c>
      <c r="D173" s="1" t="s">
        <v>108</v>
      </c>
      <c r="E173" s="1" t="s">
        <v>53</v>
      </c>
      <c r="F173" s="3">
        <v>46204</v>
      </c>
      <c r="G173" s="3">
        <v>46205</v>
      </c>
      <c r="H173" s="4">
        <v>0</v>
      </c>
      <c r="J173" s="1">
        <v>685</v>
      </c>
      <c r="L173" s="1" t="s">
        <v>35</v>
      </c>
      <c r="M173" s="1" t="s">
        <v>538</v>
      </c>
      <c r="N173" s="3">
        <v>46210</v>
      </c>
      <c r="P173" s="1" t="s">
        <v>696</v>
      </c>
      <c r="Q173" s="1" t="s">
        <v>146</v>
      </c>
      <c r="R173" s="1" t="s">
        <v>55</v>
      </c>
      <c r="S173" s="2">
        <v>46210</v>
      </c>
      <c r="T173" s="2">
        <v>46210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</row>
    <row r="174" spans="1:33" hidden="1" x14ac:dyDescent="0.25">
      <c r="A174" s="1">
        <v>687</v>
      </c>
      <c r="B174" s="1" t="s">
        <v>980</v>
      </c>
      <c r="C174" s="1" t="s">
        <v>698</v>
      </c>
      <c r="D174" s="1" t="s">
        <v>981</v>
      </c>
      <c r="E174" s="1" t="s">
        <v>960</v>
      </c>
      <c r="F174" s="3">
        <v>46192</v>
      </c>
      <c r="G174" s="3">
        <v>46205</v>
      </c>
      <c r="H174" s="4">
        <v>0.72</v>
      </c>
      <c r="L174" s="1" t="s">
        <v>35</v>
      </c>
      <c r="M174" s="1" t="s">
        <v>386</v>
      </c>
      <c r="N174" s="3">
        <v>46210</v>
      </c>
      <c r="P174" s="1" t="s">
        <v>696</v>
      </c>
      <c r="Q174" s="1" t="s">
        <v>138</v>
      </c>
      <c r="R174" s="1" t="s">
        <v>55</v>
      </c>
      <c r="S174" s="2">
        <v>46191</v>
      </c>
      <c r="T174" s="2">
        <v>46210</v>
      </c>
      <c r="U174" s="1" t="s">
        <v>320</v>
      </c>
      <c r="V174" s="1">
        <v>0.72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hidden="1" x14ac:dyDescent="0.25">
      <c r="A175" s="1">
        <v>689</v>
      </c>
      <c r="B175" s="1" t="s">
        <v>984</v>
      </c>
      <c r="C175" s="1" t="s">
        <v>983</v>
      </c>
      <c r="D175" s="1" t="s">
        <v>98</v>
      </c>
      <c r="E175" s="1" t="s">
        <v>53</v>
      </c>
      <c r="F175" s="3">
        <v>46197</v>
      </c>
      <c r="G175" s="3">
        <v>46203</v>
      </c>
      <c r="H175" s="4">
        <v>0.15</v>
      </c>
      <c r="J175" s="1">
        <v>688</v>
      </c>
      <c r="K175" s="1">
        <v>690</v>
      </c>
      <c r="L175" s="1" t="s">
        <v>35</v>
      </c>
      <c r="M175" s="1" t="s">
        <v>535</v>
      </c>
      <c r="N175" s="3">
        <v>46205</v>
      </c>
      <c r="P175" s="1" t="s">
        <v>696</v>
      </c>
      <c r="Q175" s="1" t="s">
        <v>146</v>
      </c>
      <c r="R175" s="1" t="s">
        <v>55</v>
      </c>
      <c r="S175" s="2">
        <v>46205</v>
      </c>
      <c r="T175" s="2">
        <v>46205</v>
      </c>
      <c r="V175" s="1">
        <v>0.15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hidden="1" x14ac:dyDescent="0.25">
      <c r="A176" s="1">
        <v>690</v>
      </c>
      <c r="B176" s="1" t="s">
        <v>985</v>
      </c>
      <c r="C176" s="1" t="s">
        <v>983</v>
      </c>
      <c r="D176" s="1" t="s">
        <v>102</v>
      </c>
      <c r="E176" s="1" t="s">
        <v>53</v>
      </c>
      <c r="F176" s="3">
        <v>46203</v>
      </c>
      <c r="G176" s="3">
        <v>46204</v>
      </c>
      <c r="H176" s="4">
        <v>0</v>
      </c>
      <c r="J176" s="1">
        <v>689</v>
      </c>
      <c r="K176" s="1">
        <v>691</v>
      </c>
      <c r="L176" s="1" t="s">
        <v>35</v>
      </c>
      <c r="M176" s="1" t="s">
        <v>159</v>
      </c>
      <c r="N176" s="3">
        <v>46209</v>
      </c>
      <c r="P176" s="1" t="s">
        <v>696</v>
      </c>
      <c r="Q176" s="1" t="s">
        <v>146</v>
      </c>
      <c r="R176" s="1" t="s">
        <v>55</v>
      </c>
      <c r="S176" s="2">
        <v>46206</v>
      </c>
      <c r="T176" s="2">
        <v>46209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0</v>
      </c>
      <c r="AG176" s="1">
        <v>0</v>
      </c>
    </row>
    <row r="177" spans="1:33" hidden="1" x14ac:dyDescent="0.25">
      <c r="A177" s="1">
        <v>691</v>
      </c>
      <c r="B177" s="1" t="s">
        <v>986</v>
      </c>
      <c r="C177" s="1" t="s">
        <v>983</v>
      </c>
      <c r="D177" s="1" t="s">
        <v>108</v>
      </c>
      <c r="E177" s="1" t="s">
        <v>53</v>
      </c>
      <c r="F177" s="3">
        <v>46204</v>
      </c>
      <c r="G177" s="3">
        <v>46205</v>
      </c>
      <c r="H177" s="4">
        <v>0</v>
      </c>
      <c r="J177" s="1">
        <v>690</v>
      </c>
      <c r="L177" s="1" t="s">
        <v>35</v>
      </c>
      <c r="M177" s="1" t="s">
        <v>538</v>
      </c>
      <c r="N177" s="3">
        <v>46210</v>
      </c>
      <c r="P177" s="1" t="s">
        <v>696</v>
      </c>
      <c r="Q177" s="1" t="s">
        <v>146</v>
      </c>
      <c r="R177" s="1" t="s">
        <v>55</v>
      </c>
      <c r="S177" s="2">
        <v>46210</v>
      </c>
      <c r="T177" s="2">
        <v>46210</v>
      </c>
      <c r="V177" s="1">
        <v>0</v>
      </c>
      <c r="W177" s="1">
        <v>0</v>
      </c>
      <c r="X177" s="1">
        <v>0</v>
      </c>
      <c r="Y177" s="1">
        <v>0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</row>
    <row r="178" spans="1:33" hidden="1" x14ac:dyDescent="0.25">
      <c r="A178" s="1">
        <v>704</v>
      </c>
      <c r="B178" s="1" t="s">
        <v>1009</v>
      </c>
      <c r="C178" s="1" t="s">
        <v>1007</v>
      </c>
      <c r="D178" s="1" t="s">
        <v>98</v>
      </c>
      <c r="E178" s="1" t="s">
        <v>53</v>
      </c>
      <c r="F178" s="3">
        <v>46206</v>
      </c>
      <c r="G178" s="3">
        <v>46206</v>
      </c>
      <c r="H178" s="4">
        <v>0</v>
      </c>
      <c r="J178" s="1">
        <v>703</v>
      </c>
      <c r="K178" s="1">
        <v>705</v>
      </c>
      <c r="L178" s="1" t="s">
        <v>131</v>
      </c>
      <c r="M178" s="1" t="s">
        <v>426</v>
      </c>
      <c r="N178" s="3">
        <v>46204</v>
      </c>
      <c r="P178" s="1" t="s">
        <v>696</v>
      </c>
      <c r="Q178" s="1" t="s">
        <v>146</v>
      </c>
      <c r="R178" s="1" t="s">
        <v>55</v>
      </c>
      <c r="S178" s="2">
        <v>46204</v>
      </c>
      <c r="T178" s="2">
        <v>46204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hidden="1" x14ac:dyDescent="0.25">
      <c r="A179" s="1">
        <v>36</v>
      </c>
      <c r="B179" s="1" t="s">
        <v>1033</v>
      </c>
      <c r="C179" s="1" t="s">
        <v>134</v>
      </c>
      <c r="D179" s="1" t="s">
        <v>1034</v>
      </c>
      <c r="E179" s="1" t="s">
        <v>812</v>
      </c>
      <c r="F179" s="3">
        <v>46189</v>
      </c>
      <c r="G179" s="3">
        <v>46197</v>
      </c>
      <c r="H179" s="4">
        <v>0</v>
      </c>
      <c r="L179" s="1" t="s">
        <v>144</v>
      </c>
      <c r="M179" s="1" t="s">
        <v>294</v>
      </c>
      <c r="N179" s="3">
        <v>46192</v>
      </c>
      <c r="P179" s="1" t="s">
        <v>132</v>
      </c>
      <c r="Q179" s="1" t="s">
        <v>673</v>
      </c>
      <c r="R179" s="1" t="s">
        <v>55</v>
      </c>
      <c r="S179" s="2">
        <v>46184</v>
      </c>
      <c r="T179" s="2">
        <v>46192</v>
      </c>
      <c r="U179" s="1" t="s">
        <v>1035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hidden="1" x14ac:dyDescent="0.25">
      <c r="A180" s="1">
        <v>199</v>
      </c>
      <c r="B180" s="1" t="s">
        <v>1038</v>
      </c>
      <c r="C180" s="1" t="s">
        <v>407</v>
      </c>
      <c r="D180" s="1" t="s">
        <v>1039</v>
      </c>
      <c r="E180" s="1" t="s">
        <v>812</v>
      </c>
      <c r="F180" s="3">
        <v>46197</v>
      </c>
      <c r="G180" s="3">
        <v>46205</v>
      </c>
      <c r="H180" s="4">
        <v>0</v>
      </c>
      <c r="L180" s="1" t="s">
        <v>144</v>
      </c>
      <c r="M180" s="1" t="s">
        <v>418</v>
      </c>
      <c r="N180" s="3">
        <v>46204</v>
      </c>
      <c r="P180" s="1" t="s">
        <v>405</v>
      </c>
      <c r="Q180" s="1" t="s">
        <v>673</v>
      </c>
      <c r="R180" s="1" t="s">
        <v>39</v>
      </c>
      <c r="S180" s="2">
        <v>46196</v>
      </c>
      <c r="T180" s="2">
        <v>46204</v>
      </c>
      <c r="U180" s="1" t="s">
        <v>1035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</row>
    <row r="181" spans="1:33" hidden="1" x14ac:dyDescent="0.25">
      <c r="A181" s="1">
        <v>204</v>
      </c>
      <c r="B181" s="1" t="s">
        <v>1040</v>
      </c>
      <c r="C181" s="1" t="s">
        <v>407</v>
      </c>
      <c r="D181" s="1" t="s">
        <v>1041</v>
      </c>
      <c r="E181" s="1" t="s">
        <v>812</v>
      </c>
      <c r="F181" s="3">
        <v>46197</v>
      </c>
      <c r="G181" s="3">
        <v>46205</v>
      </c>
      <c r="H181" s="4">
        <v>0</v>
      </c>
      <c r="L181" s="1" t="s">
        <v>144</v>
      </c>
      <c r="M181" s="1" t="s">
        <v>418</v>
      </c>
      <c r="N181" s="3">
        <v>46204</v>
      </c>
      <c r="P181" s="1" t="s">
        <v>405</v>
      </c>
      <c r="Q181" s="1" t="s">
        <v>673</v>
      </c>
      <c r="R181" s="1" t="s">
        <v>55</v>
      </c>
      <c r="S181" s="2">
        <v>46196</v>
      </c>
      <c r="T181" s="2">
        <v>46204</v>
      </c>
      <c r="U181" s="1" t="s">
        <v>1035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hidden="1" x14ac:dyDescent="0.25">
      <c r="A182" s="1">
        <v>214</v>
      </c>
      <c r="B182" s="1" t="s">
        <v>1042</v>
      </c>
      <c r="C182" s="1" t="s">
        <v>407</v>
      </c>
      <c r="D182" s="1" t="s">
        <v>1043</v>
      </c>
      <c r="E182" s="1" t="s">
        <v>812</v>
      </c>
      <c r="F182" s="3">
        <v>46192</v>
      </c>
      <c r="G182" s="3">
        <v>46202</v>
      </c>
      <c r="H182" s="4">
        <v>0</v>
      </c>
      <c r="L182" s="1" t="s">
        <v>144</v>
      </c>
      <c r="M182" s="1" t="s">
        <v>386</v>
      </c>
      <c r="N182" s="3">
        <v>46199</v>
      </c>
      <c r="P182" s="1" t="s">
        <v>405</v>
      </c>
      <c r="Q182" s="1" t="s">
        <v>673</v>
      </c>
      <c r="R182" s="1" t="s">
        <v>39</v>
      </c>
      <c r="S182" s="2">
        <v>46191</v>
      </c>
      <c r="T182" s="2">
        <v>46199</v>
      </c>
      <c r="U182" s="1" t="s">
        <v>1035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hidden="1" x14ac:dyDescent="0.25">
      <c r="A183" s="1">
        <v>224</v>
      </c>
      <c r="B183" s="1" t="s">
        <v>1044</v>
      </c>
      <c r="C183" s="1" t="s">
        <v>407</v>
      </c>
      <c r="D183" s="1" t="s">
        <v>1045</v>
      </c>
      <c r="E183" s="1" t="s">
        <v>103</v>
      </c>
      <c r="F183" s="3">
        <v>46176</v>
      </c>
      <c r="G183" s="3">
        <v>46183</v>
      </c>
      <c r="H183" s="4">
        <v>0</v>
      </c>
      <c r="L183" s="1" t="s">
        <v>144</v>
      </c>
      <c r="M183" s="1" t="s">
        <v>187</v>
      </c>
      <c r="N183" s="3">
        <v>46169</v>
      </c>
      <c r="P183" s="1" t="s">
        <v>405</v>
      </c>
      <c r="Q183" s="1" t="s">
        <v>673</v>
      </c>
      <c r="R183" s="1" t="s">
        <v>55</v>
      </c>
      <c r="S183" s="2">
        <v>46162</v>
      </c>
      <c r="T183" s="2">
        <v>46169</v>
      </c>
      <c r="U183" s="1" t="s">
        <v>1035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hidden="1" x14ac:dyDescent="0.25">
      <c r="A184" s="1">
        <v>264</v>
      </c>
      <c r="B184" s="1" t="s">
        <v>468</v>
      </c>
      <c r="C184" s="1" t="s">
        <v>407</v>
      </c>
      <c r="D184" s="1" t="s">
        <v>1046</v>
      </c>
      <c r="E184" s="1" t="s">
        <v>1047</v>
      </c>
      <c r="F184" s="3">
        <v>46171</v>
      </c>
      <c r="G184" s="3">
        <v>46190</v>
      </c>
      <c r="H184" s="4">
        <v>0</v>
      </c>
      <c r="L184" s="1" t="s">
        <v>144</v>
      </c>
      <c r="M184" s="1" t="s">
        <v>145</v>
      </c>
      <c r="N184" s="3">
        <v>46189</v>
      </c>
      <c r="P184" s="1" t="s">
        <v>405</v>
      </c>
      <c r="Q184" s="1" t="s">
        <v>673</v>
      </c>
      <c r="R184" s="1" t="s">
        <v>55</v>
      </c>
      <c r="S184" s="2">
        <v>46170</v>
      </c>
      <c r="T184" s="2">
        <v>46189</v>
      </c>
      <c r="U184" s="1" t="s">
        <v>1035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</row>
    <row r="185" spans="1:33" hidden="1" x14ac:dyDescent="0.25">
      <c r="A185" s="1">
        <v>285</v>
      </c>
      <c r="B185" s="1" t="s">
        <v>1048</v>
      </c>
      <c r="C185" s="1" t="s">
        <v>518</v>
      </c>
      <c r="D185" s="1" t="s">
        <v>1049</v>
      </c>
      <c r="E185" s="1" t="s">
        <v>103</v>
      </c>
      <c r="F185" s="3">
        <v>46199</v>
      </c>
      <c r="G185" s="3">
        <v>46206</v>
      </c>
      <c r="H185" s="4">
        <v>0</v>
      </c>
      <c r="L185" s="1" t="s">
        <v>144</v>
      </c>
      <c r="M185" s="1" t="s">
        <v>422</v>
      </c>
      <c r="N185" s="3">
        <v>46206</v>
      </c>
      <c r="P185" s="1" t="s">
        <v>516</v>
      </c>
      <c r="Q185" s="1" t="s">
        <v>673</v>
      </c>
      <c r="R185" s="1" t="s">
        <v>55</v>
      </c>
      <c r="S185" s="2">
        <v>46199</v>
      </c>
      <c r="T185" s="2">
        <v>46206</v>
      </c>
      <c r="U185" s="1" t="s">
        <v>1035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hidden="1" x14ac:dyDescent="0.25">
      <c r="A186" s="1">
        <v>356</v>
      </c>
      <c r="B186" s="1" t="s">
        <v>1050</v>
      </c>
      <c r="C186" s="1" t="s">
        <v>635</v>
      </c>
      <c r="D186" s="1" t="s">
        <v>1051</v>
      </c>
      <c r="E186" s="1" t="s">
        <v>1052</v>
      </c>
      <c r="F186" s="3">
        <v>46188</v>
      </c>
      <c r="G186" s="3">
        <v>46202</v>
      </c>
      <c r="H186" s="4">
        <v>0</v>
      </c>
      <c r="L186" s="1" t="s">
        <v>144</v>
      </c>
      <c r="M186" s="1" t="s">
        <v>296</v>
      </c>
      <c r="N186" s="3">
        <v>46202</v>
      </c>
      <c r="P186" s="1" t="s">
        <v>633</v>
      </c>
      <c r="Q186" s="1" t="s">
        <v>673</v>
      </c>
      <c r="R186" s="1" t="s">
        <v>55</v>
      </c>
      <c r="S186" s="2">
        <v>46188</v>
      </c>
      <c r="T186" s="2">
        <v>46202</v>
      </c>
      <c r="U186" s="1" t="s">
        <v>1035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</row>
    <row r="187" spans="1:33" hidden="1" x14ac:dyDescent="0.25">
      <c r="A187" s="1">
        <v>366</v>
      </c>
      <c r="B187" s="1" t="s">
        <v>1053</v>
      </c>
      <c r="C187" s="1" t="s">
        <v>635</v>
      </c>
      <c r="D187" s="1" t="s">
        <v>1054</v>
      </c>
      <c r="E187" s="1" t="s">
        <v>812</v>
      </c>
      <c r="F187" s="3">
        <v>46195</v>
      </c>
      <c r="G187" s="3">
        <v>46203</v>
      </c>
      <c r="H187" s="4">
        <v>0</v>
      </c>
      <c r="L187" s="1" t="s">
        <v>144</v>
      </c>
      <c r="M187" s="1" t="s">
        <v>296</v>
      </c>
      <c r="N187" s="3">
        <v>46196</v>
      </c>
      <c r="P187" s="1" t="s">
        <v>633</v>
      </c>
      <c r="Q187" s="1" t="s">
        <v>673</v>
      </c>
      <c r="R187" s="1" t="s">
        <v>55</v>
      </c>
      <c r="S187" s="2">
        <v>46188</v>
      </c>
      <c r="T187" s="2">
        <v>46196</v>
      </c>
      <c r="U187" s="1" t="s">
        <v>1035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hidden="1" x14ac:dyDescent="0.25">
      <c r="A188" s="1">
        <v>401</v>
      </c>
      <c r="B188" s="1" t="s">
        <v>1059</v>
      </c>
      <c r="C188" s="1" t="s">
        <v>635</v>
      </c>
      <c r="D188" s="1" t="s">
        <v>1060</v>
      </c>
      <c r="E188" s="1" t="s">
        <v>812</v>
      </c>
      <c r="F188" s="3">
        <v>46178</v>
      </c>
      <c r="G188" s="3">
        <v>46188</v>
      </c>
      <c r="H188" s="4">
        <v>0</v>
      </c>
      <c r="L188" s="1" t="s">
        <v>144</v>
      </c>
      <c r="M188" s="1" t="s">
        <v>148</v>
      </c>
      <c r="N188" s="3">
        <v>46181</v>
      </c>
      <c r="P188" s="1" t="s">
        <v>633</v>
      </c>
      <c r="Q188" s="1" t="s">
        <v>673</v>
      </c>
      <c r="R188" s="1" t="s">
        <v>55</v>
      </c>
      <c r="S188" s="2">
        <v>46171</v>
      </c>
      <c r="T188" s="2">
        <v>46181</v>
      </c>
      <c r="U188" s="1" t="s">
        <v>1035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</row>
    <row r="189" spans="1:33" hidden="1" x14ac:dyDescent="0.25">
      <c r="A189" s="1">
        <v>411</v>
      </c>
      <c r="B189" s="1" t="s">
        <v>1061</v>
      </c>
      <c r="C189" s="1" t="s">
        <v>635</v>
      </c>
      <c r="D189" s="1" t="s">
        <v>1062</v>
      </c>
      <c r="E189" s="1" t="s">
        <v>812</v>
      </c>
      <c r="F189" s="3">
        <v>46183</v>
      </c>
      <c r="G189" s="3">
        <v>46191</v>
      </c>
      <c r="H189" s="4">
        <v>0</v>
      </c>
      <c r="L189" s="1" t="s">
        <v>144</v>
      </c>
      <c r="M189" s="1" t="s">
        <v>218</v>
      </c>
      <c r="N189" s="3">
        <v>46184</v>
      </c>
      <c r="P189" s="1" t="s">
        <v>633</v>
      </c>
      <c r="Q189" s="1" t="s">
        <v>673</v>
      </c>
      <c r="R189" s="1" t="s">
        <v>55</v>
      </c>
      <c r="S189" s="2">
        <v>46176</v>
      </c>
      <c r="T189" s="2">
        <v>46184</v>
      </c>
      <c r="U189" s="1" t="s">
        <v>1035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</row>
    <row r="190" spans="1:33" hidden="1" x14ac:dyDescent="0.25">
      <c r="A190" s="1">
        <v>432</v>
      </c>
      <c r="B190" s="1" t="s">
        <v>714</v>
      </c>
      <c r="C190" s="1" t="s">
        <v>698</v>
      </c>
      <c r="D190" s="1" t="s">
        <v>1063</v>
      </c>
      <c r="E190" s="1" t="s">
        <v>103</v>
      </c>
      <c r="F190" s="3">
        <v>46195</v>
      </c>
      <c r="G190" s="3">
        <v>46202</v>
      </c>
      <c r="H190" s="4">
        <v>0</v>
      </c>
      <c r="L190" s="1" t="s">
        <v>144</v>
      </c>
      <c r="M190" s="1" t="s">
        <v>296</v>
      </c>
      <c r="N190" s="3">
        <v>46196</v>
      </c>
      <c r="P190" s="1" t="s">
        <v>696</v>
      </c>
      <c r="Q190" s="1" t="s">
        <v>673</v>
      </c>
      <c r="R190" s="1" t="s">
        <v>55</v>
      </c>
      <c r="S190" s="2">
        <v>46188</v>
      </c>
      <c r="T190" s="2">
        <v>46196</v>
      </c>
      <c r="U190" s="1" t="s">
        <v>1035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2"/>
  <sheetViews>
    <sheetView workbookViewId="0">
      <selection activeCell="H248" sqref="H248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4.57031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4" t="s">
        <v>7</v>
      </c>
      <c r="H1" s="1" t="s">
        <v>14</v>
      </c>
      <c r="I1" s="1" t="s">
        <v>15</v>
      </c>
      <c r="J1" s="1" t="s">
        <v>17</v>
      </c>
    </row>
    <row r="2" spans="1:10" hidden="1" x14ac:dyDescent="0.25">
      <c r="A2" s="1" t="s">
        <v>38</v>
      </c>
      <c r="B2" s="1">
        <v>1</v>
      </c>
      <c r="C2" s="1">
        <v>1</v>
      </c>
      <c r="E2" s="1" t="s">
        <v>33</v>
      </c>
      <c r="F2" s="1" t="s">
        <v>35</v>
      </c>
      <c r="G2" s="1">
        <v>0.5</v>
      </c>
      <c r="I2" s="1" t="s">
        <v>37</v>
      </c>
      <c r="J2" s="1" t="s">
        <v>39</v>
      </c>
    </row>
    <row r="3" spans="1:10" hidden="1" x14ac:dyDescent="0.25">
      <c r="A3" s="1" t="s">
        <v>45</v>
      </c>
      <c r="B3" s="1">
        <v>2</v>
      </c>
      <c r="C3" s="1" t="s">
        <v>40</v>
      </c>
      <c r="D3" s="1" t="s">
        <v>41</v>
      </c>
      <c r="E3" s="1" t="s">
        <v>42</v>
      </c>
      <c r="F3" s="1" t="s">
        <v>35</v>
      </c>
      <c r="G3" s="1">
        <v>0.5</v>
      </c>
      <c r="I3" s="1" t="s">
        <v>37</v>
      </c>
      <c r="J3" s="1" t="s">
        <v>39</v>
      </c>
    </row>
    <row r="4" spans="1:10" hidden="1" x14ac:dyDescent="0.25">
      <c r="A4" s="1" t="s">
        <v>45</v>
      </c>
      <c r="B4" s="1">
        <v>3</v>
      </c>
      <c r="C4" s="1" t="s">
        <v>46</v>
      </c>
      <c r="D4" s="1" t="s">
        <v>47</v>
      </c>
      <c r="E4" s="1" t="s">
        <v>48</v>
      </c>
      <c r="F4" s="1" t="s">
        <v>35</v>
      </c>
      <c r="G4" s="1">
        <v>0.5</v>
      </c>
      <c r="I4" s="1" t="s">
        <v>49</v>
      </c>
      <c r="J4" s="1" t="s">
        <v>39</v>
      </c>
    </row>
    <row r="5" spans="1:10" hidden="1" x14ac:dyDescent="0.25">
      <c r="A5" s="1" t="s">
        <v>38</v>
      </c>
      <c r="B5" s="1">
        <v>4</v>
      </c>
      <c r="C5" s="1" t="s">
        <v>50</v>
      </c>
      <c r="D5" s="1" t="s">
        <v>51</v>
      </c>
      <c r="E5" s="1" t="s">
        <v>52</v>
      </c>
      <c r="F5" s="1" t="s">
        <v>35</v>
      </c>
      <c r="G5" s="1">
        <v>0</v>
      </c>
      <c r="I5" s="1" t="s">
        <v>49</v>
      </c>
      <c r="J5" s="1" t="s">
        <v>55</v>
      </c>
    </row>
    <row r="6" spans="1:10" hidden="1" x14ac:dyDescent="0.25">
      <c r="A6" s="1" t="s">
        <v>65</v>
      </c>
      <c r="B6" s="1">
        <v>8</v>
      </c>
      <c r="C6" s="1" t="s">
        <v>66</v>
      </c>
      <c r="D6" s="1" t="s">
        <v>51</v>
      </c>
      <c r="E6" s="1" t="s">
        <v>67</v>
      </c>
      <c r="F6" s="1" t="s">
        <v>35</v>
      </c>
      <c r="G6" s="1">
        <v>0</v>
      </c>
      <c r="I6" s="1" t="s">
        <v>49</v>
      </c>
      <c r="J6" s="1" t="s">
        <v>55</v>
      </c>
    </row>
    <row r="7" spans="1:10" hidden="1" x14ac:dyDescent="0.25">
      <c r="A7" s="1" t="s">
        <v>38</v>
      </c>
      <c r="B7" s="1">
        <v>9</v>
      </c>
      <c r="C7" s="1" t="s">
        <v>68</v>
      </c>
      <c r="D7" s="1" t="s">
        <v>51</v>
      </c>
      <c r="E7" s="1" t="s">
        <v>69</v>
      </c>
      <c r="F7" s="1" t="s">
        <v>35</v>
      </c>
      <c r="G7" s="1">
        <v>0</v>
      </c>
      <c r="I7" s="1" t="s">
        <v>49</v>
      </c>
      <c r="J7" s="1" t="s">
        <v>55</v>
      </c>
    </row>
    <row r="8" spans="1:10" hidden="1" x14ac:dyDescent="0.25">
      <c r="A8" s="1" t="s">
        <v>38</v>
      </c>
      <c r="B8" s="1">
        <v>10</v>
      </c>
      <c r="C8" s="1" t="s">
        <v>70</v>
      </c>
      <c r="D8" s="1" t="s">
        <v>41</v>
      </c>
      <c r="E8" s="1" t="s">
        <v>71</v>
      </c>
      <c r="F8" s="1" t="s">
        <v>35</v>
      </c>
      <c r="G8" s="1">
        <v>0.5</v>
      </c>
      <c r="I8" s="1" t="s">
        <v>37</v>
      </c>
      <c r="J8" s="1" t="s">
        <v>39</v>
      </c>
    </row>
    <row r="9" spans="1:10" hidden="1" x14ac:dyDescent="0.25">
      <c r="A9" s="1" t="s">
        <v>38</v>
      </c>
      <c r="B9" s="1">
        <v>30</v>
      </c>
      <c r="C9" s="1" t="s">
        <v>129</v>
      </c>
      <c r="D9" s="1" t="s">
        <v>73</v>
      </c>
      <c r="E9" s="1" t="s">
        <v>130</v>
      </c>
      <c r="F9" s="1" t="s">
        <v>131</v>
      </c>
      <c r="G9" s="1">
        <v>0.4</v>
      </c>
      <c r="I9" s="1" t="s">
        <v>132</v>
      </c>
      <c r="J9" s="1" t="s">
        <v>39</v>
      </c>
    </row>
    <row r="10" spans="1:10" hidden="1" x14ac:dyDescent="0.25">
      <c r="A10" s="1" t="s">
        <v>138</v>
      </c>
      <c r="B10" s="1">
        <v>31</v>
      </c>
      <c r="C10" s="1" t="s">
        <v>133</v>
      </c>
      <c r="D10" s="1" t="s">
        <v>134</v>
      </c>
      <c r="E10" s="1" t="s">
        <v>135</v>
      </c>
      <c r="F10" s="1" t="s">
        <v>131</v>
      </c>
      <c r="G10" s="1">
        <v>0.34</v>
      </c>
      <c r="I10" s="1" t="s">
        <v>132</v>
      </c>
      <c r="J10" s="1" t="s">
        <v>55</v>
      </c>
    </row>
    <row r="11" spans="1:10" x14ac:dyDescent="0.25">
      <c r="A11" s="1" t="s">
        <v>138</v>
      </c>
      <c r="B11" s="1">
        <v>32</v>
      </c>
      <c r="C11" s="1" t="s">
        <v>139</v>
      </c>
      <c r="D11" s="1" t="s">
        <v>140</v>
      </c>
      <c r="E11" s="1" t="s">
        <v>94</v>
      </c>
      <c r="F11" s="1" t="s">
        <v>131</v>
      </c>
      <c r="G11" s="4">
        <v>0.8</v>
      </c>
      <c r="I11" s="1" t="s">
        <v>132</v>
      </c>
      <c r="J11" s="1" t="s">
        <v>55</v>
      </c>
    </row>
    <row r="12" spans="1:10" hidden="1" x14ac:dyDescent="0.25">
      <c r="A12" s="1" t="s">
        <v>38</v>
      </c>
      <c r="B12" s="1">
        <v>46</v>
      </c>
      <c r="C12" s="1" t="s">
        <v>164</v>
      </c>
      <c r="D12" s="1" t="s">
        <v>134</v>
      </c>
      <c r="E12" s="1" t="s">
        <v>165</v>
      </c>
      <c r="F12" s="1" t="s">
        <v>131</v>
      </c>
      <c r="G12" s="1">
        <v>0.56999999999999995</v>
      </c>
      <c r="I12" s="1" t="s">
        <v>132</v>
      </c>
      <c r="J12" s="1" t="s">
        <v>39</v>
      </c>
    </row>
    <row r="13" spans="1:10" hidden="1" x14ac:dyDescent="0.25">
      <c r="A13" s="1" t="s">
        <v>138</v>
      </c>
      <c r="B13" s="1">
        <v>51</v>
      </c>
      <c r="C13" s="1" t="s">
        <v>175</v>
      </c>
      <c r="D13" s="1" t="s">
        <v>73</v>
      </c>
      <c r="E13" s="1" t="s">
        <v>176</v>
      </c>
      <c r="F13" s="1" t="s">
        <v>35</v>
      </c>
      <c r="G13" s="1">
        <v>0.6</v>
      </c>
      <c r="I13" s="1" t="s">
        <v>178</v>
      </c>
      <c r="J13" s="1" t="s">
        <v>55</v>
      </c>
    </row>
    <row r="14" spans="1:10" hidden="1" x14ac:dyDescent="0.25">
      <c r="A14" s="1" t="s">
        <v>138</v>
      </c>
      <c r="B14" s="1">
        <v>62</v>
      </c>
      <c r="C14" s="1" t="s">
        <v>179</v>
      </c>
      <c r="D14" s="1" t="s">
        <v>180</v>
      </c>
      <c r="E14" s="1" t="s">
        <v>181</v>
      </c>
      <c r="F14" s="1" t="s">
        <v>35</v>
      </c>
      <c r="G14" s="1">
        <v>0.6</v>
      </c>
      <c r="I14" s="1" t="s">
        <v>178</v>
      </c>
      <c r="J14" s="1" t="s">
        <v>55</v>
      </c>
    </row>
    <row r="15" spans="1:10" hidden="1" x14ac:dyDescent="0.25">
      <c r="A15" s="1" t="s">
        <v>151</v>
      </c>
      <c r="B15" s="1">
        <v>65</v>
      </c>
      <c r="C15" s="1" t="s">
        <v>188</v>
      </c>
      <c r="D15" s="1" t="s">
        <v>183</v>
      </c>
      <c r="E15" s="1" t="s">
        <v>102</v>
      </c>
      <c r="F15" s="1" t="s">
        <v>35</v>
      </c>
      <c r="G15" s="1">
        <v>0.5</v>
      </c>
      <c r="I15" s="1" t="s">
        <v>178</v>
      </c>
      <c r="J15" s="1" t="s">
        <v>55</v>
      </c>
    </row>
    <row r="16" spans="1:10" hidden="1" x14ac:dyDescent="0.25">
      <c r="A16" s="1" t="s">
        <v>125</v>
      </c>
      <c r="B16" s="1">
        <v>67</v>
      </c>
      <c r="C16" s="1" t="s">
        <v>194</v>
      </c>
      <c r="D16" s="1" t="s">
        <v>73</v>
      </c>
      <c r="E16" s="1" t="s">
        <v>195</v>
      </c>
      <c r="F16" s="1" t="s">
        <v>35</v>
      </c>
      <c r="G16" s="1">
        <v>0.54</v>
      </c>
      <c r="I16" s="1" t="s">
        <v>197</v>
      </c>
      <c r="J16" s="1" t="s">
        <v>55</v>
      </c>
    </row>
    <row r="17" spans="1:10" hidden="1" x14ac:dyDescent="0.25">
      <c r="A17" s="1" t="s">
        <v>138</v>
      </c>
      <c r="B17" s="1">
        <v>83</v>
      </c>
      <c r="C17" s="1" t="s">
        <v>212</v>
      </c>
      <c r="D17" s="1" t="s">
        <v>199</v>
      </c>
      <c r="E17" s="1" t="s">
        <v>213</v>
      </c>
      <c r="F17" s="1" t="s">
        <v>131</v>
      </c>
      <c r="G17" s="1">
        <v>0.43</v>
      </c>
      <c r="I17" s="1" t="s">
        <v>197</v>
      </c>
      <c r="J17" s="1" t="s">
        <v>55</v>
      </c>
    </row>
    <row r="18" spans="1:10" hidden="1" x14ac:dyDescent="0.25">
      <c r="A18" s="1" t="s">
        <v>138</v>
      </c>
      <c r="B18" s="1">
        <v>133</v>
      </c>
      <c r="C18" s="1" t="s">
        <v>285</v>
      </c>
      <c r="D18" s="1" t="s">
        <v>199</v>
      </c>
      <c r="E18" s="1" t="s">
        <v>286</v>
      </c>
      <c r="F18" s="1" t="s">
        <v>35</v>
      </c>
      <c r="G18" s="1">
        <v>0.67</v>
      </c>
      <c r="I18" s="1" t="s">
        <v>197</v>
      </c>
      <c r="J18" s="1" t="s">
        <v>55</v>
      </c>
    </row>
    <row r="19" spans="1:10" hidden="1" x14ac:dyDescent="0.25">
      <c r="A19" s="1" t="s">
        <v>146</v>
      </c>
      <c r="B19" s="1">
        <v>135</v>
      </c>
      <c r="C19" s="1" t="s">
        <v>291</v>
      </c>
      <c r="D19" s="1" t="s">
        <v>289</v>
      </c>
      <c r="E19" s="1" t="s">
        <v>98</v>
      </c>
      <c r="F19" s="1" t="s">
        <v>35</v>
      </c>
      <c r="G19" s="1">
        <v>0</v>
      </c>
      <c r="I19" s="1" t="s">
        <v>197</v>
      </c>
      <c r="J19" s="1" t="s">
        <v>55</v>
      </c>
    </row>
    <row r="20" spans="1:10" hidden="1" x14ac:dyDescent="0.25">
      <c r="A20" s="1" t="s">
        <v>146</v>
      </c>
      <c r="B20" s="1">
        <v>136</v>
      </c>
      <c r="C20" s="1" t="s">
        <v>293</v>
      </c>
      <c r="D20" s="1" t="s">
        <v>289</v>
      </c>
      <c r="E20" s="1" t="s">
        <v>102</v>
      </c>
      <c r="F20" s="1" t="s">
        <v>131</v>
      </c>
      <c r="G20" s="1">
        <v>0</v>
      </c>
      <c r="I20" s="1" t="s">
        <v>197</v>
      </c>
      <c r="J20" s="1" t="s">
        <v>55</v>
      </c>
    </row>
    <row r="21" spans="1:10" hidden="1" x14ac:dyDescent="0.25">
      <c r="A21" s="1" t="s">
        <v>138</v>
      </c>
      <c r="B21" s="1">
        <v>138</v>
      </c>
      <c r="C21" s="1" t="s">
        <v>297</v>
      </c>
      <c r="D21" s="1" t="s">
        <v>199</v>
      </c>
      <c r="E21" s="1" t="s">
        <v>298</v>
      </c>
      <c r="F21" s="1" t="s">
        <v>35</v>
      </c>
      <c r="G21" s="1">
        <v>0.67</v>
      </c>
      <c r="I21" s="1" t="s">
        <v>197</v>
      </c>
      <c r="J21" s="1" t="s">
        <v>55</v>
      </c>
    </row>
    <row r="22" spans="1:10" hidden="1" x14ac:dyDescent="0.25">
      <c r="A22" s="1" t="s">
        <v>146</v>
      </c>
      <c r="B22" s="1">
        <v>140</v>
      </c>
      <c r="C22" s="1" t="s">
        <v>301</v>
      </c>
      <c r="D22" s="1" t="s">
        <v>300</v>
      </c>
      <c r="E22" s="1" t="s">
        <v>98</v>
      </c>
      <c r="F22" s="1" t="s">
        <v>35</v>
      </c>
      <c r="G22" s="1">
        <v>0</v>
      </c>
      <c r="I22" s="1" t="s">
        <v>197</v>
      </c>
      <c r="J22" s="1" t="s">
        <v>55</v>
      </c>
    </row>
    <row r="23" spans="1:10" hidden="1" x14ac:dyDescent="0.25">
      <c r="A23" s="1" t="s">
        <v>146</v>
      </c>
      <c r="B23" s="1">
        <v>141</v>
      </c>
      <c r="C23" s="1" t="s">
        <v>302</v>
      </c>
      <c r="D23" s="1" t="s">
        <v>300</v>
      </c>
      <c r="E23" s="1" t="s">
        <v>102</v>
      </c>
      <c r="F23" s="1" t="s">
        <v>131</v>
      </c>
      <c r="G23" s="1">
        <v>0</v>
      </c>
      <c r="I23" s="1" t="s">
        <v>197</v>
      </c>
      <c r="J23" s="1" t="s">
        <v>55</v>
      </c>
    </row>
    <row r="24" spans="1:10" hidden="1" x14ac:dyDescent="0.25">
      <c r="A24" s="1" t="s">
        <v>138</v>
      </c>
      <c r="B24" s="1">
        <v>143</v>
      </c>
      <c r="C24" s="1" t="s">
        <v>304</v>
      </c>
      <c r="D24" s="1" t="s">
        <v>199</v>
      </c>
      <c r="E24" s="1" t="s">
        <v>305</v>
      </c>
      <c r="F24" s="1" t="s">
        <v>35</v>
      </c>
      <c r="G24" s="1">
        <v>0.67</v>
      </c>
      <c r="I24" s="1" t="s">
        <v>197</v>
      </c>
      <c r="J24" s="1" t="s">
        <v>55</v>
      </c>
    </row>
    <row r="25" spans="1:10" hidden="1" x14ac:dyDescent="0.25">
      <c r="A25" s="1" t="s">
        <v>146</v>
      </c>
      <c r="B25" s="1">
        <v>145</v>
      </c>
      <c r="C25" s="1" t="s">
        <v>308</v>
      </c>
      <c r="D25" s="1" t="s">
        <v>307</v>
      </c>
      <c r="E25" s="1" t="s">
        <v>98</v>
      </c>
      <c r="F25" s="1" t="s">
        <v>35</v>
      </c>
      <c r="G25" s="1">
        <v>0</v>
      </c>
      <c r="I25" s="1" t="s">
        <v>197</v>
      </c>
      <c r="J25" s="1" t="s">
        <v>55</v>
      </c>
    </row>
    <row r="26" spans="1:10" hidden="1" x14ac:dyDescent="0.25">
      <c r="A26" s="1" t="s">
        <v>146</v>
      </c>
      <c r="B26" s="1">
        <v>146</v>
      </c>
      <c r="C26" s="1" t="s">
        <v>309</v>
      </c>
      <c r="D26" s="1" t="s">
        <v>307</v>
      </c>
      <c r="E26" s="1" t="s">
        <v>102</v>
      </c>
      <c r="F26" s="1" t="s">
        <v>131</v>
      </c>
      <c r="G26" s="1">
        <v>0</v>
      </c>
      <c r="I26" s="1" t="s">
        <v>197</v>
      </c>
      <c r="J26" s="1" t="s">
        <v>55</v>
      </c>
    </row>
    <row r="27" spans="1:10" hidden="1" x14ac:dyDescent="0.25">
      <c r="A27" s="1" t="s">
        <v>138</v>
      </c>
      <c r="B27" s="1">
        <v>148</v>
      </c>
      <c r="C27" s="1" t="s">
        <v>311</v>
      </c>
      <c r="D27" s="1" t="s">
        <v>199</v>
      </c>
      <c r="E27" s="1" t="s">
        <v>312</v>
      </c>
      <c r="F27" s="1" t="s">
        <v>35</v>
      </c>
      <c r="G27" s="1">
        <v>0.67</v>
      </c>
      <c r="I27" s="1" t="s">
        <v>197</v>
      </c>
      <c r="J27" s="1" t="s">
        <v>55</v>
      </c>
    </row>
    <row r="28" spans="1:10" hidden="1" x14ac:dyDescent="0.25">
      <c r="A28" s="1" t="s">
        <v>146</v>
      </c>
      <c r="B28" s="1">
        <v>150</v>
      </c>
      <c r="C28" s="1" t="s">
        <v>315</v>
      </c>
      <c r="D28" s="1" t="s">
        <v>314</v>
      </c>
      <c r="E28" s="1" t="s">
        <v>98</v>
      </c>
      <c r="F28" s="1" t="s">
        <v>35</v>
      </c>
      <c r="G28" s="1">
        <v>0</v>
      </c>
      <c r="I28" s="1" t="s">
        <v>197</v>
      </c>
      <c r="J28" s="1" t="s">
        <v>55</v>
      </c>
    </row>
    <row r="29" spans="1:10" hidden="1" x14ac:dyDescent="0.25">
      <c r="A29" s="1" t="s">
        <v>146</v>
      </c>
      <c r="B29" s="1">
        <v>151</v>
      </c>
      <c r="C29" s="1" t="s">
        <v>316</v>
      </c>
      <c r="D29" s="1" t="s">
        <v>314</v>
      </c>
      <c r="E29" s="1" t="s">
        <v>102</v>
      </c>
      <c r="F29" s="1" t="s">
        <v>131</v>
      </c>
      <c r="G29" s="1">
        <v>0</v>
      </c>
      <c r="I29" s="1" t="s">
        <v>197</v>
      </c>
      <c r="J29" s="1" t="s">
        <v>55</v>
      </c>
    </row>
    <row r="30" spans="1:10" hidden="1" x14ac:dyDescent="0.25">
      <c r="A30" s="1" t="s">
        <v>138</v>
      </c>
      <c r="B30" s="1">
        <v>153</v>
      </c>
      <c r="C30" s="1" t="s">
        <v>318</v>
      </c>
      <c r="D30" s="1" t="s">
        <v>199</v>
      </c>
      <c r="E30" s="1" t="s">
        <v>319</v>
      </c>
      <c r="F30" s="1" t="s">
        <v>35</v>
      </c>
      <c r="G30" s="1">
        <v>0.67</v>
      </c>
      <c r="I30" s="1" t="s">
        <v>197</v>
      </c>
      <c r="J30" s="1" t="s">
        <v>55</v>
      </c>
    </row>
    <row r="31" spans="1:10" hidden="1" x14ac:dyDescent="0.25">
      <c r="A31" s="1" t="s">
        <v>146</v>
      </c>
      <c r="B31" s="1">
        <v>155</v>
      </c>
      <c r="C31" s="1" t="s">
        <v>323</v>
      </c>
      <c r="D31" s="1" t="s">
        <v>322</v>
      </c>
      <c r="E31" s="1" t="s">
        <v>98</v>
      </c>
      <c r="F31" s="1" t="s">
        <v>35</v>
      </c>
      <c r="G31" s="1">
        <v>0</v>
      </c>
      <c r="I31" s="1" t="s">
        <v>197</v>
      </c>
      <c r="J31" s="1" t="s">
        <v>55</v>
      </c>
    </row>
    <row r="32" spans="1:10" hidden="1" x14ac:dyDescent="0.25">
      <c r="A32" s="1" t="s">
        <v>146</v>
      </c>
      <c r="B32" s="1">
        <v>156</v>
      </c>
      <c r="C32" s="1" t="s">
        <v>324</v>
      </c>
      <c r="D32" s="1" t="s">
        <v>322</v>
      </c>
      <c r="E32" s="1" t="s">
        <v>102</v>
      </c>
      <c r="F32" s="1" t="s">
        <v>131</v>
      </c>
      <c r="G32" s="1">
        <v>0</v>
      </c>
      <c r="I32" s="1" t="s">
        <v>197</v>
      </c>
      <c r="J32" s="1" t="s">
        <v>55</v>
      </c>
    </row>
    <row r="33" spans="1:10" hidden="1" x14ac:dyDescent="0.25">
      <c r="A33" s="1" t="s">
        <v>138</v>
      </c>
      <c r="B33" s="1">
        <v>158</v>
      </c>
      <c r="C33" s="1" t="s">
        <v>326</v>
      </c>
      <c r="D33" s="1" t="s">
        <v>199</v>
      </c>
      <c r="E33" s="1" t="s">
        <v>327</v>
      </c>
      <c r="F33" s="1" t="s">
        <v>35</v>
      </c>
      <c r="G33" s="1">
        <v>0.67</v>
      </c>
      <c r="I33" s="1" t="s">
        <v>197</v>
      </c>
      <c r="J33" s="1" t="s">
        <v>55</v>
      </c>
    </row>
    <row r="34" spans="1:10" hidden="1" x14ac:dyDescent="0.25">
      <c r="A34" s="1" t="s">
        <v>146</v>
      </c>
      <c r="B34" s="1">
        <v>160</v>
      </c>
      <c r="C34" s="1" t="s">
        <v>330</v>
      </c>
      <c r="D34" s="1" t="s">
        <v>329</v>
      </c>
      <c r="E34" s="1" t="s">
        <v>98</v>
      </c>
      <c r="F34" s="1" t="s">
        <v>35</v>
      </c>
      <c r="G34" s="1">
        <v>0</v>
      </c>
      <c r="I34" s="1" t="s">
        <v>197</v>
      </c>
      <c r="J34" s="1" t="s">
        <v>55</v>
      </c>
    </row>
    <row r="35" spans="1:10" hidden="1" x14ac:dyDescent="0.25">
      <c r="A35" s="1" t="s">
        <v>146</v>
      </c>
      <c r="B35" s="1">
        <v>161</v>
      </c>
      <c r="C35" s="1" t="s">
        <v>331</v>
      </c>
      <c r="D35" s="1" t="s">
        <v>329</v>
      </c>
      <c r="E35" s="1" t="s">
        <v>102</v>
      </c>
      <c r="F35" s="1" t="s">
        <v>131</v>
      </c>
      <c r="G35" s="1">
        <v>0</v>
      </c>
      <c r="I35" s="1" t="s">
        <v>197</v>
      </c>
      <c r="J35" s="1" t="s">
        <v>55</v>
      </c>
    </row>
    <row r="36" spans="1:10" hidden="1" x14ac:dyDescent="0.25">
      <c r="A36" s="1" t="s">
        <v>211</v>
      </c>
      <c r="B36" s="1">
        <v>163</v>
      </c>
      <c r="C36" s="1" t="s">
        <v>333</v>
      </c>
      <c r="D36" s="1" t="s">
        <v>199</v>
      </c>
      <c r="E36" s="1" t="s">
        <v>334</v>
      </c>
      <c r="F36" s="1" t="s">
        <v>35</v>
      </c>
      <c r="G36" s="1">
        <v>0.86</v>
      </c>
      <c r="I36" s="1" t="s">
        <v>197</v>
      </c>
      <c r="J36" s="1" t="s">
        <v>55</v>
      </c>
    </row>
    <row r="37" spans="1:10" hidden="1" x14ac:dyDescent="0.25">
      <c r="A37" s="1" t="s">
        <v>138</v>
      </c>
      <c r="B37" s="1">
        <v>166</v>
      </c>
      <c r="C37" s="1" t="s">
        <v>341</v>
      </c>
      <c r="D37" s="1" t="s">
        <v>337</v>
      </c>
      <c r="E37" s="1" t="s">
        <v>102</v>
      </c>
      <c r="F37" s="1" t="s">
        <v>35</v>
      </c>
      <c r="G37" s="1">
        <v>0.5</v>
      </c>
      <c r="I37" s="1" t="s">
        <v>197</v>
      </c>
      <c r="J37" s="1" t="s">
        <v>55</v>
      </c>
    </row>
    <row r="38" spans="1:10" hidden="1" x14ac:dyDescent="0.25">
      <c r="A38" s="1" t="s">
        <v>146</v>
      </c>
      <c r="B38" s="1">
        <v>167</v>
      </c>
      <c r="C38" s="1" t="s">
        <v>342</v>
      </c>
      <c r="D38" s="1" t="s">
        <v>337</v>
      </c>
      <c r="E38" s="1" t="s">
        <v>108</v>
      </c>
      <c r="F38" s="1" t="s">
        <v>35</v>
      </c>
      <c r="G38" s="1">
        <v>0</v>
      </c>
      <c r="I38" s="1" t="s">
        <v>197</v>
      </c>
      <c r="J38" s="1" t="s">
        <v>55</v>
      </c>
    </row>
    <row r="39" spans="1:10" hidden="1" x14ac:dyDescent="0.25">
      <c r="A39" s="1" t="s">
        <v>211</v>
      </c>
      <c r="B39" s="1">
        <v>168</v>
      </c>
      <c r="C39" s="1" t="s">
        <v>344</v>
      </c>
      <c r="D39" s="1" t="s">
        <v>199</v>
      </c>
      <c r="E39" s="1" t="s">
        <v>345</v>
      </c>
      <c r="F39" s="1" t="s">
        <v>35</v>
      </c>
      <c r="G39" s="1">
        <v>0.75</v>
      </c>
      <c r="I39" s="1" t="s">
        <v>197</v>
      </c>
      <c r="J39" s="1" t="s">
        <v>55</v>
      </c>
    </row>
    <row r="40" spans="1:10" hidden="1" x14ac:dyDescent="0.25">
      <c r="A40" s="1" t="s">
        <v>138</v>
      </c>
      <c r="B40" s="1">
        <v>170</v>
      </c>
      <c r="C40" s="1" t="s">
        <v>349</v>
      </c>
      <c r="D40" s="1" t="s">
        <v>347</v>
      </c>
      <c r="E40" s="1" t="s">
        <v>98</v>
      </c>
      <c r="F40" s="1" t="s">
        <v>35</v>
      </c>
      <c r="G40" s="1">
        <v>0.5</v>
      </c>
      <c r="I40" s="1" t="s">
        <v>197</v>
      </c>
      <c r="J40" s="1" t="s">
        <v>55</v>
      </c>
    </row>
    <row r="41" spans="1:10" hidden="1" x14ac:dyDescent="0.25">
      <c r="A41" s="1" t="s">
        <v>138</v>
      </c>
      <c r="B41" s="1">
        <v>171</v>
      </c>
      <c r="C41" s="1" t="s">
        <v>350</v>
      </c>
      <c r="D41" s="1" t="s">
        <v>347</v>
      </c>
      <c r="E41" s="1" t="s">
        <v>102</v>
      </c>
      <c r="F41" s="1" t="s">
        <v>35</v>
      </c>
      <c r="G41" s="1">
        <v>0</v>
      </c>
      <c r="I41" s="1" t="s">
        <v>197</v>
      </c>
      <c r="J41" s="1" t="s">
        <v>55</v>
      </c>
    </row>
    <row r="42" spans="1:10" hidden="1" x14ac:dyDescent="0.25">
      <c r="A42" s="1" t="s">
        <v>146</v>
      </c>
      <c r="B42" s="1">
        <v>172</v>
      </c>
      <c r="C42" s="1" t="s">
        <v>351</v>
      </c>
      <c r="D42" s="1" t="s">
        <v>347</v>
      </c>
      <c r="E42" s="1" t="s">
        <v>108</v>
      </c>
      <c r="F42" s="1" t="s">
        <v>35</v>
      </c>
      <c r="G42" s="1">
        <v>0</v>
      </c>
      <c r="I42" s="1" t="s">
        <v>197</v>
      </c>
      <c r="J42" s="1" t="s">
        <v>55</v>
      </c>
    </row>
    <row r="43" spans="1:10" hidden="1" x14ac:dyDescent="0.25">
      <c r="A43" s="1" t="s">
        <v>211</v>
      </c>
      <c r="B43" s="1">
        <v>173</v>
      </c>
      <c r="C43" s="1" t="s">
        <v>352</v>
      </c>
      <c r="D43" s="1" t="s">
        <v>199</v>
      </c>
      <c r="E43" s="1" t="s">
        <v>353</v>
      </c>
      <c r="F43" s="1" t="s">
        <v>35</v>
      </c>
      <c r="G43" s="1">
        <v>0.86</v>
      </c>
      <c r="I43" s="1" t="s">
        <v>197</v>
      </c>
      <c r="J43" s="1" t="s">
        <v>55</v>
      </c>
    </row>
    <row r="44" spans="1:10" hidden="1" x14ac:dyDescent="0.25">
      <c r="A44" s="1" t="s">
        <v>138</v>
      </c>
      <c r="B44" s="1">
        <v>176</v>
      </c>
      <c r="C44" s="1" t="s">
        <v>358</v>
      </c>
      <c r="D44" s="1" t="s">
        <v>355</v>
      </c>
      <c r="E44" s="1" t="s">
        <v>102</v>
      </c>
      <c r="F44" s="1" t="s">
        <v>35</v>
      </c>
      <c r="G44" s="1">
        <v>0.5</v>
      </c>
      <c r="I44" s="1" t="s">
        <v>197</v>
      </c>
      <c r="J44" s="1" t="s">
        <v>55</v>
      </c>
    </row>
    <row r="45" spans="1:10" hidden="1" x14ac:dyDescent="0.25">
      <c r="A45" s="1" t="s">
        <v>146</v>
      </c>
      <c r="B45" s="1">
        <v>177</v>
      </c>
      <c r="C45" s="1" t="s">
        <v>359</v>
      </c>
      <c r="D45" s="1" t="s">
        <v>355</v>
      </c>
      <c r="E45" s="1" t="s">
        <v>108</v>
      </c>
      <c r="F45" s="1" t="s">
        <v>35</v>
      </c>
      <c r="G45" s="1">
        <v>0</v>
      </c>
      <c r="I45" s="1" t="s">
        <v>197</v>
      </c>
      <c r="J45" s="1" t="s">
        <v>55</v>
      </c>
    </row>
    <row r="46" spans="1:10" hidden="1" x14ac:dyDescent="0.25">
      <c r="A46" s="1" t="s">
        <v>211</v>
      </c>
      <c r="B46" s="1">
        <v>178</v>
      </c>
      <c r="C46" s="1" t="s">
        <v>360</v>
      </c>
      <c r="D46" s="1" t="s">
        <v>199</v>
      </c>
      <c r="E46" s="1" t="s">
        <v>361</v>
      </c>
      <c r="F46" s="1" t="s">
        <v>35</v>
      </c>
      <c r="G46" s="1">
        <v>0.75</v>
      </c>
      <c r="I46" s="1" t="s">
        <v>197</v>
      </c>
      <c r="J46" s="1" t="s">
        <v>55</v>
      </c>
    </row>
    <row r="47" spans="1:10" hidden="1" x14ac:dyDescent="0.25">
      <c r="A47" s="1" t="s">
        <v>138</v>
      </c>
      <c r="B47" s="1">
        <v>180</v>
      </c>
      <c r="C47" s="1" t="s">
        <v>365</v>
      </c>
      <c r="D47" s="1" t="s">
        <v>363</v>
      </c>
      <c r="E47" s="1" t="s">
        <v>98</v>
      </c>
      <c r="F47" s="1" t="s">
        <v>35</v>
      </c>
      <c r="G47" s="1">
        <v>0.5</v>
      </c>
      <c r="I47" s="1" t="s">
        <v>197</v>
      </c>
      <c r="J47" s="1" t="s">
        <v>55</v>
      </c>
    </row>
    <row r="48" spans="1:10" hidden="1" x14ac:dyDescent="0.25">
      <c r="A48" s="1" t="s">
        <v>138</v>
      </c>
      <c r="B48" s="1">
        <v>181</v>
      </c>
      <c r="C48" s="1" t="s">
        <v>366</v>
      </c>
      <c r="D48" s="1" t="s">
        <v>363</v>
      </c>
      <c r="E48" s="1" t="s">
        <v>102</v>
      </c>
      <c r="F48" s="1" t="s">
        <v>35</v>
      </c>
      <c r="G48" s="1">
        <v>0</v>
      </c>
      <c r="I48" s="1" t="s">
        <v>197</v>
      </c>
      <c r="J48" s="1" t="s">
        <v>55</v>
      </c>
    </row>
    <row r="49" spans="1:10" hidden="1" x14ac:dyDescent="0.25">
      <c r="A49" s="1" t="s">
        <v>146</v>
      </c>
      <c r="B49" s="1">
        <v>182</v>
      </c>
      <c r="C49" s="1" t="s">
        <v>367</v>
      </c>
      <c r="D49" s="1" t="s">
        <v>363</v>
      </c>
      <c r="E49" s="1" t="s">
        <v>108</v>
      </c>
      <c r="F49" s="1" t="s">
        <v>35</v>
      </c>
      <c r="G49" s="1">
        <v>0</v>
      </c>
      <c r="I49" s="1" t="s">
        <v>197</v>
      </c>
      <c r="J49" s="1" t="s">
        <v>55</v>
      </c>
    </row>
    <row r="50" spans="1:10" hidden="1" x14ac:dyDescent="0.25">
      <c r="A50" s="1" t="s">
        <v>125</v>
      </c>
      <c r="B50" s="1">
        <v>183</v>
      </c>
      <c r="C50" s="1" t="s">
        <v>368</v>
      </c>
      <c r="D50" s="1" t="s">
        <v>199</v>
      </c>
      <c r="E50" s="1" t="s">
        <v>369</v>
      </c>
      <c r="F50" s="1" t="s">
        <v>35</v>
      </c>
      <c r="G50" s="1">
        <v>0.92</v>
      </c>
      <c r="I50" s="1" t="s">
        <v>197</v>
      </c>
      <c r="J50" s="1" t="s">
        <v>55</v>
      </c>
    </row>
    <row r="51" spans="1:10" hidden="1" x14ac:dyDescent="0.25">
      <c r="A51" s="1" t="s">
        <v>211</v>
      </c>
      <c r="B51" s="1">
        <v>186</v>
      </c>
      <c r="C51" s="1" t="s">
        <v>376</v>
      </c>
      <c r="D51" s="1" t="s">
        <v>371</v>
      </c>
      <c r="E51" s="1" t="s">
        <v>102</v>
      </c>
      <c r="F51" s="1" t="s">
        <v>35</v>
      </c>
      <c r="G51" s="1">
        <v>0.75</v>
      </c>
      <c r="I51" s="1" t="s">
        <v>197</v>
      </c>
      <c r="J51" s="1" t="s">
        <v>55</v>
      </c>
    </row>
    <row r="52" spans="1:10" hidden="1" x14ac:dyDescent="0.25">
      <c r="A52" s="1" t="s">
        <v>211</v>
      </c>
      <c r="B52" s="1">
        <v>187</v>
      </c>
      <c r="C52" s="1" t="s">
        <v>378</v>
      </c>
      <c r="D52" s="1" t="s">
        <v>371</v>
      </c>
      <c r="E52" s="1" t="s">
        <v>108</v>
      </c>
      <c r="F52" s="1" t="s">
        <v>35</v>
      </c>
      <c r="G52" s="1">
        <v>0.5</v>
      </c>
      <c r="I52" s="1" t="s">
        <v>197</v>
      </c>
      <c r="J52" s="1" t="s">
        <v>55</v>
      </c>
    </row>
    <row r="53" spans="1:10" hidden="1" x14ac:dyDescent="0.25">
      <c r="A53" s="1" t="s">
        <v>138</v>
      </c>
      <c r="B53" s="1">
        <v>188</v>
      </c>
      <c r="C53" s="1" t="s">
        <v>379</v>
      </c>
      <c r="D53" s="1" t="s">
        <v>199</v>
      </c>
      <c r="E53" s="1" t="s">
        <v>380</v>
      </c>
      <c r="F53" s="1" t="s">
        <v>35</v>
      </c>
      <c r="G53" s="1">
        <v>0.43</v>
      </c>
      <c r="I53" s="1" t="s">
        <v>197</v>
      </c>
      <c r="J53" s="1" t="s">
        <v>55</v>
      </c>
    </row>
    <row r="54" spans="1:10" hidden="1" x14ac:dyDescent="0.25">
      <c r="A54" s="1" t="s">
        <v>146</v>
      </c>
      <c r="B54" s="1">
        <v>190</v>
      </c>
      <c r="C54" s="1" t="s">
        <v>384</v>
      </c>
      <c r="D54" s="1" t="s">
        <v>382</v>
      </c>
      <c r="E54" s="1" t="s">
        <v>98</v>
      </c>
      <c r="F54" s="1" t="s">
        <v>35</v>
      </c>
      <c r="G54" s="1">
        <v>0</v>
      </c>
      <c r="I54" s="1" t="s">
        <v>197</v>
      </c>
      <c r="J54" s="1" t="s">
        <v>55</v>
      </c>
    </row>
    <row r="55" spans="1:10" hidden="1" x14ac:dyDescent="0.25">
      <c r="A55" s="1" t="s">
        <v>146</v>
      </c>
      <c r="B55" s="1">
        <v>191</v>
      </c>
      <c r="C55" s="1" t="s">
        <v>385</v>
      </c>
      <c r="D55" s="1" t="s">
        <v>382</v>
      </c>
      <c r="E55" s="1" t="s">
        <v>102</v>
      </c>
      <c r="F55" s="1" t="s">
        <v>35</v>
      </c>
      <c r="G55" s="1">
        <v>0</v>
      </c>
      <c r="I55" s="1" t="s">
        <v>197</v>
      </c>
      <c r="J55" s="1" t="s">
        <v>55</v>
      </c>
    </row>
    <row r="56" spans="1:10" hidden="1" x14ac:dyDescent="0.25">
      <c r="A56" s="1" t="s">
        <v>146</v>
      </c>
      <c r="B56" s="1">
        <v>192</v>
      </c>
      <c r="C56" s="1" t="s">
        <v>387</v>
      </c>
      <c r="D56" s="1" t="s">
        <v>382</v>
      </c>
      <c r="E56" s="1" t="s">
        <v>108</v>
      </c>
      <c r="F56" s="1" t="s">
        <v>35</v>
      </c>
      <c r="G56" s="1">
        <v>0</v>
      </c>
      <c r="I56" s="1" t="s">
        <v>197</v>
      </c>
      <c r="J56" s="1" t="s">
        <v>55</v>
      </c>
    </row>
    <row r="57" spans="1:10" hidden="1" x14ac:dyDescent="0.25">
      <c r="A57" s="1" t="s">
        <v>138</v>
      </c>
      <c r="B57" s="1">
        <v>193</v>
      </c>
      <c r="C57" s="1" t="s">
        <v>388</v>
      </c>
      <c r="D57" s="1" t="s">
        <v>199</v>
      </c>
      <c r="E57" s="1" t="s">
        <v>389</v>
      </c>
      <c r="F57" s="1" t="s">
        <v>35</v>
      </c>
      <c r="G57" s="1">
        <v>0.5</v>
      </c>
      <c r="I57" s="1" t="s">
        <v>197</v>
      </c>
      <c r="J57" s="1" t="s">
        <v>55</v>
      </c>
    </row>
    <row r="58" spans="1:10" hidden="1" x14ac:dyDescent="0.25">
      <c r="A58" s="1" t="s">
        <v>146</v>
      </c>
      <c r="B58" s="1">
        <v>195</v>
      </c>
      <c r="C58" s="1" t="s">
        <v>392</v>
      </c>
      <c r="D58" s="1" t="s">
        <v>391</v>
      </c>
      <c r="E58" s="1" t="s">
        <v>98</v>
      </c>
      <c r="F58" s="1" t="s">
        <v>35</v>
      </c>
      <c r="G58" s="1">
        <v>0.5</v>
      </c>
      <c r="I58" s="1" t="s">
        <v>197</v>
      </c>
      <c r="J58" s="1" t="s">
        <v>55</v>
      </c>
    </row>
    <row r="59" spans="1:10" hidden="1" x14ac:dyDescent="0.25">
      <c r="A59" s="1" t="s">
        <v>146</v>
      </c>
      <c r="B59" s="1">
        <v>196</v>
      </c>
      <c r="C59" s="1" t="s">
        <v>393</v>
      </c>
      <c r="D59" s="1" t="s">
        <v>391</v>
      </c>
      <c r="E59" s="1" t="s">
        <v>102</v>
      </c>
      <c r="F59" s="1" t="s">
        <v>35</v>
      </c>
      <c r="G59" s="1">
        <v>0</v>
      </c>
      <c r="I59" s="1" t="s">
        <v>197</v>
      </c>
      <c r="J59" s="1" t="s">
        <v>55</v>
      </c>
    </row>
    <row r="60" spans="1:10" hidden="1" x14ac:dyDescent="0.25">
      <c r="A60" s="1" t="s">
        <v>146</v>
      </c>
      <c r="B60" s="1">
        <v>197</v>
      </c>
      <c r="C60" s="1" t="s">
        <v>394</v>
      </c>
      <c r="D60" s="1" t="s">
        <v>391</v>
      </c>
      <c r="E60" s="1" t="s">
        <v>108</v>
      </c>
      <c r="F60" s="1" t="s">
        <v>35</v>
      </c>
      <c r="G60" s="1">
        <v>0</v>
      </c>
      <c r="I60" s="1" t="s">
        <v>197</v>
      </c>
      <c r="J60" s="1" t="s">
        <v>55</v>
      </c>
    </row>
    <row r="61" spans="1:10" hidden="1" x14ac:dyDescent="0.25">
      <c r="A61" s="1" t="s">
        <v>138</v>
      </c>
      <c r="B61" s="1">
        <v>198</v>
      </c>
      <c r="C61" s="1" t="s">
        <v>395</v>
      </c>
      <c r="D61" s="1" t="s">
        <v>199</v>
      </c>
      <c r="E61" s="1" t="s">
        <v>396</v>
      </c>
      <c r="F61" s="1" t="s">
        <v>35</v>
      </c>
      <c r="G61" s="1">
        <v>0.43</v>
      </c>
      <c r="I61" s="1" t="s">
        <v>197</v>
      </c>
      <c r="J61" s="1" t="s">
        <v>55</v>
      </c>
    </row>
    <row r="62" spans="1:10" hidden="1" x14ac:dyDescent="0.25">
      <c r="A62" s="1" t="s">
        <v>146</v>
      </c>
      <c r="B62" s="1">
        <v>200</v>
      </c>
      <c r="C62" s="1" t="s">
        <v>399</v>
      </c>
      <c r="D62" s="1" t="s">
        <v>398</v>
      </c>
      <c r="E62" s="1" t="s">
        <v>98</v>
      </c>
      <c r="F62" s="1" t="s">
        <v>35</v>
      </c>
      <c r="G62" s="1">
        <v>0</v>
      </c>
      <c r="I62" s="1" t="s">
        <v>197</v>
      </c>
      <c r="J62" s="1" t="s">
        <v>55</v>
      </c>
    </row>
    <row r="63" spans="1:10" hidden="1" x14ac:dyDescent="0.25">
      <c r="A63" s="1" t="s">
        <v>146</v>
      </c>
      <c r="B63" s="1">
        <v>201</v>
      </c>
      <c r="C63" s="1" t="s">
        <v>400</v>
      </c>
      <c r="D63" s="1" t="s">
        <v>398</v>
      </c>
      <c r="E63" s="1" t="s">
        <v>102</v>
      </c>
      <c r="F63" s="1" t="s">
        <v>35</v>
      </c>
      <c r="G63" s="1">
        <v>0</v>
      </c>
      <c r="I63" s="1" t="s">
        <v>197</v>
      </c>
      <c r="J63" s="1" t="s">
        <v>55</v>
      </c>
    </row>
    <row r="64" spans="1:10" hidden="1" x14ac:dyDescent="0.25">
      <c r="A64" s="1" t="s">
        <v>146</v>
      </c>
      <c r="B64" s="1">
        <v>202</v>
      </c>
      <c r="C64" s="1" t="s">
        <v>401</v>
      </c>
      <c r="D64" s="1" t="s">
        <v>398</v>
      </c>
      <c r="E64" s="1" t="s">
        <v>108</v>
      </c>
      <c r="F64" s="1" t="s">
        <v>35</v>
      </c>
      <c r="G64" s="1">
        <v>0</v>
      </c>
      <c r="I64" s="1" t="s">
        <v>197</v>
      </c>
      <c r="J64" s="1" t="s">
        <v>55</v>
      </c>
    </row>
    <row r="65" spans="1:10" hidden="1" x14ac:dyDescent="0.25">
      <c r="A65" s="1" t="s">
        <v>65</v>
      </c>
      <c r="B65" s="1">
        <v>203</v>
      </c>
      <c r="C65" s="1" t="s">
        <v>402</v>
      </c>
      <c r="D65" s="1" t="s">
        <v>73</v>
      </c>
      <c r="E65" s="1" t="s">
        <v>403</v>
      </c>
      <c r="F65" s="1" t="s">
        <v>35</v>
      </c>
      <c r="G65" s="1">
        <v>0.31</v>
      </c>
      <c r="I65" s="1" t="s">
        <v>405</v>
      </c>
      <c r="J65" s="1" t="s">
        <v>55</v>
      </c>
    </row>
    <row r="66" spans="1:10" hidden="1" x14ac:dyDescent="0.25">
      <c r="A66" s="1" t="s">
        <v>146</v>
      </c>
      <c r="B66" s="1">
        <v>214</v>
      </c>
      <c r="C66" s="1" t="s">
        <v>406</v>
      </c>
      <c r="D66" s="1" t="s">
        <v>407</v>
      </c>
      <c r="E66" s="1" t="s">
        <v>408</v>
      </c>
      <c r="F66" s="1" t="s">
        <v>131</v>
      </c>
      <c r="G66" s="1">
        <v>0.39</v>
      </c>
      <c r="I66" s="1" t="s">
        <v>405</v>
      </c>
      <c r="J66" s="1" t="s">
        <v>55</v>
      </c>
    </row>
    <row r="67" spans="1:10" x14ac:dyDescent="0.25">
      <c r="A67" s="1" t="s">
        <v>146</v>
      </c>
      <c r="B67" s="1">
        <v>215</v>
      </c>
      <c r="C67" s="1" t="s">
        <v>409</v>
      </c>
      <c r="D67" s="1" t="s">
        <v>410</v>
      </c>
      <c r="E67" s="1" t="s">
        <v>94</v>
      </c>
      <c r="F67" s="1" t="s">
        <v>131</v>
      </c>
      <c r="G67" s="4">
        <v>0.9</v>
      </c>
      <c r="I67" s="1" t="s">
        <v>405</v>
      </c>
      <c r="J67" s="1" t="s">
        <v>55</v>
      </c>
    </row>
    <row r="68" spans="1:10" hidden="1" x14ac:dyDescent="0.25">
      <c r="A68" s="1" t="s">
        <v>65</v>
      </c>
      <c r="B68" s="1">
        <v>244</v>
      </c>
      <c r="C68" s="1" t="s">
        <v>427</v>
      </c>
      <c r="D68" s="1" t="s">
        <v>407</v>
      </c>
      <c r="E68" s="1" t="s">
        <v>428</v>
      </c>
      <c r="F68" s="1" t="s">
        <v>35</v>
      </c>
      <c r="G68" s="1">
        <v>0.71</v>
      </c>
      <c r="I68" s="1" t="s">
        <v>405</v>
      </c>
      <c r="J68" s="1" t="s">
        <v>55</v>
      </c>
    </row>
    <row r="69" spans="1:10" hidden="1" x14ac:dyDescent="0.25">
      <c r="A69" s="1" t="s">
        <v>138</v>
      </c>
      <c r="B69" s="1">
        <v>247</v>
      </c>
      <c r="C69" s="1" t="s">
        <v>434</v>
      </c>
      <c r="D69" s="1" t="s">
        <v>430</v>
      </c>
      <c r="E69" s="1" t="s">
        <v>102</v>
      </c>
      <c r="F69" s="1" t="s">
        <v>35</v>
      </c>
      <c r="G69" s="1">
        <v>0.5</v>
      </c>
      <c r="I69" s="1" t="s">
        <v>405</v>
      </c>
      <c r="J69" s="1" t="s">
        <v>55</v>
      </c>
    </row>
    <row r="70" spans="1:10" hidden="1" x14ac:dyDescent="0.25">
      <c r="A70" s="1" t="s">
        <v>138</v>
      </c>
      <c r="B70" s="1">
        <v>248</v>
      </c>
      <c r="C70" s="1" t="s">
        <v>435</v>
      </c>
      <c r="D70" s="1" t="s">
        <v>430</v>
      </c>
      <c r="E70" s="1" t="s">
        <v>108</v>
      </c>
      <c r="F70" s="1" t="s">
        <v>35</v>
      </c>
      <c r="G70" s="1">
        <v>0</v>
      </c>
      <c r="I70" s="1" t="s">
        <v>405</v>
      </c>
      <c r="J70" s="1" t="s">
        <v>55</v>
      </c>
    </row>
    <row r="71" spans="1:10" hidden="1" x14ac:dyDescent="0.25">
      <c r="A71" s="1" t="s">
        <v>151</v>
      </c>
      <c r="B71" s="1">
        <v>314</v>
      </c>
      <c r="C71" s="1" t="s">
        <v>506</v>
      </c>
      <c r="D71" s="1" t="s">
        <v>407</v>
      </c>
      <c r="E71" s="1" t="s">
        <v>507</v>
      </c>
      <c r="F71" s="1" t="s">
        <v>131</v>
      </c>
      <c r="G71" s="1">
        <v>0</v>
      </c>
      <c r="I71" s="1" t="s">
        <v>405</v>
      </c>
      <c r="J71" s="1" t="s">
        <v>55</v>
      </c>
    </row>
    <row r="72" spans="1:10" x14ac:dyDescent="0.25">
      <c r="A72" s="1" t="s">
        <v>151</v>
      </c>
      <c r="B72" s="1">
        <v>315</v>
      </c>
      <c r="C72" s="1" t="s">
        <v>508</v>
      </c>
      <c r="D72" s="1" t="s">
        <v>509</v>
      </c>
      <c r="E72" s="1" t="s">
        <v>94</v>
      </c>
      <c r="F72" s="1" t="s">
        <v>131</v>
      </c>
      <c r="G72" s="4">
        <v>0</v>
      </c>
      <c r="I72" s="1" t="s">
        <v>405</v>
      </c>
      <c r="J72" s="1" t="s">
        <v>55</v>
      </c>
    </row>
    <row r="73" spans="1:10" hidden="1" x14ac:dyDescent="0.25">
      <c r="A73" s="1" t="s">
        <v>110</v>
      </c>
      <c r="B73" s="1">
        <v>405</v>
      </c>
      <c r="C73" s="1" t="s">
        <v>630</v>
      </c>
      <c r="D73" s="1" t="s">
        <v>73</v>
      </c>
      <c r="E73" s="1" t="s">
        <v>631</v>
      </c>
      <c r="F73" s="1" t="s">
        <v>35</v>
      </c>
      <c r="G73" s="1">
        <v>0.5</v>
      </c>
      <c r="I73" s="1" t="s">
        <v>633</v>
      </c>
      <c r="J73" s="1" t="s">
        <v>55</v>
      </c>
    </row>
    <row r="74" spans="1:10" hidden="1" x14ac:dyDescent="0.25">
      <c r="A74" s="1" t="s">
        <v>211</v>
      </c>
      <c r="B74" s="1">
        <v>416</v>
      </c>
      <c r="C74" s="1" t="s">
        <v>634</v>
      </c>
      <c r="D74" s="1" t="s">
        <v>635</v>
      </c>
      <c r="E74" s="1" t="s">
        <v>636</v>
      </c>
      <c r="F74" s="1" t="s">
        <v>35</v>
      </c>
      <c r="G74" s="1">
        <v>0.7</v>
      </c>
      <c r="I74" s="1" t="s">
        <v>633</v>
      </c>
      <c r="J74" s="1" t="s">
        <v>55</v>
      </c>
    </row>
    <row r="75" spans="1:10" hidden="1" x14ac:dyDescent="0.25">
      <c r="A75" s="1" t="s">
        <v>65</v>
      </c>
      <c r="B75" s="1">
        <v>419</v>
      </c>
      <c r="C75" s="1" t="s">
        <v>643</v>
      </c>
      <c r="D75" s="1" t="s">
        <v>639</v>
      </c>
      <c r="E75" s="1" t="s">
        <v>102</v>
      </c>
      <c r="F75" s="1" t="s">
        <v>35</v>
      </c>
      <c r="G75" s="1">
        <v>0.5</v>
      </c>
      <c r="I75" s="1" t="s">
        <v>633</v>
      </c>
      <c r="J75" s="1" t="s">
        <v>55</v>
      </c>
    </row>
    <row r="76" spans="1:10" hidden="1" x14ac:dyDescent="0.25">
      <c r="A76" s="1" t="s">
        <v>65</v>
      </c>
      <c r="B76" s="1">
        <v>420</v>
      </c>
      <c r="C76" s="1" t="s">
        <v>646</v>
      </c>
      <c r="D76" s="1" t="s">
        <v>639</v>
      </c>
      <c r="E76" s="1" t="s">
        <v>108</v>
      </c>
      <c r="F76" s="1" t="s">
        <v>35</v>
      </c>
      <c r="G76" s="1">
        <v>0</v>
      </c>
      <c r="I76" s="1" t="s">
        <v>633</v>
      </c>
      <c r="J76" s="1" t="s">
        <v>55</v>
      </c>
    </row>
    <row r="77" spans="1:10" hidden="1" x14ac:dyDescent="0.25">
      <c r="A77" s="1" t="s">
        <v>110</v>
      </c>
      <c r="B77" s="1">
        <v>426</v>
      </c>
      <c r="C77" s="1" t="s">
        <v>648</v>
      </c>
      <c r="D77" s="1" t="s">
        <v>635</v>
      </c>
      <c r="E77" s="1" t="s">
        <v>649</v>
      </c>
      <c r="F77" s="1" t="s">
        <v>35</v>
      </c>
      <c r="G77" s="1">
        <v>0.7</v>
      </c>
      <c r="I77" s="1" t="s">
        <v>633</v>
      </c>
      <c r="J77" s="1" t="s">
        <v>55</v>
      </c>
    </row>
    <row r="78" spans="1:10" hidden="1" x14ac:dyDescent="0.25">
      <c r="A78" s="1" t="s">
        <v>211</v>
      </c>
      <c r="B78" s="1">
        <v>429</v>
      </c>
      <c r="C78" s="1" t="s">
        <v>655</v>
      </c>
      <c r="D78" s="1" t="s">
        <v>651</v>
      </c>
      <c r="E78" s="1" t="s">
        <v>102</v>
      </c>
      <c r="F78" s="1" t="s">
        <v>35</v>
      </c>
      <c r="G78" s="1">
        <v>0.5</v>
      </c>
      <c r="I78" s="1" t="s">
        <v>633</v>
      </c>
      <c r="J78" s="1" t="s">
        <v>55</v>
      </c>
    </row>
    <row r="79" spans="1:10" hidden="1" x14ac:dyDescent="0.25">
      <c r="A79" s="1" t="s">
        <v>211</v>
      </c>
      <c r="B79" s="1">
        <v>430</v>
      </c>
      <c r="C79" s="1" t="s">
        <v>657</v>
      </c>
      <c r="D79" s="1" t="s">
        <v>651</v>
      </c>
      <c r="E79" s="1" t="s">
        <v>108</v>
      </c>
      <c r="F79" s="1" t="s">
        <v>35</v>
      </c>
      <c r="G79" s="1">
        <v>0</v>
      </c>
      <c r="I79" s="1" t="s">
        <v>633</v>
      </c>
      <c r="J79" s="1" t="s">
        <v>55</v>
      </c>
    </row>
    <row r="80" spans="1:10" hidden="1" x14ac:dyDescent="0.25">
      <c r="A80" s="1" t="s">
        <v>211</v>
      </c>
      <c r="B80" s="1">
        <v>446</v>
      </c>
      <c r="C80" s="1" t="s">
        <v>659</v>
      </c>
      <c r="D80" s="1" t="s">
        <v>635</v>
      </c>
      <c r="E80" s="1" t="s">
        <v>660</v>
      </c>
      <c r="F80" s="1" t="s">
        <v>131</v>
      </c>
      <c r="G80" s="1">
        <v>0.4</v>
      </c>
      <c r="I80" s="1" t="s">
        <v>633</v>
      </c>
      <c r="J80" s="1" t="s">
        <v>55</v>
      </c>
    </row>
    <row r="81" spans="1:10" hidden="1" x14ac:dyDescent="0.25">
      <c r="A81" s="1" t="s">
        <v>673</v>
      </c>
      <c r="B81" s="1">
        <v>451</v>
      </c>
      <c r="C81" s="1" t="s">
        <v>670</v>
      </c>
      <c r="D81" s="1" t="s">
        <v>635</v>
      </c>
      <c r="E81" s="1" t="s">
        <v>671</v>
      </c>
      <c r="F81" s="1" t="s">
        <v>131</v>
      </c>
      <c r="G81" s="1">
        <v>0.4</v>
      </c>
      <c r="I81" s="1" t="s">
        <v>633</v>
      </c>
      <c r="J81" s="1" t="s">
        <v>55</v>
      </c>
    </row>
    <row r="82" spans="1:10" hidden="1" x14ac:dyDescent="0.25">
      <c r="A82" s="1" t="s">
        <v>211</v>
      </c>
      <c r="B82" s="1">
        <v>471</v>
      </c>
      <c r="C82" s="1" t="s">
        <v>693</v>
      </c>
      <c r="D82" s="1" t="s">
        <v>73</v>
      </c>
      <c r="E82" s="1" t="s">
        <v>694</v>
      </c>
      <c r="F82" s="1" t="s">
        <v>35</v>
      </c>
      <c r="G82" s="1">
        <v>0.64</v>
      </c>
      <c r="I82" s="1" t="s">
        <v>696</v>
      </c>
      <c r="J82" s="1" t="s">
        <v>55</v>
      </c>
    </row>
    <row r="83" spans="1:10" hidden="1" x14ac:dyDescent="0.25">
      <c r="A83" s="1" t="s">
        <v>138</v>
      </c>
      <c r="B83" s="1">
        <v>477</v>
      </c>
      <c r="C83" s="1" t="s">
        <v>697</v>
      </c>
      <c r="D83" s="1" t="s">
        <v>698</v>
      </c>
      <c r="E83" s="1" t="s">
        <v>699</v>
      </c>
      <c r="F83" s="1" t="s">
        <v>131</v>
      </c>
      <c r="G83" s="1">
        <v>0.56000000000000005</v>
      </c>
      <c r="I83" s="1" t="s">
        <v>696</v>
      </c>
      <c r="J83" s="1" t="s">
        <v>55</v>
      </c>
    </row>
    <row r="84" spans="1:10" hidden="1" x14ac:dyDescent="0.25">
      <c r="A84" s="1" t="s">
        <v>146</v>
      </c>
      <c r="B84" s="1">
        <v>482</v>
      </c>
      <c r="C84" s="1" t="s">
        <v>707</v>
      </c>
      <c r="D84" s="1" t="s">
        <v>698</v>
      </c>
      <c r="E84" s="1" t="s">
        <v>708</v>
      </c>
      <c r="F84" s="1" t="s">
        <v>131</v>
      </c>
      <c r="G84" s="1">
        <v>0.5</v>
      </c>
      <c r="I84" s="1" t="s">
        <v>696</v>
      </c>
      <c r="J84" s="1" t="s">
        <v>55</v>
      </c>
    </row>
    <row r="85" spans="1:10" hidden="1" x14ac:dyDescent="0.25">
      <c r="A85" s="1" t="s">
        <v>146</v>
      </c>
      <c r="B85" s="1">
        <v>487</v>
      </c>
      <c r="C85" s="1" t="s">
        <v>714</v>
      </c>
      <c r="D85" s="1" t="s">
        <v>698</v>
      </c>
      <c r="E85" s="1" t="s">
        <v>715</v>
      </c>
      <c r="F85" s="1" t="s">
        <v>131</v>
      </c>
      <c r="G85" s="1">
        <v>0.5</v>
      </c>
      <c r="I85" s="1" t="s">
        <v>696</v>
      </c>
      <c r="J85" s="1" t="s">
        <v>55</v>
      </c>
    </row>
    <row r="86" spans="1:10" hidden="1" x14ac:dyDescent="0.25">
      <c r="A86" s="1" t="s">
        <v>146</v>
      </c>
      <c r="B86" s="1">
        <v>502</v>
      </c>
      <c r="C86" s="1" t="s">
        <v>723</v>
      </c>
      <c r="D86" s="1" t="s">
        <v>698</v>
      </c>
      <c r="E86" s="1" t="s">
        <v>724</v>
      </c>
      <c r="F86" s="1" t="s">
        <v>131</v>
      </c>
      <c r="G86" s="1">
        <v>0.31</v>
      </c>
      <c r="I86" s="1" t="s">
        <v>696</v>
      </c>
      <c r="J86" s="1" t="s">
        <v>55</v>
      </c>
    </row>
    <row r="87" spans="1:10" x14ac:dyDescent="0.25">
      <c r="A87" s="1" t="s">
        <v>146</v>
      </c>
      <c r="B87" s="1">
        <v>503</v>
      </c>
      <c r="C87" s="1" t="s">
        <v>725</v>
      </c>
      <c r="D87" s="1" t="s">
        <v>726</v>
      </c>
      <c r="E87" s="1" t="s">
        <v>94</v>
      </c>
      <c r="F87" s="1" t="s">
        <v>131</v>
      </c>
      <c r="G87" s="4">
        <v>0.5</v>
      </c>
      <c r="I87" s="1" t="s">
        <v>696</v>
      </c>
      <c r="J87" s="1" t="s">
        <v>55</v>
      </c>
    </row>
    <row r="88" spans="1:10" hidden="1" x14ac:dyDescent="0.25">
      <c r="A88" s="1" t="s">
        <v>211</v>
      </c>
      <c r="B88" s="1">
        <v>507</v>
      </c>
      <c r="C88" s="1" t="s">
        <v>731</v>
      </c>
      <c r="D88" s="1" t="s">
        <v>698</v>
      </c>
      <c r="E88" s="1" t="s">
        <v>732</v>
      </c>
      <c r="F88" s="1" t="s">
        <v>35</v>
      </c>
      <c r="G88" s="1">
        <v>0.8</v>
      </c>
      <c r="I88" s="1" t="s">
        <v>696</v>
      </c>
      <c r="J88" s="1" t="s">
        <v>55</v>
      </c>
    </row>
    <row r="89" spans="1:10" hidden="1" x14ac:dyDescent="0.25">
      <c r="A89" s="1" t="s">
        <v>138</v>
      </c>
      <c r="B89" s="1">
        <v>510</v>
      </c>
      <c r="C89" s="1" t="s">
        <v>737</v>
      </c>
      <c r="D89" s="1" t="s">
        <v>734</v>
      </c>
      <c r="E89" s="1" t="s">
        <v>102</v>
      </c>
      <c r="F89" s="1" t="s">
        <v>35</v>
      </c>
      <c r="G89" s="1">
        <v>0.5</v>
      </c>
      <c r="I89" s="1" t="s">
        <v>696</v>
      </c>
      <c r="J89" s="1" t="s">
        <v>55</v>
      </c>
    </row>
    <row r="90" spans="1:10" hidden="1" x14ac:dyDescent="0.25">
      <c r="A90" s="1" t="s">
        <v>138</v>
      </c>
      <c r="B90" s="1">
        <v>511</v>
      </c>
      <c r="C90" s="1" t="s">
        <v>738</v>
      </c>
      <c r="D90" s="1" t="s">
        <v>734</v>
      </c>
      <c r="E90" s="1" t="s">
        <v>108</v>
      </c>
      <c r="F90" s="1" t="s">
        <v>35</v>
      </c>
      <c r="G90" s="1">
        <v>0</v>
      </c>
      <c r="I90" s="1" t="s">
        <v>696</v>
      </c>
      <c r="J90" s="1" t="s">
        <v>55</v>
      </c>
    </row>
    <row r="91" spans="1:10" hidden="1" x14ac:dyDescent="0.25">
      <c r="A91" s="1" t="s">
        <v>211</v>
      </c>
      <c r="B91" s="1">
        <v>512</v>
      </c>
      <c r="C91" s="1" t="s">
        <v>739</v>
      </c>
      <c r="D91" s="1" t="s">
        <v>698</v>
      </c>
      <c r="E91" s="1" t="s">
        <v>740</v>
      </c>
      <c r="F91" s="1" t="s">
        <v>35</v>
      </c>
      <c r="G91" s="1">
        <v>0.8</v>
      </c>
      <c r="I91" s="1" t="s">
        <v>696</v>
      </c>
      <c r="J91" s="1" t="s">
        <v>55</v>
      </c>
    </row>
    <row r="92" spans="1:10" hidden="1" x14ac:dyDescent="0.25">
      <c r="A92" s="1" t="s">
        <v>138</v>
      </c>
      <c r="B92" s="1">
        <v>515</v>
      </c>
      <c r="C92" s="1" t="s">
        <v>746</v>
      </c>
      <c r="D92" s="1" t="s">
        <v>743</v>
      </c>
      <c r="E92" s="1" t="s">
        <v>102</v>
      </c>
      <c r="F92" s="1" t="s">
        <v>35</v>
      </c>
      <c r="G92" s="1">
        <v>0.5</v>
      </c>
      <c r="I92" s="1" t="s">
        <v>696</v>
      </c>
      <c r="J92" s="1" t="s">
        <v>55</v>
      </c>
    </row>
    <row r="93" spans="1:10" hidden="1" x14ac:dyDescent="0.25">
      <c r="A93" s="1" t="s">
        <v>138</v>
      </c>
      <c r="B93" s="1">
        <v>516</v>
      </c>
      <c r="C93" s="1" t="s">
        <v>747</v>
      </c>
      <c r="D93" s="1" t="s">
        <v>743</v>
      </c>
      <c r="E93" s="1" t="s">
        <v>108</v>
      </c>
      <c r="F93" s="1" t="s">
        <v>35</v>
      </c>
      <c r="G93" s="1">
        <v>0</v>
      </c>
      <c r="I93" s="1" t="s">
        <v>696</v>
      </c>
      <c r="J93" s="1" t="s">
        <v>55</v>
      </c>
    </row>
    <row r="94" spans="1:10" hidden="1" x14ac:dyDescent="0.25">
      <c r="A94" s="1" t="s">
        <v>211</v>
      </c>
      <c r="B94" s="1">
        <v>517</v>
      </c>
      <c r="C94" s="1" t="s">
        <v>748</v>
      </c>
      <c r="D94" s="1" t="s">
        <v>698</v>
      </c>
      <c r="E94" s="1" t="s">
        <v>749</v>
      </c>
      <c r="F94" s="1" t="s">
        <v>35</v>
      </c>
      <c r="G94" s="1">
        <v>0.8</v>
      </c>
      <c r="I94" s="1" t="s">
        <v>696</v>
      </c>
      <c r="J94" s="1" t="s">
        <v>55</v>
      </c>
    </row>
    <row r="95" spans="1:10" hidden="1" x14ac:dyDescent="0.25">
      <c r="A95" s="1" t="s">
        <v>138</v>
      </c>
      <c r="B95" s="1">
        <v>520</v>
      </c>
      <c r="C95" s="1" t="s">
        <v>753</v>
      </c>
      <c r="D95" s="1" t="s">
        <v>751</v>
      </c>
      <c r="E95" s="1" t="s">
        <v>102</v>
      </c>
      <c r="F95" s="1" t="s">
        <v>35</v>
      </c>
      <c r="G95" s="1">
        <v>0.5</v>
      </c>
      <c r="I95" s="1" t="s">
        <v>696</v>
      </c>
      <c r="J95" s="1" t="s">
        <v>55</v>
      </c>
    </row>
    <row r="96" spans="1:10" hidden="1" x14ac:dyDescent="0.25">
      <c r="A96" s="1" t="s">
        <v>138</v>
      </c>
      <c r="B96" s="1">
        <v>521</v>
      </c>
      <c r="C96" s="1" t="s">
        <v>754</v>
      </c>
      <c r="D96" s="1" t="s">
        <v>751</v>
      </c>
      <c r="E96" s="1" t="s">
        <v>108</v>
      </c>
      <c r="F96" s="1" t="s">
        <v>35</v>
      </c>
      <c r="G96" s="1">
        <v>0</v>
      </c>
      <c r="I96" s="1" t="s">
        <v>696</v>
      </c>
      <c r="J96" s="1" t="s">
        <v>55</v>
      </c>
    </row>
    <row r="97" spans="1:10" hidden="1" x14ac:dyDescent="0.25">
      <c r="A97" s="1" t="s">
        <v>146</v>
      </c>
      <c r="B97" s="1">
        <v>522</v>
      </c>
      <c r="C97" s="1" t="s">
        <v>755</v>
      </c>
      <c r="D97" s="1" t="s">
        <v>698</v>
      </c>
      <c r="E97" s="1" t="s">
        <v>756</v>
      </c>
      <c r="F97" s="1" t="s">
        <v>35</v>
      </c>
      <c r="G97" s="1">
        <v>0.56000000000000005</v>
      </c>
      <c r="I97" s="1" t="s">
        <v>696</v>
      </c>
      <c r="J97" s="1" t="s">
        <v>55</v>
      </c>
    </row>
    <row r="98" spans="1:10" hidden="1" x14ac:dyDescent="0.25">
      <c r="A98" s="1" t="s">
        <v>151</v>
      </c>
      <c r="B98" s="1">
        <v>524</v>
      </c>
      <c r="C98" s="1" t="s">
        <v>759</v>
      </c>
      <c r="D98" s="1" t="s">
        <v>758</v>
      </c>
      <c r="E98" s="1" t="s">
        <v>98</v>
      </c>
      <c r="F98" s="1" t="s">
        <v>35</v>
      </c>
      <c r="G98" s="1">
        <v>0.5</v>
      </c>
      <c r="I98" s="1" t="s">
        <v>696</v>
      </c>
      <c r="J98" s="1" t="s">
        <v>55</v>
      </c>
    </row>
    <row r="99" spans="1:10" hidden="1" x14ac:dyDescent="0.25">
      <c r="A99" s="1" t="s">
        <v>151</v>
      </c>
      <c r="B99" s="1">
        <v>525</v>
      </c>
      <c r="C99" s="1" t="s">
        <v>760</v>
      </c>
      <c r="D99" s="1" t="s">
        <v>758</v>
      </c>
      <c r="E99" s="1" t="s">
        <v>102</v>
      </c>
      <c r="F99" s="1" t="s">
        <v>35</v>
      </c>
      <c r="G99" s="1">
        <v>0</v>
      </c>
      <c r="I99" s="1" t="s">
        <v>696</v>
      </c>
      <c r="J99" s="1" t="s">
        <v>55</v>
      </c>
    </row>
    <row r="100" spans="1:10" hidden="1" x14ac:dyDescent="0.25">
      <c r="A100" s="1" t="s">
        <v>151</v>
      </c>
      <c r="B100" s="1">
        <v>526</v>
      </c>
      <c r="C100" s="1" t="s">
        <v>761</v>
      </c>
      <c r="D100" s="1" t="s">
        <v>758</v>
      </c>
      <c r="E100" s="1" t="s">
        <v>108</v>
      </c>
      <c r="F100" s="1" t="s">
        <v>131</v>
      </c>
      <c r="G100" s="1">
        <v>0</v>
      </c>
      <c r="I100" s="1" t="s">
        <v>696</v>
      </c>
      <c r="J100" s="1" t="s">
        <v>55</v>
      </c>
    </row>
    <row r="101" spans="1:10" hidden="1" x14ac:dyDescent="0.25">
      <c r="A101" s="1" t="s">
        <v>138</v>
      </c>
      <c r="B101" s="1">
        <v>527</v>
      </c>
      <c r="C101" s="1" t="s">
        <v>762</v>
      </c>
      <c r="D101" s="1" t="s">
        <v>698</v>
      </c>
      <c r="E101" s="1" t="s">
        <v>763</v>
      </c>
      <c r="F101" s="1" t="s">
        <v>35</v>
      </c>
      <c r="G101" s="1">
        <v>0.56000000000000005</v>
      </c>
      <c r="I101" s="1" t="s">
        <v>696</v>
      </c>
      <c r="J101" s="1" t="s">
        <v>55</v>
      </c>
    </row>
    <row r="102" spans="1:10" hidden="1" x14ac:dyDescent="0.25">
      <c r="A102" s="1" t="s">
        <v>146</v>
      </c>
      <c r="B102" s="1">
        <v>529</v>
      </c>
      <c r="C102" s="1" t="s">
        <v>766</v>
      </c>
      <c r="D102" s="1" t="s">
        <v>765</v>
      </c>
      <c r="E102" s="1" t="s">
        <v>98</v>
      </c>
      <c r="F102" s="1" t="s">
        <v>35</v>
      </c>
      <c r="G102" s="1">
        <v>0.5</v>
      </c>
      <c r="I102" s="1" t="s">
        <v>696</v>
      </c>
      <c r="J102" s="1" t="s">
        <v>55</v>
      </c>
    </row>
    <row r="103" spans="1:10" hidden="1" x14ac:dyDescent="0.25">
      <c r="A103" s="1" t="s">
        <v>146</v>
      </c>
      <c r="B103" s="1">
        <v>530</v>
      </c>
      <c r="C103" s="1" t="s">
        <v>767</v>
      </c>
      <c r="D103" s="1" t="s">
        <v>765</v>
      </c>
      <c r="E103" s="1" t="s">
        <v>102</v>
      </c>
      <c r="F103" s="1" t="s">
        <v>35</v>
      </c>
      <c r="G103" s="1">
        <v>0</v>
      </c>
      <c r="I103" s="1" t="s">
        <v>696</v>
      </c>
      <c r="J103" s="1" t="s">
        <v>55</v>
      </c>
    </row>
    <row r="104" spans="1:10" hidden="1" x14ac:dyDescent="0.25">
      <c r="A104" s="1" t="s">
        <v>151</v>
      </c>
      <c r="B104" s="1">
        <v>531</v>
      </c>
      <c r="C104" s="1" t="s">
        <v>768</v>
      </c>
      <c r="D104" s="1" t="s">
        <v>765</v>
      </c>
      <c r="E104" s="1" t="s">
        <v>108</v>
      </c>
      <c r="F104" s="1" t="s">
        <v>35</v>
      </c>
      <c r="G104" s="1">
        <v>0</v>
      </c>
      <c r="I104" s="1" t="s">
        <v>696</v>
      </c>
      <c r="J104" s="1" t="s">
        <v>55</v>
      </c>
    </row>
    <row r="105" spans="1:10" hidden="1" x14ac:dyDescent="0.25">
      <c r="A105" s="1" t="s">
        <v>146</v>
      </c>
      <c r="B105" s="1">
        <v>532</v>
      </c>
      <c r="C105" s="1" t="s">
        <v>769</v>
      </c>
      <c r="D105" s="1" t="s">
        <v>698</v>
      </c>
      <c r="E105" s="1" t="s">
        <v>770</v>
      </c>
      <c r="F105" s="1" t="s">
        <v>35</v>
      </c>
      <c r="G105" s="1">
        <v>0.5</v>
      </c>
      <c r="I105" s="1" t="s">
        <v>696</v>
      </c>
      <c r="J105" s="1" t="s">
        <v>55</v>
      </c>
    </row>
    <row r="106" spans="1:10" hidden="1" x14ac:dyDescent="0.25">
      <c r="A106" s="1" t="s">
        <v>151</v>
      </c>
      <c r="B106" s="1">
        <v>534</v>
      </c>
      <c r="C106" s="1" t="s">
        <v>773</v>
      </c>
      <c r="D106" s="1" t="s">
        <v>772</v>
      </c>
      <c r="E106" s="1" t="s">
        <v>98</v>
      </c>
      <c r="F106" s="1" t="s">
        <v>35</v>
      </c>
      <c r="G106" s="1">
        <v>0.5</v>
      </c>
      <c r="I106" s="1" t="s">
        <v>696</v>
      </c>
      <c r="J106" s="1" t="s">
        <v>55</v>
      </c>
    </row>
    <row r="107" spans="1:10" hidden="1" x14ac:dyDescent="0.25">
      <c r="A107" s="1" t="s">
        <v>151</v>
      </c>
      <c r="B107" s="1">
        <v>535</v>
      </c>
      <c r="C107" s="1" t="s">
        <v>774</v>
      </c>
      <c r="D107" s="1" t="s">
        <v>772</v>
      </c>
      <c r="E107" s="1" t="s">
        <v>102</v>
      </c>
      <c r="F107" s="1" t="s">
        <v>35</v>
      </c>
      <c r="G107" s="1">
        <v>0</v>
      </c>
      <c r="I107" s="1" t="s">
        <v>696</v>
      </c>
      <c r="J107" s="1" t="s">
        <v>55</v>
      </c>
    </row>
    <row r="108" spans="1:10" hidden="1" x14ac:dyDescent="0.25">
      <c r="A108" s="1" t="s">
        <v>151</v>
      </c>
      <c r="B108" s="1">
        <v>536</v>
      </c>
      <c r="C108" s="1" t="s">
        <v>775</v>
      </c>
      <c r="D108" s="1" t="s">
        <v>772</v>
      </c>
      <c r="E108" s="1" t="s">
        <v>108</v>
      </c>
      <c r="F108" s="1" t="s">
        <v>35</v>
      </c>
      <c r="G108" s="1">
        <v>0</v>
      </c>
      <c r="I108" s="1" t="s">
        <v>696</v>
      </c>
      <c r="J108" s="1" t="s">
        <v>55</v>
      </c>
    </row>
    <row r="109" spans="1:10" hidden="1" x14ac:dyDescent="0.25">
      <c r="A109" s="1" t="s">
        <v>138</v>
      </c>
      <c r="B109" s="1">
        <v>537</v>
      </c>
      <c r="C109" s="1" t="s">
        <v>776</v>
      </c>
      <c r="D109" s="1" t="s">
        <v>698</v>
      </c>
      <c r="E109" s="1" t="s">
        <v>777</v>
      </c>
      <c r="F109" s="1" t="s">
        <v>35</v>
      </c>
      <c r="G109" s="1">
        <v>0.56000000000000005</v>
      </c>
      <c r="I109" s="1" t="s">
        <v>696</v>
      </c>
      <c r="J109" s="1" t="s">
        <v>55</v>
      </c>
    </row>
    <row r="110" spans="1:10" hidden="1" x14ac:dyDescent="0.25">
      <c r="A110" s="1" t="s">
        <v>146</v>
      </c>
      <c r="B110" s="1">
        <v>539</v>
      </c>
      <c r="C110" s="1" t="s">
        <v>780</v>
      </c>
      <c r="D110" s="1" t="s">
        <v>779</v>
      </c>
      <c r="E110" s="1" t="s">
        <v>98</v>
      </c>
      <c r="F110" s="1" t="s">
        <v>35</v>
      </c>
      <c r="G110" s="1">
        <v>0.5</v>
      </c>
      <c r="I110" s="1" t="s">
        <v>696</v>
      </c>
      <c r="J110" s="1" t="s">
        <v>55</v>
      </c>
    </row>
    <row r="111" spans="1:10" hidden="1" x14ac:dyDescent="0.25">
      <c r="A111" s="1" t="s">
        <v>146</v>
      </c>
      <c r="B111" s="1">
        <v>540</v>
      </c>
      <c r="C111" s="1" t="s">
        <v>781</v>
      </c>
      <c r="D111" s="1" t="s">
        <v>779</v>
      </c>
      <c r="E111" s="1" t="s">
        <v>102</v>
      </c>
      <c r="F111" s="1" t="s">
        <v>35</v>
      </c>
      <c r="G111" s="1">
        <v>0</v>
      </c>
      <c r="I111" s="1" t="s">
        <v>696</v>
      </c>
      <c r="J111" s="1" t="s">
        <v>55</v>
      </c>
    </row>
    <row r="112" spans="1:10" hidden="1" x14ac:dyDescent="0.25">
      <c r="A112" s="1" t="s">
        <v>151</v>
      </c>
      <c r="B112" s="1">
        <v>541</v>
      </c>
      <c r="C112" s="1" t="s">
        <v>782</v>
      </c>
      <c r="D112" s="1" t="s">
        <v>779</v>
      </c>
      <c r="E112" s="1" t="s">
        <v>108</v>
      </c>
      <c r="F112" s="1" t="s">
        <v>35</v>
      </c>
      <c r="G112" s="1">
        <v>0</v>
      </c>
      <c r="I112" s="1" t="s">
        <v>696</v>
      </c>
      <c r="J112" s="1" t="s">
        <v>55</v>
      </c>
    </row>
    <row r="113" spans="1:10" hidden="1" x14ac:dyDescent="0.25">
      <c r="A113" s="1" t="s">
        <v>138</v>
      </c>
      <c r="B113" s="1">
        <v>542</v>
      </c>
      <c r="C113" s="1" t="s">
        <v>783</v>
      </c>
      <c r="D113" s="1" t="s">
        <v>698</v>
      </c>
      <c r="E113" s="1" t="s">
        <v>784</v>
      </c>
      <c r="F113" s="1" t="s">
        <v>131</v>
      </c>
      <c r="G113" s="1">
        <v>0.25</v>
      </c>
      <c r="I113" s="1" t="s">
        <v>696</v>
      </c>
      <c r="J113" s="1" t="s">
        <v>55</v>
      </c>
    </row>
    <row r="114" spans="1:10" x14ac:dyDescent="0.25">
      <c r="A114" s="1" t="s">
        <v>138</v>
      </c>
      <c r="B114" s="1">
        <v>543</v>
      </c>
      <c r="C114" s="1" t="s">
        <v>785</v>
      </c>
      <c r="D114" s="1" t="s">
        <v>786</v>
      </c>
      <c r="E114" s="1" t="s">
        <v>94</v>
      </c>
      <c r="F114" s="1" t="s">
        <v>131</v>
      </c>
      <c r="G114" s="4">
        <v>0.5</v>
      </c>
      <c r="I114" s="1" t="s">
        <v>696</v>
      </c>
      <c r="J114" s="1" t="s">
        <v>55</v>
      </c>
    </row>
    <row r="115" spans="1:10" hidden="1" x14ac:dyDescent="0.25">
      <c r="A115" s="1" t="s">
        <v>138</v>
      </c>
      <c r="B115" s="1">
        <v>567</v>
      </c>
      <c r="C115" s="1" t="s">
        <v>808</v>
      </c>
      <c r="D115" s="1" t="s">
        <v>698</v>
      </c>
      <c r="E115" s="1" t="s">
        <v>809</v>
      </c>
      <c r="F115" s="1" t="s">
        <v>35</v>
      </c>
      <c r="G115" s="1">
        <v>0.75</v>
      </c>
      <c r="I115" s="1" t="s">
        <v>696</v>
      </c>
      <c r="J115" s="1" t="s">
        <v>55</v>
      </c>
    </row>
    <row r="116" spans="1:10" hidden="1" x14ac:dyDescent="0.25">
      <c r="A116" s="1" t="s">
        <v>146</v>
      </c>
      <c r="B116" s="1">
        <v>569</v>
      </c>
      <c r="C116" s="1" t="s">
        <v>814</v>
      </c>
      <c r="D116" s="1" t="s">
        <v>811</v>
      </c>
      <c r="E116" s="1" t="s">
        <v>98</v>
      </c>
      <c r="F116" s="1" t="s">
        <v>35</v>
      </c>
      <c r="G116" s="1">
        <v>0.5</v>
      </c>
      <c r="I116" s="1" t="s">
        <v>696</v>
      </c>
      <c r="J116" s="1" t="s">
        <v>55</v>
      </c>
    </row>
    <row r="117" spans="1:10" hidden="1" x14ac:dyDescent="0.25">
      <c r="A117" s="1" t="s">
        <v>146</v>
      </c>
      <c r="B117" s="1">
        <v>570</v>
      </c>
      <c r="C117" s="1" t="s">
        <v>815</v>
      </c>
      <c r="D117" s="1" t="s">
        <v>811</v>
      </c>
      <c r="E117" s="1" t="s">
        <v>102</v>
      </c>
      <c r="F117" s="1" t="s">
        <v>35</v>
      </c>
      <c r="G117" s="1">
        <v>0</v>
      </c>
      <c r="I117" s="1" t="s">
        <v>696</v>
      </c>
      <c r="J117" s="1" t="s">
        <v>55</v>
      </c>
    </row>
    <row r="118" spans="1:10" hidden="1" x14ac:dyDescent="0.25">
      <c r="A118" s="1" t="s">
        <v>146</v>
      </c>
      <c r="B118" s="1">
        <v>571</v>
      </c>
      <c r="C118" s="1" t="s">
        <v>816</v>
      </c>
      <c r="D118" s="1" t="s">
        <v>811</v>
      </c>
      <c r="E118" s="1" t="s">
        <v>108</v>
      </c>
      <c r="F118" s="1" t="s">
        <v>35</v>
      </c>
      <c r="G118" s="1">
        <v>0</v>
      </c>
      <c r="I118" s="1" t="s">
        <v>696</v>
      </c>
      <c r="J118" s="1" t="s">
        <v>55</v>
      </c>
    </row>
    <row r="119" spans="1:10" hidden="1" x14ac:dyDescent="0.25">
      <c r="A119" s="1" t="s">
        <v>138</v>
      </c>
      <c r="B119" s="1">
        <v>572</v>
      </c>
      <c r="C119" s="1" t="s">
        <v>817</v>
      </c>
      <c r="D119" s="1" t="s">
        <v>698</v>
      </c>
      <c r="E119" s="1" t="s">
        <v>818</v>
      </c>
      <c r="F119" s="1" t="s">
        <v>35</v>
      </c>
      <c r="G119" s="1">
        <v>0.75</v>
      </c>
      <c r="I119" s="1" t="s">
        <v>696</v>
      </c>
      <c r="J119" s="1" t="s">
        <v>55</v>
      </c>
    </row>
    <row r="120" spans="1:10" hidden="1" x14ac:dyDescent="0.25">
      <c r="A120" s="1" t="s">
        <v>146</v>
      </c>
      <c r="B120" s="1">
        <v>574</v>
      </c>
      <c r="C120" s="1" t="s">
        <v>822</v>
      </c>
      <c r="D120" s="1" t="s">
        <v>820</v>
      </c>
      <c r="E120" s="1" t="s">
        <v>98</v>
      </c>
      <c r="F120" s="1" t="s">
        <v>35</v>
      </c>
      <c r="G120" s="1">
        <v>0.5</v>
      </c>
      <c r="I120" s="1" t="s">
        <v>696</v>
      </c>
      <c r="J120" s="1" t="s">
        <v>55</v>
      </c>
    </row>
    <row r="121" spans="1:10" hidden="1" x14ac:dyDescent="0.25">
      <c r="A121" s="1" t="s">
        <v>146</v>
      </c>
      <c r="B121" s="1">
        <v>575</v>
      </c>
      <c r="C121" s="1" t="s">
        <v>823</v>
      </c>
      <c r="D121" s="1" t="s">
        <v>820</v>
      </c>
      <c r="E121" s="1" t="s">
        <v>102</v>
      </c>
      <c r="F121" s="1" t="s">
        <v>35</v>
      </c>
      <c r="G121" s="1">
        <v>0</v>
      </c>
      <c r="I121" s="1" t="s">
        <v>696</v>
      </c>
      <c r="J121" s="1" t="s">
        <v>55</v>
      </c>
    </row>
    <row r="122" spans="1:10" hidden="1" x14ac:dyDescent="0.25">
      <c r="A122" s="1" t="s">
        <v>151</v>
      </c>
      <c r="B122" s="1">
        <v>576</v>
      </c>
      <c r="C122" s="1" t="s">
        <v>824</v>
      </c>
      <c r="D122" s="1" t="s">
        <v>820</v>
      </c>
      <c r="E122" s="1" t="s">
        <v>108</v>
      </c>
      <c r="F122" s="1" t="s">
        <v>35</v>
      </c>
      <c r="G122" s="1">
        <v>0</v>
      </c>
      <c r="I122" s="1" t="s">
        <v>696</v>
      </c>
      <c r="J122" s="1" t="s">
        <v>55</v>
      </c>
    </row>
    <row r="123" spans="1:10" hidden="1" x14ac:dyDescent="0.25">
      <c r="A123" s="1" t="s">
        <v>138</v>
      </c>
      <c r="B123" s="1">
        <v>577</v>
      </c>
      <c r="C123" s="1" t="s">
        <v>825</v>
      </c>
      <c r="D123" s="1" t="s">
        <v>698</v>
      </c>
      <c r="E123" s="1" t="s">
        <v>826</v>
      </c>
      <c r="F123" s="1" t="s">
        <v>35</v>
      </c>
      <c r="G123" s="1">
        <v>0.75</v>
      </c>
      <c r="I123" s="1" t="s">
        <v>696</v>
      </c>
      <c r="J123" s="1" t="s">
        <v>55</v>
      </c>
    </row>
    <row r="124" spans="1:10" hidden="1" x14ac:dyDescent="0.25">
      <c r="A124" s="1" t="s">
        <v>146</v>
      </c>
      <c r="B124" s="1">
        <v>579</v>
      </c>
      <c r="C124" s="1" t="s">
        <v>829</v>
      </c>
      <c r="D124" s="1" t="s">
        <v>828</v>
      </c>
      <c r="E124" s="1" t="s">
        <v>98</v>
      </c>
      <c r="F124" s="1" t="s">
        <v>35</v>
      </c>
      <c r="G124" s="1">
        <v>0.5</v>
      </c>
      <c r="I124" s="1" t="s">
        <v>696</v>
      </c>
      <c r="J124" s="1" t="s">
        <v>55</v>
      </c>
    </row>
    <row r="125" spans="1:10" hidden="1" x14ac:dyDescent="0.25">
      <c r="A125" s="1" t="s">
        <v>146</v>
      </c>
      <c r="B125" s="1">
        <v>580</v>
      </c>
      <c r="C125" s="1" t="s">
        <v>830</v>
      </c>
      <c r="D125" s="1" t="s">
        <v>828</v>
      </c>
      <c r="E125" s="1" t="s">
        <v>102</v>
      </c>
      <c r="F125" s="1" t="s">
        <v>35</v>
      </c>
      <c r="G125" s="1">
        <v>0</v>
      </c>
      <c r="I125" s="1" t="s">
        <v>696</v>
      </c>
      <c r="J125" s="1" t="s">
        <v>55</v>
      </c>
    </row>
    <row r="126" spans="1:10" hidden="1" x14ac:dyDescent="0.25">
      <c r="A126" s="1" t="s">
        <v>151</v>
      </c>
      <c r="B126" s="1">
        <v>581</v>
      </c>
      <c r="C126" s="1" t="s">
        <v>831</v>
      </c>
      <c r="D126" s="1" t="s">
        <v>828</v>
      </c>
      <c r="E126" s="1" t="s">
        <v>108</v>
      </c>
      <c r="F126" s="1" t="s">
        <v>35</v>
      </c>
      <c r="G126" s="1">
        <v>0</v>
      </c>
      <c r="I126" s="1" t="s">
        <v>696</v>
      </c>
      <c r="J126" s="1" t="s">
        <v>55</v>
      </c>
    </row>
    <row r="127" spans="1:10" hidden="1" x14ac:dyDescent="0.25">
      <c r="A127" s="1" t="s">
        <v>138</v>
      </c>
      <c r="B127" s="1">
        <v>582</v>
      </c>
      <c r="C127" s="1" t="s">
        <v>832</v>
      </c>
      <c r="D127" s="1" t="s">
        <v>698</v>
      </c>
      <c r="E127" s="1" t="s">
        <v>833</v>
      </c>
      <c r="F127" s="1" t="s">
        <v>35</v>
      </c>
      <c r="G127" s="1">
        <v>0.75</v>
      </c>
      <c r="I127" s="1" t="s">
        <v>696</v>
      </c>
      <c r="J127" s="1" t="s">
        <v>55</v>
      </c>
    </row>
    <row r="128" spans="1:10" hidden="1" x14ac:dyDescent="0.25">
      <c r="A128" s="1" t="s">
        <v>146</v>
      </c>
      <c r="B128" s="1">
        <v>584</v>
      </c>
      <c r="C128" s="1" t="s">
        <v>836</v>
      </c>
      <c r="D128" s="1" t="s">
        <v>835</v>
      </c>
      <c r="E128" s="1" t="s">
        <v>98</v>
      </c>
      <c r="F128" s="1" t="s">
        <v>35</v>
      </c>
      <c r="G128" s="1">
        <v>0.5</v>
      </c>
      <c r="I128" s="1" t="s">
        <v>696</v>
      </c>
      <c r="J128" s="1" t="s">
        <v>55</v>
      </c>
    </row>
    <row r="129" spans="1:10" hidden="1" x14ac:dyDescent="0.25">
      <c r="A129" s="1" t="s">
        <v>146</v>
      </c>
      <c r="B129" s="1">
        <v>585</v>
      </c>
      <c r="C129" s="1" t="s">
        <v>837</v>
      </c>
      <c r="D129" s="1" t="s">
        <v>835</v>
      </c>
      <c r="E129" s="1" t="s">
        <v>102</v>
      </c>
      <c r="F129" s="1" t="s">
        <v>35</v>
      </c>
      <c r="G129" s="1">
        <v>0</v>
      </c>
      <c r="I129" s="1" t="s">
        <v>696</v>
      </c>
      <c r="J129" s="1" t="s">
        <v>55</v>
      </c>
    </row>
    <row r="130" spans="1:10" hidden="1" x14ac:dyDescent="0.25">
      <c r="A130" s="1" t="s">
        <v>151</v>
      </c>
      <c r="B130" s="1">
        <v>586</v>
      </c>
      <c r="C130" s="1" t="s">
        <v>838</v>
      </c>
      <c r="D130" s="1" t="s">
        <v>835</v>
      </c>
      <c r="E130" s="1" t="s">
        <v>108</v>
      </c>
      <c r="F130" s="1" t="s">
        <v>35</v>
      </c>
      <c r="G130" s="1">
        <v>0</v>
      </c>
      <c r="I130" s="1" t="s">
        <v>696</v>
      </c>
      <c r="J130" s="1" t="s">
        <v>55</v>
      </c>
    </row>
    <row r="131" spans="1:10" hidden="1" x14ac:dyDescent="0.25">
      <c r="A131" s="1" t="s">
        <v>138</v>
      </c>
      <c r="B131" s="1">
        <v>587</v>
      </c>
      <c r="C131" s="1" t="s">
        <v>839</v>
      </c>
      <c r="D131" s="1" t="s">
        <v>698</v>
      </c>
      <c r="E131" s="1" t="s">
        <v>840</v>
      </c>
      <c r="F131" s="1" t="s">
        <v>35</v>
      </c>
      <c r="G131" s="1">
        <v>0.75</v>
      </c>
      <c r="I131" s="1" t="s">
        <v>696</v>
      </c>
      <c r="J131" s="1" t="s">
        <v>55</v>
      </c>
    </row>
    <row r="132" spans="1:10" hidden="1" x14ac:dyDescent="0.25">
      <c r="A132" s="1" t="s">
        <v>146</v>
      </c>
      <c r="B132" s="1">
        <v>589</v>
      </c>
      <c r="C132" s="1" t="s">
        <v>843</v>
      </c>
      <c r="D132" s="1" t="s">
        <v>842</v>
      </c>
      <c r="E132" s="1" t="s">
        <v>98</v>
      </c>
      <c r="F132" s="1" t="s">
        <v>35</v>
      </c>
      <c r="G132" s="1">
        <v>0.5</v>
      </c>
      <c r="I132" s="1" t="s">
        <v>696</v>
      </c>
      <c r="J132" s="1" t="s">
        <v>55</v>
      </c>
    </row>
    <row r="133" spans="1:10" hidden="1" x14ac:dyDescent="0.25">
      <c r="A133" s="1" t="s">
        <v>146</v>
      </c>
      <c r="B133" s="1">
        <v>590</v>
      </c>
      <c r="C133" s="1" t="s">
        <v>844</v>
      </c>
      <c r="D133" s="1" t="s">
        <v>842</v>
      </c>
      <c r="E133" s="1" t="s">
        <v>102</v>
      </c>
      <c r="F133" s="1" t="s">
        <v>35</v>
      </c>
      <c r="G133" s="1">
        <v>0</v>
      </c>
      <c r="I133" s="1" t="s">
        <v>696</v>
      </c>
      <c r="J133" s="1" t="s">
        <v>55</v>
      </c>
    </row>
    <row r="134" spans="1:10" hidden="1" x14ac:dyDescent="0.25">
      <c r="A134" s="1" t="s">
        <v>151</v>
      </c>
      <c r="B134" s="1">
        <v>591</v>
      </c>
      <c r="C134" s="1" t="s">
        <v>845</v>
      </c>
      <c r="D134" s="1" t="s">
        <v>842</v>
      </c>
      <c r="E134" s="1" t="s">
        <v>108</v>
      </c>
      <c r="F134" s="1" t="s">
        <v>35</v>
      </c>
      <c r="G134" s="1">
        <v>0</v>
      </c>
      <c r="I134" s="1" t="s">
        <v>696</v>
      </c>
      <c r="J134" s="1" t="s">
        <v>55</v>
      </c>
    </row>
    <row r="135" spans="1:10" hidden="1" x14ac:dyDescent="0.25">
      <c r="A135" s="1" t="s">
        <v>138</v>
      </c>
      <c r="B135" s="1">
        <v>592</v>
      </c>
      <c r="C135" s="1" t="s">
        <v>846</v>
      </c>
      <c r="D135" s="1" t="s">
        <v>698</v>
      </c>
      <c r="E135" s="1" t="s">
        <v>847</v>
      </c>
      <c r="F135" s="1" t="s">
        <v>35</v>
      </c>
      <c r="G135" s="1">
        <v>0.75</v>
      </c>
      <c r="I135" s="1" t="s">
        <v>696</v>
      </c>
      <c r="J135" s="1" t="s">
        <v>55</v>
      </c>
    </row>
    <row r="136" spans="1:10" hidden="1" x14ac:dyDescent="0.25">
      <c r="A136" s="1" t="s">
        <v>146</v>
      </c>
      <c r="B136" s="1">
        <v>594</v>
      </c>
      <c r="C136" s="1" t="s">
        <v>850</v>
      </c>
      <c r="D136" s="1" t="s">
        <v>849</v>
      </c>
      <c r="E136" s="1" t="s">
        <v>98</v>
      </c>
      <c r="F136" s="1" t="s">
        <v>35</v>
      </c>
      <c r="G136" s="1">
        <v>0.5</v>
      </c>
      <c r="I136" s="1" t="s">
        <v>696</v>
      </c>
      <c r="J136" s="1" t="s">
        <v>55</v>
      </c>
    </row>
    <row r="137" spans="1:10" hidden="1" x14ac:dyDescent="0.25">
      <c r="A137" s="1" t="s">
        <v>146</v>
      </c>
      <c r="B137" s="1">
        <v>595</v>
      </c>
      <c r="C137" s="1" t="s">
        <v>851</v>
      </c>
      <c r="D137" s="1" t="s">
        <v>849</v>
      </c>
      <c r="E137" s="1" t="s">
        <v>102</v>
      </c>
      <c r="F137" s="1" t="s">
        <v>35</v>
      </c>
      <c r="G137" s="1">
        <v>0</v>
      </c>
      <c r="I137" s="1" t="s">
        <v>696</v>
      </c>
      <c r="J137" s="1" t="s">
        <v>55</v>
      </c>
    </row>
    <row r="138" spans="1:10" hidden="1" x14ac:dyDescent="0.25">
      <c r="A138" s="1" t="s">
        <v>151</v>
      </c>
      <c r="B138" s="1">
        <v>596</v>
      </c>
      <c r="C138" s="1" t="s">
        <v>852</v>
      </c>
      <c r="D138" s="1" t="s">
        <v>849</v>
      </c>
      <c r="E138" s="1" t="s">
        <v>108</v>
      </c>
      <c r="F138" s="1" t="s">
        <v>35</v>
      </c>
      <c r="G138" s="1">
        <v>0</v>
      </c>
      <c r="I138" s="1" t="s">
        <v>696</v>
      </c>
      <c r="J138" s="1" t="s">
        <v>55</v>
      </c>
    </row>
    <row r="139" spans="1:10" hidden="1" x14ac:dyDescent="0.25">
      <c r="A139" s="1" t="s">
        <v>138</v>
      </c>
      <c r="B139" s="1">
        <v>597</v>
      </c>
      <c r="C139" s="1" t="s">
        <v>853</v>
      </c>
      <c r="D139" s="1" t="s">
        <v>698</v>
      </c>
      <c r="E139" s="1" t="s">
        <v>854</v>
      </c>
      <c r="F139" s="1" t="s">
        <v>35</v>
      </c>
      <c r="G139" s="1">
        <v>0.75</v>
      </c>
      <c r="I139" s="1" t="s">
        <v>696</v>
      </c>
      <c r="J139" s="1" t="s">
        <v>55</v>
      </c>
    </row>
    <row r="140" spans="1:10" hidden="1" x14ac:dyDescent="0.25">
      <c r="A140" s="1" t="s">
        <v>146</v>
      </c>
      <c r="B140" s="1">
        <v>599</v>
      </c>
      <c r="C140" s="1" t="s">
        <v>857</v>
      </c>
      <c r="D140" s="1" t="s">
        <v>856</v>
      </c>
      <c r="E140" s="1" t="s">
        <v>98</v>
      </c>
      <c r="F140" s="1" t="s">
        <v>35</v>
      </c>
      <c r="G140" s="1">
        <v>0.5</v>
      </c>
      <c r="I140" s="1" t="s">
        <v>696</v>
      </c>
      <c r="J140" s="1" t="s">
        <v>55</v>
      </c>
    </row>
    <row r="141" spans="1:10" hidden="1" x14ac:dyDescent="0.25">
      <c r="A141" s="1" t="s">
        <v>146</v>
      </c>
      <c r="B141" s="1">
        <v>600</v>
      </c>
      <c r="C141" s="1" t="s">
        <v>858</v>
      </c>
      <c r="D141" s="1" t="s">
        <v>856</v>
      </c>
      <c r="E141" s="1" t="s">
        <v>102</v>
      </c>
      <c r="F141" s="1" t="s">
        <v>35</v>
      </c>
      <c r="G141" s="1">
        <v>0</v>
      </c>
      <c r="I141" s="1" t="s">
        <v>696</v>
      </c>
      <c r="J141" s="1" t="s">
        <v>55</v>
      </c>
    </row>
    <row r="142" spans="1:10" hidden="1" x14ac:dyDescent="0.25">
      <c r="A142" s="1" t="s">
        <v>151</v>
      </c>
      <c r="B142" s="1">
        <v>601</v>
      </c>
      <c r="C142" s="1" t="s">
        <v>859</v>
      </c>
      <c r="D142" s="1" t="s">
        <v>856</v>
      </c>
      <c r="E142" s="1" t="s">
        <v>108</v>
      </c>
      <c r="F142" s="1" t="s">
        <v>35</v>
      </c>
      <c r="G142" s="1">
        <v>0</v>
      </c>
      <c r="I142" s="1" t="s">
        <v>696</v>
      </c>
      <c r="J142" s="1" t="s">
        <v>55</v>
      </c>
    </row>
    <row r="143" spans="1:10" hidden="1" x14ac:dyDescent="0.25">
      <c r="A143" s="1" t="s">
        <v>138</v>
      </c>
      <c r="B143" s="1">
        <v>602</v>
      </c>
      <c r="C143" s="1" t="s">
        <v>860</v>
      </c>
      <c r="D143" s="1" t="s">
        <v>698</v>
      </c>
      <c r="E143" s="1" t="s">
        <v>861</v>
      </c>
      <c r="F143" s="1" t="s">
        <v>35</v>
      </c>
      <c r="G143" s="1">
        <v>0.75</v>
      </c>
      <c r="I143" s="1" t="s">
        <v>696</v>
      </c>
      <c r="J143" s="1" t="s">
        <v>55</v>
      </c>
    </row>
    <row r="144" spans="1:10" hidden="1" x14ac:dyDescent="0.25">
      <c r="A144" s="1" t="s">
        <v>146</v>
      </c>
      <c r="B144" s="1">
        <v>604</v>
      </c>
      <c r="C144" s="1" t="s">
        <v>864</v>
      </c>
      <c r="D144" s="1" t="s">
        <v>863</v>
      </c>
      <c r="E144" s="1" t="s">
        <v>98</v>
      </c>
      <c r="F144" s="1" t="s">
        <v>35</v>
      </c>
      <c r="G144" s="1">
        <v>0.5</v>
      </c>
      <c r="I144" s="1" t="s">
        <v>696</v>
      </c>
      <c r="J144" s="1" t="s">
        <v>55</v>
      </c>
    </row>
    <row r="145" spans="1:10" hidden="1" x14ac:dyDescent="0.25">
      <c r="A145" s="1" t="s">
        <v>146</v>
      </c>
      <c r="B145" s="1">
        <v>605</v>
      </c>
      <c r="C145" s="1" t="s">
        <v>865</v>
      </c>
      <c r="D145" s="1" t="s">
        <v>863</v>
      </c>
      <c r="E145" s="1" t="s">
        <v>102</v>
      </c>
      <c r="F145" s="1" t="s">
        <v>35</v>
      </c>
      <c r="G145" s="1">
        <v>0</v>
      </c>
      <c r="I145" s="1" t="s">
        <v>696</v>
      </c>
      <c r="J145" s="1" t="s">
        <v>55</v>
      </c>
    </row>
    <row r="146" spans="1:10" hidden="1" x14ac:dyDescent="0.25">
      <c r="A146" s="1" t="s">
        <v>151</v>
      </c>
      <c r="B146" s="1">
        <v>606</v>
      </c>
      <c r="C146" s="1" t="s">
        <v>866</v>
      </c>
      <c r="D146" s="1" t="s">
        <v>863</v>
      </c>
      <c r="E146" s="1" t="s">
        <v>108</v>
      </c>
      <c r="F146" s="1" t="s">
        <v>35</v>
      </c>
      <c r="G146" s="1">
        <v>0</v>
      </c>
      <c r="I146" s="1" t="s">
        <v>696</v>
      </c>
      <c r="J146" s="1" t="s">
        <v>55</v>
      </c>
    </row>
    <row r="147" spans="1:10" hidden="1" x14ac:dyDescent="0.25">
      <c r="A147" s="1" t="s">
        <v>138</v>
      </c>
      <c r="B147" s="1">
        <v>607</v>
      </c>
      <c r="C147" s="1" t="s">
        <v>867</v>
      </c>
      <c r="D147" s="1" t="s">
        <v>698</v>
      </c>
      <c r="E147" s="1" t="s">
        <v>868</v>
      </c>
      <c r="F147" s="1" t="s">
        <v>35</v>
      </c>
      <c r="G147" s="1">
        <v>0.72</v>
      </c>
      <c r="I147" s="1" t="s">
        <v>696</v>
      </c>
      <c r="J147" s="1" t="s">
        <v>55</v>
      </c>
    </row>
    <row r="148" spans="1:10" hidden="1" x14ac:dyDescent="0.25">
      <c r="A148" s="1" t="s">
        <v>146</v>
      </c>
      <c r="B148" s="1">
        <v>609</v>
      </c>
      <c r="C148" s="1" t="s">
        <v>871</v>
      </c>
      <c r="D148" s="1" t="s">
        <v>870</v>
      </c>
      <c r="E148" s="1" t="s">
        <v>98</v>
      </c>
      <c r="F148" s="1" t="s">
        <v>35</v>
      </c>
      <c r="G148" s="1">
        <v>0.15</v>
      </c>
      <c r="I148" s="1" t="s">
        <v>696</v>
      </c>
      <c r="J148" s="1" t="s">
        <v>55</v>
      </c>
    </row>
    <row r="149" spans="1:10" hidden="1" x14ac:dyDescent="0.25">
      <c r="A149" s="1" t="s">
        <v>146</v>
      </c>
      <c r="B149" s="1">
        <v>610</v>
      </c>
      <c r="C149" s="1" t="s">
        <v>872</v>
      </c>
      <c r="D149" s="1" t="s">
        <v>870</v>
      </c>
      <c r="E149" s="1" t="s">
        <v>102</v>
      </c>
      <c r="F149" s="1" t="s">
        <v>35</v>
      </c>
      <c r="G149" s="1">
        <v>0</v>
      </c>
      <c r="I149" s="1" t="s">
        <v>696</v>
      </c>
      <c r="J149" s="1" t="s">
        <v>55</v>
      </c>
    </row>
    <row r="150" spans="1:10" hidden="1" x14ac:dyDescent="0.25">
      <c r="A150" s="1" t="s">
        <v>146</v>
      </c>
      <c r="B150" s="1">
        <v>611</v>
      </c>
      <c r="C150" s="1" t="s">
        <v>873</v>
      </c>
      <c r="D150" s="1" t="s">
        <v>870</v>
      </c>
      <c r="E150" s="1" t="s">
        <v>108</v>
      </c>
      <c r="F150" s="1" t="s">
        <v>35</v>
      </c>
      <c r="G150" s="1">
        <v>0</v>
      </c>
      <c r="I150" s="1" t="s">
        <v>696</v>
      </c>
      <c r="J150" s="1" t="s">
        <v>55</v>
      </c>
    </row>
    <row r="151" spans="1:10" hidden="1" x14ac:dyDescent="0.25">
      <c r="A151" s="1" t="s">
        <v>138</v>
      </c>
      <c r="B151" s="1">
        <v>612</v>
      </c>
      <c r="C151" s="1" t="s">
        <v>874</v>
      </c>
      <c r="D151" s="1" t="s">
        <v>698</v>
      </c>
      <c r="E151" s="1" t="s">
        <v>875</v>
      </c>
      <c r="F151" s="1" t="s">
        <v>35</v>
      </c>
      <c r="G151" s="1">
        <v>0.72</v>
      </c>
      <c r="I151" s="1" t="s">
        <v>696</v>
      </c>
      <c r="J151" s="1" t="s">
        <v>55</v>
      </c>
    </row>
    <row r="152" spans="1:10" hidden="1" x14ac:dyDescent="0.25">
      <c r="A152" s="1" t="s">
        <v>146</v>
      </c>
      <c r="B152" s="1">
        <v>614</v>
      </c>
      <c r="C152" s="1" t="s">
        <v>878</v>
      </c>
      <c r="D152" s="1" t="s">
        <v>877</v>
      </c>
      <c r="E152" s="1" t="s">
        <v>98</v>
      </c>
      <c r="F152" s="1" t="s">
        <v>35</v>
      </c>
      <c r="G152" s="1">
        <v>0.15</v>
      </c>
      <c r="I152" s="1" t="s">
        <v>696</v>
      </c>
      <c r="J152" s="1" t="s">
        <v>55</v>
      </c>
    </row>
    <row r="153" spans="1:10" hidden="1" x14ac:dyDescent="0.25">
      <c r="A153" s="1" t="s">
        <v>146</v>
      </c>
      <c r="B153" s="1">
        <v>615</v>
      </c>
      <c r="C153" s="1" t="s">
        <v>879</v>
      </c>
      <c r="D153" s="1" t="s">
        <v>877</v>
      </c>
      <c r="E153" s="1" t="s">
        <v>102</v>
      </c>
      <c r="F153" s="1" t="s">
        <v>35</v>
      </c>
      <c r="G153" s="1">
        <v>0</v>
      </c>
      <c r="I153" s="1" t="s">
        <v>696</v>
      </c>
      <c r="J153" s="1" t="s">
        <v>55</v>
      </c>
    </row>
    <row r="154" spans="1:10" hidden="1" x14ac:dyDescent="0.25">
      <c r="A154" s="1" t="s">
        <v>146</v>
      </c>
      <c r="B154" s="1">
        <v>616</v>
      </c>
      <c r="C154" s="1" t="s">
        <v>880</v>
      </c>
      <c r="D154" s="1" t="s">
        <v>877</v>
      </c>
      <c r="E154" s="1" t="s">
        <v>108</v>
      </c>
      <c r="F154" s="1" t="s">
        <v>35</v>
      </c>
      <c r="G154" s="1">
        <v>0</v>
      </c>
      <c r="I154" s="1" t="s">
        <v>696</v>
      </c>
      <c r="J154" s="1" t="s">
        <v>55</v>
      </c>
    </row>
    <row r="155" spans="1:10" hidden="1" x14ac:dyDescent="0.25">
      <c r="A155" s="1" t="s">
        <v>138</v>
      </c>
      <c r="B155" s="1">
        <v>617</v>
      </c>
      <c r="C155" s="1" t="s">
        <v>881</v>
      </c>
      <c r="D155" s="1" t="s">
        <v>698</v>
      </c>
      <c r="E155" s="1" t="s">
        <v>882</v>
      </c>
      <c r="F155" s="1" t="s">
        <v>35</v>
      </c>
      <c r="G155" s="1">
        <v>0.72</v>
      </c>
      <c r="I155" s="1" t="s">
        <v>696</v>
      </c>
      <c r="J155" s="1" t="s">
        <v>55</v>
      </c>
    </row>
    <row r="156" spans="1:10" hidden="1" x14ac:dyDescent="0.25">
      <c r="A156" s="1" t="s">
        <v>146</v>
      </c>
      <c r="B156" s="1">
        <v>619</v>
      </c>
      <c r="C156" s="1" t="s">
        <v>885</v>
      </c>
      <c r="D156" s="1" t="s">
        <v>884</v>
      </c>
      <c r="E156" s="1" t="s">
        <v>98</v>
      </c>
      <c r="F156" s="1" t="s">
        <v>35</v>
      </c>
      <c r="G156" s="1">
        <v>0.15</v>
      </c>
      <c r="I156" s="1" t="s">
        <v>696</v>
      </c>
      <c r="J156" s="1" t="s">
        <v>55</v>
      </c>
    </row>
    <row r="157" spans="1:10" hidden="1" x14ac:dyDescent="0.25">
      <c r="A157" s="1" t="s">
        <v>146</v>
      </c>
      <c r="B157" s="1">
        <v>620</v>
      </c>
      <c r="C157" s="1" t="s">
        <v>886</v>
      </c>
      <c r="D157" s="1" t="s">
        <v>884</v>
      </c>
      <c r="E157" s="1" t="s">
        <v>102</v>
      </c>
      <c r="F157" s="1" t="s">
        <v>35</v>
      </c>
      <c r="G157" s="1">
        <v>0</v>
      </c>
      <c r="I157" s="1" t="s">
        <v>696</v>
      </c>
      <c r="J157" s="1" t="s">
        <v>55</v>
      </c>
    </row>
    <row r="158" spans="1:10" hidden="1" x14ac:dyDescent="0.25">
      <c r="A158" s="1" t="s">
        <v>146</v>
      </c>
      <c r="B158" s="1">
        <v>621</v>
      </c>
      <c r="C158" s="1" t="s">
        <v>887</v>
      </c>
      <c r="D158" s="1" t="s">
        <v>884</v>
      </c>
      <c r="E158" s="1" t="s">
        <v>108</v>
      </c>
      <c r="F158" s="1" t="s">
        <v>35</v>
      </c>
      <c r="G158" s="1">
        <v>0</v>
      </c>
      <c r="I158" s="1" t="s">
        <v>696</v>
      </c>
      <c r="J158" s="1" t="s">
        <v>55</v>
      </c>
    </row>
    <row r="159" spans="1:10" hidden="1" x14ac:dyDescent="0.25">
      <c r="A159" s="1" t="s">
        <v>138</v>
      </c>
      <c r="B159" s="1">
        <v>622</v>
      </c>
      <c r="C159" s="1" t="s">
        <v>888</v>
      </c>
      <c r="D159" s="1" t="s">
        <v>698</v>
      </c>
      <c r="E159" s="1" t="s">
        <v>889</v>
      </c>
      <c r="F159" s="1" t="s">
        <v>35</v>
      </c>
      <c r="G159" s="1">
        <v>0.72</v>
      </c>
      <c r="I159" s="1" t="s">
        <v>696</v>
      </c>
      <c r="J159" s="1" t="s">
        <v>55</v>
      </c>
    </row>
    <row r="160" spans="1:10" hidden="1" x14ac:dyDescent="0.25">
      <c r="A160" s="1" t="s">
        <v>146</v>
      </c>
      <c r="B160" s="1">
        <v>624</v>
      </c>
      <c r="C160" s="1" t="s">
        <v>892</v>
      </c>
      <c r="D160" s="1" t="s">
        <v>891</v>
      </c>
      <c r="E160" s="1" t="s">
        <v>98</v>
      </c>
      <c r="F160" s="1" t="s">
        <v>35</v>
      </c>
      <c r="G160" s="1">
        <v>0.15</v>
      </c>
      <c r="I160" s="1" t="s">
        <v>696</v>
      </c>
      <c r="J160" s="1" t="s">
        <v>55</v>
      </c>
    </row>
    <row r="161" spans="1:10" hidden="1" x14ac:dyDescent="0.25">
      <c r="A161" s="1" t="s">
        <v>146</v>
      </c>
      <c r="B161" s="1">
        <v>625</v>
      </c>
      <c r="C161" s="1" t="s">
        <v>893</v>
      </c>
      <c r="D161" s="1" t="s">
        <v>891</v>
      </c>
      <c r="E161" s="1" t="s">
        <v>102</v>
      </c>
      <c r="F161" s="1" t="s">
        <v>35</v>
      </c>
      <c r="G161" s="1">
        <v>0</v>
      </c>
      <c r="I161" s="1" t="s">
        <v>696</v>
      </c>
      <c r="J161" s="1" t="s">
        <v>55</v>
      </c>
    </row>
    <row r="162" spans="1:10" hidden="1" x14ac:dyDescent="0.25">
      <c r="A162" s="1" t="s">
        <v>146</v>
      </c>
      <c r="B162" s="1">
        <v>626</v>
      </c>
      <c r="C162" s="1" t="s">
        <v>894</v>
      </c>
      <c r="D162" s="1" t="s">
        <v>891</v>
      </c>
      <c r="E162" s="1" t="s">
        <v>108</v>
      </c>
      <c r="F162" s="1" t="s">
        <v>35</v>
      </c>
      <c r="G162" s="1">
        <v>0</v>
      </c>
      <c r="I162" s="1" t="s">
        <v>696</v>
      </c>
      <c r="J162" s="1" t="s">
        <v>55</v>
      </c>
    </row>
    <row r="163" spans="1:10" hidden="1" x14ac:dyDescent="0.25">
      <c r="A163" s="1" t="s">
        <v>138</v>
      </c>
      <c r="B163" s="1">
        <v>627</v>
      </c>
      <c r="C163" s="1" t="s">
        <v>895</v>
      </c>
      <c r="D163" s="1" t="s">
        <v>698</v>
      </c>
      <c r="E163" s="1" t="s">
        <v>896</v>
      </c>
      <c r="F163" s="1" t="s">
        <v>35</v>
      </c>
      <c r="G163" s="1">
        <v>0.72</v>
      </c>
      <c r="I163" s="1" t="s">
        <v>696</v>
      </c>
      <c r="J163" s="1" t="s">
        <v>55</v>
      </c>
    </row>
    <row r="164" spans="1:10" hidden="1" x14ac:dyDescent="0.25">
      <c r="A164" s="1" t="s">
        <v>146</v>
      </c>
      <c r="B164" s="1">
        <v>629</v>
      </c>
      <c r="C164" s="1" t="s">
        <v>899</v>
      </c>
      <c r="D164" s="1" t="s">
        <v>898</v>
      </c>
      <c r="E164" s="1" t="s">
        <v>98</v>
      </c>
      <c r="F164" s="1" t="s">
        <v>35</v>
      </c>
      <c r="G164" s="1">
        <v>0.15</v>
      </c>
      <c r="I164" s="1" t="s">
        <v>696</v>
      </c>
      <c r="J164" s="1" t="s">
        <v>55</v>
      </c>
    </row>
    <row r="165" spans="1:10" hidden="1" x14ac:dyDescent="0.25">
      <c r="A165" s="1" t="s">
        <v>146</v>
      </c>
      <c r="B165" s="1">
        <v>630</v>
      </c>
      <c r="C165" s="1" t="s">
        <v>900</v>
      </c>
      <c r="D165" s="1" t="s">
        <v>898</v>
      </c>
      <c r="E165" s="1" t="s">
        <v>102</v>
      </c>
      <c r="F165" s="1" t="s">
        <v>35</v>
      </c>
      <c r="G165" s="1">
        <v>0</v>
      </c>
      <c r="I165" s="1" t="s">
        <v>696</v>
      </c>
      <c r="J165" s="1" t="s">
        <v>55</v>
      </c>
    </row>
    <row r="166" spans="1:10" hidden="1" x14ac:dyDescent="0.25">
      <c r="A166" s="1" t="s">
        <v>146</v>
      </c>
      <c r="B166" s="1">
        <v>631</v>
      </c>
      <c r="C166" s="1" t="s">
        <v>901</v>
      </c>
      <c r="D166" s="1" t="s">
        <v>898</v>
      </c>
      <c r="E166" s="1" t="s">
        <v>108</v>
      </c>
      <c r="F166" s="1" t="s">
        <v>35</v>
      </c>
      <c r="G166" s="1">
        <v>0</v>
      </c>
      <c r="I166" s="1" t="s">
        <v>696</v>
      </c>
      <c r="J166" s="1" t="s">
        <v>55</v>
      </c>
    </row>
    <row r="167" spans="1:10" hidden="1" x14ac:dyDescent="0.25">
      <c r="A167" s="1" t="s">
        <v>138</v>
      </c>
      <c r="B167" s="1">
        <v>632</v>
      </c>
      <c r="C167" s="1" t="s">
        <v>902</v>
      </c>
      <c r="D167" s="1" t="s">
        <v>698</v>
      </c>
      <c r="E167" s="1" t="s">
        <v>903</v>
      </c>
      <c r="F167" s="1" t="s">
        <v>35</v>
      </c>
      <c r="G167" s="1">
        <v>0.72</v>
      </c>
      <c r="I167" s="1" t="s">
        <v>696</v>
      </c>
      <c r="J167" s="1" t="s">
        <v>55</v>
      </c>
    </row>
    <row r="168" spans="1:10" hidden="1" x14ac:dyDescent="0.25">
      <c r="A168" s="1" t="s">
        <v>146</v>
      </c>
      <c r="B168" s="1">
        <v>634</v>
      </c>
      <c r="C168" s="1" t="s">
        <v>906</v>
      </c>
      <c r="D168" s="1" t="s">
        <v>905</v>
      </c>
      <c r="E168" s="1" t="s">
        <v>98</v>
      </c>
      <c r="F168" s="1" t="s">
        <v>35</v>
      </c>
      <c r="G168" s="1">
        <v>0.15</v>
      </c>
      <c r="I168" s="1" t="s">
        <v>696</v>
      </c>
      <c r="J168" s="1" t="s">
        <v>55</v>
      </c>
    </row>
    <row r="169" spans="1:10" hidden="1" x14ac:dyDescent="0.25">
      <c r="A169" s="1" t="s">
        <v>146</v>
      </c>
      <c r="B169" s="1">
        <v>635</v>
      </c>
      <c r="C169" s="1" t="s">
        <v>907</v>
      </c>
      <c r="D169" s="1" t="s">
        <v>905</v>
      </c>
      <c r="E169" s="1" t="s">
        <v>102</v>
      </c>
      <c r="F169" s="1" t="s">
        <v>35</v>
      </c>
      <c r="G169" s="1">
        <v>0</v>
      </c>
      <c r="I169" s="1" t="s">
        <v>696</v>
      </c>
      <c r="J169" s="1" t="s">
        <v>55</v>
      </c>
    </row>
    <row r="170" spans="1:10" hidden="1" x14ac:dyDescent="0.25">
      <c r="A170" s="1" t="s">
        <v>146</v>
      </c>
      <c r="B170" s="1">
        <v>636</v>
      </c>
      <c r="C170" s="1" t="s">
        <v>908</v>
      </c>
      <c r="D170" s="1" t="s">
        <v>905</v>
      </c>
      <c r="E170" s="1" t="s">
        <v>108</v>
      </c>
      <c r="F170" s="1" t="s">
        <v>35</v>
      </c>
      <c r="G170" s="1">
        <v>0</v>
      </c>
      <c r="I170" s="1" t="s">
        <v>696</v>
      </c>
      <c r="J170" s="1" t="s">
        <v>55</v>
      </c>
    </row>
    <row r="171" spans="1:10" hidden="1" x14ac:dyDescent="0.25">
      <c r="A171" s="1" t="s">
        <v>138</v>
      </c>
      <c r="B171" s="1">
        <v>637</v>
      </c>
      <c r="C171" s="1" t="s">
        <v>909</v>
      </c>
      <c r="D171" s="1" t="s">
        <v>698</v>
      </c>
      <c r="E171" s="1" t="s">
        <v>910</v>
      </c>
      <c r="F171" s="1" t="s">
        <v>35</v>
      </c>
      <c r="G171" s="1">
        <v>0.72</v>
      </c>
      <c r="I171" s="1" t="s">
        <v>696</v>
      </c>
      <c r="J171" s="1" t="s">
        <v>55</v>
      </c>
    </row>
    <row r="172" spans="1:10" hidden="1" x14ac:dyDescent="0.25">
      <c r="A172" s="1" t="s">
        <v>146</v>
      </c>
      <c r="B172" s="1">
        <v>639</v>
      </c>
      <c r="C172" s="1" t="s">
        <v>913</v>
      </c>
      <c r="D172" s="1" t="s">
        <v>912</v>
      </c>
      <c r="E172" s="1" t="s">
        <v>98</v>
      </c>
      <c r="F172" s="1" t="s">
        <v>35</v>
      </c>
      <c r="G172" s="1">
        <v>0.15</v>
      </c>
      <c r="I172" s="1" t="s">
        <v>696</v>
      </c>
      <c r="J172" s="1" t="s">
        <v>55</v>
      </c>
    </row>
    <row r="173" spans="1:10" hidden="1" x14ac:dyDescent="0.25">
      <c r="A173" s="1" t="s">
        <v>146</v>
      </c>
      <c r="B173" s="1">
        <v>640</v>
      </c>
      <c r="C173" s="1" t="s">
        <v>914</v>
      </c>
      <c r="D173" s="1" t="s">
        <v>912</v>
      </c>
      <c r="E173" s="1" t="s">
        <v>102</v>
      </c>
      <c r="F173" s="1" t="s">
        <v>35</v>
      </c>
      <c r="G173" s="1">
        <v>0</v>
      </c>
      <c r="I173" s="1" t="s">
        <v>696</v>
      </c>
      <c r="J173" s="1" t="s">
        <v>55</v>
      </c>
    </row>
    <row r="174" spans="1:10" hidden="1" x14ac:dyDescent="0.25">
      <c r="A174" s="1" t="s">
        <v>146</v>
      </c>
      <c r="B174" s="1">
        <v>641</v>
      </c>
      <c r="C174" s="1" t="s">
        <v>915</v>
      </c>
      <c r="D174" s="1" t="s">
        <v>912</v>
      </c>
      <c r="E174" s="1" t="s">
        <v>108</v>
      </c>
      <c r="F174" s="1" t="s">
        <v>35</v>
      </c>
      <c r="G174" s="1">
        <v>0</v>
      </c>
      <c r="I174" s="1" t="s">
        <v>696</v>
      </c>
      <c r="J174" s="1" t="s">
        <v>55</v>
      </c>
    </row>
    <row r="175" spans="1:10" hidden="1" x14ac:dyDescent="0.25">
      <c r="A175" s="1" t="s">
        <v>138</v>
      </c>
      <c r="B175" s="1">
        <v>642</v>
      </c>
      <c r="C175" s="1" t="s">
        <v>916</v>
      </c>
      <c r="D175" s="1" t="s">
        <v>698</v>
      </c>
      <c r="E175" s="1" t="s">
        <v>917</v>
      </c>
      <c r="F175" s="1" t="s">
        <v>35</v>
      </c>
      <c r="G175" s="1">
        <v>0.72</v>
      </c>
      <c r="I175" s="1" t="s">
        <v>696</v>
      </c>
      <c r="J175" s="1" t="s">
        <v>55</v>
      </c>
    </row>
    <row r="176" spans="1:10" hidden="1" x14ac:dyDescent="0.25">
      <c r="A176" s="1" t="s">
        <v>146</v>
      </c>
      <c r="B176" s="1">
        <v>644</v>
      </c>
      <c r="C176" s="1" t="s">
        <v>920</v>
      </c>
      <c r="D176" s="1" t="s">
        <v>919</v>
      </c>
      <c r="E176" s="1" t="s">
        <v>98</v>
      </c>
      <c r="F176" s="1" t="s">
        <v>35</v>
      </c>
      <c r="G176" s="1">
        <v>0.15</v>
      </c>
      <c r="I176" s="1" t="s">
        <v>696</v>
      </c>
      <c r="J176" s="1" t="s">
        <v>55</v>
      </c>
    </row>
    <row r="177" spans="1:10" hidden="1" x14ac:dyDescent="0.25">
      <c r="A177" s="1" t="s">
        <v>146</v>
      </c>
      <c r="B177" s="1">
        <v>645</v>
      </c>
      <c r="C177" s="1" t="s">
        <v>921</v>
      </c>
      <c r="D177" s="1" t="s">
        <v>919</v>
      </c>
      <c r="E177" s="1" t="s">
        <v>102</v>
      </c>
      <c r="F177" s="1" t="s">
        <v>35</v>
      </c>
      <c r="G177" s="1">
        <v>0</v>
      </c>
      <c r="I177" s="1" t="s">
        <v>696</v>
      </c>
      <c r="J177" s="1" t="s">
        <v>55</v>
      </c>
    </row>
    <row r="178" spans="1:10" hidden="1" x14ac:dyDescent="0.25">
      <c r="A178" s="1" t="s">
        <v>146</v>
      </c>
      <c r="B178" s="1">
        <v>646</v>
      </c>
      <c r="C178" s="1" t="s">
        <v>922</v>
      </c>
      <c r="D178" s="1" t="s">
        <v>919</v>
      </c>
      <c r="E178" s="1" t="s">
        <v>108</v>
      </c>
      <c r="F178" s="1" t="s">
        <v>35</v>
      </c>
      <c r="G178" s="1">
        <v>0</v>
      </c>
      <c r="I178" s="1" t="s">
        <v>696</v>
      </c>
      <c r="J178" s="1" t="s">
        <v>55</v>
      </c>
    </row>
    <row r="179" spans="1:10" hidden="1" x14ac:dyDescent="0.25">
      <c r="A179" s="1" t="s">
        <v>138</v>
      </c>
      <c r="B179" s="1">
        <v>647</v>
      </c>
      <c r="C179" s="1" t="s">
        <v>923</v>
      </c>
      <c r="D179" s="1" t="s">
        <v>698</v>
      </c>
      <c r="E179" s="1" t="s">
        <v>924</v>
      </c>
      <c r="F179" s="1" t="s">
        <v>35</v>
      </c>
      <c r="G179" s="1">
        <v>0.72</v>
      </c>
      <c r="I179" s="1" t="s">
        <v>696</v>
      </c>
      <c r="J179" s="1" t="s">
        <v>55</v>
      </c>
    </row>
    <row r="180" spans="1:10" hidden="1" x14ac:dyDescent="0.25">
      <c r="A180" s="1" t="s">
        <v>146</v>
      </c>
      <c r="B180" s="1">
        <v>649</v>
      </c>
      <c r="C180" s="1" t="s">
        <v>927</v>
      </c>
      <c r="D180" s="1" t="s">
        <v>926</v>
      </c>
      <c r="E180" s="1" t="s">
        <v>98</v>
      </c>
      <c r="F180" s="1" t="s">
        <v>35</v>
      </c>
      <c r="G180" s="1">
        <v>0.15</v>
      </c>
      <c r="I180" s="1" t="s">
        <v>696</v>
      </c>
      <c r="J180" s="1" t="s">
        <v>55</v>
      </c>
    </row>
    <row r="181" spans="1:10" hidden="1" x14ac:dyDescent="0.25">
      <c r="A181" s="1" t="s">
        <v>146</v>
      </c>
      <c r="B181" s="1">
        <v>650</v>
      </c>
      <c r="C181" s="1" t="s">
        <v>928</v>
      </c>
      <c r="D181" s="1" t="s">
        <v>926</v>
      </c>
      <c r="E181" s="1" t="s">
        <v>102</v>
      </c>
      <c r="F181" s="1" t="s">
        <v>35</v>
      </c>
      <c r="G181" s="1">
        <v>0</v>
      </c>
      <c r="I181" s="1" t="s">
        <v>696</v>
      </c>
      <c r="J181" s="1" t="s">
        <v>55</v>
      </c>
    </row>
    <row r="182" spans="1:10" hidden="1" x14ac:dyDescent="0.25">
      <c r="A182" s="1" t="s">
        <v>146</v>
      </c>
      <c r="B182" s="1">
        <v>651</v>
      </c>
      <c r="C182" s="1" t="s">
        <v>929</v>
      </c>
      <c r="D182" s="1" t="s">
        <v>926</v>
      </c>
      <c r="E182" s="1" t="s">
        <v>108</v>
      </c>
      <c r="F182" s="1" t="s">
        <v>35</v>
      </c>
      <c r="G182" s="1">
        <v>0</v>
      </c>
      <c r="I182" s="1" t="s">
        <v>696</v>
      </c>
      <c r="J182" s="1" t="s">
        <v>55</v>
      </c>
    </row>
    <row r="183" spans="1:10" hidden="1" x14ac:dyDescent="0.25">
      <c r="A183" s="1" t="s">
        <v>138</v>
      </c>
      <c r="B183" s="1">
        <v>652</v>
      </c>
      <c r="C183" s="1" t="s">
        <v>930</v>
      </c>
      <c r="D183" s="1" t="s">
        <v>698</v>
      </c>
      <c r="E183" s="1" t="s">
        <v>931</v>
      </c>
      <c r="F183" s="1" t="s">
        <v>35</v>
      </c>
      <c r="G183" s="1">
        <v>0.72</v>
      </c>
      <c r="I183" s="1" t="s">
        <v>696</v>
      </c>
      <c r="J183" s="1" t="s">
        <v>55</v>
      </c>
    </row>
    <row r="184" spans="1:10" hidden="1" x14ac:dyDescent="0.25">
      <c r="A184" s="1" t="s">
        <v>146</v>
      </c>
      <c r="B184" s="1">
        <v>654</v>
      </c>
      <c r="C184" s="1" t="s">
        <v>934</v>
      </c>
      <c r="D184" s="1" t="s">
        <v>933</v>
      </c>
      <c r="E184" s="1" t="s">
        <v>98</v>
      </c>
      <c r="F184" s="1" t="s">
        <v>35</v>
      </c>
      <c r="G184" s="1">
        <v>0.15</v>
      </c>
      <c r="I184" s="1" t="s">
        <v>696</v>
      </c>
      <c r="J184" s="1" t="s">
        <v>55</v>
      </c>
    </row>
    <row r="185" spans="1:10" hidden="1" x14ac:dyDescent="0.25">
      <c r="A185" s="1" t="s">
        <v>146</v>
      </c>
      <c r="B185" s="1">
        <v>655</v>
      </c>
      <c r="C185" s="1" t="s">
        <v>935</v>
      </c>
      <c r="D185" s="1" t="s">
        <v>933</v>
      </c>
      <c r="E185" s="1" t="s">
        <v>102</v>
      </c>
      <c r="F185" s="1" t="s">
        <v>35</v>
      </c>
      <c r="G185" s="1">
        <v>0</v>
      </c>
      <c r="I185" s="1" t="s">
        <v>696</v>
      </c>
      <c r="J185" s="1" t="s">
        <v>55</v>
      </c>
    </row>
    <row r="186" spans="1:10" hidden="1" x14ac:dyDescent="0.25">
      <c r="A186" s="1" t="s">
        <v>146</v>
      </c>
      <c r="B186" s="1">
        <v>656</v>
      </c>
      <c r="C186" s="1" t="s">
        <v>936</v>
      </c>
      <c r="D186" s="1" t="s">
        <v>933</v>
      </c>
      <c r="E186" s="1" t="s">
        <v>108</v>
      </c>
      <c r="F186" s="1" t="s">
        <v>35</v>
      </c>
      <c r="G186" s="1">
        <v>0</v>
      </c>
      <c r="I186" s="1" t="s">
        <v>696</v>
      </c>
      <c r="J186" s="1" t="s">
        <v>55</v>
      </c>
    </row>
    <row r="187" spans="1:10" hidden="1" x14ac:dyDescent="0.25">
      <c r="A187" s="1" t="s">
        <v>138</v>
      </c>
      <c r="B187" s="1">
        <v>657</v>
      </c>
      <c r="C187" s="1" t="s">
        <v>937</v>
      </c>
      <c r="D187" s="1" t="s">
        <v>698</v>
      </c>
      <c r="E187" s="1" t="s">
        <v>938</v>
      </c>
      <c r="F187" s="1" t="s">
        <v>35</v>
      </c>
      <c r="G187" s="1">
        <v>0.72</v>
      </c>
      <c r="I187" s="1" t="s">
        <v>696</v>
      </c>
      <c r="J187" s="1" t="s">
        <v>55</v>
      </c>
    </row>
    <row r="188" spans="1:10" hidden="1" x14ac:dyDescent="0.25">
      <c r="A188" s="1" t="s">
        <v>146</v>
      </c>
      <c r="B188" s="1">
        <v>659</v>
      </c>
      <c r="C188" s="1" t="s">
        <v>941</v>
      </c>
      <c r="D188" s="1" t="s">
        <v>940</v>
      </c>
      <c r="E188" s="1" t="s">
        <v>98</v>
      </c>
      <c r="F188" s="1" t="s">
        <v>35</v>
      </c>
      <c r="G188" s="1">
        <v>0.15</v>
      </c>
      <c r="I188" s="1" t="s">
        <v>696</v>
      </c>
      <c r="J188" s="1" t="s">
        <v>55</v>
      </c>
    </row>
    <row r="189" spans="1:10" hidden="1" x14ac:dyDescent="0.25">
      <c r="A189" s="1" t="s">
        <v>146</v>
      </c>
      <c r="B189" s="1">
        <v>660</v>
      </c>
      <c r="C189" s="1" t="s">
        <v>942</v>
      </c>
      <c r="D189" s="1" t="s">
        <v>940</v>
      </c>
      <c r="E189" s="1" t="s">
        <v>102</v>
      </c>
      <c r="F189" s="1" t="s">
        <v>35</v>
      </c>
      <c r="G189" s="1">
        <v>0</v>
      </c>
      <c r="I189" s="1" t="s">
        <v>696</v>
      </c>
      <c r="J189" s="1" t="s">
        <v>55</v>
      </c>
    </row>
    <row r="190" spans="1:10" hidden="1" x14ac:dyDescent="0.25">
      <c r="A190" s="1" t="s">
        <v>146</v>
      </c>
      <c r="B190" s="1">
        <v>661</v>
      </c>
      <c r="C190" s="1" t="s">
        <v>943</v>
      </c>
      <c r="D190" s="1" t="s">
        <v>940</v>
      </c>
      <c r="E190" s="1" t="s">
        <v>108</v>
      </c>
      <c r="F190" s="1" t="s">
        <v>35</v>
      </c>
      <c r="G190" s="1">
        <v>0</v>
      </c>
      <c r="I190" s="1" t="s">
        <v>696</v>
      </c>
      <c r="J190" s="1" t="s">
        <v>55</v>
      </c>
    </row>
    <row r="191" spans="1:10" hidden="1" x14ac:dyDescent="0.25">
      <c r="A191" s="1" t="s">
        <v>138</v>
      </c>
      <c r="B191" s="1">
        <v>662</v>
      </c>
      <c r="C191" s="1" t="s">
        <v>944</v>
      </c>
      <c r="D191" s="1" t="s">
        <v>698</v>
      </c>
      <c r="E191" s="1" t="s">
        <v>945</v>
      </c>
      <c r="F191" s="1" t="s">
        <v>35</v>
      </c>
      <c r="G191" s="1">
        <v>0.72</v>
      </c>
      <c r="I191" s="1" t="s">
        <v>696</v>
      </c>
      <c r="J191" s="1" t="s">
        <v>55</v>
      </c>
    </row>
    <row r="192" spans="1:10" hidden="1" x14ac:dyDescent="0.25">
      <c r="A192" s="1" t="s">
        <v>146</v>
      </c>
      <c r="B192" s="1">
        <v>664</v>
      </c>
      <c r="C192" s="1" t="s">
        <v>948</v>
      </c>
      <c r="D192" s="1" t="s">
        <v>947</v>
      </c>
      <c r="E192" s="1" t="s">
        <v>98</v>
      </c>
      <c r="F192" s="1" t="s">
        <v>35</v>
      </c>
      <c r="G192" s="1">
        <v>0.15</v>
      </c>
      <c r="I192" s="1" t="s">
        <v>696</v>
      </c>
      <c r="J192" s="1" t="s">
        <v>55</v>
      </c>
    </row>
    <row r="193" spans="1:10" hidden="1" x14ac:dyDescent="0.25">
      <c r="A193" s="1" t="s">
        <v>146</v>
      </c>
      <c r="B193" s="1">
        <v>665</v>
      </c>
      <c r="C193" s="1" t="s">
        <v>949</v>
      </c>
      <c r="D193" s="1" t="s">
        <v>947</v>
      </c>
      <c r="E193" s="1" t="s">
        <v>102</v>
      </c>
      <c r="F193" s="1" t="s">
        <v>35</v>
      </c>
      <c r="G193" s="1">
        <v>0</v>
      </c>
      <c r="I193" s="1" t="s">
        <v>696</v>
      </c>
      <c r="J193" s="1" t="s">
        <v>55</v>
      </c>
    </row>
    <row r="194" spans="1:10" hidden="1" x14ac:dyDescent="0.25">
      <c r="A194" s="1" t="s">
        <v>146</v>
      </c>
      <c r="B194" s="1">
        <v>666</v>
      </c>
      <c r="C194" s="1" t="s">
        <v>950</v>
      </c>
      <c r="D194" s="1" t="s">
        <v>947</v>
      </c>
      <c r="E194" s="1" t="s">
        <v>108</v>
      </c>
      <c r="F194" s="1" t="s">
        <v>35</v>
      </c>
      <c r="G194" s="1">
        <v>0</v>
      </c>
      <c r="I194" s="1" t="s">
        <v>696</v>
      </c>
      <c r="J194" s="1" t="s">
        <v>55</v>
      </c>
    </row>
    <row r="195" spans="1:10" hidden="1" x14ac:dyDescent="0.25">
      <c r="A195" s="1" t="s">
        <v>138</v>
      </c>
      <c r="B195" s="1">
        <v>667</v>
      </c>
      <c r="C195" s="1" t="s">
        <v>951</v>
      </c>
      <c r="D195" s="1" t="s">
        <v>698</v>
      </c>
      <c r="E195" s="1" t="s">
        <v>952</v>
      </c>
      <c r="F195" s="1" t="s">
        <v>35</v>
      </c>
      <c r="G195" s="1">
        <v>0.72</v>
      </c>
      <c r="I195" s="1" t="s">
        <v>696</v>
      </c>
      <c r="J195" s="1" t="s">
        <v>55</v>
      </c>
    </row>
    <row r="196" spans="1:10" hidden="1" x14ac:dyDescent="0.25">
      <c r="A196" s="1" t="s">
        <v>146</v>
      </c>
      <c r="B196" s="1">
        <v>669</v>
      </c>
      <c r="C196" s="1" t="s">
        <v>955</v>
      </c>
      <c r="D196" s="1" t="s">
        <v>954</v>
      </c>
      <c r="E196" s="1" t="s">
        <v>98</v>
      </c>
      <c r="F196" s="1" t="s">
        <v>35</v>
      </c>
      <c r="G196" s="1">
        <v>0.15</v>
      </c>
      <c r="I196" s="1" t="s">
        <v>696</v>
      </c>
      <c r="J196" s="1" t="s">
        <v>55</v>
      </c>
    </row>
    <row r="197" spans="1:10" hidden="1" x14ac:dyDescent="0.25">
      <c r="A197" s="1" t="s">
        <v>146</v>
      </c>
      <c r="B197" s="1">
        <v>670</v>
      </c>
      <c r="C197" s="1" t="s">
        <v>956</v>
      </c>
      <c r="D197" s="1" t="s">
        <v>954</v>
      </c>
      <c r="E197" s="1" t="s">
        <v>102</v>
      </c>
      <c r="F197" s="1" t="s">
        <v>35</v>
      </c>
      <c r="G197" s="1">
        <v>0</v>
      </c>
      <c r="I197" s="1" t="s">
        <v>696</v>
      </c>
      <c r="J197" s="1" t="s">
        <v>55</v>
      </c>
    </row>
    <row r="198" spans="1:10" hidden="1" x14ac:dyDescent="0.25">
      <c r="A198" s="1" t="s">
        <v>146</v>
      </c>
      <c r="B198" s="1">
        <v>671</v>
      </c>
      <c r="C198" s="1" t="s">
        <v>957</v>
      </c>
      <c r="D198" s="1" t="s">
        <v>954</v>
      </c>
      <c r="E198" s="1" t="s">
        <v>108</v>
      </c>
      <c r="F198" s="1" t="s">
        <v>35</v>
      </c>
      <c r="G198" s="1">
        <v>0</v>
      </c>
      <c r="I198" s="1" t="s">
        <v>696</v>
      </c>
      <c r="J198" s="1" t="s">
        <v>55</v>
      </c>
    </row>
    <row r="199" spans="1:10" hidden="1" x14ac:dyDescent="0.25">
      <c r="A199" s="1" t="s">
        <v>138</v>
      </c>
      <c r="B199" s="1">
        <v>672</v>
      </c>
      <c r="C199" s="1" t="s">
        <v>958</v>
      </c>
      <c r="D199" s="1" t="s">
        <v>698</v>
      </c>
      <c r="E199" s="1" t="s">
        <v>959</v>
      </c>
      <c r="F199" s="1" t="s">
        <v>35</v>
      </c>
      <c r="G199" s="1">
        <v>0.72</v>
      </c>
      <c r="I199" s="1" t="s">
        <v>696</v>
      </c>
      <c r="J199" s="1" t="s">
        <v>55</v>
      </c>
    </row>
    <row r="200" spans="1:10" hidden="1" x14ac:dyDescent="0.25">
      <c r="A200" s="1" t="s">
        <v>146</v>
      </c>
      <c r="B200" s="1">
        <v>674</v>
      </c>
      <c r="C200" s="1" t="s">
        <v>963</v>
      </c>
      <c r="D200" s="1" t="s">
        <v>962</v>
      </c>
      <c r="E200" s="1" t="s">
        <v>98</v>
      </c>
      <c r="F200" s="1" t="s">
        <v>35</v>
      </c>
      <c r="G200" s="1">
        <v>0.15</v>
      </c>
      <c r="I200" s="1" t="s">
        <v>696</v>
      </c>
      <c r="J200" s="1" t="s">
        <v>55</v>
      </c>
    </row>
    <row r="201" spans="1:10" hidden="1" x14ac:dyDescent="0.25">
      <c r="A201" s="1" t="s">
        <v>146</v>
      </c>
      <c r="B201" s="1">
        <v>675</v>
      </c>
      <c r="C201" s="1" t="s">
        <v>964</v>
      </c>
      <c r="D201" s="1" t="s">
        <v>962</v>
      </c>
      <c r="E201" s="1" t="s">
        <v>102</v>
      </c>
      <c r="F201" s="1" t="s">
        <v>35</v>
      </c>
      <c r="G201" s="1">
        <v>0</v>
      </c>
      <c r="I201" s="1" t="s">
        <v>696</v>
      </c>
      <c r="J201" s="1" t="s">
        <v>55</v>
      </c>
    </row>
    <row r="202" spans="1:10" hidden="1" x14ac:dyDescent="0.25">
      <c r="A202" s="1" t="s">
        <v>146</v>
      </c>
      <c r="B202" s="1">
        <v>676</v>
      </c>
      <c r="C202" s="1" t="s">
        <v>965</v>
      </c>
      <c r="D202" s="1" t="s">
        <v>962</v>
      </c>
      <c r="E202" s="1" t="s">
        <v>108</v>
      </c>
      <c r="F202" s="1" t="s">
        <v>35</v>
      </c>
      <c r="G202" s="1">
        <v>0</v>
      </c>
      <c r="I202" s="1" t="s">
        <v>696</v>
      </c>
      <c r="J202" s="1" t="s">
        <v>55</v>
      </c>
    </row>
    <row r="203" spans="1:10" hidden="1" x14ac:dyDescent="0.25">
      <c r="A203" s="1" t="s">
        <v>138</v>
      </c>
      <c r="B203" s="1">
        <v>677</v>
      </c>
      <c r="C203" s="1" t="s">
        <v>966</v>
      </c>
      <c r="D203" s="1" t="s">
        <v>698</v>
      </c>
      <c r="E203" s="1" t="s">
        <v>967</v>
      </c>
      <c r="F203" s="1" t="s">
        <v>35</v>
      </c>
      <c r="G203" s="1">
        <v>0.72</v>
      </c>
      <c r="I203" s="1" t="s">
        <v>696</v>
      </c>
      <c r="J203" s="1" t="s">
        <v>55</v>
      </c>
    </row>
    <row r="204" spans="1:10" hidden="1" x14ac:dyDescent="0.25">
      <c r="A204" s="1" t="s">
        <v>146</v>
      </c>
      <c r="B204" s="1">
        <v>679</v>
      </c>
      <c r="C204" s="1" t="s">
        <v>970</v>
      </c>
      <c r="D204" s="1" t="s">
        <v>969</v>
      </c>
      <c r="E204" s="1" t="s">
        <v>98</v>
      </c>
      <c r="F204" s="1" t="s">
        <v>35</v>
      </c>
      <c r="G204" s="1">
        <v>0.15</v>
      </c>
      <c r="I204" s="1" t="s">
        <v>696</v>
      </c>
      <c r="J204" s="1" t="s">
        <v>55</v>
      </c>
    </row>
    <row r="205" spans="1:10" hidden="1" x14ac:dyDescent="0.25">
      <c r="A205" s="1" t="s">
        <v>146</v>
      </c>
      <c r="B205" s="1">
        <v>680</v>
      </c>
      <c r="C205" s="1" t="s">
        <v>971</v>
      </c>
      <c r="D205" s="1" t="s">
        <v>969</v>
      </c>
      <c r="E205" s="1" t="s">
        <v>102</v>
      </c>
      <c r="F205" s="1" t="s">
        <v>35</v>
      </c>
      <c r="G205" s="1">
        <v>0</v>
      </c>
      <c r="I205" s="1" t="s">
        <v>696</v>
      </c>
      <c r="J205" s="1" t="s">
        <v>55</v>
      </c>
    </row>
    <row r="206" spans="1:10" hidden="1" x14ac:dyDescent="0.25">
      <c r="A206" s="1" t="s">
        <v>146</v>
      </c>
      <c r="B206" s="1">
        <v>681</v>
      </c>
      <c r="C206" s="1" t="s">
        <v>972</v>
      </c>
      <c r="D206" s="1" t="s">
        <v>969</v>
      </c>
      <c r="E206" s="1" t="s">
        <v>108</v>
      </c>
      <c r="F206" s="1" t="s">
        <v>35</v>
      </c>
      <c r="G206" s="1">
        <v>0</v>
      </c>
      <c r="I206" s="1" t="s">
        <v>696</v>
      </c>
      <c r="J206" s="1" t="s">
        <v>55</v>
      </c>
    </row>
    <row r="207" spans="1:10" hidden="1" x14ac:dyDescent="0.25">
      <c r="A207" s="1" t="s">
        <v>138</v>
      </c>
      <c r="B207" s="1">
        <v>682</v>
      </c>
      <c r="C207" s="1" t="s">
        <v>973</v>
      </c>
      <c r="D207" s="1" t="s">
        <v>698</v>
      </c>
      <c r="E207" s="1" t="s">
        <v>974</v>
      </c>
      <c r="F207" s="1" t="s">
        <v>35</v>
      </c>
      <c r="G207" s="1">
        <v>0.72</v>
      </c>
      <c r="I207" s="1" t="s">
        <v>696</v>
      </c>
      <c r="J207" s="1" t="s">
        <v>55</v>
      </c>
    </row>
    <row r="208" spans="1:10" hidden="1" x14ac:dyDescent="0.25">
      <c r="A208" s="1" t="s">
        <v>146</v>
      </c>
      <c r="B208" s="1">
        <v>684</v>
      </c>
      <c r="C208" s="1" t="s">
        <v>977</v>
      </c>
      <c r="D208" s="1" t="s">
        <v>976</v>
      </c>
      <c r="E208" s="1" t="s">
        <v>98</v>
      </c>
      <c r="F208" s="1" t="s">
        <v>35</v>
      </c>
      <c r="G208" s="1">
        <v>0.15</v>
      </c>
      <c r="I208" s="1" t="s">
        <v>696</v>
      </c>
      <c r="J208" s="1" t="s">
        <v>55</v>
      </c>
    </row>
    <row r="209" spans="1:10" hidden="1" x14ac:dyDescent="0.25">
      <c r="A209" s="1" t="s">
        <v>146</v>
      </c>
      <c r="B209" s="1">
        <v>685</v>
      </c>
      <c r="C209" s="1" t="s">
        <v>978</v>
      </c>
      <c r="D209" s="1" t="s">
        <v>976</v>
      </c>
      <c r="E209" s="1" t="s">
        <v>102</v>
      </c>
      <c r="F209" s="1" t="s">
        <v>35</v>
      </c>
      <c r="G209" s="1">
        <v>0</v>
      </c>
      <c r="I209" s="1" t="s">
        <v>696</v>
      </c>
      <c r="J209" s="1" t="s">
        <v>55</v>
      </c>
    </row>
    <row r="210" spans="1:10" hidden="1" x14ac:dyDescent="0.25">
      <c r="A210" s="1" t="s">
        <v>146</v>
      </c>
      <c r="B210" s="1">
        <v>686</v>
      </c>
      <c r="C210" s="1" t="s">
        <v>979</v>
      </c>
      <c r="D210" s="1" t="s">
        <v>976</v>
      </c>
      <c r="E210" s="1" t="s">
        <v>108</v>
      </c>
      <c r="F210" s="1" t="s">
        <v>35</v>
      </c>
      <c r="G210" s="1">
        <v>0</v>
      </c>
      <c r="I210" s="1" t="s">
        <v>696</v>
      </c>
      <c r="J210" s="1" t="s">
        <v>55</v>
      </c>
    </row>
    <row r="211" spans="1:10" hidden="1" x14ac:dyDescent="0.25">
      <c r="A211" s="1" t="s">
        <v>138</v>
      </c>
      <c r="B211" s="1">
        <v>687</v>
      </c>
      <c r="C211" s="1" t="s">
        <v>980</v>
      </c>
      <c r="D211" s="1" t="s">
        <v>698</v>
      </c>
      <c r="E211" s="1" t="s">
        <v>981</v>
      </c>
      <c r="F211" s="1" t="s">
        <v>35</v>
      </c>
      <c r="G211" s="1">
        <v>0.72</v>
      </c>
      <c r="I211" s="1" t="s">
        <v>696</v>
      </c>
      <c r="J211" s="1" t="s">
        <v>55</v>
      </c>
    </row>
    <row r="212" spans="1:10" hidden="1" x14ac:dyDescent="0.25">
      <c r="A212" s="1" t="s">
        <v>146</v>
      </c>
      <c r="B212" s="1">
        <v>689</v>
      </c>
      <c r="C212" s="1" t="s">
        <v>984</v>
      </c>
      <c r="D212" s="1" t="s">
        <v>983</v>
      </c>
      <c r="E212" s="1" t="s">
        <v>98</v>
      </c>
      <c r="F212" s="1" t="s">
        <v>35</v>
      </c>
      <c r="G212" s="1">
        <v>0.15</v>
      </c>
      <c r="I212" s="1" t="s">
        <v>696</v>
      </c>
      <c r="J212" s="1" t="s">
        <v>55</v>
      </c>
    </row>
    <row r="213" spans="1:10" hidden="1" x14ac:dyDescent="0.25">
      <c r="A213" s="1" t="s">
        <v>146</v>
      </c>
      <c r="B213" s="1">
        <v>690</v>
      </c>
      <c r="C213" s="1" t="s">
        <v>985</v>
      </c>
      <c r="D213" s="1" t="s">
        <v>983</v>
      </c>
      <c r="E213" s="1" t="s">
        <v>102</v>
      </c>
      <c r="F213" s="1" t="s">
        <v>35</v>
      </c>
      <c r="G213" s="1">
        <v>0</v>
      </c>
      <c r="I213" s="1" t="s">
        <v>696</v>
      </c>
      <c r="J213" s="1" t="s">
        <v>55</v>
      </c>
    </row>
    <row r="214" spans="1:10" hidden="1" x14ac:dyDescent="0.25">
      <c r="A214" s="1" t="s">
        <v>146</v>
      </c>
      <c r="B214" s="1">
        <v>691</v>
      </c>
      <c r="C214" s="1" t="s">
        <v>986</v>
      </c>
      <c r="D214" s="1" t="s">
        <v>983</v>
      </c>
      <c r="E214" s="1" t="s">
        <v>108</v>
      </c>
      <c r="F214" s="1" t="s">
        <v>35</v>
      </c>
      <c r="G214" s="1">
        <v>0</v>
      </c>
      <c r="I214" s="1" t="s">
        <v>696</v>
      </c>
      <c r="J214" s="1" t="s">
        <v>55</v>
      </c>
    </row>
    <row r="215" spans="1:10" hidden="1" x14ac:dyDescent="0.25">
      <c r="A215" s="1" t="s">
        <v>138</v>
      </c>
      <c r="B215" s="1">
        <v>692</v>
      </c>
      <c r="C215" s="1" t="s">
        <v>987</v>
      </c>
      <c r="D215" s="1" t="s">
        <v>698</v>
      </c>
      <c r="E215" s="1" t="s">
        <v>988</v>
      </c>
      <c r="F215" s="1" t="s">
        <v>131</v>
      </c>
      <c r="G215" s="1">
        <v>0.25</v>
      </c>
      <c r="I215" s="1" t="s">
        <v>696</v>
      </c>
      <c r="J215" s="1" t="s">
        <v>55</v>
      </c>
    </row>
    <row r="216" spans="1:10" x14ac:dyDescent="0.25">
      <c r="A216" s="1" t="s">
        <v>138</v>
      </c>
      <c r="B216" s="1">
        <v>693</v>
      </c>
      <c r="C216" s="1" t="s">
        <v>989</v>
      </c>
      <c r="D216" s="1" t="s">
        <v>990</v>
      </c>
      <c r="E216" s="1" t="s">
        <v>94</v>
      </c>
      <c r="F216" s="1" t="s">
        <v>131</v>
      </c>
      <c r="G216" s="4">
        <v>0.5</v>
      </c>
      <c r="I216" s="1" t="s">
        <v>696</v>
      </c>
      <c r="J216" s="1" t="s">
        <v>55</v>
      </c>
    </row>
    <row r="217" spans="1:10" hidden="1" x14ac:dyDescent="0.25">
      <c r="A217" s="1" t="s">
        <v>138</v>
      </c>
      <c r="B217" s="1">
        <v>697</v>
      </c>
      <c r="C217" s="1" t="s">
        <v>996</v>
      </c>
      <c r="D217" s="1" t="s">
        <v>698</v>
      </c>
      <c r="E217" s="1" t="s">
        <v>997</v>
      </c>
      <c r="F217" s="1" t="s">
        <v>131</v>
      </c>
      <c r="G217" s="1">
        <v>0.5</v>
      </c>
      <c r="I217" s="1" t="s">
        <v>696</v>
      </c>
      <c r="J217" s="1" t="s">
        <v>55</v>
      </c>
    </row>
    <row r="218" spans="1:10" hidden="1" x14ac:dyDescent="0.25">
      <c r="A218" s="1" t="s">
        <v>138</v>
      </c>
      <c r="B218" s="1">
        <v>702</v>
      </c>
      <c r="C218" s="1" t="s">
        <v>1004</v>
      </c>
      <c r="D218" s="1" t="s">
        <v>698</v>
      </c>
      <c r="E218" s="1" t="s">
        <v>1005</v>
      </c>
      <c r="F218" s="1" t="s">
        <v>131</v>
      </c>
      <c r="G218" s="1">
        <v>0.5</v>
      </c>
      <c r="I218" s="1" t="s">
        <v>696</v>
      </c>
      <c r="J218" s="1" t="s">
        <v>55</v>
      </c>
    </row>
    <row r="219" spans="1:10" hidden="1" x14ac:dyDescent="0.25">
      <c r="A219" s="1" t="s">
        <v>146</v>
      </c>
      <c r="B219" s="1">
        <v>704</v>
      </c>
      <c r="C219" s="1" t="s">
        <v>1009</v>
      </c>
      <c r="D219" s="1" t="s">
        <v>1007</v>
      </c>
      <c r="E219" s="1" t="s">
        <v>98</v>
      </c>
      <c r="F219" s="1" t="s">
        <v>131</v>
      </c>
      <c r="G219" s="1">
        <v>0</v>
      </c>
      <c r="I219" s="1" t="s">
        <v>696</v>
      </c>
      <c r="J219" s="1" t="s">
        <v>55</v>
      </c>
    </row>
    <row r="220" spans="1:10" hidden="1" x14ac:dyDescent="0.25">
      <c r="A220" s="1" t="s">
        <v>146</v>
      </c>
      <c r="B220" s="1">
        <v>707</v>
      </c>
      <c r="C220" s="1" t="s">
        <v>1012</v>
      </c>
      <c r="D220" s="1" t="s">
        <v>73</v>
      </c>
      <c r="E220" s="1" t="s">
        <v>1013</v>
      </c>
      <c r="F220" s="1" t="s">
        <v>131</v>
      </c>
      <c r="G220" s="1">
        <v>0.04</v>
      </c>
      <c r="I220" s="1" t="s">
        <v>1015</v>
      </c>
      <c r="J220" s="1" t="s">
        <v>55</v>
      </c>
    </row>
    <row r="221" spans="1:10" hidden="1" x14ac:dyDescent="0.25">
      <c r="A221" s="1" t="s">
        <v>146</v>
      </c>
      <c r="B221" s="1">
        <v>708</v>
      </c>
      <c r="C221" s="1" t="s">
        <v>1016</v>
      </c>
      <c r="D221" s="1" t="s">
        <v>1017</v>
      </c>
      <c r="E221" s="1" t="s">
        <v>1018</v>
      </c>
      <c r="F221" s="1" t="s">
        <v>131</v>
      </c>
      <c r="G221" s="1">
        <v>0.06</v>
      </c>
      <c r="I221" s="1" t="s">
        <v>1015</v>
      </c>
      <c r="J221" s="1" t="s">
        <v>55</v>
      </c>
    </row>
    <row r="222" spans="1:10" x14ac:dyDescent="0.25">
      <c r="A222" s="1" t="s">
        <v>146</v>
      </c>
      <c r="B222" s="1">
        <v>709</v>
      </c>
      <c r="C222" s="1" t="s">
        <v>1020</v>
      </c>
      <c r="D222" s="1" t="s">
        <v>1021</v>
      </c>
      <c r="E222" s="1" t="s">
        <v>94</v>
      </c>
      <c r="F222" s="1" t="s">
        <v>131</v>
      </c>
      <c r="G222" s="4">
        <v>0.1</v>
      </c>
      <c r="I222" s="1" t="s">
        <v>1015</v>
      </c>
      <c r="J222" s="1" t="s">
        <v>55</v>
      </c>
    </row>
    <row r="223" spans="1:10" hidden="1" x14ac:dyDescent="0.25">
      <c r="A223" s="1" t="s">
        <v>673</v>
      </c>
      <c r="B223" s="1">
        <v>36</v>
      </c>
      <c r="C223" s="1" t="s">
        <v>1033</v>
      </c>
      <c r="D223" s="1" t="s">
        <v>134</v>
      </c>
      <c r="E223" s="1" t="s">
        <v>1034</v>
      </c>
      <c r="F223" s="1" t="s">
        <v>144</v>
      </c>
      <c r="G223" s="1">
        <v>0</v>
      </c>
      <c r="I223" s="1" t="s">
        <v>132</v>
      </c>
      <c r="J223" s="1" t="s">
        <v>55</v>
      </c>
    </row>
    <row r="224" spans="1:10" hidden="1" x14ac:dyDescent="0.25">
      <c r="A224" s="1" t="s">
        <v>673</v>
      </c>
      <c r="B224" s="1">
        <v>194</v>
      </c>
      <c r="C224" s="1" t="s">
        <v>1036</v>
      </c>
      <c r="D224" s="1" t="s">
        <v>407</v>
      </c>
      <c r="E224" s="1" t="s">
        <v>1037</v>
      </c>
      <c r="F224" s="1" t="s">
        <v>144</v>
      </c>
      <c r="G224" s="1">
        <v>0</v>
      </c>
      <c r="I224" s="1" t="s">
        <v>405</v>
      </c>
      <c r="J224" s="1" t="s">
        <v>39</v>
      </c>
    </row>
    <row r="225" spans="1:10" hidden="1" x14ac:dyDescent="0.25">
      <c r="A225" s="1" t="s">
        <v>673</v>
      </c>
      <c r="B225" s="1">
        <v>199</v>
      </c>
      <c r="C225" s="1" t="s">
        <v>1038</v>
      </c>
      <c r="D225" s="1" t="s">
        <v>407</v>
      </c>
      <c r="E225" s="1" t="s">
        <v>1039</v>
      </c>
      <c r="F225" s="1" t="s">
        <v>144</v>
      </c>
      <c r="G225" s="1">
        <v>0</v>
      </c>
      <c r="I225" s="1" t="s">
        <v>405</v>
      </c>
      <c r="J225" s="1" t="s">
        <v>39</v>
      </c>
    </row>
    <row r="226" spans="1:10" hidden="1" x14ac:dyDescent="0.25">
      <c r="A226" s="1" t="s">
        <v>673</v>
      </c>
      <c r="B226" s="1">
        <v>204</v>
      </c>
      <c r="C226" s="1" t="s">
        <v>1040</v>
      </c>
      <c r="D226" s="1" t="s">
        <v>407</v>
      </c>
      <c r="E226" s="1" t="s">
        <v>1041</v>
      </c>
      <c r="F226" s="1" t="s">
        <v>144</v>
      </c>
      <c r="G226" s="1">
        <v>0</v>
      </c>
      <c r="I226" s="1" t="s">
        <v>405</v>
      </c>
      <c r="J226" s="1" t="s">
        <v>55</v>
      </c>
    </row>
    <row r="227" spans="1:10" hidden="1" x14ac:dyDescent="0.25">
      <c r="A227" s="1" t="s">
        <v>673</v>
      </c>
      <c r="B227" s="1">
        <v>214</v>
      </c>
      <c r="C227" s="1" t="s">
        <v>1042</v>
      </c>
      <c r="D227" s="1" t="s">
        <v>407</v>
      </c>
      <c r="E227" s="1" t="s">
        <v>1043</v>
      </c>
      <c r="F227" s="1" t="s">
        <v>144</v>
      </c>
      <c r="G227" s="1">
        <v>0</v>
      </c>
      <c r="I227" s="1" t="s">
        <v>405</v>
      </c>
      <c r="J227" s="1" t="s">
        <v>39</v>
      </c>
    </row>
    <row r="228" spans="1:10" hidden="1" x14ac:dyDescent="0.25">
      <c r="A228" s="1" t="s">
        <v>673</v>
      </c>
      <c r="B228" s="1">
        <v>224</v>
      </c>
      <c r="C228" s="1" t="s">
        <v>1044</v>
      </c>
      <c r="D228" s="1" t="s">
        <v>407</v>
      </c>
      <c r="E228" s="1" t="s">
        <v>1045</v>
      </c>
      <c r="F228" s="1" t="s">
        <v>144</v>
      </c>
      <c r="G228" s="1">
        <v>0</v>
      </c>
      <c r="I228" s="1" t="s">
        <v>405</v>
      </c>
      <c r="J228" s="1" t="s">
        <v>55</v>
      </c>
    </row>
    <row r="229" spans="1:10" hidden="1" x14ac:dyDescent="0.25">
      <c r="A229" s="1" t="s">
        <v>673</v>
      </c>
      <c r="B229" s="1">
        <v>264</v>
      </c>
      <c r="C229" s="1" t="s">
        <v>468</v>
      </c>
      <c r="D229" s="1" t="s">
        <v>407</v>
      </c>
      <c r="E229" s="1" t="s">
        <v>1046</v>
      </c>
      <c r="F229" s="1" t="s">
        <v>144</v>
      </c>
      <c r="G229" s="1">
        <v>0</v>
      </c>
      <c r="I229" s="1" t="s">
        <v>405</v>
      </c>
      <c r="J229" s="1" t="s">
        <v>55</v>
      </c>
    </row>
    <row r="230" spans="1:10" hidden="1" x14ac:dyDescent="0.25">
      <c r="A230" s="1" t="s">
        <v>673</v>
      </c>
      <c r="B230" s="1">
        <v>285</v>
      </c>
      <c r="C230" s="1" t="s">
        <v>1048</v>
      </c>
      <c r="D230" s="1" t="s">
        <v>518</v>
      </c>
      <c r="E230" s="1" t="s">
        <v>1049</v>
      </c>
      <c r="F230" s="1" t="s">
        <v>144</v>
      </c>
      <c r="G230" s="1">
        <v>0</v>
      </c>
      <c r="I230" s="1" t="s">
        <v>516</v>
      </c>
      <c r="J230" s="1" t="s">
        <v>55</v>
      </c>
    </row>
    <row r="231" spans="1:10" hidden="1" x14ac:dyDescent="0.25">
      <c r="A231" s="1" t="s">
        <v>673</v>
      </c>
      <c r="B231" s="1">
        <v>356</v>
      </c>
      <c r="C231" s="1" t="s">
        <v>1050</v>
      </c>
      <c r="D231" s="1" t="s">
        <v>635</v>
      </c>
      <c r="E231" s="1" t="s">
        <v>1051</v>
      </c>
      <c r="F231" s="1" t="s">
        <v>144</v>
      </c>
      <c r="G231" s="1">
        <v>0</v>
      </c>
      <c r="I231" s="1" t="s">
        <v>633</v>
      </c>
      <c r="J231" s="1" t="s">
        <v>55</v>
      </c>
    </row>
    <row r="232" spans="1:10" hidden="1" x14ac:dyDescent="0.25">
      <c r="A232" s="1" t="s">
        <v>673</v>
      </c>
      <c r="B232" s="1">
        <v>366</v>
      </c>
      <c r="C232" s="1" t="s">
        <v>1053</v>
      </c>
      <c r="D232" s="1" t="s">
        <v>635</v>
      </c>
      <c r="E232" s="1" t="s">
        <v>1054</v>
      </c>
      <c r="F232" s="1" t="s">
        <v>144</v>
      </c>
      <c r="G232" s="1">
        <v>0</v>
      </c>
      <c r="I232" s="1" t="s">
        <v>633</v>
      </c>
      <c r="J232" s="1" t="s">
        <v>55</v>
      </c>
    </row>
    <row r="233" spans="1:10" hidden="1" x14ac:dyDescent="0.25">
      <c r="A233" s="1" t="s">
        <v>673</v>
      </c>
      <c r="B233" s="1">
        <v>376</v>
      </c>
      <c r="C233" s="1" t="s">
        <v>1055</v>
      </c>
      <c r="D233" s="1" t="s">
        <v>635</v>
      </c>
      <c r="E233" s="1" t="s">
        <v>1056</v>
      </c>
      <c r="F233" s="1" t="s">
        <v>144</v>
      </c>
      <c r="G233" s="1">
        <v>0</v>
      </c>
      <c r="I233" s="1" t="s">
        <v>633</v>
      </c>
      <c r="J233" s="1" t="s">
        <v>55</v>
      </c>
    </row>
    <row r="234" spans="1:10" hidden="1" x14ac:dyDescent="0.25">
      <c r="A234" s="1" t="s">
        <v>673</v>
      </c>
      <c r="B234" s="1">
        <v>381</v>
      </c>
      <c r="C234" s="1" t="s">
        <v>1057</v>
      </c>
      <c r="D234" s="1" t="s">
        <v>635</v>
      </c>
      <c r="E234" s="1" t="s">
        <v>1058</v>
      </c>
      <c r="F234" s="1" t="s">
        <v>144</v>
      </c>
      <c r="G234" s="1">
        <v>0</v>
      </c>
      <c r="I234" s="1" t="s">
        <v>633</v>
      </c>
      <c r="J234" s="1" t="s">
        <v>55</v>
      </c>
    </row>
    <row r="235" spans="1:10" hidden="1" x14ac:dyDescent="0.25">
      <c r="A235" s="1" t="s">
        <v>673</v>
      </c>
      <c r="B235" s="1">
        <v>401</v>
      </c>
      <c r="C235" s="1" t="s">
        <v>1059</v>
      </c>
      <c r="D235" s="1" t="s">
        <v>635</v>
      </c>
      <c r="E235" s="1" t="s">
        <v>1060</v>
      </c>
      <c r="F235" s="1" t="s">
        <v>144</v>
      </c>
      <c r="G235" s="1">
        <v>0</v>
      </c>
      <c r="I235" s="1" t="s">
        <v>633</v>
      </c>
      <c r="J235" s="1" t="s">
        <v>55</v>
      </c>
    </row>
    <row r="236" spans="1:10" hidden="1" x14ac:dyDescent="0.25">
      <c r="A236" s="1" t="s">
        <v>673</v>
      </c>
      <c r="B236" s="1">
        <v>411</v>
      </c>
      <c r="C236" s="1" t="s">
        <v>1061</v>
      </c>
      <c r="D236" s="1" t="s">
        <v>635</v>
      </c>
      <c r="E236" s="1" t="s">
        <v>1062</v>
      </c>
      <c r="F236" s="1" t="s">
        <v>144</v>
      </c>
      <c r="G236" s="1">
        <v>0</v>
      </c>
      <c r="I236" s="1" t="s">
        <v>633</v>
      </c>
      <c r="J236" s="1" t="s">
        <v>55</v>
      </c>
    </row>
    <row r="237" spans="1:10" hidden="1" x14ac:dyDescent="0.25">
      <c r="A237" s="1" t="s">
        <v>673</v>
      </c>
      <c r="B237" s="1">
        <v>432</v>
      </c>
      <c r="C237" s="1" t="s">
        <v>714</v>
      </c>
      <c r="D237" s="1" t="s">
        <v>698</v>
      </c>
      <c r="E237" s="1" t="s">
        <v>1063</v>
      </c>
      <c r="F237" s="1" t="s">
        <v>144</v>
      </c>
      <c r="G237" s="1">
        <v>0</v>
      </c>
      <c r="I237" s="1" t="s">
        <v>696</v>
      </c>
      <c r="J237" s="1" t="s">
        <v>55</v>
      </c>
    </row>
    <row r="238" spans="1:10" hidden="1" x14ac:dyDescent="0.25">
      <c r="A238" s="1" t="s">
        <v>673</v>
      </c>
      <c r="B238" s="1">
        <v>437</v>
      </c>
      <c r="C238" s="1" t="s">
        <v>1064</v>
      </c>
      <c r="D238" s="1" t="s">
        <v>698</v>
      </c>
      <c r="E238" s="1" t="s">
        <v>1065</v>
      </c>
      <c r="F238" s="1" t="s">
        <v>144</v>
      </c>
      <c r="G238" s="1">
        <v>0</v>
      </c>
      <c r="I238" s="1" t="s">
        <v>696</v>
      </c>
      <c r="J238" s="1" t="s">
        <v>55</v>
      </c>
    </row>
    <row r="239" spans="1:10" hidden="1" x14ac:dyDescent="0.25">
      <c r="A239" s="1" t="s">
        <v>673</v>
      </c>
      <c r="B239" s="1">
        <v>487</v>
      </c>
      <c r="C239" s="1" t="s">
        <v>783</v>
      </c>
      <c r="D239" s="1" t="s">
        <v>698</v>
      </c>
      <c r="E239" s="1" t="s">
        <v>1066</v>
      </c>
      <c r="F239" s="1" t="s">
        <v>144</v>
      </c>
      <c r="G239" s="1">
        <v>0</v>
      </c>
      <c r="I239" s="1" t="s">
        <v>696</v>
      </c>
      <c r="J239" s="1" t="s">
        <v>55</v>
      </c>
    </row>
    <row r="240" spans="1:10" hidden="1" x14ac:dyDescent="0.25">
      <c r="A240" s="1" t="s">
        <v>673</v>
      </c>
      <c r="B240" s="1">
        <v>492</v>
      </c>
      <c r="C240" s="1" t="s">
        <v>1067</v>
      </c>
      <c r="D240" s="1" t="s">
        <v>698</v>
      </c>
      <c r="E240" s="1" t="s">
        <v>1068</v>
      </c>
      <c r="F240" s="1" t="s">
        <v>144</v>
      </c>
      <c r="G240" s="1">
        <v>0</v>
      </c>
      <c r="I240" s="1" t="s">
        <v>696</v>
      </c>
      <c r="J240" s="1" t="s">
        <v>55</v>
      </c>
    </row>
    <row r="242" spans="7:7" x14ac:dyDescent="0.25">
      <c r="G242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{7965FE72-DEDF-4366-A3D3-08127DF19C53}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65FE72-DEDF-4366-A3D3-08127DF19C5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3"/>
  <sheetViews>
    <sheetView tabSelected="1" workbookViewId="0">
      <selection activeCell="G1" sqref="G1:G1048576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4" t="s">
        <v>7</v>
      </c>
      <c r="H1" s="1" t="s">
        <v>14</v>
      </c>
      <c r="I1" s="1" t="s">
        <v>15</v>
      </c>
      <c r="J1" s="1" t="s">
        <v>17</v>
      </c>
    </row>
    <row r="2" spans="1:10" hidden="1" x14ac:dyDescent="0.25">
      <c r="A2" s="1" t="s">
        <v>146</v>
      </c>
      <c r="B2" s="1">
        <v>33</v>
      </c>
      <c r="C2" s="1" t="s">
        <v>143</v>
      </c>
      <c r="D2" s="1" t="s">
        <v>140</v>
      </c>
      <c r="E2" s="1" t="s">
        <v>98</v>
      </c>
      <c r="F2" s="1" t="s">
        <v>144</v>
      </c>
      <c r="G2" s="1">
        <v>0</v>
      </c>
      <c r="I2" s="1" t="s">
        <v>132</v>
      </c>
      <c r="J2" s="1" t="s">
        <v>55</v>
      </c>
    </row>
    <row r="3" spans="1:10" hidden="1" x14ac:dyDescent="0.25">
      <c r="A3" s="1" t="s">
        <v>146</v>
      </c>
      <c r="B3" s="1">
        <v>34</v>
      </c>
      <c r="C3" s="1" t="s">
        <v>147</v>
      </c>
      <c r="D3" s="1" t="s">
        <v>140</v>
      </c>
      <c r="E3" s="1" t="s">
        <v>102</v>
      </c>
      <c r="F3" s="1" t="s">
        <v>144</v>
      </c>
      <c r="G3" s="1">
        <v>0</v>
      </c>
      <c r="I3" s="1" t="s">
        <v>132</v>
      </c>
      <c r="J3" s="1" t="s">
        <v>55</v>
      </c>
    </row>
    <row r="4" spans="1:10" hidden="1" x14ac:dyDescent="0.25">
      <c r="A4" s="1" t="s">
        <v>146</v>
      </c>
      <c r="B4" s="1">
        <v>85</v>
      </c>
      <c r="C4" s="1" t="s">
        <v>216</v>
      </c>
      <c r="D4" s="1" t="s">
        <v>215</v>
      </c>
      <c r="E4" s="1" t="s">
        <v>98</v>
      </c>
      <c r="F4" s="1" t="s">
        <v>144</v>
      </c>
      <c r="G4" s="1">
        <v>0</v>
      </c>
      <c r="I4" s="1" t="s">
        <v>197</v>
      </c>
      <c r="J4" s="1" t="s">
        <v>55</v>
      </c>
    </row>
    <row r="5" spans="1:10" hidden="1" x14ac:dyDescent="0.25">
      <c r="A5" s="1" t="s">
        <v>146</v>
      </c>
      <c r="B5" s="1">
        <v>86</v>
      </c>
      <c r="C5" s="1" t="s">
        <v>217</v>
      </c>
      <c r="D5" s="1" t="s">
        <v>215</v>
      </c>
      <c r="E5" s="1" t="s">
        <v>102</v>
      </c>
      <c r="F5" s="1" t="s">
        <v>144</v>
      </c>
      <c r="G5" s="1">
        <v>0</v>
      </c>
      <c r="I5" s="1" t="s">
        <v>197</v>
      </c>
      <c r="J5" s="1" t="s">
        <v>55</v>
      </c>
    </row>
    <row r="6" spans="1:10" hidden="1" x14ac:dyDescent="0.25">
      <c r="A6" s="1" t="s">
        <v>151</v>
      </c>
      <c r="B6" s="1">
        <v>137</v>
      </c>
      <c r="C6" s="1" t="s">
        <v>295</v>
      </c>
      <c r="D6" s="1" t="s">
        <v>289</v>
      </c>
      <c r="E6" s="1" t="s">
        <v>108</v>
      </c>
      <c r="F6" s="1" t="s">
        <v>144</v>
      </c>
      <c r="G6" s="1">
        <v>0</v>
      </c>
      <c r="I6" s="1" t="s">
        <v>197</v>
      </c>
      <c r="J6" s="1" t="s">
        <v>55</v>
      </c>
    </row>
    <row r="7" spans="1:10" hidden="1" x14ac:dyDescent="0.25">
      <c r="A7" s="1" t="s">
        <v>151</v>
      </c>
      <c r="B7" s="1">
        <v>142</v>
      </c>
      <c r="C7" s="1" t="s">
        <v>303</v>
      </c>
      <c r="D7" s="1" t="s">
        <v>300</v>
      </c>
      <c r="E7" s="1" t="s">
        <v>108</v>
      </c>
      <c r="F7" s="1" t="s">
        <v>144</v>
      </c>
      <c r="G7" s="1">
        <v>0</v>
      </c>
      <c r="I7" s="1" t="s">
        <v>197</v>
      </c>
      <c r="J7" s="1" t="s">
        <v>55</v>
      </c>
    </row>
    <row r="8" spans="1:10" hidden="1" x14ac:dyDescent="0.25">
      <c r="A8" s="1" t="s">
        <v>151</v>
      </c>
      <c r="B8" s="1">
        <v>147</v>
      </c>
      <c r="C8" s="1" t="s">
        <v>310</v>
      </c>
      <c r="D8" s="1" t="s">
        <v>307</v>
      </c>
      <c r="E8" s="1" t="s">
        <v>108</v>
      </c>
      <c r="F8" s="1" t="s">
        <v>144</v>
      </c>
      <c r="G8" s="1">
        <v>0</v>
      </c>
      <c r="I8" s="1" t="s">
        <v>197</v>
      </c>
      <c r="J8" s="1" t="s">
        <v>55</v>
      </c>
    </row>
    <row r="9" spans="1:10" hidden="1" x14ac:dyDescent="0.25">
      <c r="A9" s="1" t="s">
        <v>151</v>
      </c>
      <c r="B9" s="1">
        <v>152</v>
      </c>
      <c r="C9" s="1" t="s">
        <v>317</v>
      </c>
      <c r="D9" s="1" t="s">
        <v>314</v>
      </c>
      <c r="E9" s="1" t="s">
        <v>108</v>
      </c>
      <c r="F9" s="1" t="s">
        <v>144</v>
      </c>
      <c r="G9" s="1">
        <v>0</v>
      </c>
      <c r="I9" s="1" t="s">
        <v>197</v>
      </c>
      <c r="J9" s="1" t="s">
        <v>55</v>
      </c>
    </row>
    <row r="10" spans="1:10" hidden="1" x14ac:dyDescent="0.25">
      <c r="A10" s="1" t="s">
        <v>151</v>
      </c>
      <c r="B10" s="1">
        <v>157</v>
      </c>
      <c r="C10" s="1" t="s">
        <v>325</v>
      </c>
      <c r="D10" s="1" t="s">
        <v>322</v>
      </c>
      <c r="E10" s="1" t="s">
        <v>108</v>
      </c>
      <c r="F10" s="1" t="s">
        <v>144</v>
      </c>
      <c r="G10" s="1">
        <v>0</v>
      </c>
      <c r="I10" s="1" t="s">
        <v>197</v>
      </c>
      <c r="J10" s="1" t="s">
        <v>55</v>
      </c>
    </row>
    <row r="11" spans="1:10" hidden="1" x14ac:dyDescent="0.25">
      <c r="A11" s="1" t="s">
        <v>151</v>
      </c>
      <c r="B11" s="1">
        <v>162</v>
      </c>
      <c r="C11" s="1" t="s">
        <v>332</v>
      </c>
      <c r="D11" s="1" t="s">
        <v>329</v>
      </c>
      <c r="E11" s="1" t="s">
        <v>108</v>
      </c>
      <c r="F11" s="1" t="s">
        <v>144</v>
      </c>
      <c r="G11" s="1">
        <v>0</v>
      </c>
      <c r="I11" s="1" t="s">
        <v>197</v>
      </c>
      <c r="J11" s="1" t="s">
        <v>55</v>
      </c>
    </row>
    <row r="12" spans="1:10" hidden="1" x14ac:dyDescent="0.25">
      <c r="A12" s="1" t="s">
        <v>151</v>
      </c>
      <c r="B12" s="1">
        <v>216</v>
      </c>
      <c r="C12" s="1" t="s">
        <v>412</v>
      </c>
      <c r="D12" s="1" t="s">
        <v>410</v>
      </c>
      <c r="E12" s="1" t="s">
        <v>98</v>
      </c>
      <c r="F12" s="1" t="s">
        <v>144</v>
      </c>
      <c r="G12" s="1">
        <v>0</v>
      </c>
      <c r="I12" s="1" t="s">
        <v>405</v>
      </c>
      <c r="J12" s="1" t="s">
        <v>55</v>
      </c>
    </row>
    <row r="13" spans="1:10" hidden="1" x14ac:dyDescent="0.25">
      <c r="A13" s="1" t="s">
        <v>151</v>
      </c>
      <c r="B13" s="1">
        <v>234</v>
      </c>
      <c r="C13" s="1" t="s">
        <v>416</v>
      </c>
      <c r="D13" s="1" t="s">
        <v>407</v>
      </c>
      <c r="E13" s="1" t="s">
        <v>417</v>
      </c>
      <c r="F13" s="1" t="s">
        <v>144</v>
      </c>
      <c r="G13" s="1">
        <v>0</v>
      </c>
      <c r="I13" s="1" t="s">
        <v>405</v>
      </c>
      <c r="J13" s="1" t="s">
        <v>55</v>
      </c>
    </row>
    <row r="14" spans="1:10" x14ac:dyDescent="0.25">
      <c r="A14" s="1" t="s">
        <v>151</v>
      </c>
      <c r="B14" s="1">
        <v>235</v>
      </c>
      <c r="C14" s="1" t="s">
        <v>419</v>
      </c>
      <c r="D14" s="1" t="s">
        <v>420</v>
      </c>
      <c r="E14" s="1" t="s">
        <v>94</v>
      </c>
      <c r="F14" s="1" t="s">
        <v>144</v>
      </c>
      <c r="G14" s="4">
        <v>0</v>
      </c>
      <c r="I14" s="1" t="s">
        <v>405</v>
      </c>
      <c r="J14" s="1" t="s">
        <v>55</v>
      </c>
    </row>
    <row r="15" spans="1:10" hidden="1" x14ac:dyDescent="0.25">
      <c r="A15" s="1" t="s">
        <v>151</v>
      </c>
      <c r="B15" s="1">
        <v>254</v>
      </c>
      <c r="C15" s="1" t="s">
        <v>437</v>
      </c>
      <c r="D15" s="1" t="s">
        <v>407</v>
      </c>
      <c r="E15" s="1" t="s">
        <v>438</v>
      </c>
      <c r="F15" s="1" t="s">
        <v>144</v>
      </c>
      <c r="G15" s="1">
        <v>0.32</v>
      </c>
      <c r="I15" s="1" t="s">
        <v>405</v>
      </c>
      <c r="J15" s="1" t="s">
        <v>55</v>
      </c>
    </row>
    <row r="16" spans="1:10" x14ac:dyDescent="0.25">
      <c r="A16" s="1" t="s">
        <v>151</v>
      </c>
      <c r="B16" s="1">
        <v>255</v>
      </c>
      <c r="C16" s="1" t="s">
        <v>440</v>
      </c>
      <c r="D16" s="1" t="s">
        <v>441</v>
      </c>
      <c r="E16" s="1" t="s">
        <v>94</v>
      </c>
      <c r="F16" s="1" t="s">
        <v>144</v>
      </c>
      <c r="G16" s="4">
        <v>0.75</v>
      </c>
      <c r="I16" s="1" t="s">
        <v>405</v>
      </c>
      <c r="J16" s="1" t="s">
        <v>55</v>
      </c>
    </row>
    <row r="17" spans="1:10" hidden="1" x14ac:dyDescent="0.25">
      <c r="A17" s="1" t="s">
        <v>151</v>
      </c>
      <c r="B17" s="1">
        <v>259</v>
      </c>
      <c r="C17" s="1" t="s">
        <v>447</v>
      </c>
      <c r="D17" s="1" t="s">
        <v>407</v>
      </c>
      <c r="E17" s="1" t="s">
        <v>448</v>
      </c>
      <c r="F17" s="1" t="s">
        <v>144</v>
      </c>
      <c r="G17" s="1">
        <v>0.32</v>
      </c>
      <c r="I17" s="1" t="s">
        <v>405</v>
      </c>
      <c r="J17" s="1" t="s">
        <v>55</v>
      </c>
    </row>
    <row r="18" spans="1:10" x14ac:dyDescent="0.25">
      <c r="A18" s="1" t="s">
        <v>151</v>
      </c>
      <c r="B18" s="1">
        <v>260</v>
      </c>
      <c r="C18" s="1" t="s">
        <v>449</v>
      </c>
      <c r="D18" s="1" t="s">
        <v>450</v>
      </c>
      <c r="E18" s="1" t="s">
        <v>94</v>
      </c>
      <c r="F18" s="1" t="s">
        <v>144</v>
      </c>
      <c r="G18" s="4">
        <v>0.75</v>
      </c>
      <c r="I18" s="1" t="s">
        <v>405</v>
      </c>
      <c r="J18" s="1" t="s">
        <v>55</v>
      </c>
    </row>
    <row r="19" spans="1:10" hidden="1" x14ac:dyDescent="0.25">
      <c r="A19" s="1" t="s">
        <v>151</v>
      </c>
      <c r="B19" s="1">
        <v>264</v>
      </c>
      <c r="C19" s="1" t="s">
        <v>454</v>
      </c>
      <c r="D19" s="1" t="s">
        <v>407</v>
      </c>
      <c r="E19" s="1" t="s">
        <v>455</v>
      </c>
      <c r="F19" s="1" t="s">
        <v>144</v>
      </c>
      <c r="G19" s="1">
        <v>0.32</v>
      </c>
      <c r="I19" s="1" t="s">
        <v>405</v>
      </c>
      <c r="J19" s="1" t="s">
        <v>55</v>
      </c>
    </row>
    <row r="20" spans="1:10" x14ac:dyDescent="0.25">
      <c r="A20" s="1" t="s">
        <v>151</v>
      </c>
      <c r="B20" s="1">
        <v>265</v>
      </c>
      <c r="C20" s="1" t="s">
        <v>456</v>
      </c>
      <c r="D20" s="1" t="s">
        <v>457</v>
      </c>
      <c r="E20" s="1" t="s">
        <v>94</v>
      </c>
      <c r="F20" s="1" t="s">
        <v>144</v>
      </c>
      <c r="G20" s="4">
        <v>0.75</v>
      </c>
      <c r="I20" s="1" t="s">
        <v>405</v>
      </c>
      <c r="J20" s="1" t="s">
        <v>55</v>
      </c>
    </row>
    <row r="21" spans="1:10" hidden="1" x14ac:dyDescent="0.25">
      <c r="A21" s="1" t="s">
        <v>151</v>
      </c>
      <c r="B21" s="1">
        <v>284</v>
      </c>
      <c r="C21" s="1" t="s">
        <v>461</v>
      </c>
      <c r="D21" s="1" t="s">
        <v>407</v>
      </c>
      <c r="E21" s="1" t="s">
        <v>462</v>
      </c>
      <c r="F21" s="1" t="s">
        <v>144</v>
      </c>
      <c r="G21" s="1">
        <v>0.32</v>
      </c>
      <c r="I21" s="1" t="s">
        <v>405</v>
      </c>
      <c r="J21" s="1" t="s">
        <v>55</v>
      </c>
    </row>
    <row r="22" spans="1:10" x14ac:dyDescent="0.25">
      <c r="A22" s="1" t="s">
        <v>151</v>
      </c>
      <c r="B22" s="1">
        <v>285</v>
      </c>
      <c r="C22" s="1" t="s">
        <v>463</v>
      </c>
      <c r="D22" s="1" t="s">
        <v>464</v>
      </c>
      <c r="E22" s="1" t="s">
        <v>94</v>
      </c>
      <c r="F22" s="1" t="s">
        <v>144</v>
      </c>
      <c r="G22" s="4">
        <v>0.75</v>
      </c>
      <c r="I22" s="1" t="s">
        <v>405</v>
      </c>
      <c r="J22" s="1" t="s">
        <v>55</v>
      </c>
    </row>
    <row r="23" spans="1:10" hidden="1" x14ac:dyDescent="0.25">
      <c r="A23" s="1" t="s">
        <v>151</v>
      </c>
      <c r="B23" s="1">
        <v>289</v>
      </c>
      <c r="C23" s="1" t="s">
        <v>468</v>
      </c>
      <c r="D23" s="1" t="s">
        <v>407</v>
      </c>
      <c r="E23" s="1" t="s">
        <v>469</v>
      </c>
      <c r="F23" s="1" t="s">
        <v>144</v>
      </c>
      <c r="G23" s="1">
        <v>0.32</v>
      </c>
      <c r="I23" s="1" t="s">
        <v>405</v>
      </c>
      <c r="J23" s="1" t="s">
        <v>55</v>
      </c>
    </row>
    <row r="24" spans="1:10" x14ac:dyDescent="0.25">
      <c r="A24" s="1" t="s">
        <v>151</v>
      </c>
      <c r="B24" s="1">
        <v>290</v>
      </c>
      <c r="C24" s="1" t="s">
        <v>470</v>
      </c>
      <c r="D24" s="1" t="s">
        <v>471</v>
      </c>
      <c r="E24" s="1" t="s">
        <v>94</v>
      </c>
      <c r="F24" s="1" t="s">
        <v>144</v>
      </c>
      <c r="G24" s="4">
        <v>0.75</v>
      </c>
      <c r="I24" s="1" t="s">
        <v>405</v>
      </c>
      <c r="J24" s="1" t="s">
        <v>55</v>
      </c>
    </row>
    <row r="25" spans="1:10" hidden="1" x14ac:dyDescent="0.25">
      <c r="A25" s="1" t="s">
        <v>151</v>
      </c>
      <c r="B25" s="1">
        <v>294</v>
      </c>
      <c r="C25" s="1" t="s">
        <v>475</v>
      </c>
      <c r="D25" s="1" t="s">
        <v>407</v>
      </c>
      <c r="E25" s="1" t="s">
        <v>476</v>
      </c>
      <c r="F25" s="1" t="s">
        <v>144</v>
      </c>
      <c r="G25" s="1">
        <v>0.32</v>
      </c>
      <c r="I25" s="1" t="s">
        <v>405</v>
      </c>
      <c r="J25" s="1" t="s">
        <v>55</v>
      </c>
    </row>
    <row r="26" spans="1:10" x14ac:dyDescent="0.25">
      <c r="A26" s="1" t="s">
        <v>151</v>
      </c>
      <c r="B26" s="1">
        <v>295</v>
      </c>
      <c r="C26" s="1" t="s">
        <v>477</v>
      </c>
      <c r="D26" s="1" t="s">
        <v>478</v>
      </c>
      <c r="E26" s="1" t="s">
        <v>94</v>
      </c>
      <c r="F26" s="1" t="s">
        <v>144</v>
      </c>
      <c r="G26" s="4">
        <v>0.75</v>
      </c>
      <c r="I26" s="1" t="s">
        <v>405</v>
      </c>
      <c r="J26" s="1" t="s">
        <v>55</v>
      </c>
    </row>
    <row r="27" spans="1:10" hidden="1" x14ac:dyDescent="0.25">
      <c r="A27" s="1" t="s">
        <v>151</v>
      </c>
      <c r="B27" s="1">
        <v>299</v>
      </c>
      <c r="C27" s="1" t="s">
        <v>482</v>
      </c>
      <c r="D27" s="1" t="s">
        <v>407</v>
      </c>
      <c r="E27" s="1" t="s">
        <v>483</v>
      </c>
      <c r="F27" s="1" t="s">
        <v>144</v>
      </c>
      <c r="G27" s="1">
        <v>0.32</v>
      </c>
      <c r="I27" s="1" t="s">
        <v>405</v>
      </c>
      <c r="J27" s="1" t="s">
        <v>55</v>
      </c>
    </row>
    <row r="28" spans="1:10" x14ac:dyDescent="0.25">
      <c r="A28" s="1" t="s">
        <v>151</v>
      </c>
      <c r="B28" s="1">
        <v>300</v>
      </c>
      <c r="C28" s="1" t="s">
        <v>484</v>
      </c>
      <c r="D28" s="1" t="s">
        <v>485</v>
      </c>
      <c r="E28" s="1" t="s">
        <v>94</v>
      </c>
      <c r="F28" s="1" t="s">
        <v>144</v>
      </c>
      <c r="G28" s="4">
        <v>0.75</v>
      </c>
      <c r="I28" s="1" t="s">
        <v>405</v>
      </c>
      <c r="J28" s="1" t="s">
        <v>55</v>
      </c>
    </row>
    <row r="29" spans="1:10" hidden="1" x14ac:dyDescent="0.25">
      <c r="A29" s="1" t="s">
        <v>151</v>
      </c>
      <c r="B29" s="1">
        <v>304</v>
      </c>
      <c r="C29" s="1" t="s">
        <v>492</v>
      </c>
      <c r="D29" s="1" t="s">
        <v>407</v>
      </c>
      <c r="E29" s="1" t="s">
        <v>493</v>
      </c>
      <c r="F29" s="1" t="s">
        <v>144</v>
      </c>
      <c r="G29" s="1">
        <v>0.32</v>
      </c>
      <c r="I29" s="1" t="s">
        <v>405</v>
      </c>
      <c r="J29" s="1" t="s">
        <v>55</v>
      </c>
    </row>
    <row r="30" spans="1:10" x14ac:dyDescent="0.25">
      <c r="A30" s="1" t="s">
        <v>151</v>
      </c>
      <c r="B30" s="1">
        <v>305</v>
      </c>
      <c r="C30" s="1" t="s">
        <v>494</v>
      </c>
      <c r="D30" s="1" t="s">
        <v>495</v>
      </c>
      <c r="E30" s="1" t="s">
        <v>94</v>
      </c>
      <c r="F30" s="1" t="s">
        <v>144</v>
      </c>
      <c r="G30" s="4">
        <v>0.75</v>
      </c>
      <c r="I30" s="1" t="s">
        <v>405</v>
      </c>
      <c r="J30" s="1" t="s">
        <v>55</v>
      </c>
    </row>
    <row r="31" spans="1:10" hidden="1" x14ac:dyDescent="0.25">
      <c r="A31" s="1" t="s">
        <v>151</v>
      </c>
      <c r="B31" s="1">
        <v>309</v>
      </c>
      <c r="C31" s="1" t="s">
        <v>499</v>
      </c>
      <c r="D31" s="1" t="s">
        <v>407</v>
      </c>
      <c r="E31" s="1" t="s">
        <v>500</v>
      </c>
      <c r="F31" s="1" t="s">
        <v>144</v>
      </c>
      <c r="G31" s="1">
        <v>0.32</v>
      </c>
      <c r="I31" s="1" t="s">
        <v>405</v>
      </c>
      <c r="J31" s="1" t="s">
        <v>55</v>
      </c>
    </row>
    <row r="32" spans="1:10" x14ac:dyDescent="0.25">
      <c r="A32" s="1" t="s">
        <v>151</v>
      </c>
      <c r="B32" s="1">
        <v>310</v>
      </c>
      <c r="C32" s="1" t="s">
        <v>501</v>
      </c>
      <c r="D32" s="1" t="s">
        <v>502</v>
      </c>
      <c r="E32" s="1" t="s">
        <v>94</v>
      </c>
      <c r="F32" s="1" t="s">
        <v>144</v>
      </c>
      <c r="G32" s="4">
        <v>0.75</v>
      </c>
      <c r="I32" s="1" t="s">
        <v>405</v>
      </c>
      <c r="J32" s="1" t="s">
        <v>55</v>
      </c>
    </row>
    <row r="33" spans="1:10" hidden="1" x14ac:dyDescent="0.25">
      <c r="A33" s="1" t="s">
        <v>151</v>
      </c>
      <c r="B33" s="1">
        <v>316</v>
      </c>
      <c r="C33" s="1" t="s">
        <v>510</v>
      </c>
      <c r="D33" s="1" t="s">
        <v>509</v>
      </c>
      <c r="E33" s="1" t="s">
        <v>98</v>
      </c>
      <c r="F33" s="1" t="s">
        <v>144</v>
      </c>
      <c r="G33" s="1">
        <v>0</v>
      </c>
      <c r="I33" s="1" t="s">
        <v>405</v>
      </c>
      <c r="J33" s="1" t="s">
        <v>55</v>
      </c>
    </row>
    <row r="34" spans="1:10" hidden="1" x14ac:dyDescent="0.25">
      <c r="A34" s="1" t="s">
        <v>193</v>
      </c>
      <c r="B34" s="1">
        <v>317</v>
      </c>
      <c r="C34" s="1" t="s">
        <v>511</v>
      </c>
      <c r="D34" s="1" t="s">
        <v>509</v>
      </c>
      <c r="E34" s="1" t="s">
        <v>102</v>
      </c>
      <c r="F34" s="1" t="s">
        <v>144</v>
      </c>
      <c r="G34" s="1">
        <v>0</v>
      </c>
      <c r="I34" s="1" t="s">
        <v>405</v>
      </c>
      <c r="J34" s="1" t="s">
        <v>55</v>
      </c>
    </row>
    <row r="35" spans="1:10" hidden="1" x14ac:dyDescent="0.25">
      <c r="A35" s="1" t="s">
        <v>138</v>
      </c>
      <c r="B35" s="1">
        <v>324</v>
      </c>
      <c r="C35" s="1" t="s">
        <v>513</v>
      </c>
      <c r="D35" s="1" t="s">
        <v>73</v>
      </c>
      <c r="E35" s="1" t="s">
        <v>514</v>
      </c>
      <c r="F35" s="1" t="s">
        <v>144</v>
      </c>
      <c r="G35" s="1">
        <v>0.02</v>
      </c>
      <c r="I35" s="1" t="s">
        <v>516</v>
      </c>
      <c r="J35" s="1" t="s">
        <v>55</v>
      </c>
    </row>
    <row r="36" spans="1:10" hidden="1" x14ac:dyDescent="0.25">
      <c r="A36" s="1" t="s">
        <v>146</v>
      </c>
      <c r="B36" s="1">
        <v>330</v>
      </c>
      <c r="C36" s="1" t="s">
        <v>517</v>
      </c>
      <c r="D36" s="1" t="s">
        <v>518</v>
      </c>
      <c r="E36" s="1" t="s">
        <v>519</v>
      </c>
      <c r="F36" s="1" t="s">
        <v>144</v>
      </c>
      <c r="G36" s="1">
        <v>0.38</v>
      </c>
      <c r="I36" s="1" t="s">
        <v>516</v>
      </c>
      <c r="J36" s="1" t="s">
        <v>55</v>
      </c>
    </row>
    <row r="37" spans="1:10" x14ac:dyDescent="0.25">
      <c r="A37" s="1" t="s">
        <v>146</v>
      </c>
      <c r="B37" s="1">
        <v>331</v>
      </c>
      <c r="C37" s="1" t="s">
        <v>521</v>
      </c>
      <c r="D37" s="1" t="s">
        <v>522</v>
      </c>
      <c r="E37" s="1" t="s">
        <v>94</v>
      </c>
      <c r="F37" s="1" t="s">
        <v>144</v>
      </c>
      <c r="G37" s="4">
        <v>0.75</v>
      </c>
      <c r="I37" s="1" t="s">
        <v>516</v>
      </c>
      <c r="J37" s="1" t="s">
        <v>55</v>
      </c>
    </row>
    <row r="38" spans="1:10" hidden="1" x14ac:dyDescent="0.25">
      <c r="A38" s="1" t="s">
        <v>138</v>
      </c>
      <c r="B38" s="1">
        <v>345</v>
      </c>
      <c r="C38" s="1" t="s">
        <v>540</v>
      </c>
      <c r="D38" s="1" t="s">
        <v>518</v>
      </c>
      <c r="E38" s="1" t="s">
        <v>541</v>
      </c>
      <c r="F38" s="1" t="s">
        <v>144</v>
      </c>
      <c r="G38" s="1">
        <v>0</v>
      </c>
      <c r="I38" s="1" t="s">
        <v>516</v>
      </c>
      <c r="J38" s="1" t="s">
        <v>39</v>
      </c>
    </row>
    <row r="39" spans="1:10" x14ac:dyDescent="0.25">
      <c r="A39" s="1" t="s">
        <v>138</v>
      </c>
      <c r="B39" s="1">
        <v>346</v>
      </c>
      <c r="C39" s="1" t="s">
        <v>542</v>
      </c>
      <c r="D39" s="1" t="s">
        <v>543</v>
      </c>
      <c r="E39" s="1" t="s">
        <v>94</v>
      </c>
      <c r="F39" s="1" t="s">
        <v>144</v>
      </c>
      <c r="G39" s="4">
        <v>0</v>
      </c>
      <c r="I39" s="1" t="s">
        <v>516</v>
      </c>
      <c r="J39" s="1" t="s">
        <v>39</v>
      </c>
    </row>
    <row r="40" spans="1:10" hidden="1" x14ac:dyDescent="0.25">
      <c r="A40" s="1" t="s">
        <v>151</v>
      </c>
      <c r="B40" s="1">
        <v>400</v>
      </c>
      <c r="C40" s="1" t="s">
        <v>620</v>
      </c>
      <c r="D40" s="1" t="s">
        <v>518</v>
      </c>
      <c r="E40" s="1" t="s">
        <v>621</v>
      </c>
      <c r="F40" s="1" t="s">
        <v>144</v>
      </c>
      <c r="G40" s="1">
        <v>0</v>
      </c>
      <c r="I40" s="1" t="s">
        <v>516</v>
      </c>
      <c r="J40" s="1" t="s">
        <v>55</v>
      </c>
    </row>
    <row r="41" spans="1:10" x14ac:dyDescent="0.25">
      <c r="A41" s="1" t="s">
        <v>151</v>
      </c>
      <c r="B41" s="1">
        <v>401</v>
      </c>
      <c r="C41" s="1" t="s">
        <v>623</v>
      </c>
      <c r="D41" s="1" t="s">
        <v>624</v>
      </c>
      <c r="E41" s="1" t="s">
        <v>94</v>
      </c>
      <c r="F41" s="1" t="s">
        <v>144</v>
      </c>
      <c r="G41" s="4">
        <v>0</v>
      </c>
      <c r="I41" s="1" t="s">
        <v>516</v>
      </c>
      <c r="J41" s="1" t="s">
        <v>55</v>
      </c>
    </row>
    <row r="42" spans="1:10" hidden="1" x14ac:dyDescent="0.25">
      <c r="A42" s="1" t="s">
        <v>65</v>
      </c>
      <c r="B42" s="1">
        <v>448</v>
      </c>
      <c r="C42" s="1" t="s">
        <v>665</v>
      </c>
      <c r="D42" s="1" t="s">
        <v>662</v>
      </c>
      <c r="E42" s="1" t="s">
        <v>98</v>
      </c>
      <c r="F42" s="1" t="s">
        <v>144</v>
      </c>
      <c r="G42" s="1">
        <v>0</v>
      </c>
      <c r="I42" s="1" t="s">
        <v>633</v>
      </c>
      <c r="J42" s="1" t="s">
        <v>55</v>
      </c>
    </row>
    <row r="43" spans="1:10" hidden="1" x14ac:dyDescent="0.25">
      <c r="A43" s="1" t="s">
        <v>65</v>
      </c>
      <c r="B43" s="1">
        <v>449</v>
      </c>
      <c r="C43" s="1" t="s">
        <v>666</v>
      </c>
      <c r="D43" s="1" t="s">
        <v>662</v>
      </c>
      <c r="E43" s="1" t="s">
        <v>102</v>
      </c>
      <c r="F43" s="1" t="s">
        <v>144</v>
      </c>
      <c r="G43" s="1">
        <v>0</v>
      </c>
      <c r="I43" s="1" t="s">
        <v>633</v>
      </c>
      <c r="J43" s="1" t="s">
        <v>55</v>
      </c>
    </row>
    <row r="44" spans="1:10" hidden="1" x14ac:dyDescent="0.25">
      <c r="A44" s="1" t="s">
        <v>65</v>
      </c>
      <c r="B44" s="1">
        <v>450</v>
      </c>
      <c r="C44" s="1" t="s">
        <v>668</v>
      </c>
      <c r="D44" s="1" t="s">
        <v>662</v>
      </c>
      <c r="E44" s="1" t="s">
        <v>108</v>
      </c>
      <c r="F44" s="1" t="s">
        <v>144</v>
      </c>
      <c r="G44" s="1">
        <v>0</v>
      </c>
      <c r="I44" s="1" t="s">
        <v>633</v>
      </c>
      <c r="J44" s="1" t="s">
        <v>55</v>
      </c>
    </row>
    <row r="45" spans="1:10" hidden="1" x14ac:dyDescent="0.25">
      <c r="A45" s="1" t="s">
        <v>673</v>
      </c>
      <c r="B45" s="1">
        <v>453</v>
      </c>
      <c r="C45" s="1" t="s">
        <v>677</v>
      </c>
      <c r="D45" s="1" t="s">
        <v>675</v>
      </c>
      <c r="E45" s="1" t="s">
        <v>98</v>
      </c>
      <c r="F45" s="1" t="s">
        <v>144</v>
      </c>
      <c r="G45" s="1">
        <v>0</v>
      </c>
      <c r="I45" s="1" t="s">
        <v>633</v>
      </c>
      <c r="J45" s="1" t="s">
        <v>55</v>
      </c>
    </row>
    <row r="46" spans="1:10" hidden="1" x14ac:dyDescent="0.25">
      <c r="A46" s="1" t="s">
        <v>673</v>
      </c>
      <c r="B46" s="1">
        <v>454</v>
      </c>
      <c r="C46" s="1" t="s">
        <v>679</v>
      </c>
      <c r="D46" s="1" t="s">
        <v>675</v>
      </c>
      <c r="E46" s="1" t="s">
        <v>102</v>
      </c>
      <c r="F46" s="1" t="s">
        <v>144</v>
      </c>
      <c r="G46" s="1">
        <v>0</v>
      </c>
      <c r="I46" s="1" t="s">
        <v>633</v>
      </c>
      <c r="J46" s="1" t="s">
        <v>55</v>
      </c>
    </row>
    <row r="47" spans="1:10" hidden="1" x14ac:dyDescent="0.25">
      <c r="A47" s="1" t="s">
        <v>673</v>
      </c>
      <c r="B47" s="1">
        <v>455</v>
      </c>
      <c r="C47" s="1" t="s">
        <v>681</v>
      </c>
      <c r="D47" s="1" t="s">
        <v>675</v>
      </c>
      <c r="E47" s="1" t="s">
        <v>108</v>
      </c>
      <c r="F47" s="1" t="s">
        <v>144</v>
      </c>
      <c r="G47" s="1">
        <v>0</v>
      </c>
      <c r="I47" s="1" t="s">
        <v>633</v>
      </c>
      <c r="J47" s="1" t="s">
        <v>55</v>
      </c>
    </row>
    <row r="48" spans="1:10" hidden="1" x14ac:dyDescent="0.25">
      <c r="A48" s="1" t="s">
        <v>673</v>
      </c>
      <c r="B48" s="1">
        <v>461</v>
      </c>
      <c r="C48" s="1" t="s">
        <v>683</v>
      </c>
      <c r="D48" s="1" t="s">
        <v>635</v>
      </c>
      <c r="E48" s="1" t="s">
        <v>684</v>
      </c>
      <c r="F48" s="1" t="s">
        <v>144</v>
      </c>
      <c r="G48" s="1">
        <v>0.28000000000000003</v>
      </c>
      <c r="I48" s="1" t="s">
        <v>633</v>
      </c>
      <c r="J48" s="1" t="s">
        <v>55</v>
      </c>
    </row>
    <row r="49" spans="1:10" x14ac:dyDescent="0.25">
      <c r="A49" s="1" t="s">
        <v>673</v>
      </c>
      <c r="B49" s="1">
        <v>462</v>
      </c>
      <c r="C49" s="1" t="s">
        <v>685</v>
      </c>
      <c r="D49" s="1" t="s">
        <v>686</v>
      </c>
      <c r="E49" s="1" t="s">
        <v>94</v>
      </c>
      <c r="F49" s="1" t="s">
        <v>144</v>
      </c>
      <c r="G49" s="4">
        <v>0.7</v>
      </c>
      <c r="I49" s="1" t="s">
        <v>633</v>
      </c>
      <c r="J49" s="1" t="s">
        <v>55</v>
      </c>
    </row>
    <row r="50" spans="1:10" hidden="1" x14ac:dyDescent="0.25">
      <c r="A50" s="1" t="s">
        <v>146</v>
      </c>
      <c r="B50" s="1">
        <v>479</v>
      </c>
      <c r="C50" s="1" t="s">
        <v>704</v>
      </c>
      <c r="D50" s="1" t="s">
        <v>702</v>
      </c>
      <c r="E50" s="1" t="s">
        <v>98</v>
      </c>
      <c r="F50" s="1" t="s">
        <v>144</v>
      </c>
      <c r="G50" s="1">
        <v>0</v>
      </c>
      <c r="I50" s="1" t="s">
        <v>696</v>
      </c>
      <c r="J50" s="1" t="s">
        <v>55</v>
      </c>
    </row>
    <row r="51" spans="1:10" hidden="1" x14ac:dyDescent="0.25">
      <c r="A51" s="1" t="s">
        <v>146</v>
      </c>
      <c r="B51" s="1">
        <v>480</v>
      </c>
      <c r="C51" s="1" t="s">
        <v>705</v>
      </c>
      <c r="D51" s="1" t="s">
        <v>702</v>
      </c>
      <c r="E51" s="1" t="s">
        <v>102</v>
      </c>
      <c r="F51" s="1" t="s">
        <v>144</v>
      </c>
      <c r="G51" s="1">
        <v>0</v>
      </c>
      <c r="I51" s="1" t="s">
        <v>696</v>
      </c>
      <c r="J51" s="1" t="s">
        <v>55</v>
      </c>
    </row>
    <row r="52" spans="1:10" hidden="1" x14ac:dyDescent="0.25">
      <c r="A52" s="1" t="s">
        <v>151</v>
      </c>
      <c r="B52" s="1">
        <v>484</v>
      </c>
      <c r="C52" s="1" t="s">
        <v>711</v>
      </c>
      <c r="D52" s="1" t="s">
        <v>710</v>
      </c>
      <c r="E52" s="1" t="s">
        <v>98</v>
      </c>
      <c r="F52" s="1" t="s">
        <v>144</v>
      </c>
      <c r="G52" s="1">
        <v>0</v>
      </c>
      <c r="I52" s="1" t="s">
        <v>696</v>
      </c>
      <c r="J52" s="1" t="s">
        <v>55</v>
      </c>
    </row>
    <row r="53" spans="1:10" hidden="1" x14ac:dyDescent="0.25">
      <c r="A53" s="1" t="s">
        <v>151</v>
      </c>
      <c r="B53" s="1">
        <v>485</v>
      </c>
      <c r="C53" s="1" t="s">
        <v>712</v>
      </c>
      <c r="D53" s="1" t="s">
        <v>710</v>
      </c>
      <c r="E53" s="1" t="s">
        <v>102</v>
      </c>
      <c r="F53" s="1" t="s">
        <v>144</v>
      </c>
      <c r="G53" s="1">
        <v>0</v>
      </c>
      <c r="I53" s="1" t="s">
        <v>696</v>
      </c>
      <c r="J53" s="1" t="s">
        <v>55</v>
      </c>
    </row>
    <row r="54" spans="1:10" hidden="1" x14ac:dyDescent="0.25">
      <c r="A54" s="1" t="s">
        <v>151</v>
      </c>
      <c r="B54" s="1">
        <v>489</v>
      </c>
      <c r="C54" s="1" t="s">
        <v>719</v>
      </c>
      <c r="D54" s="1" t="s">
        <v>717</v>
      </c>
      <c r="E54" s="1" t="s">
        <v>98</v>
      </c>
      <c r="F54" s="1" t="s">
        <v>144</v>
      </c>
      <c r="G54" s="1">
        <v>0</v>
      </c>
      <c r="I54" s="1" t="s">
        <v>696</v>
      </c>
      <c r="J54" s="1" t="s">
        <v>55</v>
      </c>
    </row>
    <row r="55" spans="1:10" hidden="1" x14ac:dyDescent="0.25">
      <c r="A55" s="1" t="s">
        <v>151</v>
      </c>
      <c r="B55" s="1">
        <v>490</v>
      </c>
      <c r="C55" s="1" t="s">
        <v>720</v>
      </c>
      <c r="D55" s="1" t="s">
        <v>717</v>
      </c>
      <c r="E55" s="1" t="s">
        <v>102</v>
      </c>
      <c r="F55" s="1" t="s">
        <v>144</v>
      </c>
      <c r="G55" s="1">
        <v>0</v>
      </c>
      <c r="I55" s="1" t="s">
        <v>696</v>
      </c>
      <c r="J55" s="1" t="s">
        <v>55</v>
      </c>
    </row>
    <row r="56" spans="1:10" hidden="1" x14ac:dyDescent="0.25">
      <c r="A56" s="1" t="s">
        <v>146</v>
      </c>
      <c r="B56" s="1">
        <v>544</v>
      </c>
      <c r="C56" s="1" t="s">
        <v>788</v>
      </c>
      <c r="D56" s="1" t="s">
        <v>786</v>
      </c>
      <c r="E56" s="1" t="s">
        <v>98</v>
      </c>
      <c r="F56" s="1" t="s">
        <v>144</v>
      </c>
      <c r="G56" s="1">
        <v>0</v>
      </c>
      <c r="I56" s="1" t="s">
        <v>696</v>
      </c>
      <c r="J56" s="1" t="s">
        <v>55</v>
      </c>
    </row>
    <row r="57" spans="1:10" hidden="1" x14ac:dyDescent="0.25">
      <c r="A57" s="1" t="s">
        <v>146</v>
      </c>
      <c r="B57" s="1">
        <v>545</v>
      </c>
      <c r="C57" s="1" t="s">
        <v>789</v>
      </c>
      <c r="D57" s="1" t="s">
        <v>786</v>
      </c>
      <c r="E57" s="1" t="s">
        <v>102</v>
      </c>
      <c r="F57" s="1" t="s">
        <v>144</v>
      </c>
      <c r="G57" s="1">
        <v>0</v>
      </c>
      <c r="I57" s="1" t="s">
        <v>696</v>
      </c>
      <c r="J57" s="1" t="s">
        <v>55</v>
      </c>
    </row>
    <row r="58" spans="1:10" hidden="1" x14ac:dyDescent="0.25">
      <c r="A58" s="1" t="s">
        <v>146</v>
      </c>
      <c r="B58" s="1">
        <v>562</v>
      </c>
      <c r="C58" s="1" t="s">
        <v>800</v>
      </c>
      <c r="D58" s="1" t="s">
        <v>698</v>
      </c>
      <c r="E58" s="1" t="s">
        <v>801</v>
      </c>
      <c r="F58" s="1" t="s">
        <v>144</v>
      </c>
      <c r="G58" s="1">
        <v>0</v>
      </c>
      <c r="I58" s="1" t="s">
        <v>696</v>
      </c>
      <c r="J58" s="1" t="s">
        <v>55</v>
      </c>
    </row>
    <row r="59" spans="1:10" x14ac:dyDescent="0.25">
      <c r="A59" s="1" t="s">
        <v>146</v>
      </c>
      <c r="B59" s="1">
        <v>563</v>
      </c>
      <c r="C59" s="1" t="s">
        <v>802</v>
      </c>
      <c r="D59" s="1" t="s">
        <v>803</v>
      </c>
      <c r="E59" s="1" t="s">
        <v>94</v>
      </c>
      <c r="F59" s="1" t="s">
        <v>144</v>
      </c>
      <c r="G59" s="4">
        <v>0</v>
      </c>
      <c r="I59" s="1" t="s">
        <v>696</v>
      </c>
      <c r="J59" s="1" t="s">
        <v>55</v>
      </c>
    </row>
    <row r="60" spans="1:10" hidden="1" x14ac:dyDescent="0.25">
      <c r="A60" s="1" t="s">
        <v>146</v>
      </c>
      <c r="B60" s="1">
        <v>699</v>
      </c>
      <c r="C60" s="1" t="s">
        <v>1001</v>
      </c>
      <c r="D60" s="1" t="s">
        <v>999</v>
      </c>
      <c r="E60" s="1" t="s">
        <v>98</v>
      </c>
      <c r="F60" s="1" t="s">
        <v>144</v>
      </c>
      <c r="G60" s="1">
        <v>0</v>
      </c>
      <c r="I60" s="1" t="s">
        <v>696</v>
      </c>
      <c r="J60" s="1" t="s">
        <v>55</v>
      </c>
    </row>
    <row r="61" spans="1:10" hidden="1" x14ac:dyDescent="0.25">
      <c r="A61" s="1" t="s">
        <v>146</v>
      </c>
      <c r="B61" s="1">
        <v>700</v>
      </c>
      <c r="C61" s="1" t="s">
        <v>1002</v>
      </c>
      <c r="D61" s="1" t="s">
        <v>999</v>
      </c>
      <c r="E61" s="1" t="s">
        <v>102</v>
      </c>
      <c r="F61" s="1" t="s">
        <v>144</v>
      </c>
      <c r="G61" s="1">
        <v>0</v>
      </c>
      <c r="I61" s="1" t="s">
        <v>696</v>
      </c>
      <c r="J61" s="1" t="s">
        <v>55</v>
      </c>
    </row>
    <row r="62" spans="1:10" hidden="1" x14ac:dyDescent="0.25">
      <c r="A62" s="1" t="s">
        <v>146</v>
      </c>
      <c r="B62" s="1">
        <v>705</v>
      </c>
      <c r="C62" s="1" t="s">
        <v>1010</v>
      </c>
      <c r="D62" s="1" t="s">
        <v>1007</v>
      </c>
      <c r="E62" s="1" t="s">
        <v>102</v>
      </c>
      <c r="F62" s="1" t="s">
        <v>144</v>
      </c>
      <c r="G62" s="1">
        <v>0</v>
      </c>
      <c r="I62" s="1" t="s">
        <v>696</v>
      </c>
      <c r="J62" s="1" t="s">
        <v>55</v>
      </c>
    </row>
    <row r="63" spans="1:10" hidden="1" x14ac:dyDescent="0.25">
      <c r="A63" s="1" t="s">
        <v>146</v>
      </c>
      <c r="B63" s="1">
        <v>706</v>
      </c>
      <c r="C63" s="1" t="s">
        <v>1011</v>
      </c>
      <c r="D63" s="1" t="s">
        <v>1007</v>
      </c>
      <c r="E63" s="1" t="s">
        <v>108</v>
      </c>
      <c r="F63" s="1" t="s">
        <v>144</v>
      </c>
      <c r="G63" s="1">
        <v>0</v>
      </c>
      <c r="I63" s="1" t="s">
        <v>696</v>
      </c>
      <c r="J63" s="1" t="s">
        <v>55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{2EA0E14D-6004-4E92-8C53-5CD5674200AF}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0E14D-6004-4E92-8C53-5CD5674200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47366FD5-63F3-4A62-8D42-75D974485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00FA97-615A-4901-B4E0-97D89375CD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AC4BFB-59CA-45B3-87F5-51910B445DDE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2026-07-03T19:55:47Z</dcterms:created>
  <dcterms:modified xsi:type="dcterms:W3CDTF">2026-07-06T10:21:10Z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2026-07-03T19:57:14Z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b305c3a1-0aa4-463d-bfb9-924ccdf5e454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