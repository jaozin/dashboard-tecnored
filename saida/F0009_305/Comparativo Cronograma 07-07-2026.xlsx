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"/>
    </mc:Choice>
  </mc:AlternateContent>
  <xr:revisionPtr revIDLastSave="101" documentId="11_F1F1B114ABE0D975DC46A66602B2BFCB27974351" xr6:coauthVersionLast="47" xr6:coauthVersionMax="47" xr10:uidLastSave="{3F4BD869-D070-4502-97DE-70392ECB2A34}"/>
  <bookViews>
    <workbookView xWindow="28680" yWindow="-120" windowWidth="29040" windowHeight="15720" activeTab="4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<sst xmlns="http://schemas.openxmlformats.org/spreadsheetml/2006/main" count="10955" uniqueCount="1056">
  <si>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</si>
  <si>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</si>
  <si>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</si>
  <si>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</si>
  <si>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</si>
  <si>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</si>
  <si>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</si>
  <si>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</si>
  <si>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</si>
  <si>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</si>
  <si>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</si>
  <si>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</si>
  <si>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</si>
  <si>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</si>
  <si>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</si>
  <si>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</si>
  <si>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</si>
  <si>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</si>
  <si>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</si>
  <si>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</si>
  <si>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</si>
  <si>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</si>
  <si>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</si>
  <si>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</si>
  <si>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</si>
  <si>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</si>
  <si>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</si>
  <si>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</si>
  <si>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</si>
  <si>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</si>
  <si>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</si>
  <si>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</si>
  <si>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</si>
  <si>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</si>
  <si>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488 hrs</t>
  </si>
  <si>
    <t>Atrasada</t>
  </si>
  <si>
    <t>Seg 27/04/26</t>
  </si>
  <si>
    <t>GERAL</t>
  </si>
  <si>
    <t>Sprint 2</t>
  </si>
  <si>
    <t>Sim</t>
  </si>
  <si>
    <t>1.1</t>
  </si>
  <si>
    <t>F0009 - Programa Marabá</t>
  </si>
  <si>
    <t>área 0000 -documento geral</t>
  </si>
  <si>
    <t>192 hrs</t>
  </si>
  <si>
    <t>Ter 19/05/26</t>
  </si>
  <si>
    <t>Sprint 4</t>
  </si>
  <si>
    <t>1.1.1</t>
  </si>
  <si>
    <t>Área 0000 -Documento geral</t>
  </si>
  <si>
    <t>marcos</t>
  </si>
  <si>
    <t>MARCOS</t>
  </si>
  <si>
    <t>1.1.1.1</t>
  </si>
  <si>
    <t>Marcos</t>
  </si>
  <si>
    <t>critério de projeto processo</t>
  </si>
  <si>
    <t>1 dia</t>
  </si>
  <si>
    <t>54;63</t>
  </si>
  <si>
    <t>Não</t>
  </si>
  <si>
    <t>1.1.1.2</t>
  </si>
  <si>
    <t>critério de projeto mecânica</t>
  </si>
  <si>
    <t>70;184;79TI+5 dias;74</t>
  </si>
  <si>
    <t>Concluída</t>
  </si>
  <si>
    <t>1.1.1.3</t>
  </si>
  <si>
    <t>critério de projeto tubulação</t>
  </si>
  <si>
    <t>Sex 22/05/26</t>
  </si>
  <si>
    <t>1.1.1.4</t>
  </si>
  <si>
    <t>critério de projeto elétrica</t>
  </si>
  <si>
    <t>Sprint 7</t>
  </si>
  <si>
    <t>1.1.1.5</t>
  </si>
  <si>
    <t>critério de projeto automação</t>
  </si>
  <si>
    <t>1.1.1.6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</si>
  <si>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</si>
  <si>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</si>
  <si>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</si>
  <si>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</si>
  <si>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</si>
  <si>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</si>
  <si>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0 dias</t>
  </si>
  <si>
    <t>16;32TI+23 dias;47;26TI+45 dias</t>
  </si>
  <si>
    <t>1.2.2</t>
  </si>
  <si>
    <t>pendências</t>
  </si>
  <si>
    <t>0 hrs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</si>
  <si>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</si>
  <si>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</si>
  <si>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</si>
  <si>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</si>
  <si>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</si>
  <si>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</si>
  <si>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</si>
  <si>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203,2 hrs</t>
  </si>
  <si>
    <t>PLANEJAMENTO</t>
  </si>
  <si>
    <t>1.2.3.1</t>
  </si>
  <si>
    <t>Planejamento</t>
  </si>
  <si>
    <t>ld-f0009-0305-mb-f-00001</t>
  </si>
  <si>
    <t>1.2.3.1.1</t>
  </si>
  <si>
    <t>LD-F0009-0305-MB-F-00001</t>
  </si>
  <si>
    <t>emissão inicial</t>
  </si>
  <si>
    <t>3 dias</t>
  </si>
  <si>
    <t>17;21</t>
  </si>
  <si>
    <t>1.2.3.1.2</t>
  </si>
  <si>
    <t>análise tecnored</t>
  </si>
  <si>
    <t>18TI+3 dias</t>
  </si>
  <si>
    <t>Qui 30/04/26</t>
  </si>
  <si>
    <t>1.2.3.1.3</t>
  </si>
  <si>
    <t>atendimento de comentários</t>
  </si>
  <si>
    <t>6 dias</t>
  </si>
  <si>
    <t>17TI+3 dias</t>
  </si>
  <si>
    <t>19TI+10 dias</t>
  </si>
  <si>
    <t>Qua 06/05/26</t>
  </si>
  <si>
    <t>1.2.3.1.4</t>
  </si>
  <si>
    <t>aprovação</t>
  </si>
  <si>
    <t>18TI+10 dias</t>
  </si>
  <si>
    <t>Sprint 5</t>
  </si>
  <si>
    <t>1.2.3.2</t>
  </si>
  <si>
    <t>cr-f0009-0305-mb-f-00001</t>
  </si>
  <si>
    <t>179,2 hrs</t>
  </si>
  <si>
    <t>1.2.3.2.1</t>
  </si>
  <si>
    <t>CR-F0009-0305-MB-F-00001</t>
  </si>
  <si>
    <t>22;53TI+4 dias;69TI+3 dias;326TI+5 dias;407TI+3 dias;473TI+5 dias;205TI+3 dias</t>
  </si>
  <si>
    <t>1.2.3.2.2</t>
  </si>
  <si>
    <t>23TI+8 dias</t>
  </si>
  <si>
    <t>Ter 05/05/26</t>
  </si>
  <si>
    <t>1.2.3.2.3</t>
  </si>
  <si>
    <t>2 dias</t>
  </si>
  <si>
    <t>22TI+8 dias</t>
  </si>
  <si>
    <t>24TI+9 dias</t>
  </si>
  <si>
    <t>Qua 13/05/26</t>
  </si>
  <si>
    <t>Sprint 3</t>
  </si>
  <si>
    <t>1.2.3.2.4</t>
  </si>
  <si>
    <t>23TI+9 dias</t>
  </si>
  <si>
    <t>Seg 18/05/26</t>
  </si>
  <si>
    <t>1.2.5</t>
  </si>
  <si>
    <t>processo</t>
  </si>
  <si>
    <t>128 hrs</t>
  </si>
  <si>
    <t>PROCESSOS</t>
  </si>
  <si>
    <t>Sprint 8</t>
  </si>
  <si>
    <t>1.2.5.3</t>
  </si>
  <si>
    <t>Processo</t>
  </si>
  <si>
    <t>fg-f0009-0305-mb-p-00001</t>
  </si>
  <si>
    <t>1.2.5.3.1</t>
  </si>
  <si>
    <t>FG-F0009-0305-MB-P-00001</t>
  </si>
  <si>
    <t>53TI+8 dias;4</t>
  </si>
  <si>
    <t>64;58TI+20 dias;508TI+10 dias;513TI+10 dias;518TI+10 dias;245TI+13 dias;250TI+10 dias</t>
  </si>
  <si>
    <t>1.2.5.3.2</t>
  </si>
  <si>
    <t>Qua 20/05/26</t>
  </si>
  <si>
    <t>1.2.5.3.3</t>
  </si>
  <si>
    <t>66TI+5 dias</t>
  </si>
  <si>
    <t>Qui 21/05/26</t>
  </si>
  <si>
    <t>Sprint 10</t>
  </si>
  <si>
    <t>1.2.5.3.4</t>
  </si>
  <si>
    <t>65TI+5 dias</t>
  </si>
  <si>
    <t>Tarefa futura</t>
  </si>
  <si>
    <t>Seg 25/05/26</t>
  </si>
  <si>
    <t>Sprint 11</t>
  </si>
  <si>
    <t>1.2.6</t>
  </si>
  <si>
    <t>mecânica</t>
  </si>
  <si>
    <t>350 hrs</t>
  </si>
  <si>
    <t>MECÂNICA</t>
  </si>
  <si>
    <t>1.2.6.3</t>
  </si>
  <si>
    <t>Mecânica</t>
  </si>
  <si>
    <t>le-f0009-0305-mb-m-00001</t>
  </si>
  <si>
    <t>112 hrs</t>
  </si>
  <si>
    <t>1.2.6.3.1</t>
  </si>
  <si>
    <t>LE-F0009-0305-MB-M-00001</t>
  </si>
  <si>
    <t>69;5TI+5 dias</t>
  </si>
  <si>
    <t>80;427TI-1 dia</t>
  </si>
  <si>
    <t>1.2.6.3.2</t>
  </si>
  <si>
    <t>1.2.6.3.3</t>
  </si>
  <si>
    <t>82;74</t>
  </si>
  <si>
    <t>1.2.6.3.4</t>
  </si>
  <si>
    <t>Ter 26/05/26</t>
  </si>
  <si>
    <t>Sprint 6</t>
  </si>
  <si>
    <t>1.2.6.4</t>
  </si>
  <si>
    <t>pq-f0009-0305-mb-m-00001</t>
  </si>
  <si>
    <t>56 hrs</t>
  </si>
  <si>
    <t>Qui 28/05/26</t>
  </si>
  <si>
    <t>1.2.6.4.1</t>
  </si>
  <si>
    <t>PQ-F0009-0305-MB-M-00001</t>
  </si>
  <si>
    <t>1.2.6.4.2</t>
  </si>
  <si>
    <t>Ter 02/06/26</t>
  </si>
  <si>
    <t>Sprint 9</t>
  </si>
  <si>
    <t>1.2.6.4.3</t>
  </si>
  <si>
    <t>No Prazo</t>
  </si>
  <si>
    <t>Qua 03/06/26</t>
  </si>
  <si>
    <t>1.2.6.4.4</t>
  </si>
  <si>
    <t>Sex 05/06/26</t>
  </si>
  <si>
    <t>1.2.6.5</t>
  </si>
  <si>
    <t>ag-f0009-0305-mb-l-00001</t>
  </si>
  <si>
    <t>48 hrs</t>
  </si>
  <si>
    <t>Seg 22/06/26</t>
  </si>
  <si>
    <t>1.2.6.5.1</t>
  </si>
  <si>
    <t>AG-F0009-0305-MB-L-00001</t>
  </si>
  <si>
    <t>1.2.6.5.2</t>
  </si>
  <si>
    <t>Sex 03/07/26</t>
  </si>
  <si>
    <t>1.2.6.5.3</t>
  </si>
  <si>
    <t>Seg 06/07/26</t>
  </si>
  <si>
    <t>1.2.6.5.4</t>
  </si>
  <si>
    <t>Qua 08/07/26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</si>
  <si>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</si>
  <si>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</si>
  <si>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</si>
  <si>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</si>
  <si>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</si>
  <si>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</si>
  <si>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</si>
  <si>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</si>
  <si>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</si>
  <si>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</si>
  <si>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</si>
  <si>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</si>
  <si>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</si>
  <si>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</si>
  <si>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</si>
  <si>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</si>
  <si>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</si>
  <si>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</si>
  <si>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</si>
  <si>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</si>
  <si>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</si>
  <si>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</si>
  <si>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</si>
  <si>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</si>
  <si>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</si>
  <si>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</si>
  <si>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</si>
  <si>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</si>
  <si>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</si>
  <si>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</si>
  <si>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</si>
  <si>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</si>
  <si>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</si>
  <si>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</si>
  <si>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</si>
  <si>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</si>
  <si>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</si>
  <si>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</si>
  <si>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</si>
  <si>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</si>
  <si>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</si>
  <si>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</si>
  <si>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</si>
  <si>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</si>
  <si>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</si>
  <si>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</si>
  <si>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</si>
  <si>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</si>
  <si>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</si>
  <si>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</si>
  <si>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</si>
  <si>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</si>
  <si>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</si>
  <si>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</si>
  <si>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</si>
  <si>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</si>
  <si>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</si>
  <si>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</si>
  <si>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96 hrs</t>
  </si>
  <si>
    <t>Sex 29/05/26</t>
  </si>
  <si>
    <t>1.2.6.14.1</t>
  </si>
  <si>
    <t>PL-F0009-0305-MB-M-00001</t>
  </si>
  <si>
    <t>8 dias</t>
  </si>
  <si>
    <t>1.2.6.14.2</t>
  </si>
  <si>
    <t>Qua 10/06/26</t>
  </si>
  <si>
    <t>1.2.6.14.3</t>
  </si>
  <si>
    <t>Qui 11/06/26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</si>
  <si>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</si>
  <si>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</si>
  <si>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</si>
  <si>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</si>
  <si>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</si>
  <si>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</si>
  <si>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</si>
  <si>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</si>
  <si>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</si>
  <si>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</si>
  <si>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</si>
  <si>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</si>
  <si>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</si>
  <si>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</si>
  <si>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</si>
  <si>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</si>
  <si>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</si>
  <si>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</si>
  <si>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</si>
  <si>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</si>
  <si>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</si>
  <si>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</si>
  <si>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</si>
  <si>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</si>
  <si>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pl-f0009-0305-mb-m-00005</t>
  </si>
  <si>
    <t>Tarefa Incluída</t>
  </si>
  <si>
    <t>1.2.6.18.1</t>
  </si>
  <si>
    <t>PL-F0009-0305-MB-M-00005</t>
  </si>
  <si>
    <t>1.2.6.18.2</t>
  </si>
  <si>
    <t>Qui 02/07/26</t>
  </si>
  <si>
    <t>1.2.6.18.3</t>
  </si>
  <si>
    <t>1.2.6.18.4</t>
  </si>
  <si>
    <t>Ter 07/07/26</t>
  </si>
  <si>
    <t>1.2.6.19</t>
  </si>
  <si>
    <t>pl-f0009-0305-mb-m-00006</t>
  </si>
  <si>
    <t>1.2.6.19.1</t>
  </si>
  <si>
    <t>PL-F0009-0305-MB-M-00006</t>
  </si>
  <si>
    <t>1.2.6.19.2</t>
  </si>
  <si>
    <t>1.2.6.19.3</t>
  </si>
  <si>
    <t>1.2.6.19.4</t>
  </si>
  <si>
    <t>1.2.6.20</t>
  </si>
  <si>
    <t>mc-f0009-0305-mb-m-00001</t>
  </si>
  <si>
    <t>208 hrs</t>
  </si>
  <si>
    <t>1.2.6.20.1</t>
  </si>
  <si>
    <t>MC-F0009-0305-MB-M-00001</t>
  </si>
  <si>
    <t>10 dias</t>
  </si>
  <si>
    <t>165;189;194;199;346</t>
  </si>
  <si>
    <t>1.2.6.20.2</t>
  </si>
  <si>
    <t>Sex 12/06/26</t>
  </si>
  <si>
    <t>1.2.6.20.3</t>
  </si>
  <si>
    <t>1.2.6.20.4</t>
  </si>
  <si>
    <t>Qua 17/06/26</t>
  </si>
  <si>
    <t>1.2.6.21</t>
  </si>
  <si>
    <t>mc-f0009-0305-mb-m-00002</t>
  </si>
  <si>
    <t>1.2.6.21.1</t>
  </si>
  <si>
    <t>MC-F0009-0305-MB-M-00002</t>
  </si>
  <si>
    <t>170;189;194;199;346</t>
  </si>
  <si>
    <t>Seg 01/06/26</t>
  </si>
  <si>
    <t>1.2.6.21.2</t>
  </si>
  <si>
    <t>1.2.6.21.3</t>
  </si>
  <si>
    <t>Qui 18/06/26</t>
  </si>
  <si>
    <t>1.2.6.21.4</t>
  </si>
  <si>
    <t>1.2.6.22</t>
  </si>
  <si>
    <t>mc-f0009-0305-mb-m-00003</t>
  </si>
  <si>
    <t>1.2.6.22.1</t>
  </si>
  <si>
    <t>MC-F0009-0305-MB-M-00003</t>
  </si>
  <si>
    <t>175;189;194;199;346</t>
  </si>
  <si>
    <t>1.2.6.22.2</t>
  </si>
  <si>
    <t>1.2.6.22.3</t>
  </si>
  <si>
    <t>1.2.6.22.4</t>
  </si>
  <si>
    <t>1.2.6.23</t>
  </si>
  <si>
    <t>mc-f0009-0305-mb-m-00004</t>
  </si>
  <si>
    <t>1.2.6.23.1</t>
  </si>
  <si>
    <t>MC-F0009-0305-MB-M-00004</t>
  </si>
  <si>
    <t>180;189;194;199;346</t>
  </si>
  <si>
    <t>1.2.6.23.2</t>
  </si>
  <si>
    <t>1.2.6.23.3</t>
  </si>
  <si>
    <t>1.2.6.23.4</t>
  </si>
  <si>
    <t>1.2.6.24</t>
  </si>
  <si>
    <t>ml-f0009-0305-mb-m-00001</t>
  </si>
  <si>
    <t>1.2.6.24.1</t>
  </si>
  <si>
    <t>ML-F0009-0305-MB-M-00001</t>
  </si>
  <si>
    <t>69;5</t>
  </si>
  <si>
    <t>185;215;320</t>
  </si>
  <si>
    <t>Sex 15/05/26</t>
  </si>
  <si>
    <t>1.2.6.24.2</t>
  </si>
  <si>
    <t>186;134;139;144;149;164;169;174;179;154;159</t>
  </si>
  <si>
    <t>1.2.6.24.3</t>
  </si>
  <si>
    <t>187;270;275;280</t>
  </si>
  <si>
    <t>1.2.6.24.4</t>
  </si>
  <si>
    <t>1.2.6.25</t>
  </si>
  <si>
    <t>fd-f0009-0305-mb-m-00001</t>
  </si>
  <si>
    <t>1.2.6.25.1</t>
  </si>
  <si>
    <t>FD-F0009-0305-MB-M-00001</t>
  </si>
  <si>
    <t>164;169;174;179</t>
  </si>
  <si>
    <t>1.2.6.25.2</t>
  </si>
  <si>
    <t>1.2.6.25.3</t>
  </si>
  <si>
    <t>1.2.6.25.4</t>
  </si>
  <si>
    <t>1.2.6.26</t>
  </si>
  <si>
    <t>fd-f0009-0305-mb-m-00002</t>
  </si>
  <si>
    <t>1.2.6.26.1</t>
  </si>
  <si>
    <t>FD-F0009-0305-MB-M-00002</t>
  </si>
  <si>
    <t>1.2.6.26.2</t>
  </si>
  <si>
    <t>1.2.6.26.3</t>
  </si>
  <si>
    <t>1.2.6.26.4</t>
  </si>
  <si>
    <t>1.2.6.27</t>
  </si>
  <si>
    <t>fd-f0009-0305-mb-m-00003</t>
  </si>
  <si>
    <t>1.2.6.27.1</t>
  </si>
  <si>
    <t>FD-F0009-0305-MB-M-00003</t>
  </si>
  <si>
    <t>1.2.6.27.2</t>
  </si>
  <si>
    <t>1.2.6.27.3</t>
  </si>
  <si>
    <t>1.2.6.27.4</t>
  </si>
  <si>
    <t>1.2.7</t>
  </si>
  <si>
    <t>tubulação/utilidades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</si>
  <si>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</si>
  <si>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</si>
  <si>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</si>
  <si>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</si>
  <si>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</si>
  <si>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</si>
  <si>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184;245</t>
  </si>
  <si>
    <t>1.2.7.3.2</t>
  </si>
  <si>
    <t>217;255TT;260TT;265TT;285TT;290TT;295TT;300TT;305TT;310TT</t>
  </si>
  <si>
    <t>1.2.7.3.3</t>
  </si>
  <si>
    <t>1.2.7.3.4</t>
  </si>
  <si>
    <t>1.2.7.7</t>
  </si>
  <si>
    <t>pq-f0009-0305-mb-t-00001</t>
  </si>
  <si>
    <t>Ter 23/06/26</t>
  </si>
  <si>
    <t>1.2.7.7.1</t>
  </si>
  <si>
    <t>PQ-F0009-0305-MB-T-00001</t>
  </si>
  <si>
    <t>1.2.7.7.2</t>
  </si>
  <si>
    <t>Sex 26/06/26</t>
  </si>
  <si>
    <t>1.2.7.7.3</t>
  </si>
  <si>
    <t>Seg 29/06/26</t>
  </si>
  <si>
    <t>1.2.7.7.4</t>
  </si>
  <si>
    <t>Qua 01/07/26</t>
  </si>
  <si>
    <t>1.2.7.9</t>
  </si>
  <si>
    <t>fg-f0009-0305-mb-t-00001</t>
  </si>
  <si>
    <t>52 hrs</t>
  </si>
  <si>
    <t>1.2.7.9.1</t>
  </si>
  <si>
    <t>FG-F0009-0305-MB-T-00001</t>
  </si>
  <si>
    <t>63TI+13 dias</t>
  </si>
  <si>
    <t>246;215;225</t>
  </si>
  <si>
    <t>1.2.7.9.2</t>
  </si>
  <si>
    <t>1.2.7.9.3</t>
  </si>
  <si>
    <t>1.2.7.9.4</t>
  </si>
  <si>
    <t>Qua 27/05/26</t>
  </si>
  <si>
    <t>1.2.7.11</t>
  </si>
  <si>
    <t>ag-f0009-0305-mb-t-00001</t>
  </si>
  <si>
    <t>210TI+5 dias</t>
  </si>
  <si>
    <t>1.2.7.11.1</t>
  </si>
  <si>
    <t>AG-F0009-0305-MB-T-00001</t>
  </si>
  <si>
    <t>216TT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</si>
  <si>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</si>
  <si>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</si>
  <si>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</si>
  <si>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</si>
  <si>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</si>
  <si>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</si>
  <si>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</si>
  <si>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</si>
  <si>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</si>
  <si>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</si>
  <si>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</si>
  <si>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</si>
  <si>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</si>
  <si>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1.2.7.13.1</t>
  </si>
  <si>
    <t>AG-F0009-0305-MB-T-00003</t>
  </si>
  <si>
    <t>1.2.7.13.2</t>
  </si>
  <si>
    <t>1.2.7.13.3</t>
  </si>
  <si>
    <t>1.2.7.13.4</t>
  </si>
  <si>
    <t>1.2.7.17</t>
  </si>
  <si>
    <t>ag-f0009-0305-mb-t-00004</t>
  </si>
  <si>
    <t>1.2.7.17.1</t>
  </si>
  <si>
    <t>AG-F0009-0305-MB-T-00004</t>
  </si>
  <si>
    <t>1.2.7.17.2</t>
  </si>
  <si>
    <t>1.2.7.17.3</t>
  </si>
  <si>
    <t>1.2.7.17.4</t>
  </si>
  <si>
    <t>1.2.7.18</t>
  </si>
  <si>
    <t>ag-f0009-0305-mb-t-00005</t>
  </si>
  <si>
    <t>1.2.7.18.1</t>
  </si>
  <si>
    <t>AG-F0009-0305-MB-T-00005</t>
  </si>
  <si>
    <t>1.2.7.18.2</t>
  </si>
  <si>
    <t>1.2.7.18.3</t>
  </si>
  <si>
    <t>1.2.7.18.4</t>
  </si>
  <si>
    <t>1.2.7.19</t>
  </si>
  <si>
    <t>ag-f0009-0305-mb-t-00006</t>
  </si>
  <si>
    <t>1.2.7.19.1</t>
  </si>
  <si>
    <t>AG-F0009-0305-MB-T-00006</t>
  </si>
  <si>
    <t>1.2.7.19.2</t>
  </si>
  <si>
    <t>1.2.7.19.3</t>
  </si>
  <si>
    <t>1.2.7.19.4</t>
  </si>
  <si>
    <t>1.2.7.20</t>
  </si>
  <si>
    <t>ag-f0009-0305-mb-t-00007</t>
  </si>
  <si>
    <t>1.2.7.20.1</t>
  </si>
  <si>
    <t>AG-F0009-0305-MB-T-00007</t>
  </si>
  <si>
    <t>1.2.7.20.2</t>
  </si>
  <si>
    <t>Seg 13/07/26</t>
  </si>
  <si>
    <t>1.2.7.20.3</t>
  </si>
  <si>
    <t>Ter 14/07/26</t>
  </si>
  <si>
    <t>1.2.7.20.4</t>
  </si>
  <si>
    <t>Qui 16/07/26</t>
  </si>
  <si>
    <t>1.2.7.21</t>
  </si>
  <si>
    <t>ag-f0009-0305-mb-t-00008</t>
  </si>
  <si>
    <t>1.2.7.21.1</t>
  </si>
  <si>
    <t>AG-F0009-0305-MB-T-00008</t>
  </si>
  <si>
    <t>1.2.7.21.2</t>
  </si>
  <si>
    <t>1.2.7.21.3</t>
  </si>
  <si>
    <t>1.2.7.21.4</t>
  </si>
  <si>
    <t>1.2.7.22</t>
  </si>
  <si>
    <t>ag-f0009-0305-mb-t-00009</t>
  </si>
  <si>
    <t>1.2.7.22.1</t>
  </si>
  <si>
    <t>AG-F0009-0305-MB-T-00009</t>
  </si>
  <si>
    <t>1.2.7.22.2</t>
  </si>
  <si>
    <t>1.2.7.22.3</t>
  </si>
  <si>
    <t>1.2.7.22.4</t>
  </si>
  <si>
    <t>1.2.7.23</t>
  </si>
  <si>
    <t>lk-f0009-0305-mb-t-00001</t>
  </si>
  <si>
    <t>1.2.7.23.1</t>
  </si>
  <si>
    <t>LK-F0009-0305-MB-T-00001</t>
  </si>
  <si>
    <t>1.2.7.23.2</t>
  </si>
  <si>
    <t>1.2.7.23.3</t>
  </si>
  <si>
    <t>1.2.7.23.4</t>
  </si>
  <si>
    <t>1.2.8</t>
  </si>
  <si>
    <t>estrutura metálica</t>
  </si>
  <si>
    <t>102 hrs</t>
  </si>
  <si>
    <t>ESTRUTURA METÁLICA</t>
  </si>
  <si>
    <t>1.2.8.2</t>
  </si>
  <si>
    <t>Estrutura metálica</t>
  </si>
  <si>
    <t>ml-f0009-0305-mb-s-00001</t>
  </si>
  <si>
    <t>38 hrs</t>
  </si>
  <si>
    <t>1.2.8.2.1</t>
  </si>
  <si>
    <t>ML-F0009-0305-MB-S-00001</t>
  </si>
  <si>
    <t>346TI-8 dias</t>
  </si>
  <si>
    <t>332;89;94;99;104;109;114;119;124;129;336</t>
  </si>
  <si>
    <t>1.2.8.2.2</t>
  </si>
  <si>
    <t>1.2.8.2.3</t>
  </si>
  <si>
    <t>334;351;356;361;366;371;376;381;386;391;396</t>
  </si>
  <si>
    <t>1.2.8.2.4</t>
  </si>
  <si>
    <t>Qui 25/06/26</t>
  </si>
  <si>
    <t>1.2.8.3</t>
  </si>
  <si>
    <t>pq-f0009-0305-mb-s-00001</t>
  </si>
  <si>
    <t>Ter 30/06/26</t>
  </si>
  <si>
    <t>1.2.8.3.1</t>
  </si>
  <si>
    <t>PQ-F0009-0305-MB-S-00001</t>
  </si>
  <si>
    <t>1.2.8.3.2</t>
  </si>
  <si>
    <t>1.2.8.3.3</t>
  </si>
  <si>
    <t>1.2.8.3.4</t>
  </si>
  <si>
    <t>Sprint 12</t>
  </si>
  <si>
    <t>1.2.8.5</t>
  </si>
  <si>
    <t>mc-f0009-0305-mb-s-00001</t>
  </si>
  <si>
    <t>1.2.8.5.1</t>
  </si>
  <si>
    <t>MC-F0009-0305-MB-S-00001</t>
  </si>
  <si>
    <t>169;174;179;164</t>
  </si>
  <si>
    <t>347;331TI-8 dias;709;401TT</t>
  </si>
  <si>
    <t>1.2.8.5.2</t>
  </si>
  <si>
    <t>1.2.8.5.3</t>
  </si>
  <si>
    <t>1.2.8.5.4</t>
  </si>
  <si>
    <t>1.2.8.6</t>
  </si>
  <si>
    <t>ag-f0009-0305-mb-s-00001</t>
  </si>
  <si>
    <t>1.2.8.6.1</t>
  </si>
  <si>
    <t>AG-F0009-0305-MB-S-00001</t>
  </si>
  <si>
    <t>4 dias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</si>
  <si>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</si>
  <si>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</si>
  <si>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</si>
  <si>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</si>
  <si>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</si>
  <si>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</si>
  <si>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</si>
  <si>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</si>
  <si>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</si>
  <si>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</si>
  <si>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</si>
  <si>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</si>
  <si>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</si>
  <si>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</si>
  <si>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</si>
  <si>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</si>
  <si>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</si>
  <si>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</si>
  <si>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</si>
  <si>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</si>
  <si>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</si>
  <si>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</si>
  <si>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</si>
  <si>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</si>
  <si>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</si>
  <si>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</si>
  <si>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</si>
  <si>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</si>
  <si>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</si>
  <si>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</si>
  <si>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</si>
  <si>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</si>
  <si>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</si>
  <si>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</si>
  <si>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</si>
  <si>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</si>
  <si>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</si>
  <si>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</si>
  <si>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</si>
  <si>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</si>
  <si>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</si>
  <si>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</si>
  <si>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</si>
  <si>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</si>
  <si>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</si>
  <si>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</si>
  <si>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</si>
  <si>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</si>
  <si>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</si>
  <si>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</si>
  <si>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</si>
  <si>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</si>
  <si>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</si>
  <si>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</si>
  <si>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</si>
  <si>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</si>
  <si>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</si>
  <si>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</si>
  <si>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</si>
  <si>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</si>
  <si>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</si>
  <si>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</si>
  <si>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</si>
  <si>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</si>
  <si>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</si>
  <si>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</si>
  <si>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</si>
  <si>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</si>
  <si>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64 hrs</t>
  </si>
  <si>
    <t>1.2.8.16.1</t>
  </si>
  <si>
    <t>PL-F0009-0305-MB-S-00001</t>
  </si>
  <si>
    <t>5 dias</t>
  </si>
  <si>
    <t>346TT</t>
  </si>
  <si>
    <t>1.2.8.16.2</t>
  </si>
  <si>
    <t>1.2.8.16.3</t>
  </si>
  <si>
    <t>1.2.8.16.4</t>
  </si>
  <si>
    <t>1.2.9</t>
  </si>
  <si>
    <t>elétrica</t>
  </si>
  <si>
    <t>216 hrs</t>
  </si>
  <si>
    <t>ELÉTRICA</t>
  </si>
  <si>
    <t>1.2.9.3</t>
  </si>
  <si>
    <t>Elétrica</t>
  </si>
  <si>
    <t>rl-f0009-0305-mb-e-00001</t>
  </si>
  <si>
    <t>184 hrs</t>
  </si>
  <si>
    <t>1.2.9.3.1</t>
  </si>
  <si>
    <t>RL-F0009-0305-MB-E-00001</t>
  </si>
  <si>
    <t>427TI-1 dia</t>
  </si>
  <si>
    <t>418;457TI-1 dia</t>
  </si>
  <si>
    <t>1.2.9.3.2</t>
  </si>
  <si>
    <t>1.2.9.3.3</t>
  </si>
  <si>
    <t>1.2.9.3.4</t>
  </si>
  <si>
    <t>1.2.9.5</t>
  </si>
  <si>
    <t>lr-f0009-0305-mb-e-00001</t>
  </si>
  <si>
    <t>152 hrs</t>
  </si>
  <si>
    <t>1.2.9.5.1</t>
  </si>
  <si>
    <t>LR-F0009-0305-MB-E-00001</t>
  </si>
  <si>
    <t>79TI-1 dia</t>
  </si>
  <si>
    <t>428;417TI-1 dia</t>
  </si>
  <si>
    <t>1.2.9.5.2</t>
  </si>
  <si>
    <t>1.2.9.5.3</t>
  </si>
  <si>
    <t>430TT</t>
  </si>
  <si>
    <t>1.2.9.5.4</t>
  </si>
  <si>
    <t>429TT</t>
  </si>
  <si>
    <t>1.2.9.9</t>
  </si>
  <si>
    <t>mc-f0009-0305-mb-e-00001</t>
  </si>
  <si>
    <t>32 hrs</t>
  </si>
  <si>
    <t>1.2.9.9.1</t>
  </si>
  <si>
    <t>MC-F0009-0305-MB-E-00001</t>
  </si>
  <si>
    <t>467TI-1 dia</t>
  </si>
  <si>
    <t>448;412TI-5 dias;422TI-1 dia</t>
  </si>
  <si>
    <t>1.2.9.9.2</t>
  </si>
  <si>
    <t>1.2.9.9.3</t>
  </si>
  <si>
    <t>450TT</t>
  </si>
  <si>
    <t>Ter 16/06/26</t>
  </si>
  <si>
    <t>1.2.9.9.4</t>
  </si>
  <si>
    <t>449TT</t>
  </si>
  <si>
    <t>1.2.10</t>
  </si>
  <si>
    <t>automação e instrumentação</t>
  </si>
  <si>
    <t>288 hrs</t>
  </si>
  <si>
    <t>AUTOMAÇÃO E INSTRUMENTAÇÃO</t>
  </si>
  <si>
    <t>1.2.10.2</t>
  </si>
  <si>
    <t>Automação e instrumentação</t>
  </si>
  <si>
    <t>li-f0009-0305-mb-j-00001</t>
  </si>
  <si>
    <t>72 hrs</t>
  </si>
  <si>
    <t>1.2.10.2.1</t>
  </si>
  <si>
    <t>LI-F0009-0305-MB-J-00001</t>
  </si>
  <si>
    <t>479;523;528;538;533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</si>
  <si>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</si>
  <si>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</si>
  <si>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</si>
  <si>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</si>
  <si>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</si>
  <si>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</si>
  <si>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</si>
  <si>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</si>
  <si>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</si>
  <si>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</si>
  <si>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</si>
  <si>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ll-f0009-0305-mb-j-00001</t>
  </si>
  <si>
    <t>1.2.10.4.1</t>
  </si>
  <si>
    <t>LL-F0009-0305-MB-J-00001</t>
  </si>
  <si>
    <t>1.2.10.4.2</t>
  </si>
  <si>
    <t>1.2.10.4.3</t>
  </si>
  <si>
    <t>1.2.10.4.4</t>
  </si>
  <si>
    <t>1.2.10.7</t>
  </si>
  <si>
    <t>pq-f0009-0305-mb-j-00001</t>
  </si>
  <si>
    <t>1.2.10.7.1</t>
  </si>
  <si>
    <t>PQ-F0009-0305-MB-J-00001</t>
  </si>
  <si>
    <t>558TI-9 dias</t>
  </si>
  <si>
    <t>1.2.10.7.2</t>
  </si>
  <si>
    <t>1.2.10.7.3</t>
  </si>
  <si>
    <t>1.2.10.7.4</t>
  </si>
  <si>
    <t>1.2.10.8</t>
  </si>
  <si>
    <t>fg-f0009-0305-mb-j-00001</t>
  </si>
  <si>
    <t>1.2.10.8.1</t>
  </si>
  <si>
    <t>FG-F0009-0305-MB-J-00001</t>
  </si>
  <si>
    <t>63TI+10 dias</t>
  </si>
  <si>
    <t>1.2.10.8.2</t>
  </si>
  <si>
    <t>1.2.10.8.3</t>
  </si>
  <si>
    <t>9 dias</t>
  </si>
  <si>
    <t>1.2.10.8.4</t>
  </si>
  <si>
    <t>1.2.10.9</t>
  </si>
  <si>
    <t>fg-f0009-0305-mb-j-00002</t>
  </si>
  <si>
    <t>1.2.10.9.1</t>
  </si>
  <si>
    <t>FG-F0009-0305-MB-J-00002</t>
  </si>
  <si>
    <t>514;478</t>
  </si>
  <si>
    <t>1.2.10.9.2</t>
  </si>
  <si>
    <t>1.2.10.9.3</t>
  </si>
  <si>
    <t>1.2.10.9.4</t>
  </si>
  <si>
    <t>1.2.10.10</t>
  </si>
  <si>
    <t>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</si>
  <si>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</si>
  <si>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</si>
  <si>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</si>
  <si>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</si>
  <si>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</si>
  <si>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</si>
  <si>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>ag-f0009-0305-mb-j-00001</t>
  </si>
  <si>
    <t>80 hrs</t>
  </si>
  <si>
    <t>1.2.10.11.1</t>
  </si>
  <si>
    <t>AG-F0009-0305-MB-J-00001</t>
  </si>
  <si>
    <t>1.2.10.11.2</t>
  </si>
  <si>
    <t>1.2.10.11.3</t>
  </si>
  <si>
    <t>1.2.10.11.4</t>
  </si>
  <si>
    <t>1.2.10.12</t>
  </si>
  <si>
    <t>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</si>
  <si>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</si>
  <si>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</si>
  <si>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</si>
  <si>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</si>
  <si>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</si>
  <si>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</si>
  <si>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>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</si>
  <si>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</si>
  <si>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</si>
  <si>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</si>
  <si>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</si>
  <si>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</si>
  <si>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</si>
  <si>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>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</si>
  <si>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</si>
  <si>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</si>
  <si>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</si>
  <si>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</si>
  <si>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</si>
  <si>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</si>
  <si>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>di-f0009-0305-mb-j-00001</t>
  </si>
  <si>
    <t>1.2.10.15.1</t>
  </si>
  <si>
    <t>DI-F0009-0305-MB-J-00001</t>
  </si>
  <si>
    <t>544;493;488</t>
  </si>
  <si>
    <t>1.2.10.15.2</t>
  </si>
  <si>
    <t>1.2.10.15.3</t>
  </si>
  <si>
    <t>1.2.10.15.4</t>
  </si>
  <si>
    <t>1.2.10.18</t>
  </si>
  <si>
    <t>lm-f0009-0305-mb-j-00001</t>
  </si>
  <si>
    <t>1.2.10.18.1</t>
  </si>
  <si>
    <t>LM-F0009-0305-MB-J-00001</t>
  </si>
  <si>
    <t>703TI-7 dias;698TI-7 dias;477;693TI-7 dias</t>
  </si>
  <si>
    <t>559;503TI-9 dias</t>
  </si>
  <si>
    <t>1.2.10.18.2</t>
  </si>
  <si>
    <t>1.2.10.18.3</t>
  </si>
  <si>
    <t>1.2.10.18.4</t>
  </si>
  <si>
    <t>1.2.10.19</t>
  </si>
  <si>
    <t>et-f0009-0305-mb-j-00001</t>
  </si>
  <si>
    <t>1.2.10.19.1</t>
  </si>
  <si>
    <t>ET-F0009-0305-MB-J-00001</t>
  </si>
  <si>
    <t>1.2.10.19.2</t>
  </si>
  <si>
    <t>1.2.10.19.3</t>
  </si>
  <si>
    <t>Qua 24/06/26</t>
  </si>
  <si>
    <t>1.2.10.19.4</t>
  </si>
  <si>
    <t>1.2.10.20</t>
  </si>
  <si>
    <t>fd-f0009-0305-mb-j-00001</t>
  </si>
  <si>
    <t>120 hrs</t>
  </si>
  <si>
    <t>1.2.10.20.1</t>
  </si>
  <si>
    <t>FD-F0009-0305-MB-J-00001</t>
  </si>
  <si>
    <t>569;573II;578II;583II;588II;593II;598II;603II;608II;613II;618II;623II;628II;633II;638II;643II;688II;663II;658II;653II;648II;668II;683II;678II;673II</t>
  </si>
  <si>
    <t>1.2.10.20.2</t>
  </si>
  <si>
    <t>1.2.10.20.3</t>
  </si>
  <si>
    <t>1.2.10.20.4</t>
  </si>
  <si>
    <t>1.2.10.21</t>
  </si>
  <si>
    <t>fd-f0009-0305-mb-j-00002</t>
  </si>
  <si>
    <t>1.2.10.21.1</t>
  </si>
  <si>
    <t>FD-F0009-0305-MB-J-00002</t>
  </si>
  <si>
    <t>7 dias</t>
  </si>
  <si>
    <t>568II</t>
  </si>
  <si>
    <t>1.2.10.21.2</t>
  </si>
  <si>
    <t>1.2.10.21.3</t>
  </si>
  <si>
    <t>1.2.10.21.4</t>
  </si>
  <si>
    <t>1.2.10.22</t>
  </si>
  <si>
    <t>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</si>
  <si>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</si>
  <si>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</si>
  <si>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</si>
  <si>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</si>
  <si>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</si>
  <si>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</si>
  <si>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>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</si>
  <si>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</si>
  <si>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</si>
  <si>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</si>
  <si>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</si>
  <si>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</si>
  <si>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</si>
  <si>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>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</si>
  <si>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</si>
  <si>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</si>
  <si>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</si>
  <si>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</si>
  <si>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</si>
  <si>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</si>
  <si>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>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</si>
  <si>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</si>
  <si>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</si>
  <si>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</si>
  <si>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</si>
  <si>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</si>
  <si>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</si>
  <si>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>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</si>
  <si>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</si>
  <si>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</si>
  <si>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</si>
  <si>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</si>
  <si>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</si>
  <si>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</si>
  <si>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>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</si>
  <si>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</si>
  <si>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</si>
  <si>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</si>
  <si>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</si>
  <si>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</si>
  <si>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</si>
  <si>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>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</si>
  <si>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</si>
  <si>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</si>
  <si>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</si>
  <si>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</si>
  <si>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</si>
  <si>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</si>
  <si>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>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</si>
  <si>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</si>
  <si>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</si>
  <si>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</si>
  <si>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</si>
  <si>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</si>
  <si>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</si>
  <si>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>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</si>
  <si>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</si>
  <si>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</si>
  <si>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</si>
  <si>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</si>
  <si>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</si>
  <si>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</si>
  <si>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>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</si>
  <si>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</si>
  <si>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</si>
  <si>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</si>
  <si>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</si>
  <si>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</si>
  <si>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</si>
  <si>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>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</si>
  <si>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</si>
  <si>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</si>
  <si>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</si>
  <si>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</si>
  <si>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</si>
  <si>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</si>
  <si>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>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</si>
  <si>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</si>
  <si>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</si>
  <si>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</si>
  <si>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</si>
  <si>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</si>
  <si>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</si>
  <si>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>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</si>
  <si>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</si>
  <si>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</si>
  <si>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</si>
  <si>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</si>
  <si>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</si>
  <si>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</si>
  <si>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>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</si>
  <si>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</si>
  <si>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</si>
  <si>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</si>
  <si>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</si>
  <si>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</si>
  <si>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</si>
  <si>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>fd-f0009-0305-mb-j-00017</t>
  </si>
  <si>
    <t>1.2.10.36.1</t>
  </si>
  <si>
    <t>FD-F0009-0305-MB-J-00017</t>
  </si>
  <si>
    <t>1.2.10.36.2</t>
  </si>
  <si>
    <t>1.2.10.36.3</t>
  </si>
  <si>
    <t>1.2.10.36.4</t>
  </si>
  <si>
    <t>1.2.10.37</t>
  </si>
  <si>
    <t>fd-f0009-0305-mb-j-00018</t>
  </si>
  <si>
    <t>1.2.10.37.1</t>
  </si>
  <si>
    <t>FD-F0009-0305-MB-J-00018</t>
  </si>
  <si>
    <t>1.2.10.37.2</t>
  </si>
  <si>
    <t>1.2.10.37.3</t>
  </si>
  <si>
    <t>1.2.10.37.4</t>
  </si>
  <si>
    <t>1.2.10.38</t>
  </si>
  <si>
    <t>fd-f0009-0305-mb-j-00019</t>
  </si>
  <si>
    <t>1.2.10.38.1</t>
  </si>
  <si>
    <t>FD-F0009-0305-MB-J-00019</t>
  </si>
  <si>
    <t>1.2.10.38.2</t>
  </si>
  <si>
    <t>1.2.10.38.3</t>
  </si>
  <si>
    <t>1.2.10.38.4</t>
  </si>
  <si>
    <t>1.2.10.39</t>
  </si>
  <si>
    <t>fd-f0009-0305-mb-j-00020</t>
  </si>
  <si>
    <t>1.2.10.39.1</t>
  </si>
  <si>
    <t>FD-F0009-0305-MB-J-00020</t>
  </si>
  <si>
    <t>1.2.10.39.2</t>
  </si>
  <si>
    <t>1.2.10.39.3</t>
  </si>
  <si>
    <t>1.2.10.39.4</t>
  </si>
  <si>
    <t>1.2.10.40</t>
  </si>
  <si>
    <t>fd-f0009-0305-mb-j-00021</t>
  </si>
  <si>
    <t>1.2.10.40.1</t>
  </si>
  <si>
    <t>FD-F0009-0305-MB-J-00021</t>
  </si>
  <si>
    <t>1.2.10.40.2</t>
  </si>
  <si>
    <t>1.2.10.40.3</t>
  </si>
  <si>
    <t>1.2.10.40.4</t>
  </si>
  <si>
    <t>1.2.10.41</t>
  </si>
  <si>
    <t>fd-f0009-0305-mb-j-00022</t>
  </si>
  <si>
    <t>1.2.10.41.1</t>
  </si>
  <si>
    <t>FD-F0009-0305-MB-J-00022</t>
  </si>
  <si>
    <t>1.2.10.41.2</t>
  </si>
  <si>
    <t>1.2.10.41.3</t>
  </si>
  <si>
    <t>1.2.10.41.4</t>
  </si>
  <si>
    <t>1.2.10.42</t>
  </si>
  <si>
    <t>fd-f0009-0305-mb-j-00023</t>
  </si>
  <si>
    <t>1.2.10.42.1</t>
  </si>
  <si>
    <t>FD-F0009-0305-MB-J-00023</t>
  </si>
  <si>
    <t>Sex 19/06/26</t>
  </si>
  <si>
    <t>1.2.10.42.2</t>
  </si>
  <si>
    <t>1.2.10.42.3</t>
  </si>
  <si>
    <t>1.2.10.42.4</t>
  </si>
  <si>
    <t>1.2.10.43</t>
  </si>
  <si>
    <t>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</si>
  <si>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</si>
  <si>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</si>
  <si>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</si>
  <si>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</si>
  <si>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</si>
  <si>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</si>
  <si>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>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</si>
  <si>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</si>
  <si>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</si>
  <si>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</si>
  <si>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</si>
  <si>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</si>
  <si>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</si>
  <si>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>lb-f0009-0305-mb-j-00001</t>
  </si>
  <si>
    <t>1.2.10.45.1</t>
  </si>
  <si>
    <t>LB-F0009-0305-MB-J-00001</t>
  </si>
  <si>
    <t>553TI-7 dias</t>
  </si>
  <si>
    <t>694;558TI-7 dias</t>
  </si>
  <si>
    <t>1.2.10.45.2</t>
  </si>
  <si>
    <t>1.2.10.45.3</t>
  </si>
  <si>
    <t>1.2.10.45.4</t>
  </si>
  <si>
    <t>1.2.10.46</t>
  </si>
  <si>
    <t>re-f0009-0305-mb-j-00001</t>
  </si>
  <si>
    <t>1.2.10.46.1</t>
  </si>
  <si>
    <t>RE-F0009-0305-MB-J-00001</t>
  </si>
  <si>
    <t>699;558TI-7 dias</t>
  </si>
  <si>
    <t>1.2.10.46.2</t>
  </si>
  <si>
    <t>1.2.10.46.3</t>
  </si>
  <si>
    <t>1.2.10.46.4</t>
  </si>
  <si>
    <t>1.2.10.47</t>
  </si>
  <si>
    <t>dt-f0009-0305-mb-j-00001</t>
  </si>
  <si>
    <t>1.2.10.47.1</t>
  </si>
  <si>
    <t>DT-F0009-0305-MB-J-00001</t>
  </si>
  <si>
    <t>704;558TI-7 dias</t>
  </si>
  <si>
    <t>1.2.10.47.2</t>
  </si>
  <si>
    <t>1.2.10.47.3</t>
  </si>
  <si>
    <t>1.2.10.47.4</t>
  </si>
  <si>
    <t>1.2.11</t>
  </si>
  <si>
    <t>civil</t>
  </si>
  <si>
    <t>140 hrs</t>
  </si>
  <si>
    <t>CIVIL</t>
  </si>
  <si>
    <t>1.2.11.1</t>
  </si>
  <si>
    <t>Civil</t>
  </si>
  <si>
    <t>mc-f0009-0305-mb-c-00001</t>
  </si>
  <si>
    <t>124 hrs</t>
  </si>
  <si>
    <t>1.2.11.1.1</t>
  </si>
  <si>
    <t>MC-F0009-0305-MB-C-00001</t>
  </si>
  <si>
    <t>710;714</t>
  </si>
  <si>
    <t>1.2.11.1.2</t>
  </si>
  <si>
    <t>1.2.11.1.3</t>
  </si>
  <si>
    <t>1.2.11.1.4</t>
  </si>
  <si>
    <t>1.2.11.2</t>
  </si>
  <si>
    <t>pq-f0009-0305-mb-c-00001</t>
  </si>
  <si>
    <t>40 hrs</t>
  </si>
  <si>
    <t>1.2.11.2.1</t>
  </si>
  <si>
    <t>PQ-F0009-0305-MB-C-00001</t>
  </si>
  <si>
    <t>1.2.11.2.2</t>
  </si>
  <si>
    <t>1.2.11.2.3</t>
  </si>
  <si>
    <t>1.2.11.2.4</t>
  </si>
  <si>
    <t>1.2.4</t>
  </si>
  <si>
    <t>coordenação</t>
  </si>
  <si>
    <t>53 dias</t>
  </si>
  <si>
    <t>COORDENAÇÃO</t>
  </si>
  <si>
    <t>Nenhum Sprint</t>
  </si>
  <si>
    <t>Tarefa Excluída</t>
  </si>
  <si>
    <t>1.2.4.1</t>
  </si>
  <si>
    <t>Coordenação</t>
  </si>
  <si>
    <t>rm-f0009-0305-mb-g-00001</t>
  </si>
  <si>
    <t>1.2.4.2</t>
  </si>
  <si>
    <t>rm-f0009-0305mb-g-00002</t>
  </si>
  <si>
    <t>1.2.4.3</t>
  </si>
  <si>
    <t>rl-f0009-0305-mb-g-00001</t>
  </si>
  <si>
    <t>1.2.4.4</t>
  </si>
  <si>
    <t>lp-f0009-0305-mb-g-00001</t>
  </si>
  <si>
    <t>37 dias</t>
  </si>
  <si>
    <t>1.2.7.4</t>
  </si>
  <si>
    <t>et-f0009-0305-mb-t-00001</t>
  </si>
  <si>
    <t>1.2.7.5</t>
  </si>
  <si>
    <t>fd-f0009-0305-mb-t-00001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</si>
  <si>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</si>
  <si>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</si>
  <si>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</si>
  <si>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</si>
  <si>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</si>
  <si>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</si>
  <si>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mc-f0009-0305-mb-t-00002</t>
  </si>
  <si>
    <t>14 dias</t>
  </si>
  <si>
    <t>1.2.8.4</t>
  </si>
  <si>
    <t>lm-f0009-0305-mb-s-00001</t>
  </si>
  <si>
    <t>1.2.9.2</t>
  </si>
  <si>
    <t>ml-f0009-0305-mb-e-00001</t>
  </si>
  <si>
    <t>11 dias</t>
  </si>
  <si>
    <t>1.2.9.4</t>
  </si>
  <si>
    <t>le-f0009-0305-mb-e-00001</t>
  </si>
  <si>
    <t>1.2.9.6</t>
  </si>
  <si>
    <t>lm-f0009-0305-mb-e-00001</t>
  </si>
  <si>
    <t>1.2.9.7</t>
  </si>
  <si>
    <t>pq-f0009-0305-mb-e-00001</t>
  </si>
  <si>
    <t>1.2.9.10</t>
  </si>
  <si>
    <t>ag-f0009-0305-mb-e-00001</t>
  </si>
  <si>
    <t>1.2.9.11</t>
  </si>
  <si>
    <t>du-f0009-0305-mb-e-00001</t>
  </si>
  <si>
    <t>1.2.9.12</t>
  </si>
  <si>
    <t>ag-f0009-0305-mb-e-00002</t>
  </si>
  <si>
    <t>1.2.9.13</t>
  </si>
  <si>
    <t>fd-f0009-0305-mb-e-00013</t>
  </si>
  <si>
    <t>lz-f0009-0305-mb-j-00001</t>
  </si>
  <si>
    <t>1.2.10.5</t>
  </si>
  <si>
    <t>le-f0009-0305-mb-j-00002</t>
  </si>
  <si>
    <t>li-f0009-0305-mb-j-00002</t>
  </si>
  <si>
    <t>1.2.10.16</t>
  </si>
  <si>
    <t>li-f0009-0305-mb-j-00003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</si>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</sst>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17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42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14</c:v>
                </c:pt>
                <c:pt idx="5">
                  <c:v>0</c:v>
                </c:pt>
                <c:pt idx="6">
                  <c:v>0</c:v>
                </c:pt>
                <c:pt idx="7">
                  <c:v>25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3-4B2A-8A11-78025A96959E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3-4B2A-8A11-78025A96959E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0.88095238095238093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0.56000000000000005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0.15384615384615391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53-4B2A-8A11-78025A96959E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29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53-4B2A-8A11-78025A96959E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53-4B2A-8A11-78025A96959E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53-4B2A-8A11-78025A96959E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0.04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53-4B2A-8A11-78025A969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779B-497D-A171-C080384ED88E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779B-497D-A171-C080384ED88E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779B-497D-A171-C080384ED88E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779B-497D-A171-C080384ED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07/07/2026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S'!$B$2:$B$120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2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7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1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6</c:v>
                </c:pt>
                <c:pt idx="96">
                  <c:v>0</c:v>
                </c:pt>
                <c:pt idx="97">
                  <c:v>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</c:v>
                </c:pt>
                <c:pt idx="102">
                  <c:v>3</c:v>
                </c:pt>
                <c:pt idx="103">
                  <c:v>22</c:v>
                </c:pt>
                <c:pt idx="104">
                  <c:v>21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4-4D6B-AF8D-CC9A18E96DF6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S'!$D$2:$D$120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0</c:v>
                </c:pt>
                <c:pt idx="90">
                  <c:v>3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</c:v>
                </c:pt>
                <c:pt idx="97">
                  <c:v>25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6</c:v>
                </c:pt>
                <c:pt idx="104">
                  <c:v>0</c:v>
                </c:pt>
                <c:pt idx="105">
                  <c:v>4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4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24-4D6B-AF8D-CC9A18E96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S'!$C$2:$C$120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9</c:v>
                </c:pt>
                <c:pt idx="67">
                  <c:v>11</c:v>
                </c:pt>
                <c:pt idx="68">
                  <c:v>11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14</c:v>
                </c:pt>
                <c:pt idx="74">
                  <c:v>14</c:v>
                </c:pt>
                <c:pt idx="75">
                  <c:v>14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29</c:v>
                </c:pt>
                <c:pt idx="82">
                  <c:v>29</c:v>
                </c:pt>
                <c:pt idx="83">
                  <c:v>30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41</c:v>
                </c:pt>
                <c:pt idx="95">
                  <c:v>47</c:v>
                </c:pt>
                <c:pt idx="96">
                  <c:v>47</c:v>
                </c:pt>
                <c:pt idx="97">
                  <c:v>49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52</c:v>
                </c:pt>
                <c:pt idx="102">
                  <c:v>55</c:v>
                </c:pt>
                <c:pt idx="103">
                  <c:v>77</c:v>
                </c:pt>
                <c:pt idx="104">
                  <c:v>98</c:v>
                </c:pt>
                <c:pt idx="105">
                  <c:v>99</c:v>
                </c:pt>
                <c:pt idx="106">
                  <c:v>99</c:v>
                </c:pt>
                <c:pt idx="107">
                  <c:v>99</c:v>
                </c:pt>
                <c:pt idx="108">
                  <c:v>99</c:v>
                </c:pt>
                <c:pt idx="109">
                  <c:v>99</c:v>
                </c:pt>
                <c:pt idx="110">
                  <c:v>102</c:v>
                </c:pt>
                <c:pt idx="111">
                  <c:v>102</c:v>
                </c:pt>
                <c:pt idx="112">
                  <c:v>102</c:v>
                </c:pt>
                <c:pt idx="113">
                  <c:v>102</c:v>
                </c:pt>
                <c:pt idx="114">
                  <c:v>102</c:v>
                </c:pt>
                <c:pt idx="115">
                  <c:v>102</c:v>
                </c:pt>
                <c:pt idx="116">
                  <c:v>102</c:v>
                </c:pt>
                <c:pt idx="117">
                  <c:v>102</c:v>
                </c:pt>
                <c:pt idx="118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24-4D6B-AF8D-CC9A18E96DF6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S'!$E$2:$E$120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12</c:v>
                </c:pt>
                <c:pt idx="89">
                  <c:v>12</c:v>
                </c:pt>
                <c:pt idx="90">
                  <c:v>15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18</c:v>
                </c:pt>
                <c:pt idx="97">
                  <c:v>43</c:v>
                </c:pt>
                <c:pt idx="98">
                  <c:v>44</c:v>
                </c:pt>
                <c:pt idx="99">
                  <c:v>44</c:v>
                </c:pt>
                <c:pt idx="100">
                  <c:v>45</c:v>
                </c:pt>
                <c:pt idx="101">
                  <c:v>45</c:v>
                </c:pt>
                <c:pt idx="102">
                  <c:v>45</c:v>
                </c:pt>
                <c:pt idx="103">
                  <c:v>51</c:v>
                </c:pt>
                <c:pt idx="104">
                  <c:v>51</c:v>
                </c:pt>
                <c:pt idx="105">
                  <c:v>55</c:v>
                </c:pt>
                <c:pt idx="106">
                  <c:v>55</c:v>
                </c:pt>
                <c:pt idx="107">
                  <c:v>55</c:v>
                </c:pt>
                <c:pt idx="108">
                  <c:v>55</c:v>
                </c:pt>
                <c:pt idx="10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24-4D6B-AF8D-CC9A18E96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07/07/2026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S'!$B$2:$B$120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2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7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1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6</c:v>
                </c:pt>
                <c:pt idx="96">
                  <c:v>0</c:v>
                </c:pt>
                <c:pt idx="97">
                  <c:v>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</c:v>
                </c:pt>
                <c:pt idx="102">
                  <c:v>3</c:v>
                </c:pt>
                <c:pt idx="103">
                  <c:v>22</c:v>
                </c:pt>
                <c:pt idx="104">
                  <c:v>21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1-4544-B9D6-1733B01A00A9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S'!$D$2:$D$120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0</c:v>
                </c:pt>
                <c:pt idx="90">
                  <c:v>3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</c:v>
                </c:pt>
                <c:pt idx="97">
                  <c:v>25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6</c:v>
                </c:pt>
                <c:pt idx="104">
                  <c:v>0</c:v>
                </c:pt>
                <c:pt idx="105">
                  <c:v>4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4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1-4544-B9D6-1733B01A00A9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S'!$F$2:$F$120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2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7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0</c:v>
                </c:pt>
                <c:pt idx="89">
                  <c:v>1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0</c:v>
                </c:pt>
                <c:pt idx="96">
                  <c:v>0</c:v>
                </c:pt>
                <c:pt idx="97">
                  <c:v>2</c:v>
                </c:pt>
                <c:pt idx="98">
                  <c:v>7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</c:v>
                </c:pt>
                <c:pt idx="104">
                  <c:v>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3</c:v>
                </c:pt>
                <c:pt idx="109">
                  <c:v>22</c:v>
                </c:pt>
                <c:pt idx="110">
                  <c:v>21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C1-4544-B9D6-1733B01A00A9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S'!$G$2:$G$120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C1-4544-B9D6-1733B01A0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S'!$C$2:$C$120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4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9</c:v>
                </c:pt>
                <c:pt idx="67">
                  <c:v>11</c:v>
                </c:pt>
                <c:pt idx="68">
                  <c:v>11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14</c:v>
                </c:pt>
                <c:pt idx="74">
                  <c:v>14</c:v>
                </c:pt>
                <c:pt idx="75">
                  <c:v>14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</c:v>
                </c:pt>
                <c:pt idx="80">
                  <c:v>21</c:v>
                </c:pt>
                <c:pt idx="81">
                  <c:v>29</c:v>
                </c:pt>
                <c:pt idx="82">
                  <c:v>29</c:v>
                </c:pt>
                <c:pt idx="83">
                  <c:v>30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41</c:v>
                </c:pt>
                <c:pt idx="95">
                  <c:v>47</c:v>
                </c:pt>
                <c:pt idx="96">
                  <c:v>47</c:v>
                </c:pt>
                <c:pt idx="97">
                  <c:v>49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52</c:v>
                </c:pt>
                <c:pt idx="102">
                  <c:v>55</c:v>
                </c:pt>
                <c:pt idx="103">
                  <c:v>77</c:v>
                </c:pt>
                <c:pt idx="104">
                  <c:v>98</c:v>
                </c:pt>
                <c:pt idx="105">
                  <c:v>99</c:v>
                </c:pt>
                <c:pt idx="106">
                  <c:v>99</c:v>
                </c:pt>
                <c:pt idx="107">
                  <c:v>99</c:v>
                </c:pt>
                <c:pt idx="108">
                  <c:v>99</c:v>
                </c:pt>
                <c:pt idx="109">
                  <c:v>99</c:v>
                </c:pt>
                <c:pt idx="110">
                  <c:v>102</c:v>
                </c:pt>
                <c:pt idx="111">
                  <c:v>102</c:v>
                </c:pt>
                <c:pt idx="112">
                  <c:v>102</c:v>
                </c:pt>
                <c:pt idx="113">
                  <c:v>102</c:v>
                </c:pt>
                <c:pt idx="114">
                  <c:v>102</c:v>
                </c:pt>
                <c:pt idx="115">
                  <c:v>102</c:v>
                </c:pt>
                <c:pt idx="116">
                  <c:v>102</c:v>
                </c:pt>
                <c:pt idx="117">
                  <c:v>102</c:v>
                </c:pt>
                <c:pt idx="118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C1-4544-B9D6-1733B01A00A9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S'!$E$2:$E$120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12</c:v>
                </c:pt>
                <c:pt idx="89">
                  <c:v>12</c:v>
                </c:pt>
                <c:pt idx="90">
                  <c:v>15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18</c:v>
                </c:pt>
                <c:pt idx="97">
                  <c:v>43</c:v>
                </c:pt>
                <c:pt idx="98">
                  <c:v>44</c:v>
                </c:pt>
                <c:pt idx="99">
                  <c:v>44</c:v>
                </c:pt>
                <c:pt idx="100">
                  <c:v>45</c:v>
                </c:pt>
                <c:pt idx="101">
                  <c:v>45</c:v>
                </c:pt>
                <c:pt idx="102">
                  <c:v>45</c:v>
                </c:pt>
                <c:pt idx="103">
                  <c:v>51</c:v>
                </c:pt>
                <c:pt idx="104">
                  <c:v>51</c:v>
                </c:pt>
                <c:pt idx="105">
                  <c:v>55</c:v>
                </c:pt>
                <c:pt idx="106">
                  <c:v>55</c:v>
                </c:pt>
                <c:pt idx="107">
                  <c:v>55</c:v>
                </c:pt>
                <c:pt idx="108">
                  <c:v>55</c:v>
                </c:pt>
                <c:pt idx="10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C1-4544-B9D6-1733B01A00A9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S'!$H$2:$H$120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10</c:v>
                </c:pt>
                <c:pt idx="75">
                  <c:v>12</c:v>
                </c:pt>
                <c:pt idx="76">
                  <c:v>12</c:v>
                </c:pt>
                <c:pt idx="77">
                  <c:v>14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21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21</c:v>
                </c:pt>
                <c:pt idx="87">
                  <c:v>29</c:v>
                </c:pt>
                <c:pt idx="88">
                  <c:v>29</c:v>
                </c:pt>
                <c:pt idx="89">
                  <c:v>30</c:v>
                </c:pt>
                <c:pt idx="90">
                  <c:v>32</c:v>
                </c:pt>
                <c:pt idx="91">
                  <c:v>32</c:v>
                </c:pt>
                <c:pt idx="92">
                  <c:v>32</c:v>
                </c:pt>
                <c:pt idx="93">
                  <c:v>32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40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47</c:v>
                </c:pt>
                <c:pt idx="102">
                  <c:v>47</c:v>
                </c:pt>
                <c:pt idx="103">
                  <c:v>49</c:v>
                </c:pt>
                <c:pt idx="104">
                  <c:v>52</c:v>
                </c:pt>
                <c:pt idx="105">
                  <c:v>52</c:v>
                </c:pt>
                <c:pt idx="106">
                  <c:v>52</c:v>
                </c:pt>
                <c:pt idx="107">
                  <c:v>52</c:v>
                </c:pt>
                <c:pt idx="108">
                  <c:v>55</c:v>
                </c:pt>
                <c:pt idx="109">
                  <c:v>77</c:v>
                </c:pt>
                <c:pt idx="110">
                  <c:v>98</c:v>
                </c:pt>
                <c:pt idx="111">
                  <c:v>98</c:v>
                </c:pt>
                <c:pt idx="112">
                  <c:v>98</c:v>
                </c:pt>
                <c:pt idx="113">
                  <c:v>98</c:v>
                </c:pt>
                <c:pt idx="114">
                  <c:v>98</c:v>
                </c:pt>
                <c:pt idx="115">
                  <c:v>99</c:v>
                </c:pt>
                <c:pt idx="116">
                  <c:v>99</c:v>
                </c:pt>
                <c:pt idx="117">
                  <c:v>99</c:v>
                </c:pt>
                <c:pt idx="118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5C1-4544-B9D6-1733B01A00A9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S'!$I$2:$I$120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5C1-4544-B9D6-1733B01A0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31696</xdr:colOff>
      <xdr:row>2</xdr:row>
      <xdr:rowOff>0</xdr:rowOff>
    </xdr:from>
    <xdr:ext cx="10800000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5657DAC-119D-4832-B454-1D452F7C7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54429</xdr:rowOff>
    </xdr:from>
    <xdr:ext cx="1080000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1C48DAE0-667F-4BD6-A50A-4099C6C3D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27</xdr:col>
      <xdr:colOff>703500</xdr:colOff>
      <xdr:row>29</xdr:row>
      <xdr:rowOff>66000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CC39F2-1CFE-4B03-823E-C857286B1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</xdr:colOff>
      <xdr:row>32</xdr:row>
      <xdr:rowOff>180975</xdr:rowOff>
    </xdr:from>
    <xdr:to>
      <xdr:col>27</xdr:col>
      <xdr:colOff>722550</xdr:colOff>
      <xdr:row>61</xdr:row>
      <xdr:rowOff>56475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F0EF9D0-AA7E-49B7-B63E-F23B7C021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900B01-B246-4971-B026-510B46A2DCB7}" name="Tabela2" displayName="Tabela2" ref="A1:AG556" totalsRowShown="0" headerRowDxfId="175" dataDxfId="174">
  <autoFilter ref="A1:AG556" xr:uid="{77900B01-B246-4971-B026-510B46A2DCB7}"/>
  <tableColumns count="33">
    <tableColumn id="1" xr3:uid="{6C192E3C-3B13-4B2E-A761-4B6D3EDE4794}" name="Id" dataDxfId="173"/>
    <tableColumn id="2" xr3:uid="{28BE0106-A107-4E64-847F-C4B890233C73}" name="EDT" dataDxfId="172"/>
    <tableColumn id="3" xr3:uid="{575F7DE1-A02E-4656-A071-64B712FC8289}" name="Nome do Resumo da Tarefa" dataDxfId="171"/>
    <tableColumn id="4" xr3:uid="{C9673D35-AE0E-44A7-88C8-401CC680854A}" name="Nome da Tarefa" dataDxfId="170"/>
    <tableColumn id="5" xr3:uid="{45ED77C8-AE2A-4750-8985-F65C8AFA6F0D}" name="Duração" dataDxfId="169"/>
    <tableColumn id="6" xr3:uid="{B89419DB-CC60-4BC8-90D1-8FAACB1C9CAA}" name="Início" dataDxfId="168"/>
    <tableColumn id="7" xr3:uid="{5B8195B3-A13A-4A32-90E1-47986B9F4F5D}" name="Término" dataDxfId="167"/>
    <tableColumn id="8" xr3:uid="{A77265A5-7A18-44F8-84A0-A9D531AD23E7}" name="% concluída" dataDxfId="166" dataCellStyle="Porcentagem"/>
    <tableColumn id="9" xr3:uid="{DEB8644E-63C4-4BDE-B81D-0B7C0A3EFCDA}" name="Término real" dataDxfId="165"/>
    <tableColumn id="10" xr3:uid="{24A6808C-06B7-450C-8A28-2C496AC479E8}" name="Predecessoras" dataDxfId="164"/>
    <tableColumn id="11" xr3:uid="{A2F6A034-16F2-4BC2-A223-A979D7274E76}" name="Sucessoras" dataDxfId="163"/>
    <tableColumn id="12" xr3:uid="{A0BC8C15-2CC2-4277-9679-4AA83DF8480F}" name="Status" dataDxfId="162"/>
    <tableColumn id="13" xr3:uid="{6877D37F-857A-47CB-BE2D-0051E535BEC3}" name="Início da Linha de Base" dataDxfId="161"/>
    <tableColumn id="14" xr3:uid="{00AB396D-0B39-41FA-B318-8B6783FAC505}" name="Término da linha de base" dataDxfId="160"/>
    <tableColumn id="15" xr3:uid="{D1DE5277-B83B-439C-B2E4-F667CD6D0C3B}" name="Nomes dos recursos" dataDxfId="159"/>
    <tableColumn id="16" xr3:uid="{3247F983-44E4-4DDA-AB90-B72BE78971A8}" name="Disciplina" dataDxfId="158"/>
    <tableColumn id="17" xr3:uid="{3322E481-6DDF-4A36-AFBC-B2C238159E69}" name="Sprint" dataDxfId="157"/>
    <tableColumn id="18" xr3:uid="{66A5AC4B-32B4-4DB2-A834-9FD634BC1BCC}" name="Crítica" dataDxfId="156"/>
    <tableColumn id="19" xr3:uid="{A09C701D-73E9-4CB6-9A48-9E75BC129730}" name="Início_LB_R0" dataDxfId="155"/>
    <tableColumn id="20" xr3:uid="{3E0FB354-5787-414E-8A2E-7E108ABDE27E}" name="Término_LB_R0" dataDxfId="154"/>
    <tableColumn id="21" xr3:uid="{69497F22-557C-4812-BEF7-22A47094FF91}" name="Comparação" dataDxfId="153"/>
    <tableColumn id="22" xr3:uid="{2CEBFAC5-524A-4B28-A632-652BD6EEE367}" name="pct_val" dataDxfId="152"/>
    <tableColumn id="23" xr3:uid="{FA92A27F-70D9-454D-99F2-3662913EC321}" name="Emissão inicial total" dataDxfId="151"/>
    <tableColumn id="24" xr3:uid="{C03449A4-E80E-45C6-B6B1-D59C9B183476}" name="Emissão inicial concluída" dataDxfId="150"/>
    <tableColumn id="25" xr3:uid="{B619D6DB-02F5-4F7F-8BA1-D47BC7C188D7}" name="Emissão Inicial Atrasada" dataDxfId="149"/>
    <tableColumn id="26" xr3:uid="{8CFC7947-A949-4F87-BEA3-66E966754684}" name="Aprovação total" dataDxfId="148"/>
    <tableColumn id="27" xr3:uid="{29F4168C-A94C-4FA8-ABF7-0B29D3629A2D}" name="Avaliação do cliente concluída" dataDxfId="147"/>
    <tableColumn id="28" xr3:uid="{FF7EE8FA-1953-4E01-A686-B1CEADB4833C}" name="Avaliação Cliente Atrasada" dataDxfId="146"/>
    <tableColumn id="29" xr3:uid="{EB9B9DBD-E725-4641-B7BD-FFBA7174091A}" name="Atendimento de comentário concluído" dataDxfId="145"/>
    <tableColumn id="30" xr3:uid="{891E7299-B1E8-4760-B0CD-3EA69A6545BA}" name="Atendimento Atrasado" dataDxfId="144"/>
    <tableColumn id="31" xr3:uid="{190108B6-D7DE-4642-84DB-589445BDBFA8}" name="Aprovação concluída" dataDxfId="143"/>
    <tableColumn id="32" xr3:uid="{0CD0AFE7-ED2D-48FB-AC8C-870AD3E6A21E}" name="Aprovação Atrasada" dataDxfId="142"/>
    <tableColumn id="33" xr3:uid="{A76B6917-6F39-4BE9-B090-C0E981DFC37B}" name="Aderência" dataDxfId="1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9A2BEC-F51B-4DD3-BDF6-6A69C6871AB7}" name="Tabela3" displayName="Tabela3" ref="A3:H16" totalsRowCount="1" headerRowDxfId="140" dataDxfId="139">
  <autoFilter ref="A3:H15" xr:uid="{CC9A2BEC-F51B-4DD3-BDF6-6A69C6871AB7}"/>
  <tableColumns count="8">
    <tableColumn id="1" xr3:uid="{A956026A-BA6A-4EA9-8CDD-067ABF7E241C}" name="Disciplina" totalsRowLabel="TOTAL" dataDxfId="138" totalsRowDxfId="137"/>
    <tableColumn id="2" xr3:uid="{998C5DE4-4216-4380-A509-19768EBC550A}" name="Emissão inicial total" totalsRowFunction="sum" dataDxfId="136" totalsRowDxfId="135"/>
    <tableColumn id="3" xr3:uid="{51387B24-3A36-4FE9-A4BF-0363F94096A2}" name="Emissão inicial concluída" totalsRowFunction="sum" dataDxfId="134" totalsRowDxfId="133"/>
    <tableColumn id="4" xr3:uid="{D4108629-8422-4057-A4EB-F5CAA4D17FB9}" name="%EI" dataDxfId="132" totalsRowDxfId="131"/>
    <tableColumn id="5" xr3:uid="{C3A5C0E2-C593-48EF-A578-F8886DE401FB}" name="Avaliação do cliente concluída" totalsRowFunction="sum" dataDxfId="130" totalsRowDxfId="129"/>
    <tableColumn id="6" xr3:uid="{0F309E25-C9C8-40A4-BA5F-559DA95C8C88}" name="Atendimento de comentário concluído" totalsRowFunction="sum" dataDxfId="128" totalsRowDxfId="127"/>
    <tableColumn id="7" xr3:uid="{1508A734-7FA7-456D-8613-5A1E3C7B5C06}" name="Aprovação concluída" totalsRowFunction="sum" dataDxfId="126" totalsRowDxfId="125"/>
    <tableColumn id="8" xr3:uid="{76DF63A2-6835-42C9-9C25-7A8C88DEC83F}" name="%AP" dataDxfId="124" totalsRowDxfId="1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909604-C78A-44F5-93AA-1916131EB4BC}" name="Tabela4" displayName="Tabela4" ref="A21:E34" totalsRowCount="1" headerRowDxfId="122" dataDxfId="121">
  <autoFilter ref="A21:E33" xr:uid="{45909604-C78A-44F5-93AA-1916131EB4BC}"/>
  <tableColumns count="5">
    <tableColumn id="1" xr3:uid="{21776A0A-B640-40A9-9599-7EF55A7CF464}" name="Disciplina" totalsRowLabel="TOTAL" dataDxfId="120" totalsRowDxfId="119"/>
    <tableColumn id="2" xr3:uid="{7A16927A-163B-4AD3-B566-CAFEB5C7ACAA}" name="Emissão Inicial Atrasada" totalsRowFunction="sum" dataDxfId="118" totalsRowDxfId="117"/>
    <tableColumn id="3" xr3:uid="{9C36CA37-89FE-4A93-BFD7-D1750D16624E}" name="Avaliação Cliente Atrasada" totalsRowFunction="sum" dataDxfId="116" totalsRowDxfId="115"/>
    <tableColumn id="4" xr3:uid="{ECE65835-E1CD-443B-95A6-7B9398DCF477}" name="Atendimento Atrasado" totalsRowFunction="sum" dataDxfId="114" totalsRowDxfId="113"/>
    <tableColumn id="5" xr3:uid="{4E59778D-71B7-44EC-A7B9-65FC444F87F1}" name="Aprovação Atrasada" totalsRowFunction="sum" dataDxfId="112" totalsRowDxfId="1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907F3D-BFD6-4FA9-A3A4-34029163CB00}" name="Tabela5" displayName="Tabela5" ref="A1:O120" totalsRowShown="0" headerRowDxfId="110" dataDxfId="109">
  <autoFilter ref="A1:O120" xr:uid="{06907F3D-BFD6-4FA9-A3A4-34029163CB00}"/>
  <tableColumns count="15">
    <tableColumn id="1" xr3:uid="{698E916C-E52C-47A7-8B2F-77FF55B050E3}" name="Data" dataDxfId="108"/>
    <tableColumn id="2" xr3:uid="{586E44A6-98AE-4262-B8F1-3A12DD157146}" name="Emissão prevista na LB" dataDxfId="107"/>
    <tableColumn id="3" xr3:uid="{5B7C31A5-B21A-4712-9492-3316BDEDB585}" name="Emissão prevista na LB acumulada" dataDxfId="106"/>
    <tableColumn id="4" xr3:uid="{BD297036-DDA8-4CD6-AC16-B7D70B262E30}" name="Emissão realizada por dia" dataDxfId="105"/>
    <tableColumn id="5" xr3:uid="{0840317C-27CA-452B-85B7-2980DF014897}" name="Emissão realizada acumulada" dataDxfId="104"/>
    <tableColumn id="6" xr3:uid="{4F066656-535F-4FEB-A197-2178B5563D7D}" name="Aprovação prevista na LB" dataDxfId="103"/>
    <tableColumn id="7" xr3:uid="{1D6D109D-66E1-45EC-AF9B-F8B4F3B67CAD}" name="Aprovação realizada por dia" dataDxfId="102"/>
    <tableColumn id="8" xr3:uid="{0CCF0B31-3292-488E-B4E4-5D4B4F43359A}" name="Aprovação prevista na LB acumulada" dataDxfId="101"/>
    <tableColumn id="9" xr3:uid="{1223C6CF-30EA-47B2-9737-72FD60143166}" name="Aprovação realizada acumulada" dataDxfId="100"/>
    <tableColumn id="10" xr3:uid="{8B56DE2B-A278-4AD5-BC0F-C7BEBA668420}" name="Avanço da EI previsto na LB" dataDxfId="99" dataCellStyle="Porcentagem"/>
    <tableColumn id="11" xr3:uid="{93CAF797-F5AE-48C8-97A7-18A7355E8C72}" name="Avanço real da EI na LB" dataDxfId="98" dataCellStyle="Porcentagem"/>
    <tableColumn id="12" xr3:uid="{435C085B-D573-4CD3-AE7E-3DFE1CBA9828}" name="COMP_EI" dataDxfId="97"/>
    <tableColumn id="13" xr3:uid="{F033EC53-DE2F-40AE-B832-8F246C0F64A2}" name="Avanço da AP previsto na LB" dataDxfId="96" dataCellStyle="Porcentagem"/>
    <tableColumn id="14" xr3:uid="{90A51549-3DC8-41DE-8015-B2E793B4A4B2}" name="Avanço da AP real na LB" dataDxfId="95" dataCellStyle="Porcentagem"/>
    <tableColumn id="15" xr3:uid="{B2F36D65-3A6D-498B-83CA-3B79ABB18619}" name="COMP_AP" dataDxfId="9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48B800-C242-4360-8C83-F303C46E721C}" name="Tabela6" displayName="Tabela6" ref="A1:AG113" totalsRowShown="0" headerRowDxfId="93" dataDxfId="92">
  <autoFilter ref="A1:AG113" xr:uid="{5D48B800-C242-4360-8C83-F303C46E721C}">
    <filterColumn colId="3">
      <filters>
        <filter val="emissão inicial"/>
      </filters>
    </filterColumn>
  </autoFilter>
  <tableColumns count="33">
    <tableColumn id="1" xr3:uid="{DD6482CB-716D-4A4D-BEB3-92017736B2A1}" name="Id" dataDxfId="91"/>
    <tableColumn id="2" xr3:uid="{3F611942-890F-404A-A3E0-FA9DF69B3FD8}" name="EDT" dataDxfId="90"/>
    <tableColumn id="3" xr3:uid="{C3E95CBF-212E-4C65-9523-1E591AA35C79}" name="Nome do Resumo da Tarefa" dataDxfId="89"/>
    <tableColumn id="4" xr3:uid="{9A332543-2686-40AE-9AE1-CA5ED9FB073D}" name="Nome da Tarefa" dataDxfId="88"/>
    <tableColumn id="5" xr3:uid="{3FFD064A-F263-44E9-8A8D-50A678854192}" name="Duração" dataDxfId="87"/>
    <tableColumn id="6" xr3:uid="{7C83C66F-0951-4A2B-9C19-2A648356F763}" name="Início" dataDxfId="86"/>
    <tableColumn id="7" xr3:uid="{A122335C-E626-4388-B085-BD9A40998C08}" name="Término" dataDxfId="85"/>
    <tableColumn id="8" xr3:uid="{D2A0B68A-B2F0-4D2B-8EEB-5EA5C8DBFD7A}" name="% concluída" dataDxfId="84" dataCellStyle="Porcentagem"/>
    <tableColumn id="9" xr3:uid="{D2BD8A4A-CB26-424A-B6E7-83E46E2EB351}" name="Término real" dataDxfId="83"/>
    <tableColumn id="10" xr3:uid="{AB0CCB67-7A7B-4226-BB8E-ADCD6836B9D3}" name="Predecessoras" dataDxfId="82"/>
    <tableColumn id="11" xr3:uid="{4B5F758A-7048-416F-BD18-3BA171171676}" name="Sucessoras" dataDxfId="81"/>
    <tableColumn id="12" xr3:uid="{E66157E5-78D1-4F27-8F7D-FE8B2157549B}" name="Status" dataDxfId="80"/>
    <tableColumn id="13" xr3:uid="{DB1B55EF-5D96-479F-A858-F87C444A0E03}" name="Início da Linha de Base" dataDxfId="79"/>
    <tableColumn id="14" xr3:uid="{ABEEEA04-A167-4AD5-A672-C462879BA4A7}" name="Término da linha de base" dataDxfId="78"/>
    <tableColumn id="15" xr3:uid="{012427CF-DD71-437C-BD34-D201849DEB01}" name="Nomes dos recursos" dataDxfId="77"/>
    <tableColumn id="16" xr3:uid="{0EE9C00C-BECD-431F-977C-941671099AED}" name="Disciplina" dataDxfId="76"/>
    <tableColumn id="17" xr3:uid="{E1D0AFC7-7DFC-4EF6-AFC2-62C6B4139158}" name="Sprint" dataDxfId="75"/>
    <tableColumn id="18" xr3:uid="{AC42DA4E-7A71-4F0C-A54D-84AAE2904E89}" name="Crítica" dataDxfId="74"/>
    <tableColumn id="19" xr3:uid="{EE6CE4B2-B8A2-4924-ACC4-A471398A6905}" name="Início_LB_R0" dataDxfId="73"/>
    <tableColumn id="20" xr3:uid="{7BD1455B-360C-4E09-B8DE-C0EF6C29F631}" name="Término_LB_R0" dataDxfId="72"/>
    <tableColumn id="21" xr3:uid="{6ECB5150-2C88-4AD1-927A-4E007E9A48FB}" name="Comparação" dataDxfId="71"/>
    <tableColumn id="22" xr3:uid="{2132C322-C33B-4CC0-BAF7-A43568B670E1}" name="pct_val" dataDxfId="70"/>
    <tableColumn id="23" xr3:uid="{BB5F7BE1-C69A-4879-ABF9-A8A4A33E401B}" name="Emissão inicial total" dataDxfId="69"/>
    <tableColumn id="24" xr3:uid="{AC0D4110-596B-4949-8E20-F69A5133E708}" name="Emissão inicial concluída" dataDxfId="68"/>
    <tableColumn id="25" xr3:uid="{B482262E-7C9F-466E-9A1C-E3C983A405F3}" name="Emissão Inicial Atrasada" dataDxfId="67"/>
    <tableColumn id="26" xr3:uid="{EC40B6A5-7328-4A77-AAAD-16CE0867CFDA}" name="Aprovação total" dataDxfId="66"/>
    <tableColumn id="27" xr3:uid="{139E37F9-3894-432D-84CD-5026F0396A18}" name="Avaliação do cliente concluída" dataDxfId="65"/>
    <tableColumn id="28" xr3:uid="{23F6A96D-8266-4682-972A-35D07F865DC2}" name="Avaliação Cliente Atrasada" dataDxfId="64"/>
    <tableColumn id="29" xr3:uid="{45B54D1D-78BF-41F7-A282-84EE998009C8}" name="Atendimento de comentário concluído" dataDxfId="63"/>
    <tableColumn id="30" xr3:uid="{C97215F5-5A58-4D59-9174-8C9030BEFF3F}" name="Atendimento Atrasado" dataDxfId="62"/>
    <tableColumn id="31" xr3:uid="{48FAF32A-48D3-413D-860C-678D196F9EC6}" name="Aprovação concluída" dataDxfId="61"/>
    <tableColumn id="32" xr3:uid="{BA9F1AD7-56F2-4084-B2EB-285BB13C744D}" name="Aprovação Atrasada" dataDxfId="60"/>
    <tableColumn id="33" xr3:uid="{D149B597-D685-4A9D-8A16-C80EF69CB6F2}" name="Aderência" dataDxfId="5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8B77795-EA7C-4503-BFEF-15B06A89EB8F}" name="Tabela7" displayName="Tabela7" ref="A1:AG197" totalsRowShown="0" headerRowDxfId="58" dataDxfId="57">
  <autoFilter ref="A1:AG197" xr:uid="{C8B77795-EA7C-4503-BFEF-15B06A89EB8F}">
    <filterColumn colId="3">
      <filters>
        <filter val="emissão inicial"/>
      </filters>
    </filterColumn>
  </autoFilter>
  <tableColumns count="33">
    <tableColumn id="1" xr3:uid="{8AAB7D82-6C49-4BCA-AEC2-8845F94BC628}" name="Id" dataDxfId="56"/>
    <tableColumn id="2" xr3:uid="{760B18EE-BD25-42A7-847C-1B1C6D9B1BD9}" name="EDT" dataDxfId="55"/>
    <tableColumn id="3" xr3:uid="{791C7035-1FA8-43A2-91FC-0243D774755A}" name="Nome do Resumo da Tarefa" dataDxfId="54"/>
    <tableColumn id="4" xr3:uid="{28118F01-9DCE-4B61-949E-85404742B414}" name="Nome da Tarefa" dataDxfId="53"/>
    <tableColumn id="5" xr3:uid="{3C153D02-86FE-46EA-B874-FDA178E50E77}" name="Duração" dataDxfId="52"/>
    <tableColumn id="6" xr3:uid="{7D88E473-ECBC-434B-8139-0068C15AF9C7}" name="Início" dataDxfId="51"/>
    <tableColumn id="7" xr3:uid="{586E118F-186A-4DA5-A520-22D117965BBB}" name="Término" dataDxfId="50"/>
    <tableColumn id="8" xr3:uid="{644CC261-DE0C-4442-975B-6AF79F893965}" name="% concluída" dataDxfId="49" dataCellStyle="Porcentagem"/>
    <tableColumn id="9" xr3:uid="{C1758CBD-6370-4FF7-B56B-256E28534C4A}" name="Término real" dataDxfId="48"/>
    <tableColumn id="10" xr3:uid="{0D9D2151-CAA7-4098-8CF0-E7097A3716CD}" name="Predecessoras" dataDxfId="47"/>
    <tableColumn id="11" xr3:uid="{CEDAF123-3CE2-48D0-984E-DFB510BE041E}" name="Sucessoras" dataDxfId="46"/>
    <tableColumn id="12" xr3:uid="{7BC5E3DE-402A-4C59-9D4D-E2B6FBDFC84F}" name="Status" dataDxfId="45"/>
    <tableColumn id="13" xr3:uid="{2318286A-D986-4CF4-B4C2-806763445E3F}" name="Início da Linha de Base" dataDxfId="44"/>
    <tableColumn id="14" xr3:uid="{A0B6C6CC-A9AF-4E0A-937B-7298BBD11223}" name="Término da linha de base" dataDxfId="43"/>
    <tableColumn id="15" xr3:uid="{CABA74B5-738D-4874-9752-3EAF067A4BC6}" name="Nomes dos recursos" dataDxfId="42"/>
    <tableColumn id="16" xr3:uid="{C5B274A2-B3DC-45A1-853F-29CE16755BA8}" name="Disciplina" dataDxfId="41"/>
    <tableColumn id="17" xr3:uid="{A889F549-DF9C-478A-86C3-02F03D205557}" name="Sprint" dataDxfId="40"/>
    <tableColumn id="18" xr3:uid="{550881A8-3802-403A-9E89-57287439F2FF}" name="Crítica" dataDxfId="39"/>
    <tableColumn id="19" xr3:uid="{75C3CFAA-5C66-421F-9F17-C03B466FD616}" name="Início_LB_R0" dataDxfId="38"/>
    <tableColumn id="20" xr3:uid="{2CAF81E0-63F3-4E28-9ECE-37613A8191D5}" name="Término_LB_R0" dataDxfId="37"/>
    <tableColumn id="21" xr3:uid="{117004D0-9AA3-4E2A-9BBE-2B19C6A94C67}" name="Comparação" dataDxfId="36"/>
    <tableColumn id="22" xr3:uid="{10BD04BC-3B68-4D43-BEC4-06271E62E7A2}" name="pct_val" dataDxfId="35"/>
    <tableColumn id="23" xr3:uid="{54F2F5D0-57BD-43A8-91F9-D8CDCC272618}" name="Emissão inicial total" dataDxfId="34"/>
    <tableColumn id="24" xr3:uid="{4B2F188B-A1C9-47FD-A931-D878CA6E77A5}" name="Emissão inicial concluída" dataDxfId="33"/>
    <tableColumn id="25" xr3:uid="{BD55165B-A7F9-4D94-A622-2D83764C2987}" name="Emissão Inicial Atrasada" dataDxfId="32"/>
    <tableColumn id="26" xr3:uid="{D3B95D00-C1F9-42C3-9AB0-B0A5682CE530}" name="Aprovação total" dataDxfId="31"/>
    <tableColumn id="27" xr3:uid="{314E70A6-4682-425E-A2A0-A5B6D98953F3}" name="Avaliação do cliente concluída" dataDxfId="30"/>
    <tableColumn id="28" xr3:uid="{536C956F-67AE-4BA0-A9FE-AB1593B4BD2A}" name="Avaliação Cliente Atrasada" dataDxfId="29"/>
    <tableColumn id="29" xr3:uid="{557D1129-9A63-4666-9580-1700D7B7C584}" name="Atendimento de comentário concluído" dataDxfId="28"/>
    <tableColumn id="30" xr3:uid="{3CEB6CA6-8762-44EF-ACB3-8B1D8EBCDD4E}" name="Atendimento Atrasado" dataDxfId="27"/>
    <tableColumn id="31" xr3:uid="{1669DDED-34AC-44D8-98C1-63D55B214453}" name="Aprovação concluída" dataDxfId="26"/>
    <tableColumn id="32" xr3:uid="{F6F77369-F17C-4EAE-AD3B-89C6D984073B}" name="Aprovação Atrasada" dataDxfId="25"/>
    <tableColumn id="33" xr3:uid="{8C05D6F2-4117-46FA-B8B4-2075077AC8F1}" name="Aderência" dataDxfId="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357D8B-624B-435B-85A5-D64CBD0F91DE}" name="Tabela8" displayName="Tabela8" ref="A1:J268" totalsRowShown="0" headerRowDxfId="23" dataDxfId="22">
  <autoFilter ref="A1:J268" xr:uid="{F3357D8B-624B-435B-85A5-D64CBD0F91DE}">
    <filterColumn colId="4">
      <filters>
        <filter val="emissão inicial"/>
      </filters>
    </filterColumn>
  </autoFilter>
  <tableColumns count="10">
    <tableColumn id="1" xr3:uid="{69282EC9-B12E-4497-933E-F97DE216F25C}" name="Sprint" dataDxfId="21"/>
    <tableColumn id="2" xr3:uid="{9EC844A0-9A14-4173-8A3A-9B2B41927F59}" name="Id" dataDxfId="20"/>
    <tableColumn id="3" xr3:uid="{154EB1E8-43E3-4D95-83D2-15D4FA6C6438}" name="EDT" dataDxfId="19"/>
    <tableColumn id="4" xr3:uid="{D34A658F-2D1D-4EF2-A6BE-4CFA371C841E}" name="Nome do Resumo da Tarefa" dataDxfId="18"/>
    <tableColumn id="5" xr3:uid="{73BB65C0-CDC2-4475-8953-210F6DE2399C}" name="Nome da Tarefa" dataDxfId="17"/>
    <tableColumn id="6" xr3:uid="{A7B6DC52-EEEC-4081-AD44-5D3DDA97D3CF}" name="Status" dataDxfId="16"/>
    <tableColumn id="7" xr3:uid="{4ECD8933-7A0F-4CF8-A618-D6DB51A57E58}" name="% concluída" dataDxfId="15"/>
    <tableColumn id="8" xr3:uid="{1D46052E-954A-46C7-9EFC-FE981AD88352}" name="Nomes dos recursos" dataDxfId="14"/>
    <tableColumn id="9" xr3:uid="{A8818F01-CBB7-4D8A-B919-2E96F31E65C5}" name="Disciplina" dataDxfId="13"/>
    <tableColumn id="10" xr3:uid="{2A5C010D-7211-4978-93F9-234EF272F197}" name="Crítica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F51FD4-48BC-4D6F-B308-744502D17C9E}" name="Tabela9" displayName="Tabela9" ref="A1:J128" totalsRowShown="0" headerRowDxfId="11" dataDxfId="10">
  <autoFilter ref="A1:J128" xr:uid="{C0F51FD4-48BC-4D6F-B308-744502D17C9E}">
    <filterColumn colId="4">
      <filters>
        <filter val="emissão inicial"/>
      </filters>
    </filterColumn>
  </autoFilter>
  <tableColumns count="10">
    <tableColumn id="1" xr3:uid="{B0B4F2EF-97B7-4AE1-8DC6-23136865DBF0}" name="Sprint" dataDxfId="9"/>
    <tableColumn id="2" xr3:uid="{9C528971-4913-4F90-9141-50DE011FC09F}" name="Id" dataDxfId="8"/>
    <tableColumn id="3" xr3:uid="{5E79982B-29FE-4DE3-BBEE-441228F29FCA}" name="EDT" dataDxfId="7"/>
    <tableColumn id="4" xr3:uid="{EA8A2461-4529-4708-A8F8-D0212593D3CC}" name="Nome do Resumo da Tarefa" dataDxfId="6"/>
    <tableColumn id="5" xr3:uid="{1F5154D1-6F4A-48C6-AF51-F26C6B816ED4}" name="Nome da Tarefa" dataDxfId="5"/>
    <tableColumn id="6" xr3:uid="{A146B2F4-3CDF-42EE-BF38-E20F3070864A}" name="Status" dataDxfId="4"/>
    <tableColumn id="7" xr3:uid="{E5581CE4-D3CA-497D-948D-D8AEEEF68EBC}" name="% concluída" dataDxfId="3"/>
    <tableColumn id="8" xr3:uid="{AF6C0B2D-8C09-48B9-93EA-DBF2F27B8439}" name="Nomes dos recursos" dataDxfId="2"/>
    <tableColumn id="9" xr3:uid="{3F052C4C-3890-471D-8987-5ADE5B2C9790}" name="Disciplina" dataDxfId="1"/>
    <tableColumn id="10" xr3:uid="{E145276D-A72E-48F0-A77B-D590AF71211B}" name="Crít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56"/>
  <sheetViews>
    <sheetView topLeftCell="A15" workbookViewId="0">
      <selection activeCell="C12" sqref="C12"/>
    </sheetView>
  </sheetViews>
  <sheetFormatPr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4.5703125" style="1" bestFit="1" customWidth="1"/>
    <col min="5" max="5" width="12.7109375" style="1" bestFit="1" customWidth="1"/>
    <col min="6" max="6" width="10.7109375" style="10" bestFit="1" customWidth="1"/>
    <col min="7" max="7" width="13" style="10" bestFit="1" customWidth="1"/>
    <col min="8" max="8" width="16" style="11" bestFit="1" customWidth="1"/>
    <col min="9" max="9" width="16.85546875" style="10" bestFit="1" customWidth="1"/>
    <col min="10" max="10" width="37.42578125" style="1" bestFit="1" customWidth="1"/>
    <col min="11" max="11" width="121" style="1" bestFit="1" customWidth="1"/>
    <col min="12" max="12" width="12.42578125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32.140625" style="1" bestFit="1" customWidth="1"/>
    <col min="17" max="17" width="14.5703125" style="1" bestFit="1" customWidth="1"/>
    <col min="18" max="18" width="11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1.85546875" style="1" bestFit="1" customWidth="1"/>
    <col min="23" max="23" width="23.28515625" style="1" bestFit="1" customWidth="1"/>
    <col min="24" max="24" width="27.7109375" style="1" bestFit="1" customWidth="1"/>
    <col min="25" max="25" width="27" style="1" bestFit="1" customWidth="1"/>
    <col min="26" max="26" width="19.5703125" style="1" bestFit="1" customWidth="1"/>
    <col min="27" max="27" width="32.7109375" style="1" bestFit="1" customWidth="1"/>
    <col min="28" max="28" width="29.42578125" style="1" bestFit="1" customWidth="1"/>
    <col min="29" max="29" width="40.5703125" style="1" bestFit="1" customWidth="1"/>
    <col min="30" max="30" width="26.140625" style="1" bestFit="1" customWidth="1"/>
    <col min="31" max="31" width="24" style="1" bestFit="1" customWidth="1"/>
    <col min="32" max="32" width="23.28515625" style="1" bestFit="1" customWidth="1"/>
    <col min="33" max="33" width="14.5703125" style="1" bestFit="1" customWidth="1"/>
    <col min="34" max="16384" width="9.140625" style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0" t="s">
        <v>6</v>
      </c>
      <c r="H1" s="11" t="s">
        <v>7</v>
      </c>
      <c r="I1" s="10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1">
        <v>1</v>
      </c>
      <c r="B2" s="1">
        <v>1</v>
      </c>
      <c r="D2" s="1" t="s">
        <v>33</v>
      </c>
      <c r="E2" s="1" t="s">
        <v>34</v>
      </c>
      <c r="F2" s="10">
        <v>46139</v>
      </c>
      <c r="G2" s="10">
        <v>46227</v>
      </c>
      <c r="H2" s="11">
        <v>0.59</v>
      </c>
      <c r="L2" s="1" t="s">
        <v>35</v>
      </c>
      <c r="M2" s="1" t="s">
        <v>36</v>
      </c>
      <c r="N2" s="2">
        <v>46211</v>
      </c>
      <c r="P2" s="1" t="s">
        <v>37</v>
      </c>
      <c r="Q2" s="1" t="s">
        <v>38</v>
      </c>
      <c r="R2" s="1" t="s">
        <v>39</v>
      </c>
      <c r="S2" s="2">
        <v>46139</v>
      </c>
      <c r="T2" s="2">
        <v>46211</v>
      </c>
      <c r="V2" s="1">
        <v>0.59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</row>
    <row r="3" spans="1:33" x14ac:dyDescent="0.25">
      <c r="A3" s="1">
        <v>2</v>
      </c>
      <c r="B3" s="1" t="s">
        <v>40</v>
      </c>
      <c r="C3" s="1" t="s">
        <v>41</v>
      </c>
      <c r="D3" s="1" t="s">
        <v>42</v>
      </c>
      <c r="E3" s="1" t="s">
        <v>43</v>
      </c>
      <c r="F3" s="10">
        <v>46161</v>
      </c>
      <c r="G3" s="10">
        <v>46196</v>
      </c>
      <c r="H3" s="11">
        <v>0.5</v>
      </c>
      <c r="L3" s="1" t="s">
        <v>35</v>
      </c>
      <c r="M3" s="1" t="s">
        <v>44</v>
      </c>
      <c r="N3" s="2">
        <v>46164</v>
      </c>
      <c r="P3" s="1" t="s">
        <v>37</v>
      </c>
      <c r="Q3" s="1" t="s">
        <v>45</v>
      </c>
      <c r="R3" s="1" t="s">
        <v>39</v>
      </c>
      <c r="S3" s="2">
        <v>46161</v>
      </c>
      <c r="T3" s="2">
        <v>46164</v>
      </c>
      <c r="V3" s="1">
        <v>0.5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 spans="1:33" x14ac:dyDescent="0.25">
      <c r="A4" s="1">
        <v>3</v>
      </c>
      <c r="B4" s="1" t="s">
        <v>46</v>
      </c>
      <c r="C4" s="1" t="s">
        <v>47</v>
      </c>
      <c r="D4" s="1" t="s">
        <v>48</v>
      </c>
      <c r="E4" s="1" t="s">
        <v>43</v>
      </c>
      <c r="F4" s="10">
        <v>46161</v>
      </c>
      <c r="G4" s="10">
        <v>46196</v>
      </c>
      <c r="H4" s="11">
        <v>0.5</v>
      </c>
      <c r="L4" s="1" t="s">
        <v>35</v>
      </c>
      <c r="M4" s="1" t="s">
        <v>44</v>
      </c>
      <c r="N4" s="2">
        <v>46164</v>
      </c>
      <c r="P4" s="1" t="s">
        <v>49</v>
      </c>
      <c r="Q4" s="1" t="s">
        <v>45</v>
      </c>
      <c r="R4" s="1" t="s">
        <v>39</v>
      </c>
      <c r="S4" s="2">
        <v>46161</v>
      </c>
      <c r="T4" s="2">
        <v>46164</v>
      </c>
      <c r="V4" s="1">
        <v>0.5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 spans="1:33" x14ac:dyDescent="0.25">
      <c r="A5" s="1">
        <v>4</v>
      </c>
      <c r="B5" s="1" t="s">
        <v>50</v>
      </c>
      <c r="C5" s="1" t="s">
        <v>51</v>
      </c>
      <c r="D5" s="1" t="s">
        <v>52</v>
      </c>
      <c r="E5" s="1" t="s">
        <v>53</v>
      </c>
      <c r="F5" s="10">
        <v>46178</v>
      </c>
      <c r="G5" s="10">
        <v>46178</v>
      </c>
      <c r="H5" s="11">
        <v>0</v>
      </c>
      <c r="K5" s="1" t="s">
        <v>54</v>
      </c>
      <c r="L5" s="1" t="s">
        <v>35</v>
      </c>
      <c r="M5" s="1" t="s">
        <v>44</v>
      </c>
      <c r="N5" s="2">
        <v>46161</v>
      </c>
      <c r="P5" s="1" t="s">
        <v>49</v>
      </c>
      <c r="Q5" s="1" t="s">
        <v>38</v>
      </c>
      <c r="R5" s="1" t="s">
        <v>55</v>
      </c>
      <c r="S5" s="2">
        <v>46161</v>
      </c>
      <c r="T5" s="2">
        <v>46161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</row>
    <row r="6" spans="1:33" x14ac:dyDescent="0.25">
      <c r="A6" s="1">
        <v>5</v>
      </c>
      <c r="B6" s="1" t="s">
        <v>56</v>
      </c>
      <c r="C6" s="1" t="s">
        <v>51</v>
      </c>
      <c r="D6" s="1" t="s">
        <v>57</v>
      </c>
      <c r="E6" s="1" t="s">
        <v>53</v>
      </c>
      <c r="F6" s="10">
        <v>46161</v>
      </c>
      <c r="G6" s="10">
        <v>46161</v>
      </c>
      <c r="H6" s="11">
        <v>1</v>
      </c>
      <c r="I6" s="10">
        <v>46161</v>
      </c>
      <c r="K6" s="1" t="s">
        <v>58</v>
      </c>
      <c r="L6" s="1" t="s">
        <v>59</v>
      </c>
      <c r="M6" s="1" t="s">
        <v>44</v>
      </c>
      <c r="N6" s="2">
        <v>46161</v>
      </c>
      <c r="P6" s="1" t="s">
        <v>49</v>
      </c>
      <c r="Q6" s="1" t="s">
        <v>45</v>
      </c>
      <c r="R6" s="1" t="s">
        <v>55</v>
      </c>
      <c r="S6" s="2">
        <v>46161</v>
      </c>
      <c r="T6" s="2">
        <v>46161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pans="1:33" x14ac:dyDescent="0.25">
      <c r="A7" s="1">
        <v>6</v>
      </c>
      <c r="B7" s="1" t="s">
        <v>60</v>
      </c>
      <c r="C7" s="1" t="s">
        <v>51</v>
      </c>
      <c r="D7" s="1" t="s">
        <v>61</v>
      </c>
      <c r="E7" s="1" t="s">
        <v>53</v>
      </c>
      <c r="F7" s="10">
        <v>46164</v>
      </c>
      <c r="G7" s="10">
        <v>46164</v>
      </c>
      <c r="H7" s="11">
        <v>1</v>
      </c>
      <c r="I7" s="10">
        <v>46164</v>
      </c>
      <c r="K7" s="1">
        <v>206</v>
      </c>
      <c r="L7" s="1" t="s">
        <v>59</v>
      </c>
      <c r="M7" s="1" t="s">
        <v>62</v>
      </c>
      <c r="N7" s="2">
        <v>46164</v>
      </c>
      <c r="P7" s="1" t="s">
        <v>49</v>
      </c>
      <c r="Q7" s="1" t="s">
        <v>45</v>
      </c>
      <c r="R7" s="1" t="s">
        <v>55</v>
      </c>
      <c r="S7" s="2">
        <v>46164</v>
      </c>
      <c r="T7" s="2">
        <v>46164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 spans="1:33" x14ac:dyDescent="0.25">
      <c r="A8" s="1">
        <v>7</v>
      </c>
      <c r="B8" s="1" t="s">
        <v>63</v>
      </c>
      <c r="C8" s="1" t="s">
        <v>51</v>
      </c>
      <c r="D8" s="1" t="s">
        <v>64</v>
      </c>
      <c r="E8" s="1" t="s">
        <v>53</v>
      </c>
      <c r="F8" s="10">
        <v>46178</v>
      </c>
      <c r="G8" s="10">
        <v>46178</v>
      </c>
      <c r="H8" s="11">
        <v>1</v>
      </c>
      <c r="I8" s="10">
        <v>46178</v>
      </c>
      <c r="K8" s="1">
        <v>408</v>
      </c>
      <c r="L8" s="1" t="s">
        <v>59</v>
      </c>
      <c r="M8" s="1" t="s">
        <v>62</v>
      </c>
      <c r="N8" s="2">
        <v>46164</v>
      </c>
      <c r="P8" s="1" t="s">
        <v>49</v>
      </c>
      <c r="Q8" s="1" t="s">
        <v>65</v>
      </c>
      <c r="R8" s="1" t="s">
        <v>55</v>
      </c>
      <c r="S8" s="2">
        <v>46164</v>
      </c>
      <c r="T8" s="2">
        <v>46164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</row>
    <row r="9" spans="1:33" x14ac:dyDescent="0.25">
      <c r="A9" s="1">
        <v>8</v>
      </c>
      <c r="B9" s="1" t="s">
        <v>66</v>
      </c>
      <c r="C9" s="1" t="s">
        <v>51</v>
      </c>
      <c r="D9" s="1" t="s">
        <v>67</v>
      </c>
      <c r="E9" s="1" t="s">
        <v>53</v>
      </c>
      <c r="F9" s="10">
        <v>46178</v>
      </c>
      <c r="G9" s="10">
        <v>46178</v>
      </c>
      <c r="H9" s="11">
        <v>0</v>
      </c>
      <c r="K9" s="1">
        <v>473</v>
      </c>
      <c r="L9" s="1" t="s">
        <v>35</v>
      </c>
      <c r="M9" s="1" t="s">
        <v>62</v>
      </c>
      <c r="N9" s="2">
        <v>46164</v>
      </c>
      <c r="P9" s="1" t="s">
        <v>49</v>
      </c>
      <c r="Q9" s="1" t="s">
        <v>65</v>
      </c>
      <c r="R9" s="1" t="s">
        <v>55</v>
      </c>
      <c r="S9" s="2">
        <v>46164</v>
      </c>
      <c r="T9" s="2">
        <v>46164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</row>
    <row r="10" spans="1:33" x14ac:dyDescent="0.25">
      <c r="A10" s="1">
        <v>9</v>
      </c>
      <c r="B10" s="1" t="s">
        <v>68</v>
      </c>
      <c r="C10" s="1" t="s">
        <v>51</v>
      </c>
      <c r="D10" s="1" t="s">
        <v>69</v>
      </c>
      <c r="E10" s="1" t="s">
        <v>53</v>
      </c>
      <c r="F10" s="10">
        <v>46196</v>
      </c>
      <c r="G10" s="10">
        <v>46196</v>
      </c>
      <c r="H10" s="11">
        <v>0</v>
      </c>
      <c r="K10" s="1">
        <v>327</v>
      </c>
      <c r="L10" s="1" t="s">
        <v>35</v>
      </c>
      <c r="M10" s="1" t="s">
        <v>62</v>
      </c>
      <c r="N10" s="2">
        <v>46164</v>
      </c>
      <c r="P10" s="1" t="s">
        <v>49</v>
      </c>
      <c r="Q10" s="1" t="s">
        <v>38</v>
      </c>
      <c r="R10" s="1" t="s">
        <v>55</v>
      </c>
      <c r="S10" s="2">
        <v>46164</v>
      </c>
      <c r="T10" s="2">
        <v>46164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</row>
    <row r="11" spans="1:33" x14ac:dyDescent="0.25">
      <c r="A11" s="1">
        <v>10</v>
      </c>
      <c r="B11" s="1" t="s">
        <v>70</v>
      </c>
      <c r="C11" s="1" t="s">
        <v>41</v>
      </c>
      <c r="D11" s="1" t="s">
        <v>71</v>
      </c>
      <c r="E11" s="1" t="s">
        <v>34</v>
      </c>
      <c r="F11" s="10">
        <v>46139</v>
      </c>
      <c r="G11" s="10">
        <v>46227</v>
      </c>
      <c r="H11" s="11">
        <v>0.59</v>
      </c>
      <c r="L11" s="1" t="s">
        <v>35</v>
      </c>
      <c r="M11" s="1" t="s">
        <v>36</v>
      </c>
      <c r="N11" s="2">
        <v>46211</v>
      </c>
      <c r="P11" s="1" t="s">
        <v>37</v>
      </c>
      <c r="Q11" s="1" t="s">
        <v>38</v>
      </c>
      <c r="R11" s="1" t="s">
        <v>39</v>
      </c>
      <c r="S11" s="2">
        <v>46139</v>
      </c>
      <c r="T11" s="2">
        <v>46211</v>
      </c>
      <c r="V11" s="1">
        <v>0.59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 spans="1:33" x14ac:dyDescent="0.25">
      <c r="A12" s="1">
        <v>11</v>
      </c>
      <c r="B12" s="1" t="s">
        <v>72</v>
      </c>
      <c r="C12" s="1" t="s">
        <v>73</v>
      </c>
      <c r="D12" s="1" t="s">
        <v>74</v>
      </c>
      <c r="E12" s="1" t="s">
        <v>75</v>
      </c>
      <c r="F12" s="10">
        <v>46139</v>
      </c>
      <c r="G12" s="10">
        <v>46139</v>
      </c>
      <c r="H12" s="11">
        <v>1</v>
      </c>
      <c r="I12" s="10">
        <v>46139</v>
      </c>
      <c r="K12" s="1" t="s">
        <v>76</v>
      </c>
      <c r="L12" s="1" t="s">
        <v>59</v>
      </c>
      <c r="M12" s="1" t="s">
        <v>36</v>
      </c>
      <c r="N12" s="2">
        <v>46139</v>
      </c>
      <c r="P12" s="1" t="s">
        <v>37</v>
      </c>
      <c r="Q12" s="1" t="s">
        <v>38</v>
      </c>
      <c r="R12" s="1" t="s">
        <v>55</v>
      </c>
      <c r="S12" s="2">
        <v>46139</v>
      </c>
      <c r="T12" s="2">
        <v>46139</v>
      </c>
      <c r="V12" s="1">
        <v>1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 spans="1:33" x14ac:dyDescent="0.25">
      <c r="A13" s="1">
        <v>12</v>
      </c>
      <c r="B13" s="1" t="s">
        <v>77</v>
      </c>
      <c r="C13" s="1" t="s">
        <v>73</v>
      </c>
      <c r="D13" s="1" t="s">
        <v>78</v>
      </c>
      <c r="E13" s="1" t="s">
        <v>79</v>
      </c>
      <c r="F13" s="10">
        <v>46141</v>
      </c>
      <c r="G13" s="10">
        <v>46141</v>
      </c>
      <c r="H13" s="11">
        <v>1</v>
      </c>
      <c r="I13" s="10">
        <v>46141</v>
      </c>
      <c r="L13" s="1" t="s">
        <v>59</v>
      </c>
      <c r="M13" s="1" t="s">
        <v>80</v>
      </c>
      <c r="N13" s="2">
        <v>46141</v>
      </c>
      <c r="P13" s="1" t="s">
        <v>81</v>
      </c>
      <c r="Q13" s="1" t="s">
        <v>38</v>
      </c>
      <c r="R13" s="1" t="s">
        <v>55</v>
      </c>
      <c r="S13" s="2">
        <v>46141</v>
      </c>
      <c r="T13" s="2">
        <v>46141</v>
      </c>
      <c r="V13" s="1">
        <v>1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</row>
    <row r="14" spans="1:33" x14ac:dyDescent="0.25">
      <c r="A14" s="1">
        <v>13</v>
      </c>
      <c r="B14" s="1" t="s">
        <v>82</v>
      </c>
      <c r="C14" s="1" t="s">
        <v>83</v>
      </c>
      <c r="D14" s="1" t="s">
        <v>84</v>
      </c>
      <c r="E14" s="1" t="s">
        <v>75</v>
      </c>
      <c r="F14" s="10">
        <v>46141</v>
      </c>
      <c r="G14" s="10">
        <v>46141</v>
      </c>
      <c r="H14" s="11">
        <v>1</v>
      </c>
      <c r="I14" s="10">
        <v>46141</v>
      </c>
      <c r="L14" s="1" t="s">
        <v>59</v>
      </c>
      <c r="M14" s="1" t="s">
        <v>80</v>
      </c>
      <c r="N14" s="2">
        <v>46141</v>
      </c>
      <c r="P14" s="1" t="s">
        <v>81</v>
      </c>
      <c r="Q14" s="1" t="s">
        <v>38</v>
      </c>
      <c r="R14" s="1" t="s">
        <v>55</v>
      </c>
      <c r="S14" s="2">
        <v>46141</v>
      </c>
      <c r="T14" s="2">
        <v>46141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</row>
    <row r="15" spans="1:33" x14ac:dyDescent="0.25">
      <c r="A15" s="1">
        <v>14</v>
      </c>
      <c r="B15" s="1" t="s">
        <v>85</v>
      </c>
      <c r="C15" s="1" t="s">
        <v>73</v>
      </c>
      <c r="D15" s="1" t="s">
        <v>86</v>
      </c>
      <c r="E15" s="1" t="s">
        <v>87</v>
      </c>
      <c r="F15" s="10">
        <v>46139</v>
      </c>
      <c r="G15" s="10">
        <v>46174</v>
      </c>
      <c r="H15" s="11">
        <v>1</v>
      </c>
      <c r="I15" s="10">
        <v>46174</v>
      </c>
      <c r="L15" s="1" t="s">
        <v>59</v>
      </c>
      <c r="M15" s="1" t="s">
        <v>36</v>
      </c>
      <c r="N15" s="2">
        <v>46161</v>
      </c>
      <c r="P15" s="1" t="s">
        <v>88</v>
      </c>
      <c r="Q15" s="1" t="s">
        <v>38</v>
      </c>
      <c r="R15" s="1" t="s">
        <v>55</v>
      </c>
      <c r="S15" s="2">
        <v>46139</v>
      </c>
      <c r="T15" s="2">
        <v>46161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</row>
    <row r="16" spans="1:33" x14ac:dyDescent="0.25">
      <c r="A16" s="1">
        <v>15</v>
      </c>
      <c r="B16" s="1" t="s">
        <v>89</v>
      </c>
      <c r="C16" s="1" t="s">
        <v>90</v>
      </c>
      <c r="D16" s="1" t="s">
        <v>91</v>
      </c>
      <c r="E16" s="1" t="s">
        <v>43</v>
      </c>
      <c r="F16" s="10">
        <v>46139</v>
      </c>
      <c r="G16" s="10">
        <v>46170</v>
      </c>
      <c r="H16" s="11">
        <v>1</v>
      </c>
      <c r="I16" s="10">
        <v>46170</v>
      </c>
      <c r="L16" s="1" t="s">
        <v>59</v>
      </c>
      <c r="M16" s="1" t="s">
        <v>36</v>
      </c>
      <c r="N16" s="2">
        <v>46161</v>
      </c>
      <c r="P16" s="1" t="s">
        <v>88</v>
      </c>
      <c r="Q16" s="1" t="s">
        <v>38</v>
      </c>
      <c r="R16" s="1" t="s">
        <v>55</v>
      </c>
      <c r="S16" s="2">
        <v>46139</v>
      </c>
      <c r="T16" s="2">
        <v>46161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 spans="1:33" x14ac:dyDescent="0.25">
      <c r="A17" s="1">
        <v>16</v>
      </c>
      <c r="B17" s="1" t="s">
        <v>92</v>
      </c>
      <c r="C17" s="1" t="s">
        <v>93</v>
      </c>
      <c r="D17" s="1" t="s">
        <v>94</v>
      </c>
      <c r="E17" s="1" t="s">
        <v>95</v>
      </c>
      <c r="F17" s="10">
        <v>46139</v>
      </c>
      <c r="G17" s="10">
        <v>46141</v>
      </c>
      <c r="H17" s="11">
        <v>1</v>
      </c>
      <c r="I17" s="10">
        <v>46141</v>
      </c>
      <c r="J17" s="1">
        <v>11</v>
      </c>
      <c r="K17" s="1" t="s">
        <v>96</v>
      </c>
      <c r="L17" s="1" t="s">
        <v>59</v>
      </c>
      <c r="M17" s="1" t="s">
        <v>36</v>
      </c>
      <c r="N17" s="2">
        <v>46141</v>
      </c>
      <c r="P17" s="1" t="s">
        <v>88</v>
      </c>
      <c r="Q17" s="1" t="s">
        <v>38</v>
      </c>
      <c r="R17" s="1" t="s">
        <v>55</v>
      </c>
      <c r="S17" s="2">
        <v>46139</v>
      </c>
      <c r="T17" s="2">
        <v>46141</v>
      </c>
      <c r="V17" s="1">
        <v>1</v>
      </c>
      <c r="W17" s="1">
        <v>1</v>
      </c>
      <c r="X17" s="1">
        <v>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</row>
    <row r="18" spans="1:33" x14ac:dyDescent="0.25">
      <c r="A18" s="1">
        <v>17</v>
      </c>
      <c r="B18" s="1" t="s">
        <v>97</v>
      </c>
      <c r="C18" s="1" t="s">
        <v>93</v>
      </c>
      <c r="D18" s="1" t="s">
        <v>98</v>
      </c>
      <c r="E18" s="1" t="s">
        <v>53</v>
      </c>
      <c r="F18" s="10">
        <v>46142</v>
      </c>
      <c r="G18" s="10">
        <v>46142</v>
      </c>
      <c r="H18" s="11">
        <v>1</v>
      </c>
      <c r="I18" s="10">
        <v>46142</v>
      </c>
      <c r="J18" s="1">
        <v>16</v>
      </c>
      <c r="K18" s="1" t="s">
        <v>99</v>
      </c>
      <c r="L18" s="1" t="s">
        <v>59</v>
      </c>
      <c r="M18" s="1" t="s">
        <v>100</v>
      </c>
      <c r="N18" s="2">
        <v>46142</v>
      </c>
      <c r="P18" s="1" t="s">
        <v>88</v>
      </c>
      <c r="Q18" s="1" t="s">
        <v>38</v>
      </c>
      <c r="R18" s="1" t="s">
        <v>55</v>
      </c>
      <c r="S18" s="2">
        <v>46142</v>
      </c>
      <c r="T18" s="2">
        <v>46142</v>
      </c>
      <c r="V18" s="1">
        <v>1</v>
      </c>
      <c r="W18" s="1">
        <v>0</v>
      </c>
      <c r="X18" s="1">
        <v>0</v>
      </c>
      <c r="Y18" s="1">
        <v>0</v>
      </c>
      <c r="Z18" s="1">
        <v>0</v>
      </c>
      <c r="AA18" s="1">
        <v>1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</row>
    <row r="19" spans="1:33" x14ac:dyDescent="0.25">
      <c r="A19" s="1">
        <v>18</v>
      </c>
      <c r="B19" s="1" t="s">
        <v>101</v>
      </c>
      <c r="C19" s="1" t="s">
        <v>93</v>
      </c>
      <c r="D19" s="1" t="s">
        <v>102</v>
      </c>
      <c r="E19" s="1" t="s">
        <v>103</v>
      </c>
      <c r="F19" s="10">
        <v>46148</v>
      </c>
      <c r="G19" s="10">
        <v>46155</v>
      </c>
      <c r="H19" s="11">
        <v>1</v>
      </c>
      <c r="I19" s="10">
        <v>46155</v>
      </c>
      <c r="J19" s="1" t="s">
        <v>104</v>
      </c>
      <c r="K19" s="1" t="s">
        <v>105</v>
      </c>
      <c r="L19" s="1" t="s">
        <v>59</v>
      </c>
      <c r="M19" s="1" t="s">
        <v>106</v>
      </c>
      <c r="N19" s="2">
        <v>46155</v>
      </c>
      <c r="P19" s="1" t="s">
        <v>88</v>
      </c>
      <c r="Q19" s="1" t="s">
        <v>38</v>
      </c>
      <c r="R19" s="1" t="s">
        <v>55</v>
      </c>
      <c r="S19" s="2">
        <v>46148</v>
      </c>
      <c r="T19" s="2">
        <v>46155</v>
      </c>
      <c r="V19" s="1">
        <v>1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1</v>
      </c>
      <c r="AD19" s="1">
        <v>0</v>
      </c>
      <c r="AE19" s="1">
        <v>0</v>
      </c>
      <c r="AF19" s="1">
        <v>0</v>
      </c>
      <c r="AG19" s="1">
        <v>0</v>
      </c>
    </row>
    <row r="20" spans="1:33" x14ac:dyDescent="0.25">
      <c r="A20" s="1">
        <v>19</v>
      </c>
      <c r="B20" s="1" t="s">
        <v>107</v>
      </c>
      <c r="C20" s="1" t="s">
        <v>93</v>
      </c>
      <c r="D20" s="1" t="s">
        <v>108</v>
      </c>
      <c r="E20" s="1" t="s">
        <v>53</v>
      </c>
      <c r="F20" s="10">
        <v>46170</v>
      </c>
      <c r="G20" s="10">
        <v>46170</v>
      </c>
      <c r="H20" s="11">
        <v>1</v>
      </c>
      <c r="I20" s="10">
        <v>46170</v>
      </c>
      <c r="J20" s="1" t="s">
        <v>109</v>
      </c>
      <c r="L20" s="1" t="s">
        <v>59</v>
      </c>
      <c r="M20" s="1" t="s">
        <v>44</v>
      </c>
      <c r="N20" s="2">
        <v>46161</v>
      </c>
      <c r="P20" s="1" t="s">
        <v>88</v>
      </c>
      <c r="Q20" s="1" t="s">
        <v>110</v>
      </c>
      <c r="R20" s="1" t="s">
        <v>55</v>
      </c>
      <c r="S20" s="2">
        <v>46161</v>
      </c>
      <c r="T20" s="2">
        <v>46161</v>
      </c>
      <c r="V20" s="1">
        <v>1</v>
      </c>
      <c r="W20" s="1">
        <v>0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</row>
    <row r="21" spans="1:33" x14ac:dyDescent="0.25">
      <c r="A21" s="1">
        <v>20</v>
      </c>
      <c r="B21" s="1" t="s">
        <v>111</v>
      </c>
      <c r="C21" s="1" t="s">
        <v>90</v>
      </c>
      <c r="D21" s="1" t="s">
        <v>112</v>
      </c>
      <c r="E21" s="1" t="s">
        <v>113</v>
      </c>
      <c r="F21" s="10">
        <v>46142</v>
      </c>
      <c r="G21" s="10">
        <v>46174</v>
      </c>
      <c r="H21" s="11">
        <v>1</v>
      </c>
      <c r="I21" s="10">
        <v>46174</v>
      </c>
      <c r="L21" s="1" t="s">
        <v>59</v>
      </c>
      <c r="M21" s="1" t="s">
        <v>100</v>
      </c>
      <c r="N21" s="2">
        <v>46161</v>
      </c>
      <c r="P21" s="1" t="s">
        <v>88</v>
      </c>
      <c r="Q21" s="1" t="s">
        <v>38</v>
      </c>
      <c r="R21" s="1" t="s">
        <v>55</v>
      </c>
      <c r="S21" s="2">
        <v>46142</v>
      </c>
      <c r="T21" s="2">
        <v>46161</v>
      </c>
      <c r="V21" s="1">
        <v>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</row>
    <row r="22" spans="1:33" x14ac:dyDescent="0.25">
      <c r="A22" s="1">
        <v>21</v>
      </c>
      <c r="B22" s="1" t="s">
        <v>114</v>
      </c>
      <c r="C22" s="1" t="s">
        <v>115</v>
      </c>
      <c r="D22" s="1" t="s">
        <v>94</v>
      </c>
      <c r="E22" s="1" t="s">
        <v>95</v>
      </c>
      <c r="F22" s="10">
        <v>46142</v>
      </c>
      <c r="G22" s="10">
        <v>46146</v>
      </c>
      <c r="H22" s="11">
        <v>1</v>
      </c>
      <c r="I22" s="10">
        <v>46146</v>
      </c>
      <c r="J22" s="1">
        <v>16</v>
      </c>
      <c r="K22" s="1" t="s">
        <v>116</v>
      </c>
      <c r="L22" s="1" t="s">
        <v>59</v>
      </c>
      <c r="M22" s="1" t="s">
        <v>100</v>
      </c>
      <c r="N22" s="2">
        <v>46146</v>
      </c>
      <c r="P22" s="1" t="s">
        <v>88</v>
      </c>
      <c r="Q22" s="1" t="s">
        <v>38</v>
      </c>
      <c r="R22" s="1" t="s">
        <v>55</v>
      </c>
      <c r="S22" s="2">
        <v>46142</v>
      </c>
      <c r="T22" s="2">
        <v>46146</v>
      </c>
      <c r="V22" s="1">
        <v>1</v>
      </c>
      <c r="W22" s="1">
        <v>1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</row>
    <row r="23" spans="1:33" x14ac:dyDescent="0.25">
      <c r="A23" s="1">
        <v>22</v>
      </c>
      <c r="B23" s="1" t="s">
        <v>117</v>
      </c>
      <c r="C23" s="1" t="s">
        <v>115</v>
      </c>
      <c r="D23" s="1" t="s">
        <v>98</v>
      </c>
      <c r="E23" s="1" t="s">
        <v>53</v>
      </c>
      <c r="F23" s="10">
        <v>46147</v>
      </c>
      <c r="G23" s="10">
        <v>46147</v>
      </c>
      <c r="H23" s="11">
        <v>1</v>
      </c>
      <c r="I23" s="10">
        <v>46147</v>
      </c>
      <c r="J23" s="1">
        <v>21</v>
      </c>
      <c r="K23" s="1" t="s">
        <v>118</v>
      </c>
      <c r="L23" s="1" t="s">
        <v>59</v>
      </c>
      <c r="M23" s="1" t="s">
        <v>119</v>
      </c>
      <c r="N23" s="2">
        <v>46147</v>
      </c>
      <c r="P23" s="1" t="s">
        <v>88</v>
      </c>
      <c r="Q23" s="1" t="s">
        <v>38</v>
      </c>
      <c r="R23" s="1" t="s">
        <v>55</v>
      </c>
      <c r="S23" s="2">
        <v>46147</v>
      </c>
      <c r="T23" s="2">
        <v>46147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1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25">
      <c r="A24" s="1">
        <v>23</v>
      </c>
      <c r="B24" s="1" t="s">
        <v>120</v>
      </c>
      <c r="C24" s="1" t="s">
        <v>115</v>
      </c>
      <c r="D24" s="1" t="s">
        <v>102</v>
      </c>
      <c r="E24" s="1" t="s">
        <v>121</v>
      </c>
      <c r="F24" s="10">
        <v>46155</v>
      </c>
      <c r="G24" s="10">
        <v>46160</v>
      </c>
      <c r="H24" s="11">
        <v>1</v>
      </c>
      <c r="I24" s="10">
        <v>46160</v>
      </c>
      <c r="J24" s="1" t="s">
        <v>122</v>
      </c>
      <c r="K24" s="1" t="s">
        <v>123</v>
      </c>
      <c r="L24" s="1" t="s">
        <v>59</v>
      </c>
      <c r="M24" s="1" t="s">
        <v>124</v>
      </c>
      <c r="N24" s="2">
        <v>46160</v>
      </c>
      <c r="P24" s="1" t="s">
        <v>88</v>
      </c>
      <c r="Q24" s="1" t="s">
        <v>125</v>
      </c>
      <c r="R24" s="1" t="s">
        <v>55</v>
      </c>
      <c r="S24" s="2">
        <v>46155</v>
      </c>
      <c r="T24" s="2">
        <v>46160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0</v>
      </c>
      <c r="AE24" s="1">
        <v>0</v>
      </c>
      <c r="AF24" s="1">
        <v>0</v>
      </c>
      <c r="AG24" s="1">
        <v>0</v>
      </c>
    </row>
    <row r="25" spans="1:33" x14ac:dyDescent="0.25">
      <c r="A25" s="1">
        <v>24</v>
      </c>
      <c r="B25" s="1" t="s">
        <v>126</v>
      </c>
      <c r="C25" s="1" t="s">
        <v>115</v>
      </c>
      <c r="D25" s="1" t="s">
        <v>108</v>
      </c>
      <c r="E25" s="1" t="s">
        <v>53</v>
      </c>
      <c r="F25" s="10">
        <v>46171</v>
      </c>
      <c r="G25" s="10">
        <v>46174</v>
      </c>
      <c r="H25" s="11">
        <v>1</v>
      </c>
      <c r="I25" s="10">
        <v>46174</v>
      </c>
      <c r="J25" s="1" t="s">
        <v>127</v>
      </c>
      <c r="L25" s="1" t="s">
        <v>59</v>
      </c>
      <c r="M25" s="1" t="s">
        <v>128</v>
      </c>
      <c r="N25" s="2">
        <v>46161</v>
      </c>
      <c r="P25" s="1" t="s">
        <v>88</v>
      </c>
      <c r="Q25" s="1" t="s">
        <v>110</v>
      </c>
      <c r="R25" s="1" t="s">
        <v>55</v>
      </c>
      <c r="S25" s="2">
        <v>46160</v>
      </c>
      <c r="T25" s="2">
        <v>46161</v>
      </c>
      <c r="V25" s="1">
        <v>1</v>
      </c>
      <c r="W25" s="1">
        <v>0</v>
      </c>
      <c r="X25" s="1">
        <v>0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</row>
    <row r="26" spans="1:33" x14ac:dyDescent="0.25">
      <c r="A26" s="1">
        <v>51</v>
      </c>
      <c r="B26" s="1" t="s">
        <v>129</v>
      </c>
      <c r="C26" s="1" t="s">
        <v>73</v>
      </c>
      <c r="D26" s="1" t="s">
        <v>130</v>
      </c>
      <c r="E26" s="1" t="s">
        <v>131</v>
      </c>
      <c r="F26" s="10">
        <v>46191</v>
      </c>
      <c r="G26" s="10">
        <v>46216</v>
      </c>
      <c r="H26" s="11">
        <v>0.6</v>
      </c>
      <c r="L26" s="1" t="s">
        <v>35</v>
      </c>
      <c r="M26" s="1" t="s">
        <v>44</v>
      </c>
      <c r="N26" s="2">
        <v>46198</v>
      </c>
      <c r="P26" s="1" t="s">
        <v>132</v>
      </c>
      <c r="Q26" s="1" t="s">
        <v>133</v>
      </c>
      <c r="R26" s="1" t="s">
        <v>55</v>
      </c>
      <c r="S26" s="2">
        <v>46161</v>
      </c>
      <c r="T26" s="2">
        <v>46198</v>
      </c>
      <c r="V26" s="1">
        <v>0.6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</row>
    <row r="27" spans="1:33" x14ac:dyDescent="0.25">
      <c r="A27" s="1">
        <v>62</v>
      </c>
      <c r="B27" s="1" t="s">
        <v>134</v>
      </c>
      <c r="C27" s="1" t="s">
        <v>135</v>
      </c>
      <c r="D27" s="1" t="s">
        <v>136</v>
      </c>
      <c r="E27" s="1" t="s">
        <v>131</v>
      </c>
      <c r="F27" s="10">
        <v>46191</v>
      </c>
      <c r="G27" s="10">
        <v>46216</v>
      </c>
      <c r="H27" s="11">
        <v>0.6</v>
      </c>
      <c r="L27" s="1" t="s">
        <v>35</v>
      </c>
      <c r="M27" s="1" t="s">
        <v>44</v>
      </c>
      <c r="N27" s="2">
        <v>46167</v>
      </c>
      <c r="P27" s="1" t="s">
        <v>132</v>
      </c>
      <c r="Q27" s="1" t="s">
        <v>133</v>
      </c>
      <c r="R27" s="1" t="s">
        <v>55</v>
      </c>
      <c r="S27" s="2">
        <v>46161</v>
      </c>
      <c r="T27" s="2">
        <v>46167</v>
      </c>
      <c r="V27" s="1">
        <v>0.6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25">
      <c r="A28" s="1">
        <v>63</v>
      </c>
      <c r="B28" s="1" t="s">
        <v>137</v>
      </c>
      <c r="C28" s="1" t="s">
        <v>138</v>
      </c>
      <c r="D28" s="1" t="s">
        <v>94</v>
      </c>
      <c r="E28" s="1" t="s">
        <v>53</v>
      </c>
      <c r="F28" s="10">
        <v>46191</v>
      </c>
      <c r="G28" s="10">
        <v>46191</v>
      </c>
      <c r="H28" s="11">
        <v>1</v>
      </c>
      <c r="I28" s="10">
        <v>46191</v>
      </c>
      <c r="J28" s="1" t="s">
        <v>139</v>
      </c>
      <c r="K28" s="1" t="s">
        <v>140</v>
      </c>
      <c r="L28" s="1" t="s">
        <v>59</v>
      </c>
      <c r="M28" s="1" t="s">
        <v>44</v>
      </c>
      <c r="N28" s="2">
        <v>46161</v>
      </c>
      <c r="P28" s="1" t="s">
        <v>132</v>
      </c>
      <c r="Q28" s="1" t="s">
        <v>133</v>
      </c>
      <c r="R28" s="1" t="s">
        <v>55</v>
      </c>
      <c r="S28" s="2">
        <v>46161</v>
      </c>
      <c r="T28" s="2">
        <v>46161</v>
      </c>
      <c r="V28" s="1">
        <v>1</v>
      </c>
      <c r="W28" s="1">
        <v>1</v>
      </c>
      <c r="X28" s="1">
        <v>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1</v>
      </c>
    </row>
    <row r="29" spans="1:33" x14ac:dyDescent="0.25">
      <c r="A29" s="1">
        <v>64</v>
      </c>
      <c r="B29" s="1" t="s">
        <v>141</v>
      </c>
      <c r="C29" s="1" t="s">
        <v>138</v>
      </c>
      <c r="D29" s="1" t="s">
        <v>98</v>
      </c>
      <c r="E29" s="1" t="s">
        <v>53</v>
      </c>
      <c r="F29" s="10">
        <v>46192</v>
      </c>
      <c r="G29" s="10">
        <v>46192</v>
      </c>
      <c r="H29" s="11">
        <v>1</v>
      </c>
      <c r="I29" s="10">
        <v>46192</v>
      </c>
      <c r="J29" s="1">
        <v>63</v>
      </c>
      <c r="K29" s="1">
        <v>65</v>
      </c>
      <c r="L29" s="1" t="s">
        <v>59</v>
      </c>
      <c r="M29" s="1" t="s">
        <v>142</v>
      </c>
      <c r="N29" s="2">
        <v>46162</v>
      </c>
      <c r="P29" s="1" t="s">
        <v>132</v>
      </c>
      <c r="Q29" s="1" t="s">
        <v>133</v>
      </c>
      <c r="R29" s="1" t="s">
        <v>55</v>
      </c>
      <c r="S29" s="2">
        <v>46162</v>
      </c>
      <c r="T29" s="2">
        <v>46162</v>
      </c>
      <c r="V29" s="1">
        <v>1</v>
      </c>
      <c r="W29" s="1">
        <v>0</v>
      </c>
      <c r="X29" s="1">
        <v>0</v>
      </c>
      <c r="Y29" s="1">
        <v>0</v>
      </c>
      <c r="Z29" s="1">
        <v>0</v>
      </c>
      <c r="AA29" s="1">
        <v>1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x14ac:dyDescent="0.25">
      <c r="A30" s="1">
        <v>65</v>
      </c>
      <c r="B30" s="1" t="s">
        <v>143</v>
      </c>
      <c r="C30" s="1" t="s">
        <v>138</v>
      </c>
      <c r="D30" s="1" t="s">
        <v>102</v>
      </c>
      <c r="E30" s="1" t="s">
        <v>121</v>
      </c>
      <c r="F30" s="10">
        <v>46203</v>
      </c>
      <c r="G30" s="10">
        <v>46204</v>
      </c>
      <c r="H30" s="11">
        <v>0.5</v>
      </c>
      <c r="J30" s="1">
        <v>64</v>
      </c>
      <c r="K30" s="1" t="s">
        <v>144</v>
      </c>
      <c r="L30" s="1" t="s">
        <v>35</v>
      </c>
      <c r="M30" s="1" t="s">
        <v>145</v>
      </c>
      <c r="N30" s="2">
        <v>46164</v>
      </c>
      <c r="P30" s="1" t="s">
        <v>132</v>
      </c>
      <c r="Q30" s="1" t="s">
        <v>146</v>
      </c>
      <c r="R30" s="1" t="s">
        <v>55</v>
      </c>
      <c r="S30" s="2">
        <v>46163</v>
      </c>
      <c r="T30" s="2">
        <v>46164</v>
      </c>
      <c r="V30" s="1">
        <v>0.5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</v>
      </c>
      <c r="AE30" s="1">
        <v>0</v>
      </c>
      <c r="AF30" s="1">
        <v>0</v>
      </c>
      <c r="AG30" s="1">
        <v>0</v>
      </c>
    </row>
    <row r="31" spans="1:33" x14ac:dyDescent="0.25">
      <c r="A31" s="1">
        <v>66</v>
      </c>
      <c r="B31" s="1" t="s">
        <v>147</v>
      </c>
      <c r="C31" s="1" t="s">
        <v>138</v>
      </c>
      <c r="D31" s="1" t="s">
        <v>108</v>
      </c>
      <c r="E31" s="1" t="s">
        <v>53</v>
      </c>
      <c r="F31" s="10">
        <v>46216</v>
      </c>
      <c r="G31" s="10">
        <v>46216</v>
      </c>
      <c r="H31" s="11">
        <v>0</v>
      </c>
      <c r="J31" s="1" t="s">
        <v>148</v>
      </c>
      <c r="L31" s="1" t="s">
        <v>149</v>
      </c>
      <c r="M31" s="1" t="s">
        <v>150</v>
      </c>
      <c r="N31" s="2">
        <v>46167</v>
      </c>
      <c r="P31" s="1" t="s">
        <v>132</v>
      </c>
      <c r="Q31" s="1" t="s">
        <v>151</v>
      </c>
      <c r="R31" s="1" t="s">
        <v>55</v>
      </c>
      <c r="S31" s="2">
        <v>46167</v>
      </c>
      <c r="T31" s="2">
        <v>46167</v>
      </c>
      <c r="V31" s="1">
        <v>0</v>
      </c>
      <c r="W31" s="1">
        <v>0</v>
      </c>
      <c r="X31" s="1">
        <v>0</v>
      </c>
      <c r="Y31" s="1">
        <v>0</v>
      </c>
      <c r="Z31" s="1">
        <v>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</row>
    <row r="32" spans="1:33" x14ac:dyDescent="0.25">
      <c r="A32" s="1">
        <v>67</v>
      </c>
      <c r="B32" s="1" t="s">
        <v>152</v>
      </c>
      <c r="C32" s="1" t="s">
        <v>73</v>
      </c>
      <c r="D32" s="1" t="s">
        <v>153</v>
      </c>
      <c r="E32" s="1" t="s">
        <v>154</v>
      </c>
      <c r="F32" s="10">
        <v>46157</v>
      </c>
      <c r="G32" s="10">
        <v>46224</v>
      </c>
      <c r="H32" s="11">
        <v>0.51</v>
      </c>
      <c r="L32" s="1" t="s">
        <v>35</v>
      </c>
      <c r="M32" s="1" t="s">
        <v>44</v>
      </c>
      <c r="N32" s="2">
        <v>46211</v>
      </c>
      <c r="P32" s="1" t="s">
        <v>155</v>
      </c>
      <c r="Q32" s="1" t="s">
        <v>125</v>
      </c>
      <c r="R32" s="1" t="s">
        <v>55</v>
      </c>
      <c r="S32" s="2">
        <v>46161</v>
      </c>
      <c r="T32" s="2">
        <v>46211</v>
      </c>
      <c r="V32" s="1">
        <v>0.51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25">
      <c r="A33" s="1">
        <v>78</v>
      </c>
      <c r="B33" s="1" t="s">
        <v>156</v>
      </c>
      <c r="C33" s="1" t="s">
        <v>157</v>
      </c>
      <c r="D33" s="1" t="s">
        <v>158</v>
      </c>
      <c r="E33" s="1" t="s">
        <v>159</v>
      </c>
      <c r="F33" s="10">
        <v>46171</v>
      </c>
      <c r="G33" s="10">
        <v>46192</v>
      </c>
      <c r="H33" s="11">
        <v>1</v>
      </c>
      <c r="I33" s="10">
        <v>46192</v>
      </c>
      <c r="L33" s="1" t="s">
        <v>59</v>
      </c>
      <c r="M33" s="1" t="s">
        <v>44</v>
      </c>
      <c r="N33" s="2">
        <v>46168</v>
      </c>
      <c r="P33" s="1" t="s">
        <v>155</v>
      </c>
      <c r="Q33" s="1" t="s">
        <v>110</v>
      </c>
      <c r="R33" s="1" t="s">
        <v>55</v>
      </c>
      <c r="S33" s="2">
        <v>46161</v>
      </c>
      <c r="T33" s="2">
        <v>46168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25">
      <c r="A34" s="1">
        <v>79</v>
      </c>
      <c r="B34" s="1" t="s">
        <v>160</v>
      </c>
      <c r="C34" s="1" t="s">
        <v>161</v>
      </c>
      <c r="D34" s="1" t="s">
        <v>94</v>
      </c>
      <c r="E34" s="1" t="s">
        <v>121</v>
      </c>
      <c r="F34" s="10">
        <v>46171</v>
      </c>
      <c r="G34" s="10">
        <v>46174</v>
      </c>
      <c r="H34" s="11">
        <v>1</v>
      </c>
      <c r="I34" s="10">
        <v>46174</v>
      </c>
      <c r="J34" s="1" t="s">
        <v>162</v>
      </c>
      <c r="K34" s="1" t="s">
        <v>163</v>
      </c>
      <c r="L34" s="1" t="s">
        <v>59</v>
      </c>
      <c r="M34" s="1" t="s">
        <v>44</v>
      </c>
      <c r="N34" s="2">
        <v>46162</v>
      </c>
      <c r="P34" s="1" t="s">
        <v>155</v>
      </c>
      <c r="Q34" s="1" t="s">
        <v>110</v>
      </c>
      <c r="R34" s="1" t="s">
        <v>55</v>
      </c>
      <c r="S34" s="2">
        <v>46161</v>
      </c>
      <c r="T34" s="2">
        <v>46162</v>
      </c>
      <c r="V34" s="1">
        <v>1</v>
      </c>
      <c r="W34" s="1">
        <v>1</v>
      </c>
      <c r="X34" s="1">
        <v>1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</row>
    <row r="35" spans="1:33" x14ac:dyDescent="0.25">
      <c r="A35" s="1">
        <v>80</v>
      </c>
      <c r="B35" s="1" t="s">
        <v>164</v>
      </c>
      <c r="C35" s="1" t="s">
        <v>161</v>
      </c>
      <c r="D35" s="1" t="s">
        <v>98</v>
      </c>
      <c r="E35" s="1" t="s">
        <v>53</v>
      </c>
      <c r="F35" s="10">
        <v>46175</v>
      </c>
      <c r="G35" s="10">
        <v>46175</v>
      </c>
      <c r="H35" s="11">
        <v>1</v>
      </c>
      <c r="I35" s="10">
        <v>46175</v>
      </c>
      <c r="J35" s="1">
        <v>79</v>
      </c>
      <c r="K35" s="1">
        <v>81</v>
      </c>
      <c r="L35" s="1" t="s">
        <v>59</v>
      </c>
      <c r="M35" s="1" t="s">
        <v>145</v>
      </c>
      <c r="N35" s="2">
        <v>46163</v>
      </c>
      <c r="P35" s="1" t="s">
        <v>155</v>
      </c>
      <c r="Q35" s="1" t="s">
        <v>110</v>
      </c>
      <c r="R35" s="1" t="s">
        <v>55</v>
      </c>
      <c r="S35" s="2">
        <v>46163</v>
      </c>
      <c r="T35" s="2">
        <v>46163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x14ac:dyDescent="0.25">
      <c r="A36" s="1">
        <v>81</v>
      </c>
      <c r="B36" s="1" t="s">
        <v>165</v>
      </c>
      <c r="C36" s="1" t="s">
        <v>161</v>
      </c>
      <c r="D36" s="1" t="s">
        <v>102</v>
      </c>
      <c r="E36" s="1" t="s">
        <v>121</v>
      </c>
      <c r="F36" s="10">
        <v>46176</v>
      </c>
      <c r="G36" s="10">
        <v>46181</v>
      </c>
      <c r="H36" s="11">
        <v>1</v>
      </c>
      <c r="I36" s="10">
        <v>46181</v>
      </c>
      <c r="J36" s="1">
        <v>80</v>
      </c>
      <c r="K36" s="1" t="s">
        <v>166</v>
      </c>
      <c r="L36" s="1" t="s">
        <v>59</v>
      </c>
      <c r="M36" s="1" t="s">
        <v>62</v>
      </c>
      <c r="N36" s="2">
        <v>46167</v>
      </c>
      <c r="P36" s="1" t="s">
        <v>155</v>
      </c>
      <c r="Q36" s="1" t="s">
        <v>110</v>
      </c>
      <c r="R36" s="1" t="s">
        <v>55</v>
      </c>
      <c r="S36" s="2">
        <v>46164</v>
      </c>
      <c r="T36" s="2">
        <v>46167</v>
      </c>
      <c r="V36" s="1">
        <v>1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1</v>
      </c>
      <c r="AD36" s="1">
        <v>0</v>
      </c>
      <c r="AE36" s="1">
        <v>0</v>
      </c>
      <c r="AF36" s="1">
        <v>0</v>
      </c>
      <c r="AG36" s="1">
        <v>0</v>
      </c>
    </row>
    <row r="37" spans="1:33" x14ac:dyDescent="0.25">
      <c r="A37" s="1">
        <v>82</v>
      </c>
      <c r="B37" s="1" t="s">
        <v>167</v>
      </c>
      <c r="C37" s="1" t="s">
        <v>161</v>
      </c>
      <c r="D37" s="1" t="s">
        <v>108</v>
      </c>
      <c r="E37" s="1" t="s">
        <v>53</v>
      </c>
      <c r="F37" s="10">
        <v>46192</v>
      </c>
      <c r="G37" s="10">
        <v>46192</v>
      </c>
      <c r="H37" s="11">
        <v>1</v>
      </c>
      <c r="I37" s="10">
        <v>46192</v>
      </c>
      <c r="J37" s="1">
        <v>81</v>
      </c>
      <c r="L37" s="1" t="s">
        <v>59</v>
      </c>
      <c r="M37" s="1" t="s">
        <v>168</v>
      </c>
      <c r="N37" s="2">
        <v>46168</v>
      </c>
      <c r="P37" s="1" t="s">
        <v>155</v>
      </c>
      <c r="Q37" s="1" t="s">
        <v>169</v>
      </c>
      <c r="R37" s="1" t="s">
        <v>55</v>
      </c>
      <c r="S37" s="2">
        <v>46168</v>
      </c>
      <c r="T37" s="2">
        <v>46168</v>
      </c>
      <c r="V37" s="1">
        <v>1</v>
      </c>
      <c r="W37" s="1">
        <v>0</v>
      </c>
      <c r="X37" s="1">
        <v>0</v>
      </c>
      <c r="Y37" s="1">
        <v>0</v>
      </c>
      <c r="Z37" s="1">
        <v>1</v>
      </c>
      <c r="AA37" s="1">
        <v>0</v>
      </c>
      <c r="AB37" s="1">
        <v>0</v>
      </c>
      <c r="AC37" s="1">
        <v>0</v>
      </c>
      <c r="AD37" s="1">
        <v>0</v>
      </c>
      <c r="AE37" s="1">
        <v>1</v>
      </c>
      <c r="AF37" s="1">
        <v>0</v>
      </c>
      <c r="AG37" s="1">
        <v>0</v>
      </c>
    </row>
    <row r="38" spans="1:33" x14ac:dyDescent="0.25">
      <c r="A38" s="1">
        <v>83</v>
      </c>
      <c r="B38" s="1" t="s">
        <v>170</v>
      </c>
      <c r="C38" s="1" t="s">
        <v>157</v>
      </c>
      <c r="D38" s="1" t="s">
        <v>171</v>
      </c>
      <c r="E38" s="1" t="s">
        <v>172</v>
      </c>
      <c r="F38" s="10">
        <v>46204</v>
      </c>
      <c r="G38" s="10">
        <v>46216</v>
      </c>
      <c r="H38" s="11">
        <v>0.42</v>
      </c>
      <c r="L38" s="1" t="s">
        <v>35</v>
      </c>
      <c r="M38" s="1" t="s">
        <v>173</v>
      </c>
      <c r="N38" s="2">
        <v>46178</v>
      </c>
      <c r="P38" s="1" t="s">
        <v>155</v>
      </c>
      <c r="Q38" s="1" t="s">
        <v>133</v>
      </c>
      <c r="R38" s="1" t="s">
        <v>55</v>
      </c>
      <c r="S38" s="2">
        <v>46170</v>
      </c>
      <c r="T38" s="2">
        <v>46178</v>
      </c>
      <c r="V38" s="1">
        <v>0.42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</row>
    <row r="39" spans="1:33" x14ac:dyDescent="0.25">
      <c r="A39" s="1">
        <v>84</v>
      </c>
      <c r="B39" s="1" t="s">
        <v>174</v>
      </c>
      <c r="C39" s="1" t="s">
        <v>175</v>
      </c>
      <c r="D39" s="1" t="s">
        <v>94</v>
      </c>
      <c r="E39" s="1" t="s">
        <v>95</v>
      </c>
      <c r="F39" s="10">
        <v>46204</v>
      </c>
      <c r="G39" s="10">
        <v>46206</v>
      </c>
      <c r="H39" s="11">
        <v>0.99</v>
      </c>
      <c r="J39" s="1">
        <v>74</v>
      </c>
      <c r="K39" s="1">
        <v>85</v>
      </c>
      <c r="L39" s="1" t="s">
        <v>35</v>
      </c>
      <c r="M39" s="1" t="s">
        <v>173</v>
      </c>
      <c r="N39" s="2">
        <v>46174</v>
      </c>
      <c r="P39" s="1" t="s">
        <v>155</v>
      </c>
      <c r="Q39" s="1" t="s">
        <v>133</v>
      </c>
      <c r="R39" s="1" t="s">
        <v>55</v>
      </c>
      <c r="S39" s="2">
        <v>46170</v>
      </c>
      <c r="T39" s="2">
        <v>46174</v>
      </c>
      <c r="V39" s="1">
        <v>0.99</v>
      </c>
      <c r="W39" s="1">
        <v>1</v>
      </c>
      <c r="X39" s="1">
        <v>1</v>
      </c>
      <c r="Y39" s="1">
        <v>1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1</v>
      </c>
    </row>
    <row r="40" spans="1:33" x14ac:dyDescent="0.25">
      <c r="A40" s="1">
        <v>85</v>
      </c>
      <c r="B40" s="1" t="s">
        <v>176</v>
      </c>
      <c r="C40" s="1" t="s">
        <v>175</v>
      </c>
      <c r="D40" s="1" t="s">
        <v>98</v>
      </c>
      <c r="E40" s="1" t="s">
        <v>53</v>
      </c>
      <c r="F40" s="10">
        <v>46209</v>
      </c>
      <c r="G40" s="10">
        <v>46209</v>
      </c>
      <c r="H40" s="11">
        <v>0</v>
      </c>
      <c r="J40" s="1">
        <v>84</v>
      </c>
      <c r="K40" s="1">
        <v>86</v>
      </c>
      <c r="L40" s="1" t="s">
        <v>35</v>
      </c>
      <c r="M40" s="1" t="s">
        <v>177</v>
      </c>
      <c r="N40" s="2">
        <v>46175</v>
      </c>
      <c r="P40" s="1" t="s">
        <v>155</v>
      </c>
      <c r="Q40" s="1" t="s">
        <v>178</v>
      </c>
      <c r="R40" s="1" t="s">
        <v>55</v>
      </c>
      <c r="S40" s="2">
        <v>46175</v>
      </c>
      <c r="T40" s="2">
        <v>46175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25">
      <c r="A41" s="1">
        <v>86</v>
      </c>
      <c r="B41" s="1" t="s">
        <v>179</v>
      </c>
      <c r="C41" s="1" t="s">
        <v>175</v>
      </c>
      <c r="D41" s="1" t="s">
        <v>102</v>
      </c>
      <c r="E41" s="1" t="s">
        <v>121</v>
      </c>
      <c r="F41" s="10">
        <v>46210</v>
      </c>
      <c r="G41" s="10">
        <v>46211</v>
      </c>
      <c r="H41" s="11">
        <v>0</v>
      </c>
      <c r="J41" s="1">
        <v>85</v>
      </c>
      <c r="K41" s="1">
        <v>87</v>
      </c>
      <c r="L41" s="1" t="s">
        <v>180</v>
      </c>
      <c r="M41" s="1" t="s">
        <v>181</v>
      </c>
      <c r="N41" s="2">
        <v>46177</v>
      </c>
      <c r="P41" s="1" t="s">
        <v>155</v>
      </c>
      <c r="Q41" s="1" t="s">
        <v>178</v>
      </c>
      <c r="R41" s="1" t="s">
        <v>55</v>
      </c>
      <c r="S41" s="2">
        <v>46176</v>
      </c>
      <c r="T41" s="2">
        <v>46177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25">
      <c r="A42" s="1">
        <v>87</v>
      </c>
      <c r="B42" s="1" t="s">
        <v>182</v>
      </c>
      <c r="C42" s="1" t="s">
        <v>175</v>
      </c>
      <c r="D42" s="1" t="s">
        <v>108</v>
      </c>
      <c r="E42" s="1" t="s">
        <v>53</v>
      </c>
      <c r="F42" s="10">
        <v>46216</v>
      </c>
      <c r="G42" s="10">
        <v>46216</v>
      </c>
      <c r="H42" s="11">
        <v>0</v>
      </c>
      <c r="J42" s="1">
        <v>86</v>
      </c>
      <c r="L42" s="1" t="s">
        <v>149</v>
      </c>
      <c r="M42" s="1" t="s">
        <v>183</v>
      </c>
      <c r="N42" s="2">
        <v>46178</v>
      </c>
      <c r="P42" s="1" t="s">
        <v>155</v>
      </c>
      <c r="Q42" s="1" t="s">
        <v>178</v>
      </c>
      <c r="R42" s="1" t="s">
        <v>55</v>
      </c>
      <c r="S42" s="2">
        <v>46178</v>
      </c>
      <c r="T42" s="2">
        <v>46178</v>
      </c>
      <c r="V42" s="1">
        <v>0</v>
      </c>
      <c r="W42" s="1">
        <v>0</v>
      </c>
      <c r="X42" s="1">
        <v>0</v>
      </c>
      <c r="Y42" s="1">
        <v>0</v>
      </c>
      <c r="Z42" s="1">
        <v>1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25">
      <c r="A43" s="1">
        <v>88</v>
      </c>
      <c r="B43" s="1" t="s">
        <v>184</v>
      </c>
      <c r="C43" s="1" t="s">
        <v>157</v>
      </c>
      <c r="D43" s="1" t="s">
        <v>185</v>
      </c>
      <c r="E43" s="1" t="s">
        <v>186</v>
      </c>
      <c r="F43" s="10">
        <v>46216</v>
      </c>
      <c r="G43" s="10">
        <v>46224</v>
      </c>
      <c r="H43" s="11">
        <v>0</v>
      </c>
      <c r="L43" s="1" t="s">
        <v>149</v>
      </c>
      <c r="M43" s="1" t="s">
        <v>187</v>
      </c>
      <c r="N43" s="2">
        <v>46211</v>
      </c>
      <c r="P43" s="1" t="s">
        <v>155</v>
      </c>
      <c r="Q43" s="1" t="s">
        <v>146</v>
      </c>
      <c r="R43" s="1" t="s">
        <v>55</v>
      </c>
      <c r="S43" s="2">
        <v>46195</v>
      </c>
      <c r="T43" s="2">
        <v>46211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25">
      <c r="A44" s="1">
        <v>89</v>
      </c>
      <c r="B44" s="1" t="s">
        <v>188</v>
      </c>
      <c r="C44" s="1" t="s">
        <v>189</v>
      </c>
      <c r="D44" s="1" t="s">
        <v>94</v>
      </c>
      <c r="E44" s="1" t="s">
        <v>95</v>
      </c>
      <c r="F44" s="10">
        <v>46216</v>
      </c>
      <c r="G44" s="10">
        <v>46219</v>
      </c>
      <c r="H44" s="11">
        <v>0</v>
      </c>
      <c r="J44" s="1">
        <v>331</v>
      </c>
      <c r="K44" s="1">
        <v>90</v>
      </c>
      <c r="L44" s="1" t="s">
        <v>149</v>
      </c>
      <c r="M44" s="1" t="s">
        <v>187</v>
      </c>
      <c r="N44" s="2">
        <v>46205</v>
      </c>
      <c r="P44" s="1" t="s">
        <v>155</v>
      </c>
      <c r="Q44" s="1" t="s">
        <v>146</v>
      </c>
      <c r="R44" s="1" t="s">
        <v>55</v>
      </c>
      <c r="S44" s="2">
        <v>46195</v>
      </c>
      <c r="T44" s="2">
        <v>46205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25">
      <c r="A45" s="1">
        <v>90</v>
      </c>
      <c r="B45" s="1" t="s">
        <v>190</v>
      </c>
      <c r="C45" s="1" t="s">
        <v>189</v>
      </c>
      <c r="D45" s="1" t="s">
        <v>98</v>
      </c>
      <c r="E45" s="1" t="s">
        <v>53</v>
      </c>
      <c r="F45" s="10">
        <v>46219</v>
      </c>
      <c r="G45" s="10">
        <v>46220</v>
      </c>
      <c r="H45" s="11">
        <v>0</v>
      </c>
      <c r="J45" s="1">
        <v>89</v>
      </c>
      <c r="K45" s="1">
        <v>91</v>
      </c>
      <c r="L45" s="1" t="s">
        <v>149</v>
      </c>
      <c r="M45" s="1" t="s">
        <v>191</v>
      </c>
      <c r="N45" s="2">
        <v>46206</v>
      </c>
      <c r="P45" s="1" t="s">
        <v>155</v>
      </c>
      <c r="Q45" s="1" t="s">
        <v>146</v>
      </c>
      <c r="R45" s="1" t="s">
        <v>55</v>
      </c>
      <c r="S45" s="2">
        <v>46206</v>
      </c>
      <c r="T45" s="2">
        <v>46206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25">
      <c r="A46" s="1">
        <v>91</v>
      </c>
      <c r="B46" s="1" t="s">
        <v>192</v>
      </c>
      <c r="C46" s="1" t="s">
        <v>189</v>
      </c>
      <c r="D46" s="1" t="s">
        <v>102</v>
      </c>
      <c r="E46" s="1" t="s">
        <v>53</v>
      </c>
      <c r="F46" s="10">
        <v>46220</v>
      </c>
      <c r="G46" s="10">
        <v>46223</v>
      </c>
      <c r="H46" s="11">
        <v>0</v>
      </c>
      <c r="J46" s="1">
        <v>90</v>
      </c>
      <c r="K46" s="1">
        <v>92</v>
      </c>
      <c r="L46" s="1" t="s">
        <v>149</v>
      </c>
      <c r="M46" s="1" t="s">
        <v>193</v>
      </c>
      <c r="N46" s="2">
        <v>46210</v>
      </c>
      <c r="P46" s="1" t="s">
        <v>155</v>
      </c>
      <c r="Q46" s="1" t="s">
        <v>146</v>
      </c>
      <c r="R46" s="1" t="s">
        <v>55</v>
      </c>
      <c r="S46" s="2">
        <v>46209</v>
      </c>
      <c r="T46" s="2">
        <v>46210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25">
      <c r="A47" s="1">
        <v>92</v>
      </c>
      <c r="B47" s="1" t="s">
        <v>194</v>
      </c>
      <c r="C47" s="1" t="s">
        <v>189</v>
      </c>
      <c r="D47" s="1" t="s">
        <v>108</v>
      </c>
      <c r="E47" s="1" t="s">
        <v>53</v>
      </c>
      <c r="F47" s="10">
        <v>46223</v>
      </c>
      <c r="G47" s="10">
        <v>46224</v>
      </c>
      <c r="H47" s="11">
        <v>0</v>
      </c>
      <c r="J47" s="1">
        <v>91</v>
      </c>
      <c r="L47" s="1" t="s">
        <v>149</v>
      </c>
      <c r="M47" s="1" t="s">
        <v>195</v>
      </c>
      <c r="N47" s="2">
        <v>46211</v>
      </c>
      <c r="P47" s="1" t="s">
        <v>155</v>
      </c>
      <c r="Q47" s="1" t="s">
        <v>151</v>
      </c>
      <c r="R47" s="1" t="s">
        <v>55</v>
      </c>
      <c r="S47" s="2">
        <v>46211</v>
      </c>
      <c r="T47" s="2">
        <v>46211</v>
      </c>
      <c r="V47" s="1">
        <v>0</v>
      </c>
      <c r="W47" s="1">
        <v>0</v>
      </c>
      <c r="X47" s="1">
        <v>0</v>
      </c>
      <c r="Y47" s="1">
        <v>0</v>
      </c>
      <c r="Z47" s="1">
        <v>1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25">
      <c r="A48" s="1">
        <v>93</v>
      </c>
      <c r="B48" s="1" t="s">
        <v>196</v>
      </c>
      <c r="C48" s="1" t="s">
        <v>157</v>
      </c>
      <c r="D48" s="1" t="s">
        <v>197</v>
      </c>
      <c r="E48" s="1" t="s">
        <v>186</v>
      </c>
      <c r="F48" s="10">
        <v>46216</v>
      </c>
      <c r="G48" s="10">
        <v>46224</v>
      </c>
      <c r="H48" s="11">
        <v>0</v>
      </c>
      <c r="L48" s="1" t="s">
        <v>149</v>
      </c>
      <c r="M48" s="1" t="s">
        <v>187</v>
      </c>
      <c r="N48" s="2">
        <v>46211</v>
      </c>
      <c r="P48" s="1" t="s">
        <v>155</v>
      </c>
      <c r="Q48" s="1" t="s">
        <v>146</v>
      </c>
      <c r="R48" s="1" t="s">
        <v>55</v>
      </c>
      <c r="S48" s="2">
        <v>46195</v>
      </c>
      <c r="T48" s="2">
        <v>46211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25">
      <c r="A49" s="1">
        <v>94</v>
      </c>
      <c r="B49" s="1" t="s">
        <v>198</v>
      </c>
      <c r="C49" s="1" t="s">
        <v>199</v>
      </c>
      <c r="D49" s="1" t="s">
        <v>94</v>
      </c>
      <c r="E49" s="1" t="s">
        <v>95</v>
      </c>
      <c r="F49" s="10">
        <v>46216</v>
      </c>
      <c r="G49" s="10">
        <v>46219</v>
      </c>
      <c r="H49" s="11">
        <v>0</v>
      </c>
      <c r="J49" s="1">
        <v>331</v>
      </c>
      <c r="K49" s="1">
        <v>95</v>
      </c>
      <c r="L49" s="1" t="s">
        <v>149</v>
      </c>
      <c r="M49" s="1" t="s">
        <v>187</v>
      </c>
      <c r="N49" s="2">
        <v>46205</v>
      </c>
      <c r="P49" s="1" t="s">
        <v>155</v>
      </c>
      <c r="Q49" s="1" t="s">
        <v>146</v>
      </c>
      <c r="R49" s="1" t="s">
        <v>55</v>
      </c>
      <c r="S49" s="2">
        <v>46195</v>
      </c>
      <c r="T49" s="2">
        <v>46205</v>
      </c>
      <c r="V49" s="1">
        <v>0</v>
      </c>
      <c r="W49" s="1">
        <v>1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25">
      <c r="A50" s="1">
        <v>95</v>
      </c>
      <c r="B50" s="1" t="s">
        <v>200</v>
      </c>
      <c r="C50" s="1" t="s">
        <v>199</v>
      </c>
      <c r="D50" s="1" t="s">
        <v>98</v>
      </c>
      <c r="E50" s="1" t="s">
        <v>53</v>
      </c>
      <c r="F50" s="10">
        <v>46219</v>
      </c>
      <c r="G50" s="10">
        <v>46220</v>
      </c>
      <c r="H50" s="11">
        <v>0</v>
      </c>
      <c r="J50" s="1">
        <v>94</v>
      </c>
      <c r="K50" s="1">
        <v>96</v>
      </c>
      <c r="L50" s="1" t="s">
        <v>149</v>
      </c>
      <c r="M50" s="1" t="s">
        <v>191</v>
      </c>
      <c r="N50" s="2">
        <v>46206</v>
      </c>
      <c r="P50" s="1" t="s">
        <v>155</v>
      </c>
      <c r="Q50" s="1" t="s">
        <v>146</v>
      </c>
      <c r="R50" s="1" t="s">
        <v>55</v>
      </c>
      <c r="S50" s="2">
        <v>46206</v>
      </c>
      <c r="T50" s="2">
        <v>46206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25">
      <c r="A51" s="1">
        <v>96</v>
      </c>
      <c r="B51" s="1" t="s">
        <v>201</v>
      </c>
      <c r="C51" s="1" t="s">
        <v>199</v>
      </c>
      <c r="D51" s="1" t="s">
        <v>102</v>
      </c>
      <c r="E51" s="1" t="s">
        <v>53</v>
      </c>
      <c r="F51" s="10">
        <v>46220</v>
      </c>
      <c r="G51" s="10">
        <v>46223</v>
      </c>
      <c r="H51" s="11">
        <v>0</v>
      </c>
      <c r="J51" s="1">
        <v>95</v>
      </c>
      <c r="K51" s="1">
        <v>97</v>
      </c>
      <c r="L51" s="1" t="s">
        <v>149</v>
      </c>
      <c r="M51" s="1" t="s">
        <v>193</v>
      </c>
      <c r="N51" s="2">
        <v>46210</v>
      </c>
      <c r="P51" s="1" t="s">
        <v>155</v>
      </c>
      <c r="Q51" s="1" t="s">
        <v>146</v>
      </c>
      <c r="R51" s="1" t="s">
        <v>55</v>
      </c>
      <c r="S51" s="2">
        <v>46209</v>
      </c>
      <c r="T51" s="2">
        <v>46210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25">
      <c r="A52" s="1">
        <v>97</v>
      </c>
      <c r="B52" s="1" t="s">
        <v>202</v>
      </c>
      <c r="C52" s="1" t="s">
        <v>199</v>
      </c>
      <c r="D52" s="1" t="s">
        <v>108</v>
      </c>
      <c r="E52" s="1" t="s">
        <v>53</v>
      </c>
      <c r="F52" s="10">
        <v>46223</v>
      </c>
      <c r="G52" s="10">
        <v>46224</v>
      </c>
      <c r="H52" s="11">
        <v>0</v>
      </c>
      <c r="J52" s="1">
        <v>96</v>
      </c>
      <c r="L52" s="1" t="s">
        <v>149</v>
      </c>
      <c r="M52" s="1" t="s">
        <v>195</v>
      </c>
      <c r="N52" s="2">
        <v>46211</v>
      </c>
      <c r="P52" s="1" t="s">
        <v>155</v>
      </c>
      <c r="Q52" s="1" t="s">
        <v>151</v>
      </c>
      <c r="R52" s="1" t="s">
        <v>55</v>
      </c>
      <c r="S52" s="2">
        <v>46211</v>
      </c>
      <c r="T52" s="2">
        <v>46211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25">
      <c r="A53" s="1">
        <v>98</v>
      </c>
      <c r="B53" s="1" t="s">
        <v>203</v>
      </c>
      <c r="C53" s="1" t="s">
        <v>157</v>
      </c>
      <c r="D53" s="1" t="s">
        <v>204</v>
      </c>
      <c r="E53" s="1" t="s">
        <v>186</v>
      </c>
      <c r="F53" s="10">
        <v>46216</v>
      </c>
      <c r="G53" s="10">
        <v>46224</v>
      </c>
      <c r="H53" s="11">
        <v>0</v>
      </c>
      <c r="L53" s="1" t="s">
        <v>149</v>
      </c>
      <c r="M53" s="1" t="s">
        <v>187</v>
      </c>
      <c r="N53" s="2">
        <v>46211</v>
      </c>
      <c r="P53" s="1" t="s">
        <v>155</v>
      </c>
      <c r="Q53" s="1" t="s">
        <v>146</v>
      </c>
      <c r="R53" s="1" t="s">
        <v>55</v>
      </c>
      <c r="S53" s="2">
        <v>46195</v>
      </c>
      <c r="T53" s="2">
        <v>46211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x14ac:dyDescent="0.25">
      <c r="A54" s="1">
        <v>99</v>
      </c>
      <c r="B54" s="1" t="s">
        <v>205</v>
      </c>
      <c r="C54" s="1" t="s">
        <v>206</v>
      </c>
      <c r="D54" s="1" t="s">
        <v>94</v>
      </c>
      <c r="E54" s="1" t="s">
        <v>95</v>
      </c>
      <c r="F54" s="10">
        <v>46216</v>
      </c>
      <c r="G54" s="10">
        <v>46219</v>
      </c>
      <c r="H54" s="11">
        <v>0</v>
      </c>
      <c r="J54" s="1">
        <v>331</v>
      </c>
      <c r="K54" s="1">
        <v>100</v>
      </c>
      <c r="L54" s="1" t="s">
        <v>149</v>
      </c>
      <c r="M54" s="1" t="s">
        <v>187</v>
      </c>
      <c r="N54" s="2">
        <v>46205</v>
      </c>
      <c r="P54" s="1" t="s">
        <v>155</v>
      </c>
      <c r="Q54" s="1" t="s">
        <v>146</v>
      </c>
      <c r="R54" s="1" t="s">
        <v>55</v>
      </c>
      <c r="S54" s="2">
        <v>46195</v>
      </c>
      <c r="T54" s="2">
        <v>46205</v>
      </c>
      <c r="V54" s="1">
        <v>0</v>
      </c>
      <c r="W54" s="1">
        <v>1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25">
      <c r="A55" s="1">
        <v>100</v>
      </c>
      <c r="B55" s="1" t="s">
        <v>207</v>
      </c>
      <c r="C55" s="1" t="s">
        <v>206</v>
      </c>
      <c r="D55" s="1" t="s">
        <v>98</v>
      </c>
      <c r="E55" s="1" t="s">
        <v>53</v>
      </c>
      <c r="F55" s="10">
        <v>46219</v>
      </c>
      <c r="G55" s="10">
        <v>46220</v>
      </c>
      <c r="H55" s="11">
        <v>0</v>
      </c>
      <c r="J55" s="1">
        <v>99</v>
      </c>
      <c r="K55" s="1">
        <v>101</v>
      </c>
      <c r="L55" s="1" t="s">
        <v>149</v>
      </c>
      <c r="M55" s="1" t="s">
        <v>191</v>
      </c>
      <c r="N55" s="2">
        <v>46206</v>
      </c>
      <c r="P55" s="1" t="s">
        <v>155</v>
      </c>
      <c r="Q55" s="1" t="s">
        <v>146</v>
      </c>
      <c r="R55" s="1" t="s">
        <v>55</v>
      </c>
      <c r="S55" s="2">
        <v>46206</v>
      </c>
      <c r="T55" s="2">
        <v>46206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25">
      <c r="A56" s="1">
        <v>101</v>
      </c>
      <c r="B56" s="1" t="s">
        <v>208</v>
      </c>
      <c r="C56" s="1" t="s">
        <v>206</v>
      </c>
      <c r="D56" s="1" t="s">
        <v>102</v>
      </c>
      <c r="E56" s="1" t="s">
        <v>53</v>
      </c>
      <c r="F56" s="10">
        <v>46220</v>
      </c>
      <c r="G56" s="10">
        <v>46223</v>
      </c>
      <c r="H56" s="11">
        <v>0</v>
      </c>
      <c r="J56" s="1">
        <v>100</v>
      </c>
      <c r="K56" s="1">
        <v>102</v>
      </c>
      <c r="L56" s="1" t="s">
        <v>149</v>
      </c>
      <c r="M56" s="1" t="s">
        <v>193</v>
      </c>
      <c r="N56" s="2">
        <v>46210</v>
      </c>
      <c r="P56" s="1" t="s">
        <v>155</v>
      </c>
      <c r="Q56" s="1" t="s">
        <v>146</v>
      </c>
      <c r="R56" s="1" t="s">
        <v>55</v>
      </c>
      <c r="S56" s="2">
        <v>46209</v>
      </c>
      <c r="T56" s="2">
        <v>46210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25">
      <c r="A57" s="1">
        <v>102</v>
      </c>
      <c r="B57" s="1" t="s">
        <v>209</v>
      </c>
      <c r="C57" s="1" t="s">
        <v>206</v>
      </c>
      <c r="D57" s="1" t="s">
        <v>108</v>
      </c>
      <c r="E57" s="1" t="s">
        <v>53</v>
      </c>
      <c r="F57" s="10">
        <v>46223</v>
      </c>
      <c r="G57" s="10">
        <v>46224</v>
      </c>
      <c r="H57" s="11">
        <v>0</v>
      </c>
      <c r="J57" s="1">
        <v>101</v>
      </c>
      <c r="L57" s="1" t="s">
        <v>149</v>
      </c>
      <c r="M57" s="1" t="s">
        <v>195</v>
      </c>
      <c r="N57" s="2">
        <v>46211</v>
      </c>
      <c r="P57" s="1" t="s">
        <v>155</v>
      </c>
      <c r="Q57" s="1" t="s">
        <v>151</v>
      </c>
      <c r="R57" s="1" t="s">
        <v>55</v>
      </c>
      <c r="S57" s="2">
        <v>46211</v>
      </c>
      <c r="T57" s="2">
        <v>46211</v>
      </c>
      <c r="V57" s="1">
        <v>0</v>
      </c>
      <c r="W57" s="1">
        <v>0</v>
      </c>
      <c r="X57" s="1">
        <v>0</v>
      </c>
      <c r="Y57" s="1">
        <v>0</v>
      </c>
      <c r="Z57" s="1">
        <v>1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25">
      <c r="A58" s="1">
        <v>103</v>
      </c>
      <c r="B58" s="1" t="s">
        <v>210</v>
      </c>
      <c r="C58" s="1" t="s">
        <v>157</v>
      </c>
      <c r="D58" s="1" t="s">
        <v>211</v>
      </c>
      <c r="E58" s="1" t="s">
        <v>186</v>
      </c>
      <c r="F58" s="10">
        <v>46216</v>
      </c>
      <c r="G58" s="10">
        <v>46224</v>
      </c>
      <c r="H58" s="11">
        <v>0</v>
      </c>
      <c r="L58" s="1" t="s">
        <v>149</v>
      </c>
      <c r="M58" s="1" t="s">
        <v>187</v>
      </c>
      <c r="N58" s="2">
        <v>46211</v>
      </c>
      <c r="P58" s="1" t="s">
        <v>155</v>
      </c>
      <c r="Q58" s="1" t="s">
        <v>146</v>
      </c>
      <c r="R58" s="1" t="s">
        <v>55</v>
      </c>
      <c r="S58" s="2">
        <v>46195</v>
      </c>
      <c r="T58" s="2">
        <v>46211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25">
      <c r="A59" s="1">
        <v>104</v>
      </c>
      <c r="B59" s="1" t="s">
        <v>212</v>
      </c>
      <c r="C59" s="1" t="s">
        <v>213</v>
      </c>
      <c r="D59" s="1" t="s">
        <v>94</v>
      </c>
      <c r="E59" s="1" t="s">
        <v>95</v>
      </c>
      <c r="F59" s="10">
        <v>46216</v>
      </c>
      <c r="G59" s="10">
        <v>46219</v>
      </c>
      <c r="H59" s="11">
        <v>0</v>
      </c>
      <c r="J59" s="1">
        <v>331</v>
      </c>
      <c r="K59" s="1">
        <v>105</v>
      </c>
      <c r="L59" s="1" t="s">
        <v>149</v>
      </c>
      <c r="M59" s="1" t="s">
        <v>187</v>
      </c>
      <c r="N59" s="2">
        <v>46205</v>
      </c>
      <c r="P59" s="1" t="s">
        <v>155</v>
      </c>
      <c r="Q59" s="1" t="s">
        <v>146</v>
      </c>
      <c r="R59" s="1" t="s">
        <v>55</v>
      </c>
      <c r="S59" s="2">
        <v>46195</v>
      </c>
      <c r="T59" s="2">
        <v>46205</v>
      </c>
      <c r="V59" s="1">
        <v>0</v>
      </c>
      <c r="W59" s="1">
        <v>1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25">
      <c r="A60" s="1">
        <v>105</v>
      </c>
      <c r="B60" s="1" t="s">
        <v>214</v>
      </c>
      <c r="C60" s="1" t="s">
        <v>213</v>
      </c>
      <c r="D60" s="1" t="s">
        <v>98</v>
      </c>
      <c r="E60" s="1" t="s">
        <v>53</v>
      </c>
      <c r="F60" s="10">
        <v>46219</v>
      </c>
      <c r="G60" s="10">
        <v>46220</v>
      </c>
      <c r="H60" s="11">
        <v>0</v>
      </c>
      <c r="J60" s="1">
        <v>104</v>
      </c>
      <c r="K60" s="1">
        <v>106</v>
      </c>
      <c r="L60" s="1" t="s">
        <v>149</v>
      </c>
      <c r="M60" s="1" t="s">
        <v>191</v>
      </c>
      <c r="N60" s="2">
        <v>46206</v>
      </c>
      <c r="P60" s="1" t="s">
        <v>155</v>
      </c>
      <c r="Q60" s="1" t="s">
        <v>146</v>
      </c>
      <c r="R60" s="1" t="s">
        <v>55</v>
      </c>
      <c r="S60" s="2">
        <v>46206</v>
      </c>
      <c r="T60" s="2">
        <v>46206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25">
      <c r="A61" s="1">
        <v>106</v>
      </c>
      <c r="B61" s="1" t="s">
        <v>215</v>
      </c>
      <c r="C61" s="1" t="s">
        <v>213</v>
      </c>
      <c r="D61" s="1" t="s">
        <v>102</v>
      </c>
      <c r="E61" s="1" t="s">
        <v>53</v>
      </c>
      <c r="F61" s="10">
        <v>46220</v>
      </c>
      <c r="G61" s="10">
        <v>46223</v>
      </c>
      <c r="H61" s="11">
        <v>0</v>
      </c>
      <c r="J61" s="1">
        <v>105</v>
      </c>
      <c r="K61" s="1">
        <v>107</v>
      </c>
      <c r="L61" s="1" t="s">
        <v>149</v>
      </c>
      <c r="M61" s="1" t="s">
        <v>193</v>
      </c>
      <c r="N61" s="2">
        <v>46210</v>
      </c>
      <c r="P61" s="1" t="s">
        <v>155</v>
      </c>
      <c r="Q61" s="1" t="s">
        <v>146</v>
      </c>
      <c r="R61" s="1" t="s">
        <v>55</v>
      </c>
      <c r="S61" s="2">
        <v>46209</v>
      </c>
      <c r="T61" s="2">
        <v>46210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25">
      <c r="A62" s="1">
        <v>107</v>
      </c>
      <c r="B62" s="1" t="s">
        <v>216</v>
      </c>
      <c r="C62" s="1" t="s">
        <v>213</v>
      </c>
      <c r="D62" s="1" t="s">
        <v>108</v>
      </c>
      <c r="E62" s="1" t="s">
        <v>53</v>
      </c>
      <c r="F62" s="10">
        <v>46223</v>
      </c>
      <c r="G62" s="10">
        <v>46224</v>
      </c>
      <c r="H62" s="11">
        <v>0</v>
      </c>
      <c r="J62" s="1">
        <v>106</v>
      </c>
      <c r="L62" s="1" t="s">
        <v>149</v>
      </c>
      <c r="M62" s="1" t="s">
        <v>195</v>
      </c>
      <c r="N62" s="2">
        <v>46211</v>
      </c>
      <c r="P62" s="1" t="s">
        <v>155</v>
      </c>
      <c r="Q62" s="1" t="s">
        <v>151</v>
      </c>
      <c r="R62" s="1" t="s">
        <v>55</v>
      </c>
      <c r="S62" s="2">
        <v>46211</v>
      </c>
      <c r="T62" s="2">
        <v>46211</v>
      </c>
      <c r="V62" s="1">
        <v>0</v>
      </c>
      <c r="W62" s="1">
        <v>0</v>
      </c>
      <c r="X62" s="1">
        <v>0</v>
      </c>
      <c r="Y62" s="1">
        <v>0</v>
      </c>
      <c r="Z62" s="1">
        <v>1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25">
      <c r="A63" s="1">
        <v>108</v>
      </c>
      <c r="B63" s="1" t="s">
        <v>217</v>
      </c>
      <c r="C63" s="1" t="s">
        <v>157</v>
      </c>
      <c r="D63" s="1" t="s">
        <v>218</v>
      </c>
      <c r="E63" s="1" t="s">
        <v>186</v>
      </c>
      <c r="F63" s="10">
        <v>46216</v>
      </c>
      <c r="G63" s="10">
        <v>46224</v>
      </c>
      <c r="H63" s="11">
        <v>0</v>
      </c>
      <c r="L63" s="1" t="s">
        <v>149</v>
      </c>
      <c r="M63" s="1" t="s">
        <v>187</v>
      </c>
      <c r="N63" s="2">
        <v>46211</v>
      </c>
      <c r="P63" s="1" t="s">
        <v>155</v>
      </c>
      <c r="Q63" s="1" t="s">
        <v>146</v>
      </c>
      <c r="R63" s="1" t="s">
        <v>55</v>
      </c>
      <c r="S63" s="2">
        <v>46195</v>
      </c>
      <c r="T63" s="2">
        <v>46211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25">
      <c r="A64" s="1">
        <v>109</v>
      </c>
      <c r="B64" s="1" t="s">
        <v>219</v>
      </c>
      <c r="C64" s="1" t="s">
        <v>220</v>
      </c>
      <c r="D64" s="1" t="s">
        <v>94</v>
      </c>
      <c r="E64" s="1" t="s">
        <v>95</v>
      </c>
      <c r="F64" s="10">
        <v>46216</v>
      </c>
      <c r="G64" s="10">
        <v>46219</v>
      </c>
      <c r="H64" s="11">
        <v>0</v>
      </c>
      <c r="J64" s="1">
        <v>331</v>
      </c>
      <c r="K64" s="1">
        <v>110</v>
      </c>
      <c r="L64" s="1" t="s">
        <v>149</v>
      </c>
      <c r="M64" s="1" t="s">
        <v>187</v>
      </c>
      <c r="N64" s="2">
        <v>46205</v>
      </c>
      <c r="P64" s="1" t="s">
        <v>155</v>
      </c>
      <c r="Q64" s="1" t="s">
        <v>146</v>
      </c>
      <c r="R64" s="1" t="s">
        <v>55</v>
      </c>
      <c r="S64" s="2">
        <v>46195</v>
      </c>
      <c r="T64" s="2">
        <v>46205</v>
      </c>
      <c r="V64" s="1">
        <v>0</v>
      </c>
      <c r="W64" s="1">
        <v>1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25">
      <c r="A65" s="1">
        <v>110</v>
      </c>
      <c r="B65" s="1" t="s">
        <v>221</v>
      </c>
      <c r="C65" s="1" t="s">
        <v>220</v>
      </c>
      <c r="D65" s="1" t="s">
        <v>98</v>
      </c>
      <c r="E65" s="1" t="s">
        <v>53</v>
      </c>
      <c r="F65" s="10">
        <v>46219</v>
      </c>
      <c r="G65" s="10">
        <v>46220</v>
      </c>
      <c r="H65" s="11">
        <v>0</v>
      </c>
      <c r="J65" s="1">
        <v>109</v>
      </c>
      <c r="K65" s="1">
        <v>111</v>
      </c>
      <c r="L65" s="1" t="s">
        <v>149</v>
      </c>
      <c r="M65" s="1" t="s">
        <v>191</v>
      </c>
      <c r="N65" s="2">
        <v>46206</v>
      </c>
      <c r="P65" s="1" t="s">
        <v>155</v>
      </c>
      <c r="Q65" s="1" t="s">
        <v>146</v>
      </c>
      <c r="R65" s="1" t="s">
        <v>55</v>
      </c>
      <c r="S65" s="2">
        <v>46206</v>
      </c>
      <c r="T65" s="2">
        <v>46206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25">
      <c r="A66" s="1">
        <v>111</v>
      </c>
      <c r="B66" s="1" t="s">
        <v>222</v>
      </c>
      <c r="C66" s="1" t="s">
        <v>220</v>
      </c>
      <c r="D66" s="1" t="s">
        <v>102</v>
      </c>
      <c r="E66" s="1" t="s">
        <v>53</v>
      </c>
      <c r="F66" s="10">
        <v>46220</v>
      </c>
      <c r="G66" s="10">
        <v>46223</v>
      </c>
      <c r="H66" s="11">
        <v>0</v>
      </c>
      <c r="J66" s="1">
        <v>110</v>
      </c>
      <c r="K66" s="1">
        <v>112</v>
      </c>
      <c r="L66" s="1" t="s">
        <v>149</v>
      </c>
      <c r="M66" s="1" t="s">
        <v>193</v>
      </c>
      <c r="N66" s="2">
        <v>46210</v>
      </c>
      <c r="P66" s="1" t="s">
        <v>155</v>
      </c>
      <c r="Q66" s="1" t="s">
        <v>146</v>
      </c>
      <c r="R66" s="1" t="s">
        <v>55</v>
      </c>
      <c r="S66" s="2">
        <v>46209</v>
      </c>
      <c r="T66" s="2">
        <v>46210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25">
      <c r="A67" s="1">
        <v>112</v>
      </c>
      <c r="B67" s="1" t="s">
        <v>223</v>
      </c>
      <c r="C67" s="1" t="s">
        <v>220</v>
      </c>
      <c r="D67" s="1" t="s">
        <v>108</v>
      </c>
      <c r="E67" s="1" t="s">
        <v>53</v>
      </c>
      <c r="F67" s="10">
        <v>46223</v>
      </c>
      <c r="G67" s="10">
        <v>46224</v>
      </c>
      <c r="H67" s="11">
        <v>0</v>
      </c>
      <c r="J67" s="1">
        <v>111</v>
      </c>
      <c r="L67" s="1" t="s">
        <v>149</v>
      </c>
      <c r="M67" s="1" t="s">
        <v>195</v>
      </c>
      <c r="N67" s="2">
        <v>46211</v>
      </c>
      <c r="P67" s="1" t="s">
        <v>155</v>
      </c>
      <c r="Q67" s="1" t="s">
        <v>151</v>
      </c>
      <c r="R67" s="1" t="s">
        <v>55</v>
      </c>
      <c r="S67" s="2">
        <v>46211</v>
      </c>
      <c r="T67" s="2">
        <v>46211</v>
      </c>
      <c r="V67" s="1">
        <v>0</v>
      </c>
      <c r="W67" s="1">
        <v>0</v>
      </c>
      <c r="X67" s="1">
        <v>0</v>
      </c>
      <c r="Y67" s="1">
        <v>0</v>
      </c>
      <c r="Z67" s="1">
        <v>1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25">
      <c r="A68" s="1">
        <v>113</v>
      </c>
      <c r="B68" s="1" t="s">
        <v>224</v>
      </c>
      <c r="C68" s="1" t="s">
        <v>157</v>
      </c>
      <c r="D68" s="1" t="s">
        <v>225</v>
      </c>
      <c r="E68" s="1" t="s">
        <v>186</v>
      </c>
      <c r="F68" s="10">
        <v>46216</v>
      </c>
      <c r="G68" s="10">
        <v>46224</v>
      </c>
      <c r="H68" s="11">
        <v>0</v>
      </c>
      <c r="L68" s="1" t="s">
        <v>149</v>
      </c>
      <c r="M68" s="1" t="s">
        <v>187</v>
      </c>
      <c r="N68" s="2">
        <v>46211</v>
      </c>
      <c r="P68" s="1" t="s">
        <v>155</v>
      </c>
      <c r="Q68" s="1" t="s">
        <v>146</v>
      </c>
      <c r="R68" s="1" t="s">
        <v>55</v>
      </c>
      <c r="S68" s="2">
        <v>46195</v>
      </c>
      <c r="T68" s="2">
        <v>46211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25">
      <c r="A69" s="1">
        <v>114</v>
      </c>
      <c r="B69" s="1" t="s">
        <v>226</v>
      </c>
      <c r="C69" s="1" t="s">
        <v>227</v>
      </c>
      <c r="D69" s="1" t="s">
        <v>94</v>
      </c>
      <c r="E69" s="1" t="s">
        <v>95</v>
      </c>
      <c r="F69" s="10">
        <v>46216</v>
      </c>
      <c r="G69" s="10">
        <v>46219</v>
      </c>
      <c r="H69" s="11">
        <v>0</v>
      </c>
      <c r="J69" s="1">
        <v>331</v>
      </c>
      <c r="K69" s="1">
        <v>115</v>
      </c>
      <c r="L69" s="1" t="s">
        <v>149</v>
      </c>
      <c r="M69" s="1" t="s">
        <v>187</v>
      </c>
      <c r="N69" s="2">
        <v>46205</v>
      </c>
      <c r="P69" s="1" t="s">
        <v>155</v>
      </c>
      <c r="Q69" s="1" t="s">
        <v>146</v>
      </c>
      <c r="R69" s="1" t="s">
        <v>55</v>
      </c>
      <c r="S69" s="2">
        <v>46195</v>
      </c>
      <c r="T69" s="2">
        <v>46205</v>
      </c>
      <c r="V69" s="1">
        <v>0</v>
      </c>
      <c r="W69" s="1">
        <v>1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25">
      <c r="A70" s="1">
        <v>115</v>
      </c>
      <c r="B70" s="1" t="s">
        <v>228</v>
      </c>
      <c r="C70" s="1" t="s">
        <v>227</v>
      </c>
      <c r="D70" s="1" t="s">
        <v>98</v>
      </c>
      <c r="E70" s="1" t="s">
        <v>53</v>
      </c>
      <c r="F70" s="10">
        <v>46219</v>
      </c>
      <c r="G70" s="10">
        <v>46220</v>
      </c>
      <c r="H70" s="11">
        <v>0</v>
      </c>
      <c r="J70" s="1">
        <v>114</v>
      </c>
      <c r="K70" s="1">
        <v>116</v>
      </c>
      <c r="L70" s="1" t="s">
        <v>149</v>
      </c>
      <c r="M70" s="1" t="s">
        <v>191</v>
      </c>
      <c r="N70" s="2">
        <v>46206</v>
      </c>
      <c r="P70" s="1" t="s">
        <v>155</v>
      </c>
      <c r="Q70" s="1" t="s">
        <v>146</v>
      </c>
      <c r="R70" s="1" t="s">
        <v>55</v>
      </c>
      <c r="S70" s="2">
        <v>46206</v>
      </c>
      <c r="T70" s="2">
        <v>46206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25">
      <c r="A71" s="1">
        <v>116</v>
      </c>
      <c r="B71" s="1" t="s">
        <v>229</v>
      </c>
      <c r="C71" s="1" t="s">
        <v>227</v>
      </c>
      <c r="D71" s="1" t="s">
        <v>102</v>
      </c>
      <c r="E71" s="1" t="s">
        <v>53</v>
      </c>
      <c r="F71" s="10">
        <v>46220</v>
      </c>
      <c r="G71" s="10">
        <v>46223</v>
      </c>
      <c r="H71" s="11">
        <v>0</v>
      </c>
      <c r="J71" s="1">
        <v>115</v>
      </c>
      <c r="K71" s="1">
        <v>117</v>
      </c>
      <c r="L71" s="1" t="s">
        <v>149</v>
      </c>
      <c r="M71" s="1" t="s">
        <v>193</v>
      </c>
      <c r="N71" s="2">
        <v>46210</v>
      </c>
      <c r="P71" s="1" t="s">
        <v>155</v>
      </c>
      <c r="Q71" s="1" t="s">
        <v>146</v>
      </c>
      <c r="R71" s="1" t="s">
        <v>55</v>
      </c>
      <c r="S71" s="2">
        <v>46209</v>
      </c>
      <c r="T71" s="2">
        <v>46210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25">
      <c r="A72" s="1">
        <v>117</v>
      </c>
      <c r="B72" s="1" t="s">
        <v>230</v>
      </c>
      <c r="C72" s="1" t="s">
        <v>227</v>
      </c>
      <c r="D72" s="1" t="s">
        <v>108</v>
      </c>
      <c r="E72" s="1" t="s">
        <v>53</v>
      </c>
      <c r="F72" s="10">
        <v>46223</v>
      </c>
      <c r="G72" s="10">
        <v>46224</v>
      </c>
      <c r="H72" s="11">
        <v>0</v>
      </c>
      <c r="J72" s="1">
        <v>116</v>
      </c>
      <c r="L72" s="1" t="s">
        <v>149</v>
      </c>
      <c r="M72" s="1" t="s">
        <v>195</v>
      </c>
      <c r="N72" s="2">
        <v>46211</v>
      </c>
      <c r="P72" s="1" t="s">
        <v>155</v>
      </c>
      <c r="Q72" s="1" t="s">
        <v>151</v>
      </c>
      <c r="R72" s="1" t="s">
        <v>55</v>
      </c>
      <c r="S72" s="2">
        <v>46211</v>
      </c>
      <c r="T72" s="2">
        <v>46211</v>
      </c>
      <c r="V72" s="1">
        <v>0</v>
      </c>
      <c r="W72" s="1">
        <v>0</v>
      </c>
      <c r="X72" s="1">
        <v>0</v>
      </c>
      <c r="Y72" s="1">
        <v>0</v>
      </c>
      <c r="Z72" s="1">
        <v>1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25">
      <c r="A73" s="1">
        <v>118</v>
      </c>
      <c r="B73" s="1" t="s">
        <v>231</v>
      </c>
      <c r="C73" s="1" t="s">
        <v>157</v>
      </c>
      <c r="D73" s="1" t="s">
        <v>232</v>
      </c>
      <c r="E73" s="1" t="s">
        <v>186</v>
      </c>
      <c r="F73" s="10">
        <v>46216</v>
      </c>
      <c r="G73" s="10">
        <v>46224</v>
      </c>
      <c r="H73" s="11">
        <v>0</v>
      </c>
      <c r="L73" s="1" t="s">
        <v>149</v>
      </c>
      <c r="M73" s="1" t="s">
        <v>187</v>
      </c>
      <c r="N73" s="2">
        <v>46211</v>
      </c>
      <c r="P73" s="1" t="s">
        <v>155</v>
      </c>
      <c r="Q73" s="1" t="s">
        <v>146</v>
      </c>
      <c r="R73" s="1" t="s">
        <v>55</v>
      </c>
      <c r="S73" s="2">
        <v>46195</v>
      </c>
      <c r="T73" s="2">
        <v>46211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25">
      <c r="A74" s="1">
        <v>119</v>
      </c>
      <c r="B74" s="1" t="s">
        <v>233</v>
      </c>
      <c r="C74" s="1" t="s">
        <v>234</v>
      </c>
      <c r="D74" s="1" t="s">
        <v>94</v>
      </c>
      <c r="E74" s="1" t="s">
        <v>95</v>
      </c>
      <c r="F74" s="10">
        <v>46216</v>
      </c>
      <c r="G74" s="10">
        <v>46219</v>
      </c>
      <c r="H74" s="11">
        <v>0</v>
      </c>
      <c r="J74" s="1">
        <v>331</v>
      </c>
      <c r="K74" s="1">
        <v>120</v>
      </c>
      <c r="L74" s="1" t="s">
        <v>149</v>
      </c>
      <c r="M74" s="1" t="s">
        <v>187</v>
      </c>
      <c r="N74" s="2">
        <v>46205</v>
      </c>
      <c r="P74" s="1" t="s">
        <v>155</v>
      </c>
      <c r="Q74" s="1" t="s">
        <v>146</v>
      </c>
      <c r="R74" s="1" t="s">
        <v>55</v>
      </c>
      <c r="S74" s="2">
        <v>46195</v>
      </c>
      <c r="T74" s="2">
        <v>46205</v>
      </c>
      <c r="V74" s="1">
        <v>0</v>
      </c>
      <c r="W74" s="1">
        <v>1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25">
      <c r="A75" s="1">
        <v>120</v>
      </c>
      <c r="B75" s="1" t="s">
        <v>235</v>
      </c>
      <c r="C75" s="1" t="s">
        <v>234</v>
      </c>
      <c r="D75" s="1" t="s">
        <v>98</v>
      </c>
      <c r="E75" s="1" t="s">
        <v>53</v>
      </c>
      <c r="F75" s="10">
        <v>46219</v>
      </c>
      <c r="G75" s="10">
        <v>46220</v>
      </c>
      <c r="H75" s="11">
        <v>0</v>
      </c>
      <c r="J75" s="1">
        <v>119</v>
      </c>
      <c r="K75" s="1">
        <v>121</v>
      </c>
      <c r="L75" s="1" t="s">
        <v>149</v>
      </c>
      <c r="M75" s="1" t="s">
        <v>191</v>
      </c>
      <c r="N75" s="2">
        <v>46206</v>
      </c>
      <c r="P75" s="1" t="s">
        <v>155</v>
      </c>
      <c r="Q75" s="1" t="s">
        <v>146</v>
      </c>
      <c r="R75" s="1" t="s">
        <v>55</v>
      </c>
      <c r="S75" s="2">
        <v>46206</v>
      </c>
      <c r="T75" s="2">
        <v>46206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25">
      <c r="A76" s="1">
        <v>121</v>
      </c>
      <c r="B76" s="1" t="s">
        <v>236</v>
      </c>
      <c r="C76" s="1" t="s">
        <v>234</v>
      </c>
      <c r="D76" s="1" t="s">
        <v>102</v>
      </c>
      <c r="E76" s="1" t="s">
        <v>53</v>
      </c>
      <c r="F76" s="10">
        <v>46220</v>
      </c>
      <c r="G76" s="10">
        <v>46223</v>
      </c>
      <c r="H76" s="11">
        <v>0</v>
      </c>
      <c r="J76" s="1">
        <v>120</v>
      </c>
      <c r="K76" s="1">
        <v>122</v>
      </c>
      <c r="L76" s="1" t="s">
        <v>149</v>
      </c>
      <c r="M76" s="1" t="s">
        <v>193</v>
      </c>
      <c r="N76" s="2">
        <v>46210</v>
      </c>
      <c r="P76" s="1" t="s">
        <v>155</v>
      </c>
      <c r="Q76" s="1" t="s">
        <v>146</v>
      </c>
      <c r="R76" s="1" t="s">
        <v>55</v>
      </c>
      <c r="S76" s="2">
        <v>46209</v>
      </c>
      <c r="T76" s="2">
        <v>46210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25">
      <c r="A77" s="1">
        <v>122</v>
      </c>
      <c r="B77" s="1" t="s">
        <v>237</v>
      </c>
      <c r="C77" s="1" t="s">
        <v>234</v>
      </c>
      <c r="D77" s="1" t="s">
        <v>108</v>
      </c>
      <c r="E77" s="1" t="s">
        <v>53</v>
      </c>
      <c r="F77" s="10">
        <v>46223</v>
      </c>
      <c r="G77" s="10">
        <v>46224</v>
      </c>
      <c r="H77" s="11">
        <v>0</v>
      </c>
      <c r="J77" s="1">
        <v>121</v>
      </c>
      <c r="L77" s="1" t="s">
        <v>149</v>
      </c>
      <c r="M77" s="1" t="s">
        <v>195</v>
      </c>
      <c r="N77" s="2">
        <v>46211</v>
      </c>
      <c r="P77" s="1" t="s">
        <v>155</v>
      </c>
      <c r="Q77" s="1" t="s">
        <v>151</v>
      </c>
      <c r="R77" s="1" t="s">
        <v>55</v>
      </c>
      <c r="S77" s="2">
        <v>46211</v>
      </c>
      <c r="T77" s="2">
        <v>46211</v>
      </c>
      <c r="V77" s="1">
        <v>0</v>
      </c>
      <c r="W77" s="1">
        <v>0</v>
      </c>
      <c r="X77" s="1">
        <v>0</v>
      </c>
      <c r="Y77" s="1">
        <v>0</v>
      </c>
      <c r="Z77" s="1">
        <v>1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x14ac:dyDescent="0.25">
      <c r="A78" s="1">
        <v>123</v>
      </c>
      <c r="B78" s="1" t="s">
        <v>238</v>
      </c>
      <c r="C78" s="1" t="s">
        <v>157</v>
      </c>
      <c r="D78" s="1" t="s">
        <v>239</v>
      </c>
      <c r="E78" s="1" t="s">
        <v>186</v>
      </c>
      <c r="F78" s="10">
        <v>46216</v>
      </c>
      <c r="G78" s="10">
        <v>46224</v>
      </c>
      <c r="H78" s="11">
        <v>0</v>
      </c>
      <c r="L78" s="1" t="s">
        <v>149</v>
      </c>
      <c r="M78" s="1" t="s">
        <v>187</v>
      </c>
      <c r="N78" s="2">
        <v>46211</v>
      </c>
      <c r="P78" s="1" t="s">
        <v>155</v>
      </c>
      <c r="Q78" s="1" t="s">
        <v>146</v>
      </c>
      <c r="R78" s="1" t="s">
        <v>55</v>
      </c>
      <c r="S78" s="2">
        <v>46195</v>
      </c>
      <c r="T78" s="2">
        <v>46211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</row>
    <row r="79" spans="1:33" x14ac:dyDescent="0.25">
      <c r="A79" s="1">
        <v>124</v>
      </c>
      <c r="B79" s="1" t="s">
        <v>240</v>
      </c>
      <c r="C79" s="1" t="s">
        <v>241</v>
      </c>
      <c r="D79" s="1" t="s">
        <v>94</v>
      </c>
      <c r="E79" s="1" t="s">
        <v>95</v>
      </c>
      <c r="F79" s="10">
        <v>46216</v>
      </c>
      <c r="G79" s="10">
        <v>46219</v>
      </c>
      <c r="H79" s="11">
        <v>0</v>
      </c>
      <c r="J79" s="1">
        <v>331</v>
      </c>
      <c r="K79" s="1">
        <v>125</v>
      </c>
      <c r="L79" s="1" t="s">
        <v>149</v>
      </c>
      <c r="M79" s="1" t="s">
        <v>187</v>
      </c>
      <c r="N79" s="2">
        <v>46205</v>
      </c>
      <c r="P79" s="1" t="s">
        <v>155</v>
      </c>
      <c r="Q79" s="1" t="s">
        <v>146</v>
      </c>
      <c r="R79" s="1" t="s">
        <v>55</v>
      </c>
      <c r="S79" s="2">
        <v>46195</v>
      </c>
      <c r="T79" s="2">
        <v>46205</v>
      </c>
      <c r="V79" s="1">
        <v>0</v>
      </c>
      <c r="W79" s="1">
        <v>1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25">
      <c r="A80" s="1">
        <v>125</v>
      </c>
      <c r="B80" s="1" t="s">
        <v>242</v>
      </c>
      <c r="C80" s="1" t="s">
        <v>241</v>
      </c>
      <c r="D80" s="1" t="s">
        <v>98</v>
      </c>
      <c r="E80" s="1" t="s">
        <v>53</v>
      </c>
      <c r="F80" s="10">
        <v>46219</v>
      </c>
      <c r="G80" s="10">
        <v>46220</v>
      </c>
      <c r="H80" s="11">
        <v>0</v>
      </c>
      <c r="J80" s="1">
        <v>124</v>
      </c>
      <c r="K80" s="1">
        <v>126</v>
      </c>
      <c r="L80" s="1" t="s">
        <v>149</v>
      </c>
      <c r="M80" s="1" t="s">
        <v>191</v>
      </c>
      <c r="N80" s="2">
        <v>46206</v>
      </c>
      <c r="P80" s="1" t="s">
        <v>155</v>
      </c>
      <c r="Q80" s="1" t="s">
        <v>146</v>
      </c>
      <c r="R80" s="1" t="s">
        <v>55</v>
      </c>
      <c r="S80" s="2">
        <v>46206</v>
      </c>
      <c r="T80" s="2">
        <v>46206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x14ac:dyDescent="0.25">
      <c r="A81" s="1">
        <v>126</v>
      </c>
      <c r="B81" s="1" t="s">
        <v>243</v>
      </c>
      <c r="C81" s="1" t="s">
        <v>241</v>
      </c>
      <c r="D81" s="1" t="s">
        <v>102</v>
      </c>
      <c r="E81" s="1" t="s">
        <v>53</v>
      </c>
      <c r="F81" s="10">
        <v>46220</v>
      </c>
      <c r="G81" s="10">
        <v>46223</v>
      </c>
      <c r="H81" s="11">
        <v>0</v>
      </c>
      <c r="J81" s="1">
        <v>125</v>
      </c>
      <c r="K81" s="1">
        <v>127</v>
      </c>
      <c r="L81" s="1" t="s">
        <v>149</v>
      </c>
      <c r="M81" s="1" t="s">
        <v>193</v>
      </c>
      <c r="N81" s="2">
        <v>46210</v>
      </c>
      <c r="P81" s="1" t="s">
        <v>155</v>
      </c>
      <c r="Q81" s="1" t="s">
        <v>146</v>
      </c>
      <c r="R81" s="1" t="s">
        <v>55</v>
      </c>
      <c r="S81" s="2">
        <v>46209</v>
      </c>
      <c r="T81" s="2">
        <v>46210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</row>
    <row r="82" spans="1:33" x14ac:dyDescent="0.25">
      <c r="A82" s="1">
        <v>127</v>
      </c>
      <c r="B82" s="1" t="s">
        <v>244</v>
      </c>
      <c r="C82" s="1" t="s">
        <v>241</v>
      </c>
      <c r="D82" s="1" t="s">
        <v>108</v>
      </c>
      <c r="E82" s="1" t="s">
        <v>53</v>
      </c>
      <c r="F82" s="10">
        <v>46223</v>
      </c>
      <c r="G82" s="10">
        <v>46224</v>
      </c>
      <c r="H82" s="11">
        <v>0</v>
      </c>
      <c r="J82" s="1">
        <v>126</v>
      </c>
      <c r="L82" s="1" t="s">
        <v>149</v>
      </c>
      <c r="M82" s="1" t="s">
        <v>195</v>
      </c>
      <c r="N82" s="2">
        <v>46211</v>
      </c>
      <c r="P82" s="1" t="s">
        <v>155</v>
      </c>
      <c r="Q82" s="1" t="s">
        <v>151</v>
      </c>
      <c r="R82" s="1" t="s">
        <v>55</v>
      </c>
      <c r="S82" s="2">
        <v>46211</v>
      </c>
      <c r="T82" s="2">
        <v>46211</v>
      </c>
      <c r="V82" s="1">
        <v>0</v>
      </c>
      <c r="W82" s="1">
        <v>0</v>
      </c>
      <c r="X82" s="1">
        <v>0</v>
      </c>
      <c r="Y82" s="1">
        <v>0</v>
      </c>
      <c r="Z82" s="1">
        <v>1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</row>
    <row r="83" spans="1:33" x14ac:dyDescent="0.25">
      <c r="A83" s="1">
        <v>128</v>
      </c>
      <c r="B83" s="1" t="s">
        <v>245</v>
      </c>
      <c r="C83" s="1" t="s">
        <v>157</v>
      </c>
      <c r="D83" s="1" t="s">
        <v>246</v>
      </c>
      <c r="E83" s="1" t="s">
        <v>186</v>
      </c>
      <c r="F83" s="10">
        <v>46216</v>
      </c>
      <c r="G83" s="10">
        <v>46224</v>
      </c>
      <c r="H83" s="11">
        <v>0</v>
      </c>
      <c r="L83" s="1" t="s">
        <v>149</v>
      </c>
      <c r="M83" s="1" t="s">
        <v>187</v>
      </c>
      <c r="N83" s="2">
        <v>46211</v>
      </c>
      <c r="P83" s="1" t="s">
        <v>155</v>
      </c>
      <c r="Q83" s="1" t="s">
        <v>146</v>
      </c>
      <c r="R83" s="1" t="s">
        <v>55</v>
      </c>
      <c r="S83" s="2">
        <v>46195</v>
      </c>
      <c r="T83" s="2">
        <v>46211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</row>
    <row r="84" spans="1:33" x14ac:dyDescent="0.25">
      <c r="A84" s="1">
        <v>129</v>
      </c>
      <c r="B84" s="1" t="s">
        <v>247</v>
      </c>
      <c r="C84" s="1" t="s">
        <v>248</v>
      </c>
      <c r="D84" s="1" t="s">
        <v>94</v>
      </c>
      <c r="E84" s="1" t="s">
        <v>95</v>
      </c>
      <c r="F84" s="10">
        <v>46216</v>
      </c>
      <c r="G84" s="10">
        <v>46219</v>
      </c>
      <c r="H84" s="11">
        <v>0</v>
      </c>
      <c r="J84" s="1">
        <v>331</v>
      </c>
      <c r="K84" s="1">
        <v>130</v>
      </c>
      <c r="L84" s="1" t="s">
        <v>149</v>
      </c>
      <c r="M84" s="1" t="s">
        <v>187</v>
      </c>
      <c r="N84" s="2">
        <v>46205</v>
      </c>
      <c r="P84" s="1" t="s">
        <v>155</v>
      </c>
      <c r="Q84" s="1" t="s">
        <v>146</v>
      </c>
      <c r="R84" s="1" t="s">
        <v>55</v>
      </c>
      <c r="S84" s="2">
        <v>46195</v>
      </c>
      <c r="T84" s="2">
        <v>46205</v>
      </c>
      <c r="V84" s="1">
        <v>0</v>
      </c>
      <c r="W84" s="1">
        <v>1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25">
      <c r="A85" s="1">
        <v>130</v>
      </c>
      <c r="B85" s="1" t="s">
        <v>249</v>
      </c>
      <c r="C85" s="1" t="s">
        <v>248</v>
      </c>
      <c r="D85" s="1" t="s">
        <v>98</v>
      </c>
      <c r="E85" s="1" t="s">
        <v>53</v>
      </c>
      <c r="F85" s="10">
        <v>46219</v>
      </c>
      <c r="G85" s="10">
        <v>46220</v>
      </c>
      <c r="H85" s="11">
        <v>0</v>
      </c>
      <c r="J85" s="1">
        <v>129</v>
      </c>
      <c r="K85" s="1">
        <v>131</v>
      </c>
      <c r="L85" s="1" t="s">
        <v>149</v>
      </c>
      <c r="M85" s="1" t="s">
        <v>191</v>
      </c>
      <c r="N85" s="2">
        <v>46206</v>
      </c>
      <c r="P85" s="1" t="s">
        <v>155</v>
      </c>
      <c r="Q85" s="1" t="s">
        <v>146</v>
      </c>
      <c r="R85" s="1" t="s">
        <v>55</v>
      </c>
      <c r="S85" s="2">
        <v>46206</v>
      </c>
      <c r="T85" s="2">
        <v>46206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25">
      <c r="A86" s="1">
        <v>131</v>
      </c>
      <c r="B86" s="1" t="s">
        <v>250</v>
      </c>
      <c r="C86" s="1" t="s">
        <v>248</v>
      </c>
      <c r="D86" s="1" t="s">
        <v>102</v>
      </c>
      <c r="E86" s="1" t="s">
        <v>53</v>
      </c>
      <c r="F86" s="10">
        <v>46220</v>
      </c>
      <c r="G86" s="10">
        <v>46223</v>
      </c>
      <c r="H86" s="11">
        <v>0</v>
      </c>
      <c r="J86" s="1">
        <v>130</v>
      </c>
      <c r="K86" s="1">
        <v>132</v>
      </c>
      <c r="L86" s="1" t="s">
        <v>149</v>
      </c>
      <c r="M86" s="1" t="s">
        <v>193</v>
      </c>
      <c r="N86" s="2">
        <v>46210</v>
      </c>
      <c r="P86" s="1" t="s">
        <v>155</v>
      </c>
      <c r="Q86" s="1" t="s">
        <v>146</v>
      </c>
      <c r="R86" s="1" t="s">
        <v>55</v>
      </c>
      <c r="S86" s="2">
        <v>46209</v>
      </c>
      <c r="T86" s="2">
        <v>46210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x14ac:dyDescent="0.25">
      <c r="A87" s="1">
        <v>132</v>
      </c>
      <c r="B87" s="1" t="s">
        <v>251</v>
      </c>
      <c r="C87" s="1" t="s">
        <v>248</v>
      </c>
      <c r="D87" s="1" t="s">
        <v>108</v>
      </c>
      <c r="E87" s="1" t="s">
        <v>53</v>
      </c>
      <c r="F87" s="10">
        <v>46223</v>
      </c>
      <c r="G87" s="10">
        <v>46224</v>
      </c>
      <c r="H87" s="11">
        <v>0</v>
      </c>
      <c r="J87" s="1">
        <v>131</v>
      </c>
      <c r="L87" s="1" t="s">
        <v>149</v>
      </c>
      <c r="M87" s="1" t="s">
        <v>195</v>
      </c>
      <c r="N87" s="2">
        <v>46211</v>
      </c>
      <c r="P87" s="1" t="s">
        <v>155</v>
      </c>
      <c r="Q87" s="1" t="s">
        <v>151</v>
      </c>
      <c r="R87" s="1" t="s">
        <v>55</v>
      </c>
      <c r="S87" s="2">
        <v>46211</v>
      </c>
      <c r="T87" s="2">
        <v>46211</v>
      </c>
      <c r="V87" s="1">
        <v>0</v>
      </c>
      <c r="W87" s="1">
        <v>0</v>
      </c>
      <c r="X87" s="1">
        <v>0</v>
      </c>
      <c r="Y87" s="1">
        <v>0</v>
      </c>
      <c r="Z87" s="1">
        <v>1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</row>
    <row r="88" spans="1:33" x14ac:dyDescent="0.25">
      <c r="A88" s="1">
        <v>133</v>
      </c>
      <c r="B88" s="1" t="s">
        <v>252</v>
      </c>
      <c r="C88" s="1" t="s">
        <v>157</v>
      </c>
      <c r="D88" s="1" t="s">
        <v>253</v>
      </c>
      <c r="E88" s="1" t="s">
        <v>254</v>
      </c>
      <c r="F88" s="10">
        <v>46195</v>
      </c>
      <c r="G88" s="10">
        <v>46210</v>
      </c>
      <c r="H88" s="11">
        <v>0.67</v>
      </c>
      <c r="L88" s="1" t="s">
        <v>35</v>
      </c>
      <c r="M88" s="1" t="s">
        <v>255</v>
      </c>
      <c r="N88" s="2">
        <v>46188</v>
      </c>
      <c r="P88" s="1" t="s">
        <v>155</v>
      </c>
      <c r="Q88" s="1" t="s">
        <v>133</v>
      </c>
      <c r="R88" s="1" t="s">
        <v>55</v>
      </c>
      <c r="S88" s="2">
        <v>46171</v>
      </c>
      <c r="T88" s="2">
        <v>46188</v>
      </c>
      <c r="V88" s="1">
        <v>0.67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</row>
    <row r="89" spans="1:33" x14ac:dyDescent="0.25">
      <c r="A89" s="1">
        <v>134</v>
      </c>
      <c r="B89" s="1" t="s">
        <v>256</v>
      </c>
      <c r="C89" s="1" t="s">
        <v>257</v>
      </c>
      <c r="D89" s="1" t="s">
        <v>94</v>
      </c>
      <c r="E89" s="1" t="s">
        <v>258</v>
      </c>
      <c r="F89" s="10">
        <v>46195</v>
      </c>
      <c r="G89" s="10">
        <v>46204</v>
      </c>
      <c r="H89" s="11">
        <v>1</v>
      </c>
      <c r="I89" s="10">
        <v>46204</v>
      </c>
      <c r="J89" s="1">
        <v>185</v>
      </c>
      <c r="K89" s="1">
        <v>135</v>
      </c>
      <c r="L89" s="1" t="s">
        <v>59</v>
      </c>
      <c r="M89" s="1" t="s">
        <v>255</v>
      </c>
      <c r="N89" s="2">
        <v>46182</v>
      </c>
      <c r="P89" s="1" t="s">
        <v>155</v>
      </c>
      <c r="Q89" s="1" t="s">
        <v>133</v>
      </c>
      <c r="R89" s="1" t="s">
        <v>55</v>
      </c>
      <c r="S89" s="2">
        <v>46171</v>
      </c>
      <c r="T89" s="2">
        <v>46182</v>
      </c>
      <c r="V89" s="1">
        <v>1</v>
      </c>
      <c r="W89" s="1">
        <v>1</v>
      </c>
      <c r="X89" s="1">
        <v>1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1</v>
      </c>
    </row>
    <row r="90" spans="1:33" x14ac:dyDescent="0.25">
      <c r="A90" s="1">
        <v>135</v>
      </c>
      <c r="B90" s="1" t="s">
        <v>259</v>
      </c>
      <c r="C90" s="1" t="s">
        <v>257</v>
      </c>
      <c r="D90" s="1" t="s">
        <v>98</v>
      </c>
      <c r="E90" s="1" t="s">
        <v>53</v>
      </c>
      <c r="F90" s="10">
        <v>46205</v>
      </c>
      <c r="G90" s="10">
        <v>46205</v>
      </c>
      <c r="H90" s="11">
        <v>0</v>
      </c>
      <c r="J90" s="1">
        <v>134</v>
      </c>
      <c r="K90" s="1">
        <v>136</v>
      </c>
      <c r="L90" s="1" t="s">
        <v>35</v>
      </c>
      <c r="M90" s="1" t="s">
        <v>260</v>
      </c>
      <c r="N90" s="2">
        <v>46183</v>
      </c>
      <c r="P90" s="1" t="s">
        <v>155</v>
      </c>
      <c r="Q90" s="1" t="s">
        <v>178</v>
      </c>
      <c r="R90" s="1" t="s">
        <v>55</v>
      </c>
      <c r="S90" s="2">
        <v>46183</v>
      </c>
      <c r="T90" s="2">
        <v>46183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1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</row>
    <row r="91" spans="1:33" x14ac:dyDescent="0.25">
      <c r="A91" s="1">
        <v>136</v>
      </c>
      <c r="B91" s="1" t="s">
        <v>261</v>
      </c>
      <c r="C91" s="1" t="s">
        <v>257</v>
      </c>
      <c r="D91" s="1" t="s">
        <v>102</v>
      </c>
      <c r="E91" s="1" t="s">
        <v>121</v>
      </c>
      <c r="F91" s="10">
        <v>46206</v>
      </c>
      <c r="G91" s="10">
        <v>46209</v>
      </c>
      <c r="H91" s="11">
        <v>0</v>
      </c>
      <c r="J91" s="1">
        <v>135</v>
      </c>
      <c r="K91" s="1">
        <v>137</v>
      </c>
      <c r="L91" s="1" t="s">
        <v>35</v>
      </c>
      <c r="M91" s="1" t="s">
        <v>262</v>
      </c>
      <c r="N91" s="2">
        <v>46185</v>
      </c>
      <c r="P91" s="1" t="s">
        <v>155</v>
      </c>
      <c r="Q91" s="1" t="s">
        <v>178</v>
      </c>
      <c r="R91" s="1" t="s">
        <v>55</v>
      </c>
      <c r="S91" s="2">
        <v>46184</v>
      </c>
      <c r="T91" s="2">
        <v>46185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1</v>
      </c>
      <c r="AE91" s="1">
        <v>0</v>
      </c>
      <c r="AF91" s="1">
        <v>0</v>
      </c>
      <c r="AG91" s="1">
        <v>0</v>
      </c>
    </row>
    <row r="92" spans="1:33" x14ac:dyDescent="0.25">
      <c r="A92" s="1">
        <v>137</v>
      </c>
      <c r="B92" s="1" t="s">
        <v>263</v>
      </c>
      <c r="C92" s="1" t="s">
        <v>257</v>
      </c>
      <c r="D92" s="1" t="s">
        <v>108</v>
      </c>
      <c r="E92" s="1" t="s">
        <v>53</v>
      </c>
      <c r="F92" s="10">
        <v>46210</v>
      </c>
      <c r="G92" s="10">
        <v>46210</v>
      </c>
      <c r="H92" s="11">
        <v>0</v>
      </c>
      <c r="J92" s="1">
        <v>136</v>
      </c>
      <c r="L92" s="1" t="s">
        <v>180</v>
      </c>
      <c r="M92" s="1" t="s">
        <v>264</v>
      </c>
      <c r="N92" s="2">
        <v>46188</v>
      </c>
      <c r="P92" s="1" t="s">
        <v>155</v>
      </c>
      <c r="Q92" s="1" t="s">
        <v>146</v>
      </c>
      <c r="R92" s="1" t="s">
        <v>55</v>
      </c>
      <c r="S92" s="2">
        <v>46188</v>
      </c>
      <c r="T92" s="2">
        <v>46188</v>
      </c>
      <c r="V92" s="1">
        <v>0</v>
      </c>
      <c r="W92" s="1">
        <v>0</v>
      </c>
      <c r="X92" s="1">
        <v>0</v>
      </c>
      <c r="Y92" s="1">
        <v>0</v>
      </c>
      <c r="Z92" s="1">
        <v>1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</row>
    <row r="93" spans="1:33" x14ac:dyDescent="0.25">
      <c r="A93" s="1">
        <v>138</v>
      </c>
      <c r="B93" s="1" t="s">
        <v>265</v>
      </c>
      <c r="C93" s="1" t="s">
        <v>157</v>
      </c>
      <c r="D93" s="1" t="s">
        <v>266</v>
      </c>
      <c r="E93" s="1" t="s">
        <v>254</v>
      </c>
      <c r="F93" s="10">
        <v>46195</v>
      </c>
      <c r="G93" s="10">
        <v>46210</v>
      </c>
      <c r="H93" s="11">
        <v>0.67</v>
      </c>
      <c r="L93" s="1" t="s">
        <v>35</v>
      </c>
      <c r="M93" s="1" t="s">
        <v>255</v>
      </c>
      <c r="N93" s="2">
        <v>46188</v>
      </c>
      <c r="P93" s="1" t="s">
        <v>155</v>
      </c>
      <c r="Q93" s="1" t="s">
        <v>133</v>
      </c>
      <c r="R93" s="1" t="s">
        <v>55</v>
      </c>
      <c r="S93" s="2">
        <v>46171</v>
      </c>
      <c r="T93" s="2">
        <v>46188</v>
      </c>
      <c r="V93" s="1">
        <v>0.67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</row>
    <row r="94" spans="1:33" x14ac:dyDescent="0.25">
      <c r="A94" s="1">
        <v>139</v>
      </c>
      <c r="B94" s="1" t="s">
        <v>267</v>
      </c>
      <c r="C94" s="1" t="s">
        <v>268</v>
      </c>
      <c r="D94" s="1" t="s">
        <v>94</v>
      </c>
      <c r="E94" s="1" t="s">
        <v>258</v>
      </c>
      <c r="F94" s="10">
        <v>46195</v>
      </c>
      <c r="G94" s="10">
        <v>46204</v>
      </c>
      <c r="H94" s="11">
        <v>1</v>
      </c>
      <c r="I94" s="10">
        <v>46204</v>
      </c>
      <c r="J94" s="1">
        <v>185</v>
      </c>
      <c r="K94" s="1">
        <v>140</v>
      </c>
      <c r="L94" s="1" t="s">
        <v>59</v>
      </c>
      <c r="M94" s="1" t="s">
        <v>255</v>
      </c>
      <c r="N94" s="2">
        <v>46182</v>
      </c>
      <c r="P94" s="1" t="s">
        <v>155</v>
      </c>
      <c r="Q94" s="1" t="s">
        <v>133</v>
      </c>
      <c r="R94" s="1" t="s">
        <v>55</v>
      </c>
      <c r="S94" s="2">
        <v>46171</v>
      </c>
      <c r="T94" s="2">
        <v>46182</v>
      </c>
      <c r="V94" s="1">
        <v>1</v>
      </c>
      <c r="W94" s="1">
        <v>1</v>
      </c>
      <c r="X94" s="1">
        <v>1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1</v>
      </c>
    </row>
    <row r="95" spans="1:33" x14ac:dyDescent="0.25">
      <c r="A95" s="1">
        <v>140</v>
      </c>
      <c r="B95" s="1" t="s">
        <v>269</v>
      </c>
      <c r="C95" s="1" t="s">
        <v>268</v>
      </c>
      <c r="D95" s="1" t="s">
        <v>98</v>
      </c>
      <c r="E95" s="1" t="s">
        <v>53</v>
      </c>
      <c r="F95" s="10">
        <v>46205</v>
      </c>
      <c r="G95" s="10">
        <v>46205</v>
      </c>
      <c r="H95" s="11">
        <v>0</v>
      </c>
      <c r="J95" s="1">
        <v>139</v>
      </c>
      <c r="K95" s="1">
        <v>141</v>
      </c>
      <c r="L95" s="1" t="s">
        <v>35</v>
      </c>
      <c r="M95" s="1" t="s">
        <v>260</v>
      </c>
      <c r="N95" s="2">
        <v>46183</v>
      </c>
      <c r="P95" s="1" t="s">
        <v>155</v>
      </c>
      <c r="Q95" s="1" t="s">
        <v>178</v>
      </c>
      <c r="R95" s="1" t="s">
        <v>55</v>
      </c>
      <c r="S95" s="2">
        <v>46183</v>
      </c>
      <c r="T95" s="2">
        <v>46183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</row>
    <row r="96" spans="1:33" x14ac:dyDescent="0.25">
      <c r="A96" s="1">
        <v>141</v>
      </c>
      <c r="B96" s="1" t="s">
        <v>270</v>
      </c>
      <c r="C96" s="1" t="s">
        <v>268</v>
      </c>
      <c r="D96" s="1" t="s">
        <v>102</v>
      </c>
      <c r="E96" s="1" t="s">
        <v>121</v>
      </c>
      <c r="F96" s="10">
        <v>46206</v>
      </c>
      <c r="G96" s="10">
        <v>46209</v>
      </c>
      <c r="H96" s="11">
        <v>0</v>
      </c>
      <c r="J96" s="1">
        <v>140</v>
      </c>
      <c r="K96" s="1">
        <v>142</v>
      </c>
      <c r="L96" s="1" t="s">
        <v>35</v>
      </c>
      <c r="M96" s="1" t="s">
        <v>262</v>
      </c>
      <c r="N96" s="2">
        <v>46185</v>
      </c>
      <c r="P96" s="1" t="s">
        <v>155</v>
      </c>
      <c r="Q96" s="1" t="s">
        <v>178</v>
      </c>
      <c r="R96" s="1" t="s">
        <v>55</v>
      </c>
      <c r="S96" s="2">
        <v>46184</v>
      </c>
      <c r="T96" s="2">
        <v>46185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1</v>
      </c>
      <c r="AE96" s="1">
        <v>0</v>
      </c>
      <c r="AF96" s="1">
        <v>0</v>
      </c>
      <c r="AG96" s="1">
        <v>0</v>
      </c>
    </row>
    <row r="97" spans="1:33" x14ac:dyDescent="0.25">
      <c r="A97" s="1">
        <v>142</v>
      </c>
      <c r="B97" s="1" t="s">
        <v>271</v>
      </c>
      <c r="C97" s="1" t="s">
        <v>268</v>
      </c>
      <c r="D97" s="1" t="s">
        <v>108</v>
      </c>
      <c r="E97" s="1" t="s">
        <v>53</v>
      </c>
      <c r="F97" s="10">
        <v>46210</v>
      </c>
      <c r="G97" s="10">
        <v>46210</v>
      </c>
      <c r="H97" s="11">
        <v>0</v>
      </c>
      <c r="J97" s="1">
        <v>141</v>
      </c>
      <c r="L97" s="1" t="s">
        <v>180</v>
      </c>
      <c r="M97" s="1" t="s">
        <v>264</v>
      </c>
      <c r="N97" s="2">
        <v>46188</v>
      </c>
      <c r="P97" s="1" t="s">
        <v>155</v>
      </c>
      <c r="Q97" s="1" t="s">
        <v>146</v>
      </c>
      <c r="R97" s="1" t="s">
        <v>55</v>
      </c>
      <c r="S97" s="2">
        <v>46188</v>
      </c>
      <c r="T97" s="2">
        <v>46188</v>
      </c>
      <c r="V97" s="1">
        <v>0</v>
      </c>
      <c r="W97" s="1">
        <v>0</v>
      </c>
      <c r="X97" s="1">
        <v>0</v>
      </c>
      <c r="Y97" s="1">
        <v>0</v>
      </c>
      <c r="Z97" s="1">
        <v>1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</row>
    <row r="98" spans="1:33" x14ac:dyDescent="0.25">
      <c r="A98" s="1">
        <v>143</v>
      </c>
      <c r="B98" s="1" t="s">
        <v>272</v>
      </c>
      <c r="C98" s="1" t="s">
        <v>157</v>
      </c>
      <c r="D98" s="1" t="s">
        <v>273</v>
      </c>
      <c r="E98" s="1" t="s">
        <v>254</v>
      </c>
      <c r="F98" s="10">
        <v>46195</v>
      </c>
      <c r="G98" s="10">
        <v>46210</v>
      </c>
      <c r="H98" s="11">
        <v>0.67</v>
      </c>
      <c r="L98" s="1" t="s">
        <v>35</v>
      </c>
      <c r="M98" s="1" t="s">
        <v>255</v>
      </c>
      <c r="N98" s="2">
        <v>46188</v>
      </c>
      <c r="P98" s="1" t="s">
        <v>155</v>
      </c>
      <c r="Q98" s="1" t="s">
        <v>133</v>
      </c>
      <c r="R98" s="1" t="s">
        <v>55</v>
      </c>
      <c r="S98" s="2">
        <v>46171</v>
      </c>
      <c r="T98" s="2">
        <v>46188</v>
      </c>
      <c r="V98" s="1">
        <v>0.67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</row>
    <row r="99" spans="1:33" x14ac:dyDescent="0.25">
      <c r="A99" s="1">
        <v>144</v>
      </c>
      <c r="B99" s="1" t="s">
        <v>274</v>
      </c>
      <c r="C99" s="1" t="s">
        <v>275</v>
      </c>
      <c r="D99" s="1" t="s">
        <v>94</v>
      </c>
      <c r="E99" s="1" t="s">
        <v>258</v>
      </c>
      <c r="F99" s="10">
        <v>46195</v>
      </c>
      <c r="G99" s="10">
        <v>46204</v>
      </c>
      <c r="H99" s="11">
        <v>1</v>
      </c>
      <c r="I99" s="10">
        <v>46204</v>
      </c>
      <c r="J99" s="1">
        <v>185</v>
      </c>
      <c r="K99" s="1">
        <v>145</v>
      </c>
      <c r="L99" s="1" t="s">
        <v>59</v>
      </c>
      <c r="M99" s="1" t="s">
        <v>255</v>
      </c>
      <c r="N99" s="2">
        <v>46182</v>
      </c>
      <c r="P99" s="1" t="s">
        <v>155</v>
      </c>
      <c r="Q99" s="1" t="s">
        <v>133</v>
      </c>
      <c r="R99" s="1" t="s">
        <v>55</v>
      </c>
      <c r="S99" s="2">
        <v>46171</v>
      </c>
      <c r="T99" s="2">
        <v>46182</v>
      </c>
      <c r="V99" s="1">
        <v>1</v>
      </c>
      <c r="W99" s="1">
        <v>1</v>
      </c>
      <c r="X99" s="1">
        <v>1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1</v>
      </c>
    </row>
    <row r="100" spans="1:33" x14ac:dyDescent="0.25">
      <c r="A100" s="1">
        <v>145</v>
      </c>
      <c r="B100" s="1" t="s">
        <v>276</v>
      </c>
      <c r="C100" s="1" t="s">
        <v>275</v>
      </c>
      <c r="D100" s="1" t="s">
        <v>98</v>
      </c>
      <c r="E100" s="1" t="s">
        <v>53</v>
      </c>
      <c r="F100" s="10">
        <v>46205</v>
      </c>
      <c r="G100" s="10">
        <v>46205</v>
      </c>
      <c r="H100" s="11">
        <v>0</v>
      </c>
      <c r="J100" s="1">
        <v>144</v>
      </c>
      <c r="K100" s="1">
        <v>146</v>
      </c>
      <c r="L100" s="1" t="s">
        <v>35</v>
      </c>
      <c r="M100" s="1" t="s">
        <v>260</v>
      </c>
      <c r="N100" s="2">
        <v>46183</v>
      </c>
      <c r="P100" s="1" t="s">
        <v>155</v>
      </c>
      <c r="Q100" s="1" t="s">
        <v>178</v>
      </c>
      <c r="R100" s="1" t="s">
        <v>55</v>
      </c>
      <c r="S100" s="2">
        <v>46183</v>
      </c>
      <c r="T100" s="2">
        <v>46183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1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</row>
    <row r="101" spans="1:33" x14ac:dyDescent="0.25">
      <c r="A101" s="1">
        <v>146</v>
      </c>
      <c r="B101" s="1" t="s">
        <v>277</v>
      </c>
      <c r="C101" s="1" t="s">
        <v>275</v>
      </c>
      <c r="D101" s="1" t="s">
        <v>102</v>
      </c>
      <c r="E101" s="1" t="s">
        <v>121</v>
      </c>
      <c r="F101" s="10">
        <v>46206</v>
      </c>
      <c r="G101" s="10">
        <v>46209</v>
      </c>
      <c r="H101" s="11">
        <v>0</v>
      </c>
      <c r="J101" s="1">
        <v>145</v>
      </c>
      <c r="K101" s="1">
        <v>147</v>
      </c>
      <c r="L101" s="1" t="s">
        <v>35</v>
      </c>
      <c r="M101" s="1" t="s">
        <v>262</v>
      </c>
      <c r="N101" s="2">
        <v>46185</v>
      </c>
      <c r="P101" s="1" t="s">
        <v>155</v>
      </c>
      <c r="Q101" s="1" t="s">
        <v>178</v>
      </c>
      <c r="R101" s="1" t="s">
        <v>55</v>
      </c>
      <c r="S101" s="2">
        <v>46184</v>
      </c>
      <c r="T101" s="2">
        <v>46185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1</v>
      </c>
      <c r="AE101" s="1">
        <v>0</v>
      </c>
      <c r="AF101" s="1">
        <v>0</v>
      </c>
      <c r="AG101" s="1">
        <v>0</v>
      </c>
    </row>
    <row r="102" spans="1:33" x14ac:dyDescent="0.25">
      <c r="A102" s="1">
        <v>147</v>
      </c>
      <c r="B102" s="1" t="s">
        <v>278</v>
      </c>
      <c r="C102" s="1" t="s">
        <v>275</v>
      </c>
      <c r="D102" s="1" t="s">
        <v>108</v>
      </c>
      <c r="E102" s="1" t="s">
        <v>53</v>
      </c>
      <c r="F102" s="10">
        <v>46210</v>
      </c>
      <c r="G102" s="10">
        <v>46210</v>
      </c>
      <c r="H102" s="11">
        <v>0</v>
      </c>
      <c r="J102" s="1">
        <v>146</v>
      </c>
      <c r="L102" s="1" t="s">
        <v>180</v>
      </c>
      <c r="M102" s="1" t="s">
        <v>264</v>
      </c>
      <c r="N102" s="2">
        <v>46188</v>
      </c>
      <c r="P102" s="1" t="s">
        <v>155</v>
      </c>
      <c r="Q102" s="1" t="s">
        <v>146</v>
      </c>
      <c r="R102" s="1" t="s">
        <v>55</v>
      </c>
      <c r="S102" s="2">
        <v>46188</v>
      </c>
      <c r="T102" s="2">
        <v>46188</v>
      </c>
      <c r="V102" s="1">
        <v>0</v>
      </c>
      <c r="W102" s="1">
        <v>0</v>
      </c>
      <c r="X102" s="1">
        <v>0</v>
      </c>
      <c r="Y102" s="1">
        <v>0</v>
      </c>
      <c r="Z102" s="1">
        <v>1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</row>
    <row r="103" spans="1:33" x14ac:dyDescent="0.25">
      <c r="A103" s="1">
        <v>148</v>
      </c>
      <c r="B103" s="1" t="s">
        <v>279</v>
      </c>
      <c r="C103" s="1" t="s">
        <v>157</v>
      </c>
      <c r="D103" s="1" t="s">
        <v>280</v>
      </c>
      <c r="E103" s="1" t="s">
        <v>254</v>
      </c>
      <c r="F103" s="10">
        <v>46195</v>
      </c>
      <c r="G103" s="10">
        <v>46210</v>
      </c>
      <c r="H103" s="11">
        <v>0.67</v>
      </c>
      <c r="L103" s="1" t="s">
        <v>35</v>
      </c>
      <c r="M103" s="1" t="s">
        <v>255</v>
      </c>
      <c r="N103" s="2">
        <v>46188</v>
      </c>
      <c r="P103" s="1" t="s">
        <v>155</v>
      </c>
      <c r="Q103" s="1" t="s">
        <v>133</v>
      </c>
      <c r="R103" s="1" t="s">
        <v>55</v>
      </c>
      <c r="S103" s="2">
        <v>46171</v>
      </c>
      <c r="T103" s="2">
        <v>46188</v>
      </c>
      <c r="V103" s="1">
        <v>0.67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</row>
    <row r="104" spans="1:33" x14ac:dyDescent="0.25">
      <c r="A104" s="1">
        <v>149</v>
      </c>
      <c r="B104" s="1" t="s">
        <v>281</v>
      </c>
      <c r="C104" s="1" t="s">
        <v>282</v>
      </c>
      <c r="D104" s="1" t="s">
        <v>94</v>
      </c>
      <c r="E104" s="1" t="s">
        <v>258</v>
      </c>
      <c r="F104" s="10">
        <v>46195</v>
      </c>
      <c r="G104" s="10">
        <v>46204</v>
      </c>
      <c r="H104" s="11">
        <v>1</v>
      </c>
      <c r="I104" s="10">
        <v>46204</v>
      </c>
      <c r="J104" s="1">
        <v>185</v>
      </c>
      <c r="K104" s="1">
        <v>150</v>
      </c>
      <c r="L104" s="1" t="s">
        <v>59</v>
      </c>
      <c r="M104" s="1" t="s">
        <v>255</v>
      </c>
      <c r="N104" s="2">
        <v>46182</v>
      </c>
      <c r="P104" s="1" t="s">
        <v>155</v>
      </c>
      <c r="Q104" s="1" t="s">
        <v>133</v>
      </c>
      <c r="R104" s="1" t="s">
        <v>55</v>
      </c>
      <c r="S104" s="2">
        <v>46171</v>
      </c>
      <c r="T104" s="2">
        <v>46182</v>
      </c>
      <c r="V104" s="1">
        <v>1</v>
      </c>
      <c r="W104" s="1">
        <v>1</v>
      </c>
      <c r="X104" s="1">
        <v>1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1</v>
      </c>
    </row>
    <row r="105" spans="1:33" x14ac:dyDescent="0.25">
      <c r="A105" s="1">
        <v>150</v>
      </c>
      <c r="B105" s="1" t="s">
        <v>283</v>
      </c>
      <c r="C105" s="1" t="s">
        <v>282</v>
      </c>
      <c r="D105" s="1" t="s">
        <v>98</v>
      </c>
      <c r="E105" s="1" t="s">
        <v>53</v>
      </c>
      <c r="F105" s="10">
        <v>46205</v>
      </c>
      <c r="G105" s="10">
        <v>46205</v>
      </c>
      <c r="H105" s="11">
        <v>0</v>
      </c>
      <c r="J105" s="1">
        <v>149</v>
      </c>
      <c r="K105" s="1">
        <v>151</v>
      </c>
      <c r="L105" s="1" t="s">
        <v>35</v>
      </c>
      <c r="M105" s="1" t="s">
        <v>260</v>
      </c>
      <c r="N105" s="2">
        <v>46183</v>
      </c>
      <c r="P105" s="1" t="s">
        <v>155</v>
      </c>
      <c r="Q105" s="1" t="s">
        <v>178</v>
      </c>
      <c r="R105" s="1" t="s">
        <v>55</v>
      </c>
      <c r="S105" s="2">
        <v>46183</v>
      </c>
      <c r="T105" s="2">
        <v>46183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1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</row>
    <row r="106" spans="1:33" x14ac:dyDescent="0.25">
      <c r="A106" s="1">
        <v>151</v>
      </c>
      <c r="B106" s="1" t="s">
        <v>284</v>
      </c>
      <c r="C106" s="1" t="s">
        <v>282</v>
      </c>
      <c r="D106" s="1" t="s">
        <v>102</v>
      </c>
      <c r="E106" s="1" t="s">
        <v>121</v>
      </c>
      <c r="F106" s="10">
        <v>46206</v>
      </c>
      <c r="G106" s="10">
        <v>46209</v>
      </c>
      <c r="H106" s="11">
        <v>0</v>
      </c>
      <c r="J106" s="1">
        <v>150</v>
      </c>
      <c r="K106" s="1">
        <v>152</v>
      </c>
      <c r="L106" s="1" t="s">
        <v>35</v>
      </c>
      <c r="M106" s="1" t="s">
        <v>262</v>
      </c>
      <c r="N106" s="2">
        <v>46185</v>
      </c>
      <c r="P106" s="1" t="s">
        <v>155</v>
      </c>
      <c r="Q106" s="1" t="s">
        <v>178</v>
      </c>
      <c r="R106" s="1" t="s">
        <v>55</v>
      </c>
      <c r="S106" s="2">
        <v>46184</v>
      </c>
      <c r="T106" s="2">
        <v>46185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1</v>
      </c>
      <c r="AE106" s="1">
        <v>0</v>
      </c>
      <c r="AF106" s="1">
        <v>0</v>
      </c>
      <c r="AG106" s="1">
        <v>0</v>
      </c>
    </row>
    <row r="107" spans="1:33" x14ac:dyDescent="0.25">
      <c r="A107" s="1">
        <v>152</v>
      </c>
      <c r="B107" s="1" t="s">
        <v>285</v>
      </c>
      <c r="C107" s="1" t="s">
        <v>282</v>
      </c>
      <c r="D107" s="1" t="s">
        <v>108</v>
      </c>
      <c r="E107" s="1" t="s">
        <v>53</v>
      </c>
      <c r="F107" s="10">
        <v>46210</v>
      </c>
      <c r="G107" s="10">
        <v>46210</v>
      </c>
      <c r="H107" s="11">
        <v>0</v>
      </c>
      <c r="J107" s="1">
        <v>151</v>
      </c>
      <c r="L107" s="1" t="s">
        <v>180</v>
      </c>
      <c r="M107" s="1" t="s">
        <v>264</v>
      </c>
      <c r="N107" s="2">
        <v>46188</v>
      </c>
      <c r="P107" s="1" t="s">
        <v>155</v>
      </c>
      <c r="Q107" s="1" t="s">
        <v>146</v>
      </c>
      <c r="R107" s="1" t="s">
        <v>55</v>
      </c>
      <c r="S107" s="2">
        <v>46188</v>
      </c>
      <c r="T107" s="2">
        <v>46188</v>
      </c>
      <c r="V107" s="1">
        <v>0</v>
      </c>
      <c r="W107" s="1">
        <v>0</v>
      </c>
      <c r="X107" s="1">
        <v>0</v>
      </c>
      <c r="Y107" s="1">
        <v>0</v>
      </c>
      <c r="Z107" s="1">
        <v>1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</row>
    <row r="108" spans="1:33" x14ac:dyDescent="0.25">
      <c r="A108" s="1">
        <v>153</v>
      </c>
      <c r="B108" s="1" t="s">
        <v>286</v>
      </c>
      <c r="C108" s="1" t="s">
        <v>157</v>
      </c>
      <c r="D108" s="1" t="s">
        <v>287</v>
      </c>
      <c r="E108" s="1" t="s">
        <v>254</v>
      </c>
      <c r="F108" s="10">
        <v>46195</v>
      </c>
      <c r="G108" s="10">
        <v>46210</v>
      </c>
      <c r="H108" s="11">
        <v>0.67</v>
      </c>
      <c r="L108" s="1" t="s">
        <v>35</v>
      </c>
      <c r="M108" s="1" t="s">
        <v>255</v>
      </c>
      <c r="N108" s="2">
        <v>46188</v>
      </c>
      <c r="P108" s="1" t="s">
        <v>155</v>
      </c>
      <c r="Q108" s="1" t="s">
        <v>133</v>
      </c>
      <c r="R108" s="1" t="s">
        <v>55</v>
      </c>
      <c r="S108" s="2">
        <v>46171</v>
      </c>
      <c r="T108" s="2">
        <v>46188</v>
      </c>
      <c r="U108" s="1" t="s">
        <v>288</v>
      </c>
      <c r="V108" s="1">
        <v>0.67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</row>
    <row r="109" spans="1:33" x14ac:dyDescent="0.25">
      <c r="A109" s="1">
        <v>154</v>
      </c>
      <c r="B109" s="1" t="s">
        <v>289</v>
      </c>
      <c r="C109" s="1" t="s">
        <v>290</v>
      </c>
      <c r="D109" s="1" t="s">
        <v>94</v>
      </c>
      <c r="E109" s="1" t="s">
        <v>258</v>
      </c>
      <c r="F109" s="10">
        <v>46195</v>
      </c>
      <c r="G109" s="10">
        <v>46204</v>
      </c>
      <c r="H109" s="11">
        <v>1</v>
      </c>
      <c r="I109" s="10">
        <v>46204</v>
      </c>
      <c r="J109" s="1">
        <v>185</v>
      </c>
      <c r="K109" s="1">
        <v>155</v>
      </c>
      <c r="L109" s="1" t="s">
        <v>59</v>
      </c>
      <c r="M109" s="1" t="s">
        <v>187</v>
      </c>
      <c r="N109" s="2">
        <v>46204</v>
      </c>
      <c r="P109" s="1" t="s">
        <v>155</v>
      </c>
      <c r="Q109" s="1" t="s">
        <v>133</v>
      </c>
      <c r="R109" s="1" t="s">
        <v>55</v>
      </c>
      <c r="S109" s="2">
        <v>46195</v>
      </c>
      <c r="T109" s="2">
        <v>46204</v>
      </c>
      <c r="V109" s="1">
        <v>1</v>
      </c>
      <c r="W109" s="1">
        <v>1</v>
      </c>
      <c r="X109" s="1">
        <v>1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1</v>
      </c>
    </row>
    <row r="110" spans="1:33" x14ac:dyDescent="0.25">
      <c r="A110" s="1">
        <v>155</v>
      </c>
      <c r="B110" s="1" t="s">
        <v>291</v>
      </c>
      <c r="C110" s="1" t="s">
        <v>290</v>
      </c>
      <c r="D110" s="1" t="s">
        <v>98</v>
      </c>
      <c r="E110" s="1" t="s">
        <v>53</v>
      </c>
      <c r="F110" s="10">
        <v>46205</v>
      </c>
      <c r="G110" s="10">
        <v>46205</v>
      </c>
      <c r="H110" s="11">
        <v>0</v>
      </c>
      <c r="J110" s="1">
        <v>154</v>
      </c>
      <c r="K110" s="1">
        <v>156</v>
      </c>
      <c r="L110" s="1" t="s">
        <v>35</v>
      </c>
      <c r="M110" s="1" t="s">
        <v>292</v>
      </c>
      <c r="N110" s="2">
        <v>46205</v>
      </c>
      <c r="P110" s="1" t="s">
        <v>155</v>
      </c>
      <c r="Q110" s="1" t="s">
        <v>178</v>
      </c>
      <c r="R110" s="1" t="s">
        <v>55</v>
      </c>
      <c r="S110" s="2">
        <v>46205</v>
      </c>
      <c r="T110" s="2">
        <v>46205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1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</row>
    <row r="111" spans="1:33" x14ac:dyDescent="0.25">
      <c r="A111" s="1">
        <v>156</v>
      </c>
      <c r="B111" s="1" t="s">
        <v>293</v>
      </c>
      <c r="C111" s="1" t="s">
        <v>290</v>
      </c>
      <c r="D111" s="1" t="s">
        <v>102</v>
      </c>
      <c r="E111" s="1" t="s">
        <v>121</v>
      </c>
      <c r="F111" s="10">
        <v>46206</v>
      </c>
      <c r="G111" s="10">
        <v>46209</v>
      </c>
      <c r="H111" s="11">
        <v>0</v>
      </c>
      <c r="J111" s="1">
        <v>155</v>
      </c>
      <c r="K111" s="1">
        <v>157</v>
      </c>
      <c r="L111" s="1" t="s">
        <v>35</v>
      </c>
      <c r="M111" s="1" t="s">
        <v>191</v>
      </c>
      <c r="N111" s="2">
        <v>46209</v>
      </c>
      <c r="P111" s="1" t="s">
        <v>155</v>
      </c>
      <c r="Q111" s="1" t="s">
        <v>178</v>
      </c>
      <c r="R111" s="1" t="s">
        <v>55</v>
      </c>
      <c r="S111" s="2">
        <v>46206</v>
      </c>
      <c r="T111" s="2">
        <v>46209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</v>
      </c>
      <c r="AE111" s="1">
        <v>0</v>
      </c>
      <c r="AF111" s="1">
        <v>0</v>
      </c>
      <c r="AG111" s="1">
        <v>0</v>
      </c>
    </row>
    <row r="112" spans="1:33" x14ac:dyDescent="0.25">
      <c r="A112" s="1">
        <v>157</v>
      </c>
      <c r="B112" s="1" t="s">
        <v>294</v>
      </c>
      <c r="C112" s="1" t="s">
        <v>290</v>
      </c>
      <c r="D112" s="1" t="s">
        <v>108</v>
      </c>
      <c r="E112" s="1" t="s">
        <v>53</v>
      </c>
      <c r="F112" s="10">
        <v>46210</v>
      </c>
      <c r="G112" s="10">
        <v>46210</v>
      </c>
      <c r="H112" s="11">
        <v>0</v>
      </c>
      <c r="J112" s="1">
        <v>156</v>
      </c>
      <c r="L112" s="1" t="s">
        <v>180</v>
      </c>
      <c r="M112" s="1" t="s">
        <v>295</v>
      </c>
      <c r="N112" s="2">
        <v>46210</v>
      </c>
      <c r="P112" s="1" t="s">
        <v>155</v>
      </c>
      <c r="Q112" s="1" t="s">
        <v>146</v>
      </c>
      <c r="R112" s="1" t="s">
        <v>55</v>
      </c>
      <c r="S112" s="2">
        <v>46210</v>
      </c>
      <c r="T112" s="2">
        <v>46210</v>
      </c>
      <c r="V112" s="1">
        <v>0</v>
      </c>
      <c r="W112" s="1">
        <v>0</v>
      </c>
      <c r="X112" s="1">
        <v>0</v>
      </c>
      <c r="Y112" s="1">
        <v>0</v>
      </c>
      <c r="Z112" s="1">
        <v>1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</row>
    <row r="113" spans="1:33" x14ac:dyDescent="0.25">
      <c r="A113" s="1">
        <v>158</v>
      </c>
      <c r="B113" s="1" t="s">
        <v>296</v>
      </c>
      <c r="C113" s="1" t="s">
        <v>157</v>
      </c>
      <c r="D113" s="1" t="s">
        <v>297</v>
      </c>
      <c r="E113" s="1" t="s">
        <v>254</v>
      </c>
      <c r="F113" s="10">
        <v>46195</v>
      </c>
      <c r="G113" s="10">
        <v>46210</v>
      </c>
      <c r="H113" s="11">
        <v>0.67</v>
      </c>
      <c r="L113" s="1" t="s">
        <v>35</v>
      </c>
      <c r="M113" s="1" t="s">
        <v>255</v>
      </c>
      <c r="N113" s="2">
        <v>46188</v>
      </c>
      <c r="P113" s="1" t="s">
        <v>155</v>
      </c>
      <c r="Q113" s="1" t="s">
        <v>133</v>
      </c>
      <c r="R113" s="1" t="s">
        <v>55</v>
      </c>
      <c r="S113" s="2">
        <v>46171</v>
      </c>
      <c r="T113" s="2">
        <v>46188</v>
      </c>
      <c r="U113" s="1" t="s">
        <v>288</v>
      </c>
      <c r="V113" s="1">
        <v>0.67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</row>
    <row r="114" spans="1:33" x14ac:dyDescent="0.25">
      <c r="A114" s="1">
        <v>159</v>
      </c>
      <c r="B114" s="1" t="s">
        <v>298</v>
      </c>
      <c r="C114" s="1" t="s">
        <v>299</v>
      </c>
      <c r="D114" s="1" t="s">
        <v>94</v>
      </c>
      <c r="E114" s="1" t="s">
        <v>258</v>
      </c>
      <c r="F114" s="10">
        <v>46195</v>
      </c>
      <c r="G114" s="10">
        <v>46204</v>
      </c>
      <c r="H114" s="11">
        <v>1</v>
      </c>
      <c r="I114" s="10">
        <v>46204</v>
      </c>
      <c r="J114" s="1">
        <v>185</v>
      </c>
      <c r="K114" s="1">
        <v>160</v>
      </c>
      <c r="L114" s="1" t="s">
        <v>59</v>
      </c>
      <c r="M114" s="1" t="s">
        <v>187</v>
      </c>
      <c r="N114" s="2">
        <v>46204</v>
      </c>
      <c r="P114" s="1" t="s">
        <v>155</v>
      </c>
      <c r="Q114" s="1" t="s">
        <v>133</v>
      </c>
      <c r="R114" s="1" t="s">
        <v>55</v>
      </c>
      <c r="S114" s="2">
        <v>46195</v>
      </c>
      <c r="T114" s="2">
        <v>46204</v>
      </c>
      <c r="V114" s="1">
        <v>1</v>
      </c>
      <c r="W114" s="1">
        <v>1</v>
      </c>
      <c r="X114" s="1">
        <v>1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1</v>
      </c>
    </row>
    <row r="115" spans="1:33" x14ac:dyDescent="0.25">
      <c r="A115" s="1">
        <v>160</v>
      </c>
      <c r="B115" s="1" t="s">
        <v>300</v>
      </c>
      <c r="C115" s="1" t="s">
        <v>299</v>
      </c>
      <c r="D115" s="1" t="s">
        <v>98</v>
      </c>
      <c r="E115" s="1" t="s">
        <v>53</v>
      </c>
      <c r="F115" s="10">
        <v>46205</v>
      </c>
      <c r="G115" s="10">
        <v>46205</v>
      </c>
      <c r="H115" s="11">
        <v>0</v>
      </c>
      <c r="J115" s="1">
        <v>159</v>
      </c>
      <c r="K115" s="1">
        <v>161</v>
      </c>
      <c r="L115" s="1" t="s">
        <v>35</v>
      </c>
      <c r="M115" s="1" t="s">
        <v>292</v>
      </c>
      <c r="N115" s="2">
        <v>46205</v>
      </c>
      <c r="P115" s="1" t="s">
        <v>155</v>
      </c>
      <c r="Q115" s="1" t="s">
        <v>178</v>
      </c>
      <c r="R115" s="1" t="s">
        <v>55</v>
      </c>
      <c r="S115" s="2">
        <v>46205</v>
      </c>
      <c r="T115" s="2">
        <v>46205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1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</row>
    <row r="116" spans="1:33" x14ac:dyDescent="0.25">
      <c r="A116" s="1">
        <v>161</v>
      </c>
      <c r="B116" s="1" t="s">
        <v>301</v>
      </c>
      <c r="C116" s="1" t="s">
        <v>299</v>
      </c>
      <c r="D116" s="1" t="s">
        <v>102</v>
      </c>
      <c r="E116" s="1" t="s">
        <v>121</v>
      </c>
      <c r="F116" s="10">
        <v>46206</v>
      </c>
      <c r="G116" s="10">
        <v>46209</v>
      </c>
      <c r="H116" s="11">
        <v>0</v>
      </c>
      <c r="J116" s="1">
        <v>160</v>
      </c>
      <c r="K116" s="1">
        <v>162</v>
      </c>
      <c r="L116" s="1" t="s">
        <v>35</v>
      </c>
      <c r="M116" s="1" t="s">
        <v>191</v>
      </c>
      <c r="N116" s="2">
        <v>46209</v>
      </c>
      <c r="P116" s="1" t="s">
        <v>155</v>
      </c>
      <c r="Q116" s="1" t="s">
        <v>178</v>
      </c>
      <c r="R116" s="1" t="s">
        <v>55</v>
      </c>
      <c r="S116" s="2">
        <v>46206</v>
      </c>
      <c r="T116" s="2">
        <v>46209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1</v>
      </c>
      <c r="AE116" s="1">
        <v>0</v>
      </c>
      <c r="AF116" s="1">
        <v>0</v>
      </c>
      <c r="AG116" s="1">
        <v>0</v>
      </c>
    </row>
    <row r="117" spans="1:33" x14ac:dyDescent="0.25">
      <c r="A117" s="1">
        <v>162</v>
      </c>
      <c r="B117" s="1" t="s">
        <v>302</v>
      </c>
      <c r="C117" s="1" t="s">
        <v>299</v>
      </c>
      <c r="D117" s="1" t="s">
        <v>108</v>
      </c>
      <c r="E117" s="1" t="s">
        <v>53</v>
      </c>
      <c r="F117" s="10">
        <v>46210</v>
      </c>
      <c r="G117" s="10">
        <v>46210</v>
      </c>
      <c r="H117" s="11">
        <v>0</v>
      </c>
      <c r="J117" s="1">
        <v>161</v>
      </c>
      <c r="L117" s="1" t="s">
        <v>180</v>
      </c>
      <c r="M117" s="1" t="s">
        <v>295</v>
      </c>
      <c r="N117" s="2">
        <v>46210</v>
      </c>
      <c r="P117" s="1" t="s">
        <v>155</v>
      </c>
      <c r="Q117" s="1" t="s">
        <v>146</v>
      </c>
      <c r="R117" s="1" t="s">
        <v>55</v>
      </c>
      <c r="S117" s="2">
        <v>46210</v>
      </c>
      <c r="T117" s="2">
        <v>46210</v>
      </c>
      <c r="V117" s="1">
        <v>0</v>
      </c>
      <c r="W117" s="1">
        <v>0</v>
      </c>
      <c r="X117" s="1">
        <v>0</v>
      </c>
      <c r="Y117" s="1">
        <v>0</v>
      </c>
      <c r="Z117" s="1">
        <v>1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</row>
    <row r="118" spans="1:33" x14ac:dyDescent="0.25">
      <c r="A118" s="1">
        <v>163</v>
      </c>
      <c r="B118" s="1" t="s">
        <v>303</v>
      </c>
      <c r="C118" s="1" t="s">
        <v>157</v>
      </c>
      <c r="D118" s="1" t="s">
        <v>304</v>
      </c>
      <c r="E118" s="1" t="s">
        <v>305</v>
      </c>
      <c r="F118" s="10">
        <v>46174</v>
      </c>
      <c r="G118" s="10">
        <v>46211</v>
      </c>
      <c r="H118" s="11">
        <v>0.86</v>
      </c>
      <c r="L118" s="1" t="s">
        <v>180</v>
      </c>
      <c r="M118" s="1" t="s">
        <v>255</v>
      </c>
      <c r="N118" s="2">
        <v>46190</v>
      </c>
      <c r="P118" s="1" t="s">
        <v>155</v>
      </c>
      <c r="Q118" s="1" t="s">
        <v>169</v>
      </c>
      <c r="R118" s="1" t="s">
        <v>55</v>
      </c>
      <c r="S118" s="2">
        <v>46171</v>
      </c>
      <c r="T118" s="2">
        <v>46190</v>
      </c>
      <c r="V118" s="1">
        <v>0.86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</row>
    <row r="119" spans="1:33" x14ac:dyDescent="0.25">
      <c r="A119" s="1">
        <v>164</v>
      </c>
      <c r="B119" s="1" t="s">
        <v>306</v>
      </c>
      <c r="C119" s="1" t="s">
        <v>307</v>
      </c>
      <c r="D119" s="1" t="s">
        <v>94</v>
      </c>
      <c r="E119" s="1" t="s">
        <v>308</v>
      </c>
      <c r="F119" s="10">
        <v>46174</v>
      </c>
      <c r="G119" s="10">
        <v>46189</v>
      </c>
      <c r="H119" s="11">
        <v>1</v>
      </c>
      <c r="I119" s="10">
        <v>46189</v>
      </c>
      <c r="J119" s="1">
        <v>185</v>
      </c>
      <c r="K119" s="1" t="s">
        <v>309</v>
      </c>
      <c r="L119" s="1" t="s">
        <v>59</v>
      </c>
      <c r="M119" s="1" t="s">
        <v>255</v>
      </c>
      <c r="N119" s="2">
        <v>46184</v>
      </c>
      <c r="P119" s="1" t="s">
        <v>155</v>
      </c>
      <c r="Q119" s="1" t="s">
        <v>169</v>
      </c>
      <c r="R119" s="1" t="s">
        <v>55</v>
      </c>
      <c r="S119" s="2">
        <v>46171</v>
      </c>
      <c r="T119" s="2">
        <v>46184</v>
      </c>
      <c r="V119" s="1">
        <v>1</v>
      </c>
      <c r="W119" s="1">
        <v>1</v>
      </c>
      <c r="X119" s="1">
        <v>1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1</v>
      </c>
    </row>
    <row r="120" spans="1:33" x14ac:dyDescent="0.25">
      <c r="A120" s="1">
        <v>165</v>
      </c>
      <c r="B120" s="1" t="s">
        <v>310</v>
      </c>
      <c r="C120" s="1" t="s">
        <v>307</v>
      </c>
      <c r="D120" s="1" t="s">
        <v>98</v>
      </c>
      <c r="E120" s="1" t="s">
        <v>53</v>
      </c>
      <c r="F120" s="10">
        <v>46192</v>
      </c>
      <c r="G120" s="10">
        <v>46192</v>
      </c>
      <c r="H120" s="11">
        <v>1</v>
      </c>
      <c r="I120" s="10">
        <v>46192</v>
      </c>
      <c r="J120" s="1">
        <v>164</v>
      </c>
      <c r="K120" s="1">
        <v>166</v>
      </c>
      <c r="L120" s="1" t="s">
        <v>59</v>
      </c>
      <c r="M120" s="1" t="s">
        <v>311</v>
      </c>
      <c r="N120" s="2">
        <v>46185</v>
      </c>
      <c r="P120" s="1" t="s">
        <v>155</v>
      </c>
      <c r="Q120" s="1" t="s">
        <v>133</v>
      </c>
      <c r="R120" s="1" t="s">
        <v>55</v>
      </c>
      <c r="S120" s="2">
        <v>46185</v>
      </c>
      <c r="T120" s="2">
        <v>46185</v>
      </c>
      <c r="V120" s="1">
        <v>1</v>
      </c>
      <c r="W120" s="1">
        <v>0</v>
      </c>
      <c r="X120" s="1">
        <v>0</v>
      </c>
      <c r="Y120" s="1">
        <v>0</v>
      </c>
      <c r="Z120" s="1">
        <v>0</v>
      </c>
      <c r="AA120" s="1">
        <v>1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</row>
    <row r="121" spans="1:33" x14ac:dyDescent="0.25">
      <c r="A121" s="1">
        <v>166</v>
      </c>
      <c r="B121" s="1" t="s">
        <v>312</v>
      </c>
      <c r="C121" s="1" t="s">
        <v>307</v>
      </c>
      <c r="D121" s="1" t="s">
        <v>102</v>
      </c>
      <c r="E121" s="1" t="s">
        <v>121</v>
      </c>
      <c r="F121" s="10">
        <v>46209</v>
      </c>
      <c r="G121" s="10">
        <v>46210</v>
      </c>
      <c r="H121" s="11">
        <v>0.5</v>
      </c>
      <c r="J121" s="1">
        <v>165</v>
      </c>
      <c r="K121" s="1">
        <v>167</v>
      </c>
      <c r="L121" s="1" t="s">
        <v>180</v>
      </c>
      <c r="M121" s="1" t="s">
        <v>264</v>
      </c>
      <c r="N121" s="2">
        <v>46189</v>
      </c>
      <c r="P121" s="1" t="s">
        <v>155</v>
      </c>
      <c r="Q121" s="1" t="s">
        <v>133</v>
      </c>
      <c r="R121" s="1" t="s">
        <v>55</v>
      </c>
      <c r="S121" s="2">
        <v>46188</v>
      </c>
      <c r="T121" s="2">
        <v>46189</v>
      </c>
      <c r="V121" s="1">
        <v>0.5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</row>
    <row r="122" spans="1:33" x14ac:dyDescent="0.25">
      <c r="A122" s="1">
        <v>167</v>
      </c>
      <c r="B122" s="1" t="s">
        <v>313</v>
      </c>
      <c r="C122" s="1" t="s">
        <v>307</v>
      </c>
      <c r="D122" s="1" t="s">
        <v>108</v>
      </c>
      <c r="E122" s="1" t="s">
        <v>53</v>
      </c>
      <c r="F122" s="10">
        <v>46211</v>
      </c>
      <c r="G122" s="10">
        <v>46211</v>
      </c>
      <c r="H122" s="11">
        <v>0</v>
      </c>
      <c r="J122" s="1">
        <v>166</v>
      </c>
      <c r="L122" s="1" t="s">
        <v>149</v>
      </c>
      <c r="M122" s="1" t="s">
        <v>314</v>
      </c>
      <c r="N122" s="2">
        <v>46190</v>
      </c>
      <c r="P122" s="1" t="s">
        <v>155</v>
      </c>
      <c r="Q122" s="1" t="s">
        <v>178</v>
      </c>
      <c r="R122" s="1" t="s">
        <v>55</v>
      </c>
      <c r="S122" s="2">
        <v>46190</v>
      </c>
      <c r="T122" s="2">
        <v>46190</v>
      </c>
      <c r="V122" s="1">
        <v>0</v>
      </c>
      <c r="W122" s="1">
        <v>0</v>
      </c>
      <c r="X122" s="1">
        <v>0</v>
      </c>
      <c r="Y122" s="1">
        <v>0</v>
      </c>
      <c r="Z122" s="1">
        <v>1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</row>
    <row r="123" spans="1:33" x14ac:dyDescent="0.25">
      <c r="A123" s="1">
        <v>168</v>
      </c>
      <c r="B123" s="1" t="s">
        <v>315</v>
      </c>
      <c r="C123" s="1" t="s">
        <v>157</v>
      </c>
      <c r="D123" s="1" t="s">
        <v>316</v>
      </c>
      <c r="E123" s="1" t="s">
        <v>159</v>
      </c>
      <c r="F123" s="10">
        <v>46176</v>
      </c>
      <c r="G123" s="10">
        <v>46197</v>
      </c>
      <c r="H123" s="11">
        <v>0.75</v>
      </c>
      <c r="L123" s="1" t="s">
        <v>35</v>
      </c>
      <c r="M123" s="1" t="s">
        <v>255</v>
      </c>
      <c r="N123" s="2">
        <v>46190</v>
      </c>
      <c r="P123" s="1" t="s">
        <v>155</v>
      </c>
      <c r="Q123" s="1" t="s">
        <v>169</v>
      </c>
      <c r="R123" s="1" t="s">
        <v>55</v>
      </c>
      <c r="S123" s="2">
        <v>46171</v>
      </c>
      <c r="T123" s="2">
        <v>46190</v>
      </c>
      <c r="U123" s="1" t="s">
        <v>288</v>
      </c>
      <c r="V123" s="1">
        <v>0.75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</row>
    <row r="124" spans="1:33" x14ac:dyDescent="0.25">
      <c r="A124" s="1">
        <v>169</v>
      </c>
      <c r="B124" s="1" t="s">
        <v>317</v>
      </c>
      <c r="C124" s="1" t="s">
        <v>318</v>
      </c>
      <c r="D124" s="1" t="s">
        <v>94</v>
      </c>
      <c r="E124" s="1" t="s">
        <v>308</v>
      </c>
      <c r="F124" s="10">
        <v>46176</v>
      </c>
      <c r="G124" s="10">
        <v>46191</v>
      </c>
      <c r="H124" s="11">
        <v>1</v>
      </c>
      <c r="I124" s="10">
        <v>46191</v>
      </c>
      <c r="J124" s="1">
        <v>185</v>
      </c>
      <c r="K124" s="1" t="s">
        <v>319</v>
      </c>
      <c r="L124" s="1" t="s">
        <v>59</v>
      </c>
      <c r="M124" s="1" t="s">
        <v>320</v>
      </c>
      <c r="N124" s="2">
        <v>46189</v>
      </c>
      <c r="P124" s="1" t="s">
        <v>155</v>
      </c>
      <c r="Q124" s="1" t="s">
        <v>169</v>
      </c>
      <c r="R124" s="1" t="s">
        <v>55</v>
      </c>
      <c r="S124" s="2">
        <v>46174</v>
      </c>
      <c r="T124" s="2">
        <v>46189</v>
      </c>
      <c r="V124" s="1">
        <v>1</v>
      </c>
      <c r="W124" s="1">
        <v>1</v>
      </c>
      <c r="X124" s="1">
        <v>1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1</v>
      </c>
    </row>
    <row r="125" spans="1:33" x14ac:dyDescent="0.25">
      <c r="A125" s="1">
        <v>170</v>
      </c>
      <c r="B125" s="1" t="s">
        <v>321</v>
      </c>
      <c r="C125" s="1" t="s">
        <v>318</v>
      </c>
      <c r="D125" s="1" t="s">
        <v>98</v>
      </c>
      <c r="E125" s="1" t="s">
        <v>53</v>
      </c>
      <c r="F125" s="10">
        <v>46190</v>
      </c>
      <c r="G125" s="10">
        <v>46192</v>
      </c>
      <c r="H125" s="11">
        <v>0.5</v>
      </c>
      <c r="J125" s="1">
        <v>169</v>
      </c>
      <c r="K125" s="1">
        <v>171</v>
      </c>
      <c r="L125" s="1" t="s">
        <v>35</v>
      </c>
      <c r="M125" s="1" t="s">
        <v>314</v>
      </c>
      <c r="N125" s="2">
        <v>46190</v>
      </c>
      <c r="P125" s="1" t="s">
        <v>155</v>
      </c>
      <c r="Q125" s="1" t="s">
        <v>133</v>
      </c>
      <c r="R125" s="1" t="s">
        <v>55</v>
      </c>
      <c r="S125" s="2">
        <v>46190</v>
      </c>
      <c r="T125" s="2">
        <v>46190</v>
      </c>
      <c r="V125" s="1">
        <v>0.5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1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</row>
    <row r="126" spans="1:33" x14ac:dyDescent="0.25">
      <c r="A126" s="1">
        <v>171</v>
      </c>
      <c r="B126" s="1" t="s">
        <v>322</v>
      </c>
      <c r="C126" s="1" t="s">
        <v>318</v>
      </c>
      <c r="D126" s="1" t="s">
        <v>102</v>
      </c>
      <c r="E126" s="1" t="s">
        <v>121</v>
      </c>
      <c r="F126" s="10">
        <v>46195</v>
      </c>
      <c r="G126" s="10">
        <v>46196</v>
      </c>
      <c r="H126" s="11">
        <v>0</v>
      </c>
      <c r="J126" s="1">
        <v>170</v>
      </c>
      <c r="K126" s="1">
        <v>172</v>
      </c>
      <c r="L126" s="1" t="s">
        <v>35</v>
      </c>
      <c r="M126" s="1" t="s">
        <v>323</v>
      </c>
      <c r="N126" s="2">
        <v>46192</v>
      </c>
      <c r="P126" s="1" t="s">
        <v>155</v>
      </c>
      <c r="Q126" s="1" t="s">
        <v>133</v>
      </c>
      <c r="R126" s="1" t="s">
        <v>55</v>
      </c>
      <c r="S126" s="2">
        <v>46191</v>
      </c>
      <c r="T126" s="2">
        <v>46192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1</v>
      </c>
      <c r="AE126" s="1">
        <v>0</v>
      </c>
      <c r="AF126" s="1">
        <v>0</v>
      </c>
      <c r="AG126" s="1">
        <v>0</v>
      </c>
    </row>
    <row r="127" spans="1:33" x14ac:dyDescent="0.25">
      <c r="A127" s="1">
        <v>172</v>
      </c>
      <c r="B127" s="1" t="s">
        <v>324</v>
      </c>
      <c r="C127" s="1" t="s">
        <v>318</v>
      </c>
      <c r="D127" s="1" t="s">
        <v>108</v>
      </c>
      <c r="E127" s="1" t="s">
        <v>53</v>
      </c>
      <c r="F127" s="10">
        <v>46197</v>
      </c>
      <c r="G127" s="10">
        <v>46197</v>
      </c>
      <c r="H127" s="11">
        <v>0</v>
      </c>
      <c r="J127" s="1">
        <v>171</v>
      </c>
      <c r="L127" s="1" t="s">
        <v>35</v>
      </c>
      <c r="M127" s="1" t="s">
        <v>187</v>
      </c>
      <c r="N127" s="2">
        <v>46195</v>
      </c>
      <c r="P127" s="1" t="s">
        <v>155</v>
      </c>
      <c r="Q127" s="1" t="s">
        <v>178</v>
      </c>
      <c r="R127" s="1" t="s">
        <v>55</v>
      </c>
      <c r="S127" s="2">
        <v>46195</v>
      </c>
      <c r="T127" s="2">
        <v>46195</v>
      </c>
      <c r="V127" s="1">
        <v>0</v>
      </c>
      <c r="W127" s="1">
        <v>0</v>
      </c>
      <c r="X127" s="1">
        <v>0</v>
      </c>
      <c r="Y127" s="1">
        <v>0</v>
      </c>
      <c r="Z127" s="1">
        <v>1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1</v>
      </c>
      <c r="AG127" s="1">
        <v>0</v>
      </c>
    </row>
    <row r="128" spans="1:33" x14ac:dyDescent="0.25">
      <c r="A128" s="1">
        <v>173</v>
      </c>
      <c r="B128" s="1" t="s">
        <v>325</v>
      </c>
      <c r="C128" s="1" t="s">
        <v>157</v>
      </c>
      <c r="D128" s="1" t="s">
        <v>326</v>
      </c>
      <c r="E128" s="1" t="s">
        <v>305</v>
      </c>
      <c r="F128" s="10">
        <v>46174</v>
      </c>
      <c r="G128" s="10">
        <v>46211</v>
      </c>
      <c r="H128" s="11">
        <v>0.86</v>
      </c>
      <c r="L128" s="1" t="s">
        <v>180</v>
      </c>
      <c r="M128" s="1" t="s">
        <v>255</v>
      </c>
      <c r="N128" s="2">
        <v>46190</v>
      </c>
      <c r="P128" s="1" t="s">
        <v>155</v>
      </c>
      <c r="Q128" s="1" t="s">
        <v>169</v>
      </c>
      <c r="R128" s="1" t="s">
        <v>55</v>
      </c>
      <c r="S128" s="2">
        <v>46171</v>
      </c>
      <c r="T128" s="2">
        <v>46190</v>
      </c>
      <c r="U128" s="1" t="s">
        <v>288</v>
      </c>
      <c r="V128" s="1">
        <v>0.86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</row>
    <row r="129" spans="1:33" x14ac:dyDescent="0.25">
      <c r="A129" s="1">
        <v>174</v>
      </c>
      <c r="B129" s="1" t="s">
        <v>327</v>
      </c>
      <c r="C129" s="1" t="s">
        <v>328</v>
      </c>
      <c r="D129" s="1" t="s">
        <v>94</v>
      </c>
      <c r="E129" s="1" t="s">
        <v>308</v>
      </c>
      <c r="F129" s="10">
        <v>46174</v>
      </c>
      <c r="G129" s="10">
        <v>46189</v>
      </c>
      <c r="H129" s="11">
        <v>1</v>
      </c>
      <c r="I129" s="10">
        <v>46189</v>
      </c>
      <c r="J129" s="1">
        <v>185</v>
      </c>
      <c r="K129" s="1" t="s">
        <v>329</v>
      </c>
      <c r="L129" s="1" t="s">
        <v>59</v>
      </c>
      <c r="M129" s="1" t="s">
        <v>320</v>
      </c>
      <c r="N129" s="2">
        <v>46189</v>
      </c>
      <c r="P129" s="1" t="s">
        <v>155</v>
      </c>
      <c r="Q129" s="1" t="s">
        <v>169</v>
      </c>
      <c r="R129" s="1" t="s">
        <v>55</v>
      </c>
      <c r="S129" s="2">
        <v>46174</v>
      </c>
      <c r="T129" s="2">
        <v>46189</v>
      </c>
      <c r="V129" s="1">
        <v>1</v>
      </c>
      <c r="W129" s="1">
        <v>1</v>
      </c>
      <c r="X129" s="1">
        <v>1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1</v>
      </c>
    </row>
    <row r="130" spans="1:33" x14ac:dyDescent="0.25">
      <c r="A130" s="1">
        <v>175</v>
      </c>
      <c r="B130" s="1" t="s">
        <v>330</v>
      </c>
      <c r="C130" s="1" t="s">
        <v>328</v>
      </c>
      <c r="D130" s="1" t="s">
        <v>98</v>
      </c>
      <c r="E130" s="1" t="s">
        <v>53</v>
      </c>
      <c r="F130" s="10">
        <v>46192</v>
      </c>
      <c r="G130" s="10">
        <v>46192</v>
      </c>
      <c r="H130" s="11">
        <v>1</v>
      </c>
      <c r="I130" s="10">
        <v>46192</v>
      </c>
      <c r="J130" s="1">
        <v>174</v>
      </c>
      <c r="K130" s="1">
        <v>176</v>
      </c>
      <c r="L130" s="1" t="s">
        <v>59</v>
      </c>
      <c r="M130" s="1" t="s">
        <v>314</v>
      </c>
      <c r="N130" s="2">
        <v>46190</v>
      </c>
      <c r="P130" s="1" t="s">
        <v>155</v>
      </c>
      <c r="Q130" s="1" t="s">
        <v>133</v>
      </c>
      <c r="R130" s="1" t="s">
        <v>55</v>
      </c>
      <c r="S130" s="2">
        <v>46190</v>
      </c>
      <c r="T130" s="2">
        <v>46190</v>
      </c>
      <c r="V130" s="1">
        <v>1</v>
      </c>
      <c r="W130" s="1">
        <v>0</v>
      </c>
      <c r="X130" s="1">
        <v>0</v>
      </c>
      <c r="Y130" s="1">
        <v>0</v>
      </c>
      <c r="Z130" s="1">
        <v>0</v>
      </c>
      <c r="AA130" s="1">
        <v>1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</row>
    <row r="131" spans="1:33" x14ac:dyDescent="0.25">
      <c r="A131" s="1">
        <v>176</v>
      </c>
      <c r="B131" s="1" t="s">
        <v>331</v>
      </c>
      <c r="C131" s="1" t="s">
        <v>328</v>
      </c>
      <c r="D131" s="1" t="s">
        <v>102</v>
      </c>
      <c r="E131" s="1" t="s">
        <v>121</v>
      </c>
      <c r="F131" s="10">
        <v>46209</v>
      </c>
      <c r="G131" s="10">
        <v>46210</v>
      </c>
      <c r="H131" s="11">
        <v>0.5</v>
      </c>
      <c r="J131" s="1">
        <v>175</v>
      </c>
      <c r="K131" s="1">
        <v>177</v>
      </c>
      <c r="L131" s="1" t="s">
        <v>180</v>
      </c>
      <c r="M131" s="1" t="s">
        <v>323</v>
      </c>
      <c r="N131" s="2">
        <v>46192</v>
      </c>
      <c r="P131" s="1" t="s">
        <v>155</v>
      </c>
      <c r="Q131" s="1" t="s">
        <v>133</v>
      </c>
      <c r="R131" s="1" t="s">
        <v>55</v>
      </c>
      <c r="S131" s="2">
        <v>46191</v>
      </c>
      <c r="T131" s="2">
        <v>46192</v>
      </c>
      <c r="V131" s="1">
        <v>0.5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</row>
    <row r="132" spans="1:33" x14ac:dyDescent="0.25">
      <c r="A132" s="1">
        <v>177</v>
      </c>
      <c r="B132" s="1" t="s">
        <v>332</v>
      </c>
      <c r="C132" s="1" t="s">
        <v>328</v>
      </c>
      <c r="D132" s="1" t="s">
        <v>108</v>
      </c>
      <c r="E132" s="1" t="s">
        <v>53</v>
      </c>
      <c r="F132" s="10">
        <v>46211</v>
      </c>
      <c r="G132" s="10">
        <v>46211</v>
      </c>
      <c r="H132" s="11">
        <v>0</v>
      </c>
      <c r="J132" s="1">
        <v>176</v>
      </c>
      <c r="L132" s="1" t="s">
        <v>149</v>
      </c>
      <c r="M132" s="1" t="s">
        <v>187</v>
      </c>
      <c r="N132" s="2">
        <v>46195</v>
      </c>
      <c r="P132" s="1" t="s">
        <v>155</v>
      </c>
      <c r="Q132" s="1" t="s">
        <v>178</v>
      </c>
      <c r="R132" s="1" t="s">
        <v>55</v>
      </c>
      <c r="S132" s="2">
        <v>46195</v>
      </c>
      <c r="T132" s="2">
        <v>46195</v>
      </c>
      <c r="V132" s="1">
        <v>0</v>
      </c>
      <c r="W132" s="1">
        <v>0</v>
      </c>
      <c r="X132" s="1">
        <v>0</v>
      </c>
      <c r="Y132" s="1">
        <v>0</v>
      </c>
      <c r="Z132" s="1">
        <v>1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</row>
    <row r="133" spans="1:33" x14ac:dyDescent="0.25">
      <c r="A133" s="1">
        <v>178</v>
      </c>
      <c r="B133" s="1" t="s">
        <v>333</v>
      </c>
      <c r="C133" s="1" t="s">
        <v>157</v>
      </c>
      <c r="D133" s="1" t="s">
        <v>334</v>
      </c>
      <c r="E133" s="1" t="s">
        <v>159</v>
      </c>
      <c r="F133" s="10">
        <v>46176</v>
      </c>
      <c r="G133" s="10">
        <v>46197</v>
      </c>
      <c r="H133" s="11">
        <v>0.75</v>
      </c>
      <c r="L133" s="1" t="s">
        <v>35</v>
      </c>
      <c r="M133" s="1" t="s">
        <v>255</v>
      </c>
      <c r="N133" s="2">
        <v>46190</v>
      </c>
      <c r="P133" s="1" t="s">
        <v>155</v>
      </c>
      <c r="Q133" s="1" t="s">
        <v>169</v>
      </c>
      <c r="R133" s="1" t="s">
        <v>55</v>
      </c>
      <c r="S133" s="2">
        <v>46171</v>
      </c>
      <c r="T133" s="2">
        <v>46190</v>
      </c>
      <c r="U133" s="1" t="s">
        <v>288</v>
      </c>
      <c r="V133" s="1">
        <v>0.75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</row>
    <row r="134" spans="1:33" x14ac:dyDescent="0.25">
      <c r="A134" s="1">
        <v>179</v>
      </c>
      <c r="B134" s="1" t="s">
        <v>335</v>
      </c>
      <c r="C134" s="1" t="s">
        <v>336</v>
      </c>
      <c r="D134" s="1" t="s">
        <v>94</v>
      </c>
      <c r="E134" s="1" t="s">
        <v>308</v>
      </c>
      <c r="F134" s="10">
        <v>46176</v>
      </c>
      <c r="G134" s="10">
        <v>46191</v>
      </c>
      <c r="H134" s="11">
        <v>1</v>
      </c>
      <c r="I134" s="10">
        <v>46191</v>
      </c>
      <c r="J134" s="1">
        <v>185</v>
      </c>
      <c r="K134" s="1" t="s">
        <v>337</v>
      </c>
      <c r="L134" s="1" t="s">
        <v>59</v>
      </c>
      <c r="M134" s="1" t="s">
        <v>320</v>
      </c>
      <c r="N134" s="2">
        <v>46189</v>
      </c>
      <c r="P134" s="1" t="s">
        <v>155</v>
      </c>
      <c r="Q134" s="1" t="s">
        <v>169</v>
      </c>
      <c r="R134" s="1" t="s">
        <v>55</v>
      </c>
      <c r="S134" s="2">
        <v>46174</v>
      </c>
      <c r="T134" s="2">
        <v>46189</v>
      </c>
      <c r="V134" s="1">
        <v>1</v>
      </c>
      <c r="W134" s="1">
        <v>1</v>
      </c>
      <c r="X134" s="1">
        <v>1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1</v>
      </c>
    </row>
    <row r="135" spans="1:33" x14ac:dyDescent="0.25">
      <c r="A135" s="1">
        <v>180</v>
      </c>
      <c r="B135" s="1" t="s">
        <v>338</v>
      </c>
      <c r="C135" s="1" t="s">
        <v>336</v>
      </c>
      <c r="D135" s="1" t="s">
        <v>98</v>
      </c>
      <c r="E135" s="1" t="s">
        <v>53</v>
      </c>
      <c r="F135" s="10">
        <v>46190</v>
      </c>
      <c r="G135" s="10">
        <v>46192</v>
      </c>
      <c r="H135" s="11">
        <v>0.5</v>
      </c>
      <c r="J135" s="1">
        <v>179</v>
      </c>
      <c r="K135" s="1">
        <v>181</v>
      </c>
      <c r="L135" s="1" t="s">
        <v>35</v>
      </c>
      <c r="M135" s="1" t="s">
        <v>314</v>
      </c>
      <c r="N135" s="2">
        <v>46190</v>
      </c>
      <c r="P135" s="1" t="s">
        <v>155</v>
      </c>
      <c r="Q135" s="1" t="s">
        <v>133</v>
      </c>
      <c r="R135" s="1" t="s">
        <v>55</v>
      </c>
      <c r="S135" s="2">
        <v>46190</v>
      </c>
      <c r="T135" s="2">
        <v>46190</v>
      </c>
      <c r="V135" s="1">
        <v>0.5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1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</row>
    <row r="136" spans="1:33" x14ac:dyDescent="0.25">
      <c r="A136" s="1">
        <v>181</v>
      </c>
      <c r="B136" s="1" t="s">
        <v>339</v>
      </c>
      <c r="C136" s="1" t="s">
        <v>336</v>
      </c>
      <c r="D136" s="1" t="s">
        <v>102</v>
      </c>
      <c r="E136" s="1" t="s">
        <v>121</v>
      </c>
      <c r="F136" s="10">
        <v>46195</v>
      </c>
      <c r="G136" s="10">
        <v>46196</v>
      </c>
      <c r="H136" s="11">
        <v>0</v>
      </c>
      <c r="J136" s="1">
        <v>180</v>
      </c>
      <c r="K136" s="1">
        <v>182</v>
      </c>
      <c r="L136" s="1" t="s">
        <v>35</v>
      </c>
      <c r="M136" s="1" t="s">
        <v>323</v>
      </c>
      <c r="N136" s="2">
        <v>46192</v>
      </c>
      <c r="P136" s="1" t="s">
        <v>155</v>
      </c>
      <c r="Q136" s="1" t="s">
        <v>133</v>
      </c>
      <c r="R136" s="1" t="s">
        <v>55</v>
      </c>
      <c r="S136" s="2">
        <v>46191</v>
      </c>
      <c r="T136" s="2">
        <v>46192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</v>
      </c>
      <c r="AE136" s="1">
        <v>0</v>
      </c>
      <c r="AF136" s="1">
        <v>0</v>
      </c>
      <c r="AG136" s="1">
        <v>0</v>
      </c>
    </row>
    <row r="137" spans="1:33" x14ac:dyDescent="0.25">
      <c r="A137" s="1">
        <v>182</v>
      </c>
      <c r="B137" s="1" t="s">
        <v>340</v>
      </c>
      <c r="C137" s="1" t="s">
        <v>336</v>
      </c>
      <c r="D137" s="1" t="s">
        <v>108</v>
      </c>
      <c r="E137" s="1" t="s">
        <v>53</v>
      </c>
      <c r="F137" s="10">
        <v>46197</v>
      </c>
      <c r="G137" s="10">
        <v>46197</v>
      </c>
      <c r="H137" s="11">
        <v>0</v>
      </c>
      <c r="J137" s="1">
        <v>181</v>
      </c>
      <c r="L137" s="1" t="s">
        <v>35</v>
      </c>
      <c r="M137" s="1" t="s">
        <v>187</v>
      </c>
      <c r="N137" s="2">
        <v>46195</v>
      </c>
      <c r="P137" s="1" t="s">
        <v>155</v>
      </c>
      <c r="Q137" s="1" t="s">
        <v>178</v>
      </c>
      <c r="R137" s="1" t="s">
        <v>55</v>
      </c>
      <c r="S137" s="2">
        <v>46195</v>
      </c>
      <c r="T137" s="2">
        <v>46195</v>
      </c>
      <c r="V137" s="1">
        <v>0</v>
      </c>
      <c r="W137" s="1">
        <v>0</v>
      </c>
      <c r="X137" s="1">
        <v>0</v>
      </c>
      <c r="Y137" s="1">
        <v>0</v>
      </c>
      <c r="Z137" s="1">
        <v>1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1</v>
      </c>
      <c r="AG137" s="1">
        <v>0</v>
      </c>
    </row>
    <row r="138" spans="1:33" x14ac:dyDescent="0.25">
      <c r="A138" s="1">
        <v>183</v>
      </c>
      <c r="B138" s="1" t="s">
        <v>341</v>
      </c>
      <c r="C138" s="1" t="s">
        <v>157</v>
      </c>
      <c r="D138" s="1" t="s">
        <v>342</v>
      </c>
      <c r="E138" s="1" t="s">
        <v>159</v>
      </c>
      <c r="F138" s="10">
        <v>46157</v>
      </c>
      <c r="G138" s="10">
        <v>46176</v>
      </c>
      <c r="H138" s="11">
        <v>0.92</v>
      </c>
      <c r="L138" s="1" t="s">
        <v>35</v>
      </c>
      <c r="M138" s="1" t="s">
        <v>44</v>
      </c>
      <c r="N138" s="2">
        <v>46175</v>
      </c>
      <c r="P138" s="1" t="s">
        <v>155</v>
      </c>
      <c r="Q138" s="1" t="s">
        <v>125</v>
      </c>
      <c r="R138" s="1" t="s">
        <v>55</v>
      </c>
      <c r="S138" s="2">
        <v>46161</v>
      </c>
      <c r="T138" s="2">
        <v>46175</v>
      </c>
      <c r="V138" s="1">
        <v>0.92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</row>
    <row r="139" spans="1:33" x14ac:dyDescent="0.25">
      <c r="A139" s="1">
        <v>184</v>
      </c>
      <c r="B139" s="1" t="s">
        <v>343</v>
      </c>
      <c r="C139" s="1" t="s">
        <v>344</v>
      </c>
      <c r="D139" s="1" t="s">
        <v>94</v>
      </c>
      <c r="E139" s="1" t="s">
        <v>258</v>
      </c>
      <c r="F139" s="10">
        <v>46157</v>
      </c>
      <c r="G139" s="10">
        <v>46168</v>
      </c>
      <c r="H139" s="11">
        <v>1</v>
      </c>
      <c r="I139" s="10">
        <v>46168</v>
      </c>
      <c r="J139" s="1" t="s">
        <v>345</v>
      </c>
      <c r="K139" s="1" t="s">
        <v>346</v>
      </c>
      <c r="L139" s="1" t="s">
        <v>59</v>
      </c>
      <c r="M139" s="1" t="s">
        <v>347</v>
      </c>
      <c r="N139" s="2">
        <v>46168</v>
      </c>
      <c r="P139" s="1" t="s">
        <v>155</v>
      </c>
      <c r="Q139" s="1" t="s">
        <v>125</v>
      </c>
      <c r="R139" s="1" t="s">
        <v>55</v>
      </c>
      <c r="S139" s="2">
        <v>46157</v>
      </c>
      <c r="T139" s="2">
        <v>46168</v>
      </c>
      <c r="V139" s="1">
        <v>1</v>
      </c>
      <c r="W139" s="1">
        <v>1</v>
      </c>
      <c r="X139" s="1">
        <v>1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1</v>
      </c>
    </row>
    <row r="140" spans="1:33" x14ac:dyDescent="0.25">
      <c r="A140" s="1">
        <v>185</v>
      </c>
      <c r="B140" s="1" t="s">
        <v>348</v>
      </c>
      <c r="C140" s="1" t="s">
        <v>344</v>
      </c>
      <c r="D140" s="1" t="s">
        <v>98</v>
      </c>
      <c r="E140" s="1" t="s">
        <v>53</v>
      </c>
      <c r="F140" s="10">
        <v>46171</v>
      </c>
      <c r="G140" s="10">
        <v>46171</v>
      </c>
      <c r="H140" s="11">
        <v>1</v>
      </c>
      <c r="I140" s="10">
        <v>46171</v>
      </c>
      <c r="J140" s="1">
        <v>184</v>
      </c>
      <c r="K140" s="1" t="s">
        <v>349</v>
      </c>
      <c r="L140" s="1" t="s">
        <v>59</v>
      </c>
      <c r="M140" s="1" t="s">
        <v>255</v>
      </c>
      <c r="N140" s="2">
        <v>46171</v>
      </c>
      <c r="P140" s="1" t="s">
        <v>155</v>
      </c>
      <c r="Q140" s="1" t="s">
        <v>110</v>
      </c>
      <c r="R140" s="1" t="s">
        <v>55</v>
      </c>
      <c r="S140" s="2">
        <v>46171</v>
      </c>
      <c r="T140" s="2">
        <v>46171</v>
      </c>
      <c r="V140" s="1">
        <v>1</v>
      </c>
      <c r="W140" s="1">
        <v>0</v>
      </c>
      <c r="X140" s="1">
        <v>0</v>
      </c>
      <c r="Y140" s="1">
        <v>0</v>
      </c>
      <c r="Z140" s="1">
        <v>0</v>
      </c>
      <c r="AA140" s="1">
        <v>1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</row>
    <row r="141" spans="1:33" x14ac:dyDescent="0.25">
      <c r="A141" s="1">
        <v>186</v>
      </c>
      <c r="B141" s="1" t="s">
        <v>350</v>
      </c>
      <c r="C141" s="1" t="s">
        <v>344</v>
      </c>
      <c r="D141" s="1" t="s">
        <v>102</v>
      </c>
      <c r="E141" s="1" t="s">
        <v>121</v>
      </c>
      <c r="F141" s="10">
        <v>46174</v>
      </c>
      <c r="G141" s="10">
        <v>46175</v>
      </c>
      <c r="H141" s="11">
        <v>0.75</v>
      </c>
      <c r="J141" s="1">
        <v>185</v>
      </c>
      <c r="K141" s="1" t="s">
        <v>351</v>
      </c>
      <c r="L141" s="1" t="s">
        <v>35</v>
      </c>
      <c r="M141" s="1" t="s">
        <v>320</v>
      </c>
      <c r="N141" s="2">
        <v>46175</v>
      </c>
      <c r="P141" s="1" t="s">
        <v>155</v>
      </c>
      <c r="Q141" s="1" t="s">
        <v>169</v>
      </c>
      <c r="R141" s="1" t="s">
        <v>55</v>
      </c>
      <c r="S141" s="2">
        <v>46174</v>
      </c>
      <c r="T141" s="2">
        <v>46175</v>
      </c>
      <c r="V141" s="1">
        <v>0.75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1</v>
      </c>
      <c r="AE141" s="1">
        <v>0</v>
      </c>
      <c r="AF141" s="1">
        <v>0</v>
      </c>
      <c r="AG141" s="1">
        <v>0</v>
      </c>
    </row>
    <row r="142" spans="1:33" x14ac:dyDescent="0.25">
      <c r="A142" s="1">
        <v>187</v>
      </c>
      <c r="B142" s="1" t="s">
        <v>352</v>
      </c>
      <c r="C142" s="1" t="s">
        <v>344</v>
      </c>
      <c r="D142" s="1" t="s">
        <v>108</v>
      </c>
      <c r="E142" s="1" t="s">
        <v>53</v>
      </c>
      <c r="F142" s="10">
        <v>46176</v>
      </c>
      <c r="G142" s="10">
        <v>46176</v>
      </c>
      <c r="H142" s="11">
        <v>0.5</v>
      </c>
      <c r="J142" s="1">
        <v>186</v>
      </c>
      <c r="L142" s="1" t="s">
        <v>35</v>
      </c>
      <c r="M142" s="1" t="s">
        <v>181</v>
      </c>
      <c r="N142" s="2">
        <v>46176</v>
      </c>
      <c r="P142" s="1" t="s">
        <v>155</v>
      </c>
      <c r="Q142" s="1" t="s">
        <v>169</v>
      </c>
      <c r="R142" s="1" t="s">
        <v>55</v>
      </c>
      <c r="S142" s="2">
        <v>46176</v>
      </c>
      <c r="T142" s="2">
        <v>46176</v>
      </c>
      <c r="V142" s="1">
        <v>0.5</v>
      </c>
      <c r="W142" s="1">
        <v>0</v>
      </c>
      <c r="X142" s="1">
        <v>0</v>
      </c>
      <c r="Y142" s="1">
        <v>0</v>
      </c>
      <c r="Z142" s="1">
        <v>1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1</v>
      </c>
      <c r="AG142" s="1">
        <v>0</v>
      </c>
    </row>
    <row r="143" spans="1:33" x14ac:dyDescent="0.25">
      <c r="A143" s="1">
        <v>188</v>
      </c>
      <c r="B143" s="1" t="s">
        <v>353</v>
      </c>
      <c r="C143" s="1" t="s">
        <v>157</v>
      </c>
      <c r="D143" s="1" t="s">
        <v>354</v>
      </c>
      <c r="E143" s="1" t="s">
        <v>172</v>
      </c>
      <c r="F143" s="10">
        <v>46192</v>
      </c>
      <c r="G143" s="10">
        <v>46202</v>
      </c>
      <c r="H143" s="11">
        <v>0</v>
      </c>
      <c r="L143" s="1" t="s">
        <v>35</v>
      </c>
      <c r="M143" s="1" t="s">
        <v>311</v>
      </c>
      <c r="N143" s="2">
        <v>46195</v>
      </c>
      <c r="P143" s="1" t="s">
        <v>155</v>
      </c>
      <c r="Q143" s="1" t="s">
        <v>133</v>
      </c>
      <c r="R143" s="1" t="s">
        <v>55</v>
      </c>
      <c r="S143" s="2">
        <v>46185</v>
      </c>
      <c r="T143" s="2">
        <v>46195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</row>
    <row r="144" spans="1:33" x14ac:dyDescent="0.25">
      <c r="A144" s="1">
        <v>189</v>
      </c>
      <c r="B144" s="1" t="s">
        <v>355</v>
      </c>
      <c r="C144" s="1" t="s">
        <v>356</v>
      </c>
      <c r="D144" s="1" t="s">
        <v>94</v>
      </c>
      <c r="E144" s="1" t="s">
        <v>95</v>
      </c>
      <c r="F144" s="10">
        <v>46192</v>
      </c>
      <c r="G144" s="10">
        <v>46196</v>
      </c>
      <c r="H144" s="11">
        <v>0</v>
      </c>
      <c r="J144" s="1" t="s">
        <v>357</v>
      </c>
      <c r="K144" s="1">
        <v>190</v>
      </c>
      <c r="L144" s="1" t="s">
        <v>35</v>
      </c>
      <c r="M144" s="1" t="s">
        <v>311</v>
      </c>
      <c r="N144" s="2">
        <v>46189</v>
      </c>
      <c r="P144" s="1" t="s">
        <v>155</v>
      </c>
      <c r="Q144" s="1" t="s">
        <v>133</v>
      </c>
      <c r="R144" s="1" t="s">
        <v>55</v>
      </c>
      <c r="S144" s="2">
        <v>46185</v>
      </c>
      <c r="T144" s="2">
        <v>46189</v>
      </c>
      <c r="V144" s="1">
        <v>0</v>
      </c>
      <c r="W144" s="1">
        <v>1</v>
      </c>
      <c r="X144" s="1">
        <v>0</v>
      </c>
      <c r="Y144" s="1">
        <v>1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</row>
    <row r="145" spans="1:33" x14ac:dyDescent="0.25">
      <c r="A145" s="1">
        <v>190</v>
      </c>
      <c r="B145" s="1" t="s">
        <v>358</v>
      </c>
      <c r="C145" s="1" t="s">
        <v>356</v>
      </c>
      <c r="D145" s="1" t="s">
        <v>98</v>
      </c>
      <c r="E145" s="1" t="s">
        <v>53</v>
      </c>
      <c r="F145" s="10">
        <v>46197</v>
      </c>
      <c r="G145" s="10">
        <v>46197</v>
      </c>
      <c r="H145" s="11">
        <v>0</v>
      </c>
      <c r="J145" s="1">
        <v>189</v>
      </c>
      <c r="K145" s="1">
        <v>191</v>
      </c>
      <c r="L145" s="1" t="s">
        <v>35</v>
      </c>
      <c r="M145" s="1" t="s">
        <v>314</v>
      </c>
      <c r="N145" s="2">
        <v>46190</v>
      </c>
      <c r="P145" s="1" t="s">
        <v>155</v>
      </c>
      <c r="Q145" s="1" t="s">
        <v>178</v>
      </c>
      <c r="R145" s="1" t="s">
        <v>55</v>
      </c>
      <c r="S145" s="2">
        <v>46190</v>
      </c>
      <c r="T145" s="2">
        <v>46190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1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</row>
    <row r="146" spans="1:33" x14ac:dyDescent="0.25">
      <c r="A146" s="1">
        <v>191</v>
      </c>
      <c r="B146" s="1" t="s">
        <v>359</v>
      </c>
      <c r="C146" s="1" t="s">
        <v>356</v>
      </c>
      <c r="D146" s="1" t="s">
        <v>102</v>
      </c>
      <c r="E146" s="1" t="s">
        <v>121</v>
      </c>
      <c r="F146" s="10">
        <v>46198</v>
      </c>
      <c r="G146" s="10">
        <v>46199</v>
      </c>
      <c r="H146" s="11">
        <v>0</v>
      </c>
      <c r="J146" s="1">
        <v>190</v>
      </c>
      <c r="K146" s="1">
        <v>192</v>
      </c>
      <c r="L146" s="1" t="s">
        <v>35</v>
      </c>
      <c r="M146" s="1" t="s">
        <v>323</v>
      </c>
      <c r="N146" s="2">
        <v>46192</v>
      </c>
      <c r="P146" s="1" t="s">
        <v>155</v>
      </c>
      <c r="Q146" s="1" t="s">
        <v>178</v>
      </c>
      <c r="R146" s="1" t="s">
        <v>55</v>
      </c>
      <c r="S146" s="2">
        <v>46191</v>
      </c>
      <c r="T146" s="2">
        <v>46192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1</v>
      </c>
      <c r="AE146" s="1">
        <v>0</v>
      </c>
      <c r="AF146" s="1">
        <v>0</v>
      </c>
      <c r="AG146" s="1">
        <v>0</v>
      </c>
    </row>
    <row r="147" spans="1:33" x14ac:dyDescent="0.25">
      <c r="A147" s="1">
        <v>192</v>
      </c>
      <c r="B147" s="1" t="s">
        <v>360</v>
      </c>
      <c r="C147" s="1" t="s">
        <v>356</v>
      </c>
      <c r="D147" s="1" t="s">
        <v>108</v>
      </c>
      <c r="E147" s="1" t="s">
        <v>53</v>
      </c>
      <c r="F147" s="10">
        <v>46202</v>
      </c>
      <c r="G147" s="10">
        <v>46202</v>
      </c>
      <c r="H147" s="11">
        <v>0</v>
      </c>
      <c r="J147" s="1">
        <v>191</v>
      </c>
      <c r="L147" s="1" t="s">
        <v>35</v>
      </c>
      <c r="M147" s="1" t="s">
        <v>187</v>
      </c>
      <c r="N147" s="2">
        <v>46195</v>
      </c>
      <c r="P147" s="1" t="s">
        <v>155</v>
      </c>
      <c r="Q147" s="1" t="s">
        <v>178</v>
      </c>
      <c r="R147" s="1" t="s">
        <v>55</v>
      </c>
      <c r="S147" s="2">
        <v>46195</v>
      </c>
      <c r="T147" s="2">
        <v>46195</v>
      </c>
      <c r="V147" s="1">
        <v>0</v>
      </c>
      <c r="W147" s="1">
        <v>0</v>
      </c>
      <c r="X147" s="1">
        <v>0</v>
      </c>
      <c r="Y147" s="1">
        <v>0</v>
      </c>
      <c r="Z147" s="1">
        <v>1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1</v>
      </c>
      <c r="AG147" s="1">
        <v>0</v>
      </c>
    </row>
    <row r="148" spans="1:33" x14ac:dyDescent="0.25">
      <c r="A148" s="1">
        <v>193</v>
      </c>
      <c r="B148" s="1" t="s">
        <v>361</v>
      </c>
      <c r="C148" s="1" t="s">
        <v>157</v>
      </c>
      <c r="D148" s="1" t="s">
        <v>362</v>
      </c>
      <c r="E148" s="1" t="s">
        <v>172</v>
      </c>
      <c r="F148" s="10">
        <v>46190</v>
      </c>
      <c r="G148" s="10">
        <v>46198</v>
      </c>
      <c r="H148" s="11">
        <v>0.5</v>
      </c>
      <c r="L148" s="1" t="s">
        <v>35</v>
      </c>
      <c r="M148" s="1" t="s">
        <v>311</v>
      </c>
      <c r="N148" s="2">
        <v>46195</v>
      </c>
      <c r="P148" s="1" t="s">
        <v>155</v>
      </c>
      <c r="Q148" s="1" t="s">
        <v>133</v>
      </c>
      <c r="R148" s="1" t="s">
        <v>55</v>
      </c>
      <c r="S148" s="2">
        <v>46185</v>
      </c>
      <c r="T148" s="2">
        <v>46195</v>
      </c>
      <c r="V148" s="1">
        <v>0.5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</row>
    <row r="149" spans="1:33" x14ac:dyDescent="0.25">
      <c r="A149" s="1">
        <v>194</v>
      </c>
      <c r="B149" s="1" t="s">
        <v>363</v>
      </c>
      <c r="C149" s="1" t="s">
        <v>364</v>
      </c>
      <c r="D149" s="1" t="s">
        <v>94</v>
      </c>
      <c r="E149" s="1" t="s">
        <v>95</v>
      </c>
      <c r="F149" s="10">
        <v>46190</v>
      </c>
      <c r="G149" s="10">
        <v>46192</v>
      </c>
      <c r="H149" s="11">
        <v>1</v>
      </c>
      <c r="I149" s="10">
        <v>46192</v>
      </c>
      <c r="J149" s="1" t="s">
        <v>357</v>
      </c>
      <c r="K149" s="1">
        <v>195</v>
      </c>
      <c r="L149" s="1" t="s">
        <v>59</v>
      </c>
      <c r="M149" s="1" t="s">
        <v>311</v>
      </c>
      <c r="N149" s="2">
        <v>46189</v>
      </c>
      <c r="P149" s="1" t="s">
        <v>155</v>
      </c>
      <c r="Q149" s="1" t="s">
        <v>133</v>
      </c>
      <c r="R149" s="1" t="s">
        <v>55</v>
      </c>
      <c r="S149" s="2">
        <v>46185</v>
      </c>
      <c r="T149" s="2">
        <v>46189</v>
      </c>
      <c r="V149" s="1">
        <v>1</v>
      </c>
      <c r="W149" s="1">
        <v>1</v>
      </c>
      <c r="X149" s="1">
        <v>1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1</v>
      </c>
    </row>
    <row r="150" spans="1:33" x14ac:dyDescent="0.25">
      <c r="A150" s="1">
        <v>195</v>
      </c>
      <c r="B150" s="1" t="s">
        <v>365</v>
      </c>
      <c r="C150" s="1" t="s">
        <v>364</v>
      </c>
      <c r="D150" s="1" t="s">
        <v>98</v>
      </c>
      <c r="E150" s="1" t="s">
        <v>53</v>
      </c>
      <c r="F150" s="10">
        <v>46195</v>
      </c>
      <c r="G150" s="10">
        <v>46195</v>
      </c>
      <c r="H150" s="11">
        <v>0.5</v>
      </c>
      <c r="J150" s="1">
        <v>194</v>
      </c>
      <c r="K150" s="1">
        <v>196</v>
      </c>
      <c r="L150" s="1" t="s">
        <v>35</v>
      </c>
      <c r="M150" s="1" t="s">
        <v>314</v>
      </c>
      <c r="N150" s="2">
        <v>46190</v>
      </c>
      <c r="P150" s="1" t="s">
        <v>155</v>
      </c>
      <c r="Q150" s="1" t="s">
        <v>178</v>
      </c>
      <c r="R150" s="1" t="s">
        <v>55</v>
      </c>
      <c r="S150" s="2">
        <v>46190</v>
      </c>
      <c r="T150" s="2">
        <v>46190</v>
      </c>
      <c r="V150" s="1">
        <v>0.5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1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</row>
    <row r="151" spans="1:33" x14ac:dyDescent="0.25">
      <c r="A151" s="1">
        <v>196</v>
      </c>
      <c r="B151" s="1" t="s">
        <v>366</v>
      </c>
      <c r="C151" s="1" t="s">
        <v>364</v>
      </c>
      <c r="D151" s="1" t="s">
        <v>102</v>
      </c>
      <c r="E151" s="1" t="s">
        <v>121</v>
      </c>
      <c r="F151" s="10">
        <v>46196</v>
      </c>
      <c r="G151" s="10">
        <v>46197</v>
      </c>
      <c r="H151" s="11">
        <v>0</v>
      </c>
      <c r="J151" s="1">
        <v>195</v>
      </c>
      <c r="K151" s="1">
        <v>197</v>
      </c>
      <c r="L151" s="1" t="s">
        <v>35</v>
      </c>
      <c r="M151" s="1" t="s">
        <v>323</v>
      </c>
      <c r="N151" s="2">
        <v>46192</v>
      </c>
      <c r="P151" s="1" t="s">
        <v>155</v>
      </c>
      <c r="Q151" s="1" t="s">
        <v>178</v>
      </c>
      <c r="R151" s="1" t="s">
        <v>55</v>
      </c>
      <c r="S151" s="2">
        <v>46191</v>
      </c>
      <c r="T151" s="2">
        <v>46192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1</v>
      </c>
      <c r="AE151" s="1">
        <v>0</v>
      </c>
      <c r="AF151" s="1">
        <v>0</v>
      </c>
      <c r="AG151" s="1">
        <v>0</v>
      </c>
    </row>
    <row r="152" spans="1:33" x14ac:dyDescent="0.25">
      <c r="A152" s="1">
        <v>197</v>
      </c>
      <c r="B152" s="1" t="s">
        <v>367</v>
      </c>
      <c r="C152" s="1" t="s">
        <v>364</v>
      </c>
      <c r="D152" s="1" t="s">
        <v>108</v>
      </c>
      <c r="E152" s="1" t="s">
        <v>53</v>
      </c>
      <c r="F152" s="10">
        <v>46198</v>
      </c>
      <c r="G152" s="10">
        <v>46198</v>
      </c>
      <c r="H152" s="11">
        <v>0</v>
      </c>
      <c r="J152" s="1">
        <v>196</v>
      </c>
      <c r="L152" s="1" t="s">
        <v>35</v>
      </c>
      <c r="M152" s="1" t="s">
        <v>187</v>
      </c>
      <c r="N152" s="2">
        <v>46195</v>
      </c>
      <c r="P152" s="1" t="s">
        <v>155</v>
      </c>
      <c r="Q152" s="1" t="s">
        <v>178</v>
      </c>
      <c r="R152" s="1" t="s">
        <v>55</v>
      </c>
      <c r="S152" s="2">
        <v>46195</v>
      </c>
      <c r="T152" s="2">
        <v>46195</v>
      </c>
      <c r="V152" s="1">
        <v>0</v>
      </c>
      <c r="W152" s="1">
        <v>0</v>
      </c>
      <c r="X152" s="1">
        <v>0</v>
      </c>
      <c r="Y152" s="1">
        <v>0</v>
      </c>
      <c r="Z152" s="1">
        <v>1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1</v>
      </c>
      <c r="AG152" s="1">
        <v>0</v>
      </c>
    </row>
    <row r="153" spans="1:33" x14ac:dyDescent="0.25">
      <c r="A153" s="1">
        <v>198</v>
      </c>
      <c r="B153" s="1" t="s">
        <v>368</v>
      </c>
      <c r="C153" s="1" t="s">
        <v>157</v>
      </c>
      <c r="D153" s="1" t="s">
        <v>369</v>
      </c>
      <c r="E153" s="1" t="s">
        <v>172</v>
      </c>
      <c r="F153" s="10">
        <v>46192</v>
      </c>
      <c r="G153" s="10">
        <v>46202</v>
      </c>
      <c r="H153" s="11">
        <v>0</v>
      </c>
      <c r="L153" s="1" t="s">
        <v>35</v>
      </c>
      <c r="M153" s="1" t="s">
        <v>311</v>
      </c>
      <c r="N153" s="2">
        <v>46195</v>
      </c>
      <c r="P153" s="1" t="s">
        <v>155</v>
      </c>
      <c r="Q153" s="1" t="s">
        <v>133</v>
      </c>
      <c r="R153" s="1" t="s">
        <v>55</v>
      </c>
      <c r="S153" s="2">
        <v>46185</v>
      </c>
      <c r="T153" s="2">
        <v>46195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</row>
    <row r="154" spans="1:33" x14ac:dyDescent="0.25">
      <c r="A154" s="1">
        <v>199</v>
      </c>
      <c r="B154" s="1" t="s">
        <v>370</v>
      </c>
      <c r="C154" s="1" t="s">
        <v>371</v>
      </c>
      <c r="D154" s="1" t="s">
        <v>94</v>
      </c>
      <c r="E154" s="1" t="s">
        <v>95</v>
      </c>
      <c r="F154" s="10">
        <v>46192</v>
      </c>
      <c r="G154" s="10">
        <v>46196</v>
      </c>
      <c r="H154" s="11">
        <v>0</v>
      </c>
      <c r="J154" s="1" t="s">
        <v>357</v>
      </c>
      <c r="K154" s="1">
        <v>200</v>
      </c>
      <c r="L154" s="1" t="s">
        <v>35</v>
      </c>
      <c r="M154" s="1" t="s">
        <v>311</v>
      </c>
      <c r="N154" s="2">
        <v>46189</v>
      </c>
      <c r="P154" s="1" t="s">
        <v>155</v>
      </c>
      <c r="Q154" s="1" t="s">
        <v>133</v>
      </c>
      <c r="R154" s="1" t="s">
        <v>55</v>
      </c>
      <c r="S154" s="2">
        <v>46185</v>
      </c>
      <c r="T154" s="2">
        <v>46189</v>
      </c>
      <c r="V154" s="1">
        <v>0</v>
      </c>
      <c r="W154" s="1">
        <v>1</v>
      </c>
      <c r="X154" s="1">
        <v>0</v>
      </c>
      <c r="Y154" s="1">
        <v>1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</row>
    <row r="155" spans="1:33" x14ac:dyDescent="0.25">
      <c r="A155" s="1">
        <v>200</v>
      </c>
      <c r="B155" s="1" t="s">
        <v>372</v>
      </c>
      <c r="C155" s="1" t="s">
        <v>371</v>
      </c>
      <c r="D155" s="1" t="s">
        <v>98</v>
      </c>
      <c r="E155" s="1" t="s">
        <v>53</v>
      </c>
      <c r="F155" s="10">
        <v>46197</v>
      </c>
      <c r="G155" s="10">
        <v>46197</v>
      </c>
      <c r="H155" s="11">
        <v>0</v>
      </c>
      <c r="J155" s="1">
        <v>199</v>
      </c>
      <c r="K155" s="1">
        <v>201</v>
      </c>
      <c r="L155" s="1" t="s">
        <v>35</v>
      </c>
      <c r="M155" s="1" t="s">
        <v>314</v>
      </c>
      <c r="N155" s="2">
        <v>46190</v>
      </c>
      <c r="P155" s="1" t="s">
        <v>155</v>
      </c>
      <c r="Q155" s="1" t="s">
        <v>178</v>
      </c>
      <c r="R155" s="1" t="s">
        <v>55</v>
      </c>
      <c r="S155" s="2">
        <v>46190</v>
      </c>
      <c r="T155" s="2">
        <v>46190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1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</row>
    <row r="156" spans="1:33" x14ac:dyDescent="0.25">
      <c r="A156" s="1">
        <v>201</v>
      </c>
      <c r="B156" s="1" t="s">
        <v>373</v>
      </c>
      <c r="C156" s="1" t="s">
        <v>371</v>
      </c>
      <c r="D156" s="1" t="s">
        <v>102</v>
      </c>
      <c r="E156" s="1" t="s">
        <v>121</v>
      </c>
      <c r="F156" s="10">
        <v>46198</v>
      </c>
      <c r="G156" s="10">
        <v>46199</v>
      </c>
      <c r="H156" s="11">
        <v>0</v>
      </c>
      <c r="J156" s="1">
        <v>200</v>
      </c>
      <c r="K156" s="1">
        <v>202</v>
      </c>
      <c r="L156" s="1" t="s">
        <v>35</v>
      </c>
      <c r="M156" s="1" t="s">
        <v>323</v>
      </c>
      <c r="N156" s="2">
        <v>46192</v>
      </c>
      <c r="P156" s="1" t="s">
        <v>155</v>
      </c>
      <c r="Q156" s="1" t="s">
        <v>178</v>
      </c>
      <c r="R156" s="1" t="s">
        <v>55</v>
      </c>
      <c r="S156" s="2">
        <v>46191</v>
      </c>
      <c r="T156" s="2">
        <v>46192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1</v>
      </c>
      <c r="AE156" s="1">
        <v>0</v>
      </c>
      <c r="AF156" s="1">
        <v>0</v>
      </c>
      <c r="AG156" s="1">
        <v>0</v>
      </c>
    </row>
    <row r="157" spans="1:33" x14ac:dyDescent="0.25">
      <c r="A157" s="1">
        <v>202</v>
      </c>
      <c r="B157" s="1" t="s">
        <v>374</v>
      </c>
      <c r="C157" s="1" t="s">
        <v>371</v>
      </c>
      <c r="D157" s="1" t="s">
        <v>108</v>
      </c>
      <c r="E157" s="1" t="s">
        <v>53</v>
      </c>
      <c r="F157" s="10">
        <v>46202</v>
      </c>
      <c r="G157" s="10">
        <v>46202</v>
      </c>
      <c r="H157" s="11">
        <v>0</v>
      </c>
      <c r="J157" s="1">
        <v>201</v>
      </c>
      <c r="L157" s="1" t="s">
        <v>35</v>
      </c>
      <c r="M157" s="1" t="s">
        <v>187</v>
      </c>
      <c r="N157" s="2">
        <v>46195</v>
      </c>
      <c r="P157" s="1" t="s">
        <v>155</v>
      </c>
      <c r="Q157" s="1" t="s">
        <v>178</v>
      </c>
      <c r="R157" s="1" t="s">
        <v>55</v>
      </c>
      <c r="S157" s="2">
        <v>46195</v>
      </c>
      <c r="T157" s="2">
        <v>46195</v>
      </c>
      <c r="V157" s="1">
        <v>0</v>
      </c>
      <c r="W157" s="1">
        <v>0</v>
      </c>
      <c r="X157" s="1">
        <v>0</v>
      </c>
      <c r="Y157" s="1">
        <v>0</v>
      </c>
      <c r="Z157" s="1">
        <v>1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</v>
      </c>
      <c r="AG157" s="1">
        <v>0</v>
      </c>
    </row>
    <row r="158" spans="1:33" x14ac:dyDescent="0.25">
      <c r="A158" s="1">
        <v>203</v>
      </c>
      <c r="B158" s="1" t="s">
        <v>375</v>
      </c>
      <c r="C158" s="1" t="s">
        <v>73</v>
      </c>
      <c r="D158" s="1" t="s">
        <v>376</v>
      </c>
      <c r="E158" s="1" t="s">
        <v>43</v>
      </c>
      <c r="F158" s="10">
        <v>46185</v>
      </c>
      <c r="G158" s="10">
        <v>46220</v>
      </c>
      <c r="H158" s="11">
        <v>0.32</v>
      </c>
      <c r="L158" s="1" t="s">
        <v>180</v>
      </c>
      <c r="M158" s="1" t="s">
        <v>142</v>
      </c>
      <c r="N158" s="2">
        <v>46211</v>
      </c>
      <c r="P158" s="1" t="s">
        <v>377</v>
      </c>
      <c r="Q158" s="1" t="s">
        <v>65</v>
      </c>
      <c r="R158" s="1" t="s">
        <v>55</v>
      </c>
      <c r="S158" s="2">
        <v>46162</v>
      </c>
      <c r="T158" s="2">
        <v>46211</v>
      </c>
      <c r="V158" s="1">
        <v>0.32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</row>
    <row r="159" spans="1:33" x14ac:dyDescent="0.25">
      <c r="A159" s="1">
        <v>214</v>
      </c>
      <c r="B159" s="1" t="s">
        <v>378</v>
      </c>
      <c r="C159" s="1" t="s">
        <v>379</v>
      </c>
      <c r="D159" s="1" t="s">
        <v>380</v>
      </c>
      <c r="E159" s="1" t="s">
        <v>172</v>
      </c>
      <c r="F159" s="10">
        <v>46206</v>
      </c>
      <c r="G159" s="10">
        <v>46218</v>
      </c>
      <c r="H159" s="11">
        <v>0.39</v>
      </c>
      <c r="L159" s="1" t="s">
        <v>180</v>
      </c>
      <c r="M159" s="1" t="s">
        <v>173</v>
      </c>
      <c r="N159" s="2">
        <v>46178</v>
      </c>
      <c r="P159" s="1" t="s">
        <v>377</v>
      </c>
      <c r="Q159" s="1" t="s">
        <v>178</v>
      </c>
      <c r="R159" s="1" t="s">
        <v>55</v>
      </c>
      <c r="S159" s="2">
        <v>46170</v>
      </c>
      <c r="T159" s="2">
        <v>46178</v>
      </c>
      <c r="V159" s="1">
        <v>0.39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</row>
    <row r="160" spans="1:33" x14ac:dyDescent="0.25">
      <c r="A160" s="1">
        <v>215</v>
      </c>
      <c r="B160" s="1" t="s">
        <v>381</v>
      </c>
      <c r="C160" s="1" t="s">
        <v>382</v>
      </c>
      <c r="D160" s="1" t="s">
        <v>94</v>
      </c>
      <c r="E160" s="1" t="s">
        <v>95</v>
      </c>
      <c r="F160" s="10">
        <v>46206</v>
      </c>
      <c r="G160" s="10">
        <v>46210</v>
      </c>
      <c r="H160" s="11">
        <v>0.9</v>
      </c>
      <c r="J160" s="1" t="s">
        <v>383</v>
      </c>
      <c r="K160" s="1">
        <v>216</v>
      </c>
      <c r="L160" s="1" t="s">
        <v>180</v>
      </c>
      <c r="M160" s="1" t="s">
        <v>173</v>
      </c>
      <c r="N160" s="2">
        <v>46174</v>
      </c>
      <c r="P160" s="1" t="s">
        <v>377</v>
      </c>
      <c r="Q160" s="1" t="s">
        <v>178</v>
      </c>
      <c r="R160" s="1" t="s">
        <v>55</v>
      </c>
      <c r="S160" s="2">
        <v>46170</v>
      </c>
      <c r="T160" s="2">
        <v>46174</v>
      </c>
      <c r="V160" s="1">
        <v>0.9</v>
      </c>
      <c r="W160" s="1">
        <v>1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</row>
    <row r="161" spans="1:33" x14ac:dyDescent="0.25">
      <c r="A161" s="1">
        <v>216</v>
      </c>
      <c r="B161" s="1" t="s">
        <v>384</v>
      </c>
      <c r="C161" s="1" t="s">
        <v>382</v>
      </c>
      <c r="D161" s="1" t="s">
        <v>98</v>
      </c>
      <c r="E161" s="1" t="s">
        <v>53</v>
      </c>
      <c r="F161" s="10">
        <v>46211</v>
      </c>
      <c r="G161" s="10">
        <v>46211</v>
      </c>
      <c r="H161" s="11">
        <v>0</v>
      </c>
      <c r="J161" s="1">
        <v>215</v>
      </c>
      <c r="K161" s="1" t="s">
        <v>385</v>
      </c>
      <c r="L161" s="1" t="s">
        <v>149</v>
      </c>
      <c r="M161" s="1" t="s">
        <v>177</v>
      </c>
      <c r="N161" s="2">
        <v>46175</v>
      </c>
      <c r="P161" s="1" t="s">
        <v>377</v>
      </c>
      <c r="Q161" s="1" t="s">
        <v>146</v>
      </c>
      <c r="R161" s="1" t="s">
        <v>55</v>
      </c>
      <c r="S161" s="2">
        <v>46175</v>
      </c>
      <c r="T161" s="2">
        <v>46175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</row>
    <row r="162" spans="1:33" x14ac:dyDescent="0.25">
      <c r="A162" s="1">
        <v>217</v>
      </c>
      <c r="B162" s="1" t="s">
        <v>386</v>
      </c>
      <c r="C162" s="1" t="s">
        <v>382</v>
      </c>
      <c r="D162" s="1" t="s">
        <v>102</v>
      </c>
      <c r="E162" s="1" t="s">
        <v>121</v>
      </c>
      <c r="F162" s="10">
        <v>46216</v>
      </c>
      <c r="G162" s="10">
        <v>46217</v>
      </c>
      <c r="H162" s="11">
        <v>0</v>
      </c>
      <c r="J162" s="1">
        <v>216</v>
      </c>
      <c r="K162" s="1">
        <v>218</v>
      </c>
      <c r="L162" s="1" t="s">
        <v>149</v>
      </c>
      <c r="M162" s="1" t="s">
        <v>181</v>
      </c>
      <c r="N162" s="2">
        <v>46177</v>
      </c>
      <c r="P162" s="1" t="s">
        <v>377</v>
      </c>
      <c r="Q162" s="1" t="s">
        <v>146</v>
      </c>
      <c r="R162" s="1" t="s">
        <v>55</v>
      </c>
      <c r="S162" s="2">
        <v>46176</v>
      </c>
      <c r="T162" s="2">
        <v>46177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</row>
    <row r="163" spans="1:33" x14ac:dyDescent="0.25">
      <c r="A163" s="1">
        <v>218</v>
      </c>
      <c r="B163" s="1" t="s">
        <v>387</v>
      </c>
      <c r="C163" s="1" t="s">
        <v>382</v>
      </c>
      <c r="D163" s="1" t="s">
        <v>108</v>
      </c>
      <c r="E163" s="1" t="s">
        <v>53</v>
      </c>
      <c r="F163" s="10">
        <v>46218</v>
      </c>
      <c r="G163" s="10">
        <v>46218</v>
      </c>
      <c r="H163" s="11">
        <v>0</v>
      </c>
      <c r="J163" s="1">
        <v>217</v>
      </c>
      <c r="L163" s="1" t="s">
        <v>149</v>
      </c>
      <c r="M163" s="1" t="s">
        <v>183</v>
      </c>
      <c r="N163" s="2">
        <v>46178</v>
      </c>
      <c r="P163" s="1" t="s">
        <v>377</v>
      </c>
      <c r="Q163" s="1" t="s">
        <v>146</v>
      </c>
      <c r="R163" s="1" t="s">
        <v>55</v>
      </c>
      <c r="S163" s="2">
        <v>46178</v>
      </c>
      <c r="T163" s="2">
        <v>46178</v>
      </c>
      <c r="V163" s="1">
        <v>0</v>
      </c>
      <c r="W163" s="1">
        <v>0</v>
      </c>
      <c r="X163" s="1">
        <v>0</v>
      </c>
      <c r="Y163" s="1">
        <v>0</v>
      </c>
      <c r="Z163" s="1">
        <v>1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</row>
    <row r="164" spans="1:33" x14ac:dyDescent="0.25">
      <c r="A164" s="1">
        <v>234</v>
      </c>
      <c r="B164" s="1" t="s">
        <v>388</v>
      </c>
      <c r="C164" s="1" t="s">
        <v>379</v>
      </c>
      <c r="D164" s="1" t="s">
        <v>389</v>
      </c>
      <c r="E164" s="1" t="s">
        <v>172</v>
      </c>
      <c r="F164" s="10">
        <v>46210</v>
      </c>
      <c r="G164" s="10">
        <v>46220</v>
      </c>
      <c r="H164" s="11">
        <v>0</v>
      </c>
      <c r="L164" s="1" t="s">
        <v>180</v>
      </c>
      <c r="M164" s="1" t="s">
        <v>390</v>
      </c>
      <c r="N164" s="2">
        <v>46204</v>
      </c>
      <c r="P164" s="1" t="s">
        <v>377</v>
      </c>
      <c r="Q164" s="1" t="s">
        <v>146</v>
      </c>
      <c r="R164" s="1" t="s">
        <v>55</v>
      </c>
      <c r="S164" s="2">
        <v>46196</v>
      </c>
      <c r="T164" s="2">
        <v>46204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</row>
    <row r="165" spans="1:33" x14ac:dyDescent="0.25">
      <c r="A165" s="1">
        <v>235</v>
      </c>
      <c r="B165" s="1" t="s">
        <v>391</v>
      </c>
      <c r="C165" s="1" t="s">
        <v>392</v>
      </c>
      <c r="D165" s="1" t="s">
        <v>94</v>
      </c>
      <c r="E165" s="1" t="s">
        <v>95</v>
      </c>
      <c r="F165" s="10">
        <v>46210</v>
      </c>
      <c r="G165" s="10">
        <v>46216</v>
      </c>
      <c r="H165" s="11">
        <v>0</v>
      </c>
      <c r="K165" s="1">
        <v>236</v>
      </c>
      <c r="L165" s="1" t="s">
        <v>180</v>
      </c>
      <c r="M165" s="1" t="s">
        <v>390</v>
      </c>
      <c r="N165" s="2">
        <v>46198</v>
      </c>
      <c r="P165" s="1" t="s">
        <v>377</v>
      </c>
      <c r="Q165" s="1" t="s">
        <v>146</v>
      </c>
      <c r="R165" s="1" t="s">
        <v>55</v>
      </c>
      <c r="S165" s="2">
        <v>46196</v>
      </c>
      <c r="T165" s="2">
        <v>46198</v>
      </c>
      <c r="V165" s="1">
        <v>0</v>
      </c>
      <c r="W165" s="1">
        <v>1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</row>
    <row r="166" spans="1:33" x14ac:dyDescent="0.25">
      <c r="A166" s="1">
        <v>236</v>
      </c>
      <c r="B166" s="1" t="s">
        <v>393</v>
      </c>
      <c r="C166" s="1" t="s">
        <v>392</v>
      </c>
      <c r="D166" s="1" t="s">
        <v>98</v>
      </c>
      <c r="E166" s="1" t="s">
        <v>53</v>
      </c>
      <c r="F166" s="10">
        <v>46217</v>
      </c>
      <c r="G166" s="10">
        <v>46217</v>
      </c>
      <c r="H166" s="11">
        <v>0</v>
      </c>
      <c r="J166" s="1">
        <v>235</v>
      </c>
      <c r="K166" s="1">
        <v>237</v>
      </c>
      <c r="L166" s="1" t="s">
        <v>149</v>
      </c>
      <c r="M166" s="1" t="s">
        <v>394</v>
      </c>
      <c r="N166" s="2">
        <v>46199</v>
      </c>
      <c r="P166" s="1" t="s">
        <v>377</v>
      </c>
      <c r="Q166" s="1" t="s">
        <v>146</v>
      </c>
      <c r="R166" s="1" t="s">
        <v>55</v>
      </c>
      <c r="S166" s="2">
        <v>46199</v>
      </c>
      <c r="T166" s="2">
        <v>46199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</row>
    <row r="167" spans="1:33" x14ac:dyDescent="0.25">
      <c r="A167" s="1">
        <v>237</v>
      </c>
      <c r="B167" s="1" t="s">
        <v>395</v>
      </c>
      <c r="C167" s="1" t="s">
        <v>392</v>
      </c>
      <c r="D167" s="1" t="s">
        <v>102</v>
      </c>
      <c r="E167" s="1" t="s">
        <v>121</v>
      </c>
      <c r="F167" s="10">
        <v>46218</v>
      </c>
      <c r="G167" s="10">
        <v>46219</v>
      </c>
      <c r="H167" s="11">
        <v>0</v>
      </c>
      <c r="J167" s="1">
        <v>236</v>
      </c>
      <c r="K167" s="1">
        <v>238</v>
      </c>
      <c r="L167" s="1" t="s">
        <v>149</v>
      </c>
      <c r="M167" s="1" t="s">
        <v>396</v>
      </c>
      <c r="N167" s="2">
        <v>46203</v>
      </c>
      <c r="P167" s="1" t="s">
        <v>377</v>
      </c>
      <c r="Q167" s="1" t="s">
        <v>146</v>
      </c>
      <c r="R167" s="1" t="s">
        <v>55</v>
      </c>
      <c r="S167" s="2">
        <v>46202</v>
      </c>
      <c r="T167" s="2">
        <v>46203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</row>
    <row r="168" spans="1:33" x14ac:dyDescent="0.25">
      <c r="A168" s="1">
        <v>238</v>
      </c>
      <c r="B168" s="1" t="s">
        <v>397</v>
      </c>
      <c r="C168" s="1" t="s">
        <v>392</v>
      </c>
      <c r="D168" s="1" t="s">
        <v>108</v>
      </c>
      <c r="E168" s="1" t="s">
        <v>53</v>
      </c>
      <c r="F168" s="10">
        <v>46220</v>
      </c>
      <c r="G168" s="10">
        <v>46220</v>
      </c>
      <c r="H168" s="11">
        <v>0</v>
      </c>
      <c r="J168" s="1">
        <v>237</v>
      </c>
      <c r="L168" s="1" t="s">
        <v>149</v>
      </c>
      <c r="M168" s="1" t="s">
        <v>398</v>
      </c>
      <c r="N168" s="2">
        <v>46204</v>
      </c>
      <c r="P168" s="1" t="s">
        <v>377</v>
      </c>
      <c r="Q168" s="1" t="s">
        <v>151</v>
      </c>
      <c r="R168" s="1" t="s">
        <v>55</v>
      </c>
      <c r="S168" s="2">
        <v>46204</v>
      </c>
      <c r="T168" s="2">
        <v>46204</v>
      </c>
      <c r="V168" s="1">
        <v>0</v>
      </c>
      <c r="W168" s="1">
        <v>0</v>
      </c>
      <c r="X168" s="1">
        <v>0</v>
      </c>
      <c r="Y168" s="1">
        <v>0</v>
      </c>
      <c r="Z168" s="1">
        <v>1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</row>
    <row r="169" spans="1:33" x14ac:dyDescent="0.25">
      <c r="A169" s="1">
        <v>244</v>
      </c>
      <c r="B169" s="1" t="s">
        <v>399</v>
      </c>
      <c r="C169" s="1" t="s">
        <v>379</v>
      </c>
      <c r="D169" s="1" t="s">
        <v>400</v>
      </c>
      <c r="E169" s="1" t="s">
        <v>401</v>
      </c>
      <c r="F169" s="10">
        <v>46185</v>
      </c>
      <c r="G169" s="10">
        <v>46195</v>
      </c>
      <c r="H169" s="11">
        <v>0.5</v>
      </c>
      <c r="L169" s="1" t="s">
        <v>35</v>
      </c>
      <c r="M169" s="1" t="s">
        <v>142</v>
      </c>
      <c r="N169" s="2">
        <v>46169</v>
      </c>
      <c r="P169" s="1" t="s">
        <v>377</v>
      </c>
      <c r="Q169" s="1" t="s">
        <v>65</v>
      </c>
      <c r="R169" s="1" t="s">
        <v>55</v>
      </c>
      <c r="S169" s="2">
        <v>46162</v>
      </c>
      <c r="T169" s="2">
        <v>46169</v>
      </c>
      <c r="V169" s="1">
        <v>0.5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</row>
    <row r="170" spans="1:33" x14ac:dyDescent="0.25">
      <c r="A170" s="1">
        <v>245</v>
      </c>
      <c r="B170" s="1" t="s">
        <v>402</v>
      </c>
      <c r="C170" s="1" t="s">
        <v>403</v>
      </c>
      <c r="D170" s="1" t="s">
        <v>94</v>
      </c>
      <c r="E170" s="1" t="s">
        <v>95</v>
      </c>
      <c r="F170" s="10">
        <v>46185</v>
      </c>
      <c r="G170" s="10">
        <v>46189</v>
      </c>
      <c r="H170" s="11">
        <v>1</v>
      </c>
      <c r="I170" s="10">
        <v>46189</v>
      </c>
      <c r="J170" s="1" t="s">
        <v>404</v>
      </c>
      <c r="K170" s="1" t="s">
        <v>405</v>
      </c>
      <c r="L170" s="1" t="s">
        <v>59</v>
      </c>
      <c r="M170" s="1" t="s">
        <v>142</v>
      </c>
      <c r="N170" s="2">
        <v>46163</v>
      </c>
      <c r="P170" s="1" t="s">
        <v>377</v>
      </c>
      <c r="Q170" s="1" t="s">
        <v>65</v>
      </c>
      <c r="R170" s="1" t="s">
        <v>55</v>
      </c>
      <c r="S170" s="2">
        <v>46162</v>
      </c>
      <c r="T170" s="2">
        <v>46163</v>
      </c>
      <c r="V170" s="1">
        <v>1</v>
      </c>
      <c r="W170" s="1">
        <v>1</v>
      </c>
      <c r="X170" s="1">
        <v>1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1</v>
      </c>
    </row>
    <row r="171" spans="1:33" x14ac:dyDescent="0.25">
      <c r="A171" s="1">
        <v>246</v>
      </c>
      <c r="B171" s="1" t="s">
        <v>406</v>
      </c>
      <c r="C171" s="1" t="s">
        <v>403</v>
      </c>
      <c r="D171" s="1" t="s">
        <v>98</v>
      </c>
      <c r="E171" s="1" t="s">
        <v>53</v>
      </c>
      <c r="F171" s="10">
        <v>46189</v>
      </c>
      <c r="G171" s="10">
        <v>46190</v>
      </c>
      <c r="H171" s="11">
        <v>0.5</v>
      </c>
      <c r="J171" s="1">
        <v>245</v>
      </c>
      <c r="K171" s="1">
        <v>247</v>
      </c>
      <c r="L171" s="1" t="s">
        <v>35</v>
      </c>
      <c r="M171" s="1" t="s">
        <v>62</v>
      </c>
      <c r="N171" s="2">
        <v>46164</v>
      </c>
      <c r="P171" s="1" t="s">
        <v>377</v>
      </c>
      <c r="Q171" s="1" t="s">
        <v>133</v>
      </c>
      <c r="R171" s="1" t="s">
        <v>55</v>
      </c>
      <c r="S171" s="2">
        <v>46164</v>
      </c>
      <c r="T171" s="2">
        <v>46164</v>
      </c>
      <c r="V171" s="1">
        <v>0.5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1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</row>
    <row r="172" spans="1:33" x14ac:dyDescent="0.25">
      <c r="A172" s="1">
        <v>247</v>
      </c>
      <c r="B172" s="1" t="s">
        <v>407</v>
      </c>
      <c r="C172" s="1" t="s">
        <v>403</v>
      </c>
      <c r="D172" s="1" t="s">
        <v>102</v>
      </c>
      <c r="E172" s="1" t="s">
        <v>121</v>
      </c>
      <c r="F172" s="10">
        <v>46190</v>
      </c>
      <c r="G172" s="10">
        <v>46192</v>
      </c>
      <c r="H172" s="11">
        <v>0</v>
      </c>
      <c r="J172" s="1">
        <v>246</v>
      </c>
      <c r="K172" s="1">
        <v>248</v>
      </c>
      <c r="L172" s="1" t="s">
        <v>35</v>
      </c>
      <c r="M172" s="1" t="s">
        <v>150</v>
      </c>
      <c r="N172" s="2">
        <v>46168</v>
      </c>
      <c r="P172" s="1" t="s">
        <v>377</v>
      </c>
      <c r="Q172" s="1" t="s">
        <v>133</v>
      </c>
      <c r="R172" s="1" t="s">
        <v>55</v>
      </c>
      <c r="S172" s="2">
        <v>46167</v>
      </c>
      <c r="T172" s="2">
        <v>46168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1</v>
      </c>
      <c r="AE172" s="1">
        <v>0</v>
      </c>
      <c r="AF172" s="1">
        <v>0</v>
      </c>
      <c r="AG172" s="1">
        <v>0</v>
      </c>
    </row>
    <row r="173" spans="1:33" x14ac:dyDescent="0.25">
      <c r="A173" s="1">
        <v>248</v>
      </c>
      <c r="B173" s="1" t="s">
        <v>408</v>
      </c>
      <c r="C173" s="1" t="s">
        <v>403</v>
      </c>
      <c r="D173" s="1" t="s">
        <v>108</v>
      </c>
      <c r="E173" s="1" t="s">
        <v>53</v>
      </c>
      <c r="F173" s="10">
        <v>46192</v>
      </c>
      <c r="G173" s="10">
        <v>46195</v>
      </c>
      <c r="H173" s="11">
        <v>0</v>
      </c>
      <c r="J173" s="1">
        <v>247</v>
      </c>
      <c r="L173" s="1" t="s">
        <v>35</v>
      </c>
      <c r="M173" s="1" t="s">
        <v>409</v>
      </c>
      <c r="N173" s="2">
        <v>46169</v>
      </c>
      <c r="P173" s="1" t="s">
        <v>377</v>
      </c>
      <c r="Q173" s="1" t="s">
        <v>133</v>
      </c>
      <c r="R173" s="1" t="s">
        <v>55</v>
      </c>
      <c r="S173" s="2">
        <v>46169</v>
      </c>
      <c r="T173" s="2">
        <v>46169</v>
      </c>
      <c r="V173" s="1">
        <v>0</v>
      </c>
      <c r="W173" s="1">
        <v>0</v>
      </c>
      <c r="X173" s="1">
        <v>0</v>
      </c>
      <c r="Y173" s="1">
        <v>0</v>
      </c>
      <c r="Z173" s="1">
        <v>1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1</v>
      </c>
      <c r="AG173" s="1">
        <v>0</v>
      </c>
    </row>
    <row r="174" spans="1:33" x14ac:dyDescent="0.25">
      <c r="A174" s="1">
        <v>254</v>
      </c>
      <c r="B174" s="1" t="s">
        <v>410</v>
      </c>
      <c r="C174" s="1" t="s">
        <v>379</v>
      </c>
      <c r="D174" s="1" t="s">
        <v>411</v>
      </c>
      <c r="E174" s="1" t="s">
        <v>172</v>
      </c>
      <c r="F174" s="10">
        <v>46209</v>
      </c>
      <c r="G174" s="10">
        <v>46219</v>
      </c>
      <c r="H174" s="11">
        <v>0.32</v>
      </c>
      <c r="K174" s="1" t="s">
        <v>412</v>
      </c>
      <c r="L174" s="1" t="s">
        <v>180</v>
      </c>
      <c r="M174" s="1" t="s">
        <v>177</v>
      </c>
      <c r="N174" s="2">
        <v>46183</v>
      </c>
      <c r="P174" s="1" t="s">
        <v>377</v>
      </c>
      <c r="Q174" s="1" t="s">
        <v>146</v>
      </c>
      <c r="R174" s="1" t="s">
        <v>55</v>
      </c>
      <c r="S174" s="2">
        <v>46175</v>
      </c>
      <c r="T174" s="2">
        <v>46183</v>
      </c>
      <c r="V174" s="1">
        <v>0.32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</row>
    <row r="175" spans="1:33" x14ac:dyDescent="0.25">
      <c r="A175" s="1">
        <v>255</v>
      </c>
      <c r="B175" s="1" t="s">
        <v>413</v>
      </c>
      <c r="C175" s="1" t="s">
        <v>414</v>
      </c>
      <c r="D175" s="1" t="s">
        <v>94</v>
      </c>
      <c r="E175" s="1" t="s">
        <v>95</v>
      </c>
      <c r="F175" s="10">
        <v>46209</v>
      </c>
      <c r="G175" s="10">
        <v>46211</v>
      </c>
      <c r="H175" s="11">
        <v>0.75</v>
      </c>
      <c r="J175" s="1" t="s">
        <v>415</v>
      </c>
      <c r="K175" s="1">
        <v>256</v>
      </c>
      <c r="L175" s="1" t="s">
        <v>180</v>
      </c>
      <c r="M175" s="1" t="s">
        <v>177</v>
      </c>
      <c r="N175" s="2">
        <v>46177</v>
      </c>
      <c r="P175" s="1" t="s">
        <v>377</v>
      </c>
      <c r="Q175" s="1" t="s">
        <v>146</v>
      </c>
      <c r="R175" s="1" t="s">
        <v>55</v>
      </c>
      <c r="S175" s="2">
        <v>46175</v>
      </c>
      <c r="T175" s="2">
        <v>46177</v>
      </c>
      <c r="V175" s="1">
        <v>0.75</v>
      </c>
      <c r="W175" s="1">
        <v>1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</row>
    <row r="176" spans="1:33" x14ac:dyDescent="0.25">
      <c r="A176" s="1">
        <v>256</v>
      </c>
      <c r="B176" s="1" t="s">
        <v>416</v>
      </c>
      <c r="C176" s="1" t="s">
        <v>414</v>
      </c>
      <c r="D176" s="1" t="s">
        <v>98</v>
      </c>
      <c r="E176" s="1" t="s">
        <v>53</v>
      </c>
      <c r="F176" s="10">
        <v>46216</v>
      </c>
      <c r="G176" s="10">
        <v>46216</v>
      </c>
      <c r="H176" s="11">
        <v>0</v>
      </c>
      <c r="J176" s="1">
        <v>255</v>
      </c>
      <c r="K176" s="1">
        <v>257</v>
      </c>
      <c r="L176" s="1" t="s">
        <v>149</v>
      </c>
      <c r="M176" s="1" t="s">
        <v>183</v>
      </c>
      <c r="N176" s="2">
        <v>46178</v>
      </c>
      <c r="P176" s="1" t="s">
        <v>377</v>
      </c>
      <c r="Q176" s="1" t="s">
        <v>146</v>
      </c>
      <c r="R176" s="1" t="s">
        <v>55</v>
      </c>
      <c r="S176" s="2">
        <v>46178</v>
      </c>
      <c r="T176" s="2">
        <v>46178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</row>
    <row r="177" spans="1:33" x14ac:dyDescent="0.25">
      <c r="A177" s="1">
        <v>257</v>
      </c>
      <c r="B177" s="1" t="s">
        <v>417</v>
      </c>
      <c r="C177" s="1" t="s">
        <v>414</v>
      </c>
      <c r="D177" s="1" t="s">
        <v>102</v>
      </c>
      <c r="E177" s="1" t="s">
        <v>121</v>
      </c>
      <c r="F177" s="10">
        <v>46217</v>
      </c>
      <c r="G177" s="10">
        <v>46218</v>
      </c>
      <c r="H177" s="11">
        <v>0</v>
      </c>
      <c r="J177" s="1">
        <v>256</v>
      </c>
      <c r="K177" s="1">
        <v>258</v>
      </c>
      <c r="L177" s="1" t="s">
        <v>149</v>
      </c>
      <c r="M177" s="1" t="s">
        <v>418</v>
      </c>
      <c r="N177" s="2">
        <v>46182</v>
      </c>
      <c r="P177" s="1" t="s">
        <v>377</v>
      </c>
      <c r="Q177" s="1" t="s">
        <v>151</v>
      </c>
      <c r="R177" s="1" t="s">
        <v>55</v>
      </c>
      <c r="S177" s="2">
        <v>46181</v>
      </c>
      <c r="T177" s="2">
        <v>46182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</row>
    <row r="178" spans="1:33" x14ac:dyDescent="0.25">
      <c r="A178" s="1">
        <v>258</v>
      </c>
      <c r="B178" s="1" t="s">
        <v>419</v>
      </c>
      <c r="C178" s="1" t="s">
        <v>414</v>
      </c>
      <c r="D178" s="1" t="s">
        <v>108</v>
      </c>
      <c r="E178" s="1" t="s">
        <v>53</v>
      </c>
      <c r="F178" s="10">
        <v>46219</v>
      </c>
      <c r="G178" s="10">
        <v>46219</v>
      </c>
      <c r="H178" s="11">
        <v>0</v>
      </c>
      <c r="J178" s="1">
        <v>257</v>
      </c>
      <c r="L178" s="1" t="s">
        <v>149</v>
      </c>
      <c r="M178" s="1" t="s">
        <v>260</v>
      </c>
      <c r="N178" s="2">
        <v>46183</v>
      </c>
      <c r="P178" s="1" t="s">
        <v>377</v>
      </c>
      <c r="Q178" s="1" t="s">
        <v>151</v>
      </c>
      <c r="R178" s="1" t="s">
        <v>55</v>
      </c>
      <c r="S178" s="2">
        <v>46183</v>
      </c>
      <c r="T178" s="2">
        <v>46183</v>
      </c>
      <c r="V178" s="1">
        <v>0</v>
      </c>
      <c r="W178" s="1">
        <v>0</v>
      </c>
      <c r="X178" s="1">
        <v>0</v>
      </c>
      <c r="Y178" s="1">
        <v>0</v>
      </c>
      <c r="Z178" s="1">
        <v>1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</row>
    <row r="179" spans="1:33" x14ac:dyDescent="0.25">
      <c r="A179" s="1">
        <v>259</v>
      </c>
      <c r="B179" s="1" t="s">
        <v>420</v>
      </c>
      <c r="C179" s="1" t="s">
        <v>379</v>
      </c>
      <c r="D179" s="1" t="s">
        <v>421</v>
      </c>
      <c r="E179" s="1" t="s">
        <v>172</v>
      </c>
      <c r="F179" s="10">
        <v>46209</v>
      </c>
      <c r="G179" s="10">
        <v>46219</v>
      </c>
      <c r="H179" s="11">
        <v>0.32</v>
      </c>
      <c r="L179" s="1" t="s">
        <v>180</v>
      </c>
      <c r="M179" s="1" t="s">
        <v>177</v>
      </c>
      <c r="N179" s="2">
        <v>46183</v>
      </c>
      <c r="P179" s="1" t="s">
        <v>377</v>
      </c>
      <c r="Q179" s="1" t="s">
        <v>146</v>
      </c>
      <c r="R179" s="1" t="s">
        <v>55</v>
      </c>
      <c r="S179" s="2">
        <v>46175</v>
      </c>
      <c r="T179" s="2">
        <v>46183</v>
      </c>
      <c r="V179" s="1">
        <v>0.32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</row>
    <row r="180" spans="1:33" x14ac:dyDescent="0.25">
      <c r="A180" s="1">
        <v>260</v>
      </c>
      <c r="B180" s="1" t="s">
        <v>422</v>
      </c>
      <c r="C180" s="1" t="s">
        <v>423</v>
      </c>
      <c r="D180" s="1" t="s">
        <v>94</v>
      </c>
      <c r="E180" s="1" t="s">
        <v>95</v>
      </c>
      <c r="F180" s="10">
        <v>46209</v>
      </c>
      <c r="G180" s="10">
        <v>46211</v>
      </c>
      <c r="H180" s="11">
        <v>0.75</v>
      </c>
      <c r="J180" s="1" t="s">
        <v>415</v>
      </c>
      <c r="K180" s="1">
        <v>261</v>
      </c>
      <c r="L180" s="1" t="s">
        <v>180</v>
      </c>
      <c r="M180" s="1" t="s">
        <v>177</v>
      </c>
      <c r="N180" s="2">
        <v>46177</v>
      </c>
      <c r="P180" s="1" t="s">
        <v>377</v>
      </c>
      <c r="Q180" s="1" t="s">
        <v>146</v>
      </c>
      <c r="R180" s="1" t="s">
        <v>55</v>
      </c>
      <c r="S180" s="2">
        <v>46175</v>
      </c>
      <c r="T180" s="2">
        <v>46177</v>
      </c>
      <c r="V180" s="1">
        <v>0.75</v>
      </c>
      <c r="W180" s="1">
        <v>1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</row>
    <row r="181" spans="1:33" x14ac:dyDescent="0.25">
      <c r="A181" s="1">
        <v>261</v>
      </c>
      <c r="B181" s="1" t="s">
        <v>424</v>
      </c>
      <c r="C181" s="1" t="s">
        <v>423</v>
      </c>
      <c r="D181" s="1" t="s">
        <v>98</v>
      </c>
      <c r="E181" s="1" t="s">
        <v>53</v>
      </c>
      <c r="F181" s="10">
        <v>46216</v>
      </c>
      <c r="G181" s="10">
        <v>46216</v>
      </c>
      <c r="H181" s="11">
        <v>0</v>
      </c>
      <c r="J181" s="1">
        <v>260</v>
      </c>
      <c r="K181" s="1">
        <v>262</v>
      </c>
      <c r="L181" s="1" t="s">
        <v>149</v>
      </c>
      <c r="M181" s="1" t="s">
        <v>183</v>
      </c>
      <c r="N181" s="2">
        <v>46178</v>
      </c>
      <c r="P181" s="1" t="s">
        <v>377</v>
      </c>
      <c r="Q181" s="1" t="s">
        <v>146</v>
      </c>
      <c r="R181" s="1" t="s">
        <v>55</v>
      </c>
      <c r="S181" s="2">
        <v>46178</v>
      </c>
      <c r="T181" s="2">
        <v>46178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</row>
    <row r="182" spans="1:33" x14ac:dyDescent="0.25">
      <c r="A182" s="1">
        <v>262</v>
      </c>
      <c r="B182" s="1" t="s">
        <v>425</v>
      </c>
      <c r="C182" s="1" t="s">
        <v>423</v>
      </c>
      <c r="D182" s="1" t="s">
        <v>102</v>
      </c>
      <c r="E182" s="1" t="s">
        <v>121</v>
      </c>
      <c r="F182" s="10">
        <v>46217</v>
      </c>
      <c r="G182" s="10">
        <v>46218</v>
      </c>
      <c r="H182" s="11">
        <v>0</v>
      </c>
      <c r="J182" s="1">
        <v>261</v>
      </c>
      <c r="K182" s="1">
        <v>263</v>
      </c>
      <c r="L182" s="1" t="s">
        <v>149</v>
      </c>
      <c r="M182" s="1" t="s">
        <v>418</v>
      </c>
      <c r="N182" s="2">
        <v>46182</v>
      </c>
      <c r="P182" s="1" t="s">
        <v>377</v>
      </c>
      <c r="Q182" s="1" t="s">
        <v>151</v>
      </c>
      <c r="R182" s="1" t="s">
        <v>55</v>
      </c>
      <c r="S182" s="2">
        <v>46181</v>
      </c>
      <c r="T182" s="2">
        <v>46182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</row>
    <row r="183" spans="1:33" x14ac:dyDescent="0.25">
      <c r="A183" s="1">
        <v>263</v>
      </c>
      <c r="B183" s="1" t="s">
        <v>426</v>
      </c>
      <c r="C183" s="1" t="s">
        <v>423</v>
      </c>
      <c r="D183" s="1" t="s">
        <v>108</v>
      </c>
      <c r="E183" s="1" t="s">
        <v>53</v>
      </c>
      <c r="F183" s="10">
        <v>46219</v>
      </c>
      <c r="G183" s="10">
        <v>46219</v>
      </c>
      <c r="H183" s="11">
        <v>0</v>
      </c>
      <c r="J183" s="1">
        <v>262</v>
      </c>
      <c r="L183" s="1" t="s">
        <v>149</v>
      </c>
      <c r="M183" s="1" t="s">
        <v>260</v>
      </c>
      <c r="N183" s="2">
        <v>46183</v>
      </c>
      <c r="P183" s="1" t="s">
        <v>377</v>
      </c>
      <c r="Q183" s="1" t="s">
        <v>151</v>
      </c>
      <c r="R183" s="1" t="s">
        <v>55</v>
      </c>
      <c r="S183" s="2">
        <v>46183</v>
      </c>
      <c r="T183" s="2">
        <v>46183</v>
      </c>
      <c r="V183" s="1">
        <v>0</v>
      </c>
      <c r="W183" s="1">
        <v>0</v>
      </c>
      <c r="X183" s="1">
        <v>0</v>
      </c>
      <c r="Y183" s="1">
        <v>0</v>
      </c>
      <c r="Z183" s="1">
        <v>1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</row>
    <row r="184" spans="1:33" x14ac:dyDescent="0.25">
      <c r="A184" s="1">
        <v>264</v>
      </c>
      <c r="B184" s="1" t="s">
        <v>427</v>
      </c>
      <c r="C184" s="1" t="s">
        <v>379</v>
      </c>
      <c r="D184" s="1" t="s">
        <v>428</v>
      </c>
      <c r="E184" s="1" t="s">
        <v>172</v>
      </c>
      <c r="F184" s="10">
        <v>46209</v>
      </c>
      <c r="G184" s="10">
        <v>46219</v>
      </c>
      <c r="H184" s="11">
        <v>0.32</v>
      </c>
      <c r="L184" s="1" t="s">
        <v>180</v>
      </c>
      <c r="M184" s="1" t="s">
        <v>177</v>
      </c>
      <c r="N184" s="2">
        <v>46183</v>
      </c>
      <c r="P184" s="1" t="s">
        <v>377</v>
      </c>
      <c r="Q184" s="1" t="s">
        <v>146</v>
      </c>
      <c r="R184" s="1" t="s">
        <v>55</v>
      </c>
      <c r="S184" s="2">
        <v>46175</v>
      </c>
      <c r="T184" s="2">
        <v>46183</v>
      </c>
      <c r="V184" s="1">
        <v>0.32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</row>
    <row r="185" spans="1:33" x14ac:dyDescent="0.25">
      <c r="A185" s="1">
        <v>265</v>
      </c>
      <c r="B185" s="1" t="s">
        <v>429</v>
      </c>
      <c r="C185" s="1" t="s">
        <v>430</v>
      </c>
      <c r="D185" s="1" t="s">
        <v>94</v>
      </c>
      <c r="E185" s="1" t="s">
        <v>95</v>
      </c>
      <c r="F185" s="10">
        <v>46209</v>
      </c>
      <c r="G185" s="10">
        <v>46211</v>
      </c>
      <c r="H185" s="11">
        <v>0.75</v>
      </c>
      <c r="J185" s="1" t="s">
        <v>415</v>
      </c>
      <c r="K185" s="1">
        <v>266</v>
      </c>
      <c r="L185" s="1" t="s">
        <v>180</v>
      </c>
      <c r="M185" s="1" t="s">
        <v>177</v>
      </c>
      <c r="N185" s="2">
        <v>46177</v>
      </c>
      <c r="P185" s="1" t="s">
        <v>377</v>
      </c>
      <c r="Q185" s="1" t="s">
        <v>146</v>
      </c>
      <c r="R185" s="1" t="s">
        <v>55</v>
      </c>
      <c r="S185" s="2">
        <v>46175</v>
      </c>
      <c r="T185" s="2">
        <v>46177</v>
      </c>
      <c r="V185" s="1">
        <v>0.75</v>
      </c>
      <c r="W185" s="1">
        <v>1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</row>
    <row r="186" spans="1:33" x14ac:dyDescent="0.25">
      <c r="A186" s="1">
        <v>266</v>
      </c>
      <c r="B186" s="1" t="s">
        <v>431</v>
      </c>
      <c r="C186" s="1" t="s">
        <v>430</v>
      </c>
      <c r="D186" s="1" t="s">
        <v>98</v>
      </c>
      <c r="E186" s="1" t="s">
        <v>53</v>
      </c>
      <c r="F186" s="10">
        <v>46216</v>
      </c>
      <c r="G186" s="10">
        <v>46216</v>
      </c>
      <c r="H186" s="11">
        <v>0</v>
      </c>
      <c r="J186" s="1">
        <v>265</v>
      </c>
      <c r="K186" s="1">
        <v>267</v>
      </c>
      <c r="L186" s="1" t="s">
        <v>149</v>
      </c>
      <c r="M186" s="1" t="s">
        <v>183</v>
      </c>
      <c r="N186" s="2">
        <v>46178</v>
      </c>
      <c r="P186" s="1" t="s">
        <v>377</v>
      </c>
      <c r="Q186" s="1" t="s">
        <v>146</v>
      </c>
      <c r="R186" s="1" t="s">
        <v>55</v>
      </c>
      <c r="S186" s="2">
        <v>46178</v>
      </c>
      <c r="T186" s="2">
        <v>46178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</row>
    <row r="187" spans="1:33" x14ac:dyDescent="0.25">
      <c r="A187" s="1">
        <v>267</v>
      </c>
      <c r="B187" s="1" t="s">
        <v>432</v>
      </c>
      <c r="C187" s="1" t="s">
        <v>430</v>
      </c>
      <c r="D187" s="1" t="s">
        <v>102</v>
      </c>
      <c r="E187" s="1" t="s">
        <v>121</v>
      </c>
      <c r="F187" s="10">
        <v>46217</v>
      </c>
      <c r="G187" s="10">
        <v>46218</v>
      </c>
      <c r="H187" s="11">
        <v>0</v>
      </c>
      <c r="J187" s="1">
        <v>266</v>
      </c>
      <c r="K187" s="1">
        <v>268</v>
      </c>
      <c r="L187" s="1" t="s">
        <v>149</v>
      </c>
      <c r="M187" s="1" t="s">
        <v>418</v>
      </c>
      <c r="N187" s="2">
        <v>46182</v>
      </c>
      <c r="P187" s="1" t="s">
        <v>377</v>
      </c>
      <c r="Q187" s="1" t="s">
        <v>151</v>
      </c>
      <c r="R187" s="1" t="s">
        <v>55</v>
      </c>
      <c r="S187" s="2">
        <v>46181</v>
      </c>
      <c r="T187" s="2">
        <v>46182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</row>
    <row r="188" spans="1:33" x14ac:dyDescent="0.25">
      <c r="A188" s="1">
        <v>268</v>
      </c>
      <c r="B188" s="1" t="s">
        <v>433</v>
      </c>
      <c r="C188" s="1" t="s">
        <v>430</v>
      </c>
      <c r="D188" s="1" t="s">
        <v>108</v>
      </c>
      <c r="E188" s="1" t="s">
        <v>53</v>
      </c>
      <c r="F188" s="10">
        <v>46219</v>
      </c>
      <c r="G188" s="10">
        <v>46219</v>
      </c>
      <c r="H188" s="11">
        <v>0</v>
      </c>
      <c r="J188" s="1">
        <v>267</v>
      </c>
      <c r="L188" s="1" t="s">
        <v>149</v>
      </c>
      <c r="M188" s="1" t="s">
        <v>260</v>
      </c>
      <c r="N188" s="2">
        <v>46183</v>
      </c>
      <c r="P188" s="1" t="s">
        <v>377</v>
      </c>
      <c r="Q188" s="1" t="s">
        <v>151</v>
      </c>
      <c r="R188" s="1" t="s">
        <v>55</v>
      </c>
      <c r="S188" s="2">
        <v>46183</v>
      </c>
      <c r="T188" s="2">
        <v>46183</v>
      </c>
      <c r="V188" s="1">
        <v>0</v>
      </c>
      <c r="W188" s="1">
        <v>0</v>
      </c>
      <c r="X188" s="1">
        <v>0</v>
      </c>
      <c r="Y188" s="1">
        <v>0</v>
      </c>
      <c r="Z188" s="1">
        <v>1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</row>
    <row r="189" spans="1:33" x14ac:dyDescent="0.25">
      <c r="A189" s="1">
        <v>284</v>
      </c>
      <c r="B189" s="1" t="s">
        <v>434</v>
      </c>
      <c r="C189" s="1" t="s">
        <v>379</v>
      </c>
      <c r="D189" s="1" t="s">
        <v>435</v>
      </c>
      <c r="E189" s="1" t="s">
        <v>172</v>
      </c>
      <c r="F189" s="10">
        <v>46209</v>
      </c>
      <c r="G189" s="10">
        <v>46219</v>
      </c>
      <c r="H189" s="11">
        <v>0.32</v>
      </c>
      <c r="K189" s="1" t="s">
        <v>412</v>
      </c>
      <c r="L189" s="1" t="s">
        <v>180</v>
      </c>
      <c r="M189" s="1" t="s">
        <v>177</v>
      </c>
      <c r="N189" s="2">
        <v>46183</v>
      </c>
      <c r="P189" s="1" t="s">
        <v>377</v>
      </c>
      <c r="Q189" s="1" t="s">
        <v>146</v>
      </c>
      <c r="R189" s="1" t="s">
        <v>55</v>
      </c>
      <c r="S189" s="2">
        <v>46175</v>
      </c>
      <c r="T189" s="2">
        <v>46183</v>
      </c>
      <c r="V189" s="1">
        <v>0.32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</row>
    <row r="190" spans="1:33" x14ac:dyDescent="0.25">
      <c r="A190" s="1">
        <v>285</v>
      </c>
      <c r="B190" s="1" t="s">
        <v>436</v>
      </c>
      <c r="C190" s="1" t="s">
        <v>437</v>
      </c>
      <c r="D190" s="1" t="s">
        <v>94</v>
      </c>
      <c r="E190" s="1" t="s">
        <v>95</v>
      </c>
      <c r="F190" s="10">
        <v>46209</v>
      </c>
      <c r="G190" s="10">
        <v>46211</v>
      </c>
      <c r="H190" s="11">
        <v>0.75</v>
      </c>
      <c r="J190" s="1" t="s">
        <v>415</v>
      </c>
      <c r="K190" s="1">
        <v>286</v>
      </c>
      <c r="L190" s="1" t="s">
        <v>180</v>
      </c>
      <c r="M190" s="1" t="s">
        <v>177</v>
      </c>
      <c r="N190" s="2">
        <v>46177</v>
      </c>
      <c r="P190" s="1" t="s">
        <v>377</v>
      </c>
      <c r="Q190" s="1" t="s">
        <v>146</v>
      </c>
      <c r="R190" s="1" t="s">
        <v>55</v>
      </c>
      <c r="S190" s="2">
        <v>46175</v>
      </c>
      <c r="T190" s="2">
        <v>46177</v>
      </c>
      <c r="V190" s="1">
        <v>0.75</v>
      </c>
      <c r="W190" s="1">
        <v>1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</row>
    <row r="191" spans="1:33" x14ac:dyDescent="0.25">
      <c r="A191" s="1">
        <v>286</v>
      </c>
      <c r="B191" s="1" t="s">
        <v>438</v>
      </c>
      <c r="C191" s="1" t="s">
        <v>437</v>
      </c>
      <c r="D191" s="1" t="s">
        <v>98</v>
      </c>
      <c r="E191" s="1" t="s">
        <v>53</v>
      </c>
      <c r="F191" s="10">
        <v>46216</v>
      </c>
      <c r="G191" s="10">
        <v>46216</v>
      </c>
      <c r="H191" s="11">
        <v>0</v>
      </c>
      <c r="J191" s="1">
        <v>285</v>
      </c>
      <c r="K191" s="1">
        <v>287</v>
      </c>
      <c r="L191" s="1" t="s">
        <v>149</v>
      </c>
      <c r="M191" s="1" t="s">
        <v>183</v>
      </c>
      <c r="N191" s="2">
        <v>46178</v>
      </c>
      <c r="P191" s="1" t="s">
        <v>377</v>
      </c>
      <c r="Q191" s="1" t="s">
        <v>146</v>
      </c>
      <c r="R191" s="1" t="s">
        <v>55</v>
      </c>
      <c r="S191" s="2">
        <v>46178</v>
      </c>
      <c r="T191" s="2">
        <v>46178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</row>
    <row r="192" spans="1:33" x14ac:dyDescent="0.25">
      <c r="A192" s="1">
        <v>287</v>
      </c>
      <c r="B192" s="1" t="s">
        <v>439</v>
      </c>
      <c r="C192" s="1" t="s">
        <v>437</v>
      </c>
      <c r="D192" s="1" t="s">
        <v>102</v>
      </c>
      <c r="E192" s="1" t="s">
        <v>121</v>
      </c>
      <c r="F192" s="10">
        <v>46217</v>
      </c>
      <c r="G192" s="10">
        <v>46218</v>
      </c>
      <c r="H192" s="11">
        <v>0</v>
      </c>
      <c r="J192" s="1">
        <v>286</v>
      </c>
      <c r="K192" s="1">
        <v>288</v>
      </c>
      <c r="L192" s="1" t="s">
        <v>149</v>
      </c>
      <c r="M192" s="1" t="s">
        <v>418</v>
      </c>
      <c r="N192" s="2">
        <v>46182</v>
      </c>
      <c r="P192" s="1" t="s">
        <v>377</v>
      </c>
      <c r="Q192" s="1" t="s">
        <v>151</v>
      </c>
      <c r="R192" s="1" t="s">
        <v>55</v>
      </c>
      <c r="S192" s="2">
        <v>46181</v>
      </c>
      <c r="T192" s="2">
        <v>46182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</row>
    <row r="193" spans="1:33" x14ac:dyDescent="0.25">
      <c r="A193" s="1">
        <v>288</v>
      </c>
      <c r="B193" s="1" t="s">
        <v>440</v>
      </c>
      <c r="C193" s="1" t="s">
        <v>437</v>
      </c>
      <c r="D193" s="1" t="s">
        <v>108</v>
      </c>
      <c r="E193" s="1" t="s">
        <v>53</v>
      </c>
      <c r="F193" s="10">
        <v>46219</v>
      </c>
      <c r="G193" s="10">
        <v>46219</v>
      </c>
      <c r="H193" s="11">
        <v>0</v>
      </c>
      <c r="J193" s="1">
        <v>287</v>
      </c>
      <c r="L193" s="1" t="s">
        <v>149</v>
      </c>
      <c r="M193" s="1" t="s">
        <v>260</v>
      </c>
      <c r="N193" s="2">
        <v>46183</v>
      </c>
      <c r="P193" s="1" t="s">
        <v>377</v>
      </c>
      <c r="Q193" s="1" t="s">
        <v>151</v>
      </c>
      <c r="R193" s="1" t="s">
        <v>55</v>
      </c>
      <c r="S193" s="2">
        <v>46183</v>
      </c>
      <c r="T193" s="2">
        <v>46183</v>
      </c>
      <c r="V193" s="1">
        <v>0</v>
      </c>
      <c r="W193" s="1">
        <v>0</v>
      </c>
      <c r="X193" s="1">
        <v>0</v>
      </c>
      <c r="Y193" s="1">
        <v>0</v>
      </c>
      <c r="Z193" s="1">
        <v>1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</row>
    <row r="194" spans="1:33" x14ac:dyDescent="0.25">
      <c r="A194" s="1">
        <v>289</v>
      </c>
      <c r="B194" s="1" t="s">
        <v>441</v>
      </c>
      <c r="C194" s="1" t="s">
        <v>379</v>
      </c>
      <c r="D194" s="1" t="s">
        <v>442</v>
      </c>
      <c r="E194" s="1" t="s">
        <v>172</v>
      </c>
      <c r="F194" s="10">
        <v>46209</v>
      </c>
      <c r="G194" s="10">
        <v>46219</v>
      </c>
      <c r="H194" s="11">
        <v>0.32</v>
      </c>
      <c r="L194" s="1" t="s">
        <v>180</v>
      </c>
      <c r="M194" s="1" t="s">
        <v>177</v>
      </c>
      <c r="N194" s="2">
        <v>46183</v>
      </c>
      <c r="P194" s="1" t="s">
        <v>377</v>
      </c>
      <c r="Q194" s="1" t="s">
        <v>146</v>
      </c>
      <c r="R194" s="1" t="s">
        <v>55</v>
      </c>
      <c r="S194" s="2">
        <v>46175</v>
      </c>
      <c r="T194" s="2">
        <v>46183</v>
      </c>
      <c r="V194" s="1">
        <v>0.32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</row>
    <row r="195" spans="1:33" x14ac:dyDescent="0.25">
      <c r="A195" s="1">
        <v>290</v>
      </c>
      <c r="B195" s="1" t="s">
        <v>443</v>
      </c>
      <c r="C195" s="1" t="s">
        <v>444</v>
      </c>
      <c r="D195" s="1" t="s">
        <v>94</v>
      </c>
      <c r="E195" s="1" t="s">
        <v>95</v>
      </c>
      <c r="F195" s="10">
        <v>46209</v>
      </c>
      <c r="G195" s="10">
        <v>46211</v>
      </c>
      <c r="H195" s="11">
        <v>0.75</v>
      </c>
      <c r="J195" s="1" t="s">
        <v>415</v>
      </c>
      <c r="K195" s="1">
        <v>291</v>
      </c>
      <c r="L195" s="1" t="s">
        <v>180</v>
      </c>
      <c r="M195" s="1" t="s">
        <v>177</v>
      </c>
      <c r="N195" s="2">
        <v>46177</v>
      </c>
      <c r="P195" s="1" t="s">
        <v>377</v>
      </c>
      <c r="Q195" s="1" t="s">
        <v>146</v>
      </c>
      <c r="R195" s="1" t="s">
        <v>55</v>
      </c>
      <c r="S195" s="2">
        <v>46175</v>
      </c>
      <c r="T195" s="2">
        <v>46177</v>
      </c>
      <c r="V195" s="1">
        <v>0.75</v>
      </c>
      <c r="W195" s="1">
        <v>1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</row>
    <row r="196" spans="1:33" x14ac:dyDescent="0.25">
      <c r="A196" s="1">
        <v>291</v>
      </c>
      <c r="B196" s="1" t="s">
        <v>445</v>
      </c>
      <c r="C196" s="1" t="s">
        <v>444</v>
      </c>
      <c r="D196" s="1" t="s">
        <v>98</v>
      </c>
      <c r="E196" s="1" t="s">
        <v>53</v>
      </c>
      <c r="F196" s="10">
        <v>46216</v>
      </c>
      <c r="G196" s="10">
        <v>46216</v>
      </c>
      <c r="H196" s="11">
        <v>0</v>
      </c>
      <c r="J196" s="1">
        <v>290</v>
      </c>
      <c r="K196" s="1">
        <v>292</v>
      </c>
      <c r="L196" s="1" t="s">
        <v>149</v>
      </c>
      <c r="M196" s="1" t="s">
        <v>183</v>
      </c>
      <c r="N196" s="2">
        <v>46178</v>
      </c>
      <c r="P196" s="1" t="s">
        <v>377</v>
      </c>
      <c r="Q196" s="1" t="s">
        <v>146</v>
      </c>
      <c r="R196" s="1" t="s">
        <v>55</v>
      </c>
      <c r="S196" s="2">
        <v>46178</v>
      </c>
      <c r="T196" s="2">
        <v>46178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</row>
    <row r="197" spans="1:33" x14ac:dyDescent="0.25">
      <c r="A197" s="1">
        <v>292</v>
      </c>
      <c r="B197" s="1" t="s">
        <v>446</v>
      </c>
      <c r="C197" s="1" t="s">
        <v>444</v>
      </c>
      <c r="D197" s="1" t="s">
        <v>102</v>
      </c>
      <c r="E197" s="1" t="s">
        <v>121</v>
      </c>
      <c r="F197" s="10">
        <v>46217</v>
      </c>
      <c r="G197" s="10">
        <v>46218</v>
      </c>
      <c r="H197" s="11">
        <v>0</v>
      </c>
      <c r="J197" s="1">
        <v>291</v>
      </c>
      <c r="K197" s="1">
        <v>293</v>
      </c>
      <c r="L197" s="1" t="s">
        <v>149</v>
      </c>
      <c r="M197" s="1" t="s">
        <v>418</v>
      </c>
      <c r="N197" s="2">
        <v>46182</v>
      </c>
      <c r="P197" s="1" t="s">
        <v>377</v>
      </c>
      <c r="Q197" s="1" t="s">
        <v>151</v>
      </c>
      <c r="R197" s="1" t="s">
        <v>55</v>
      </c>
      <c r="S197" s="2">
        <v>46181</v>
      </c>
      <c r="T197" s="2">
        <v>46182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</row>
    <row r="198" spans="1:33" x14ac:dyDescent="0.25">
      <c r="A198" s="1">
        <v>293</v>
      </c>
      <c r="B198" s="1" t="s">
        <v>447</v>
      </c>
      <c r="C198" s="1" t="s">
        <v>444</v>
      </c>
      <c r="D198" s="1" t="s">
        <v>108</v>
      </c>
      <c r="E198" s="1" t="s">
        <v>53</v>
      </c>
      <c r="F198" s="10">
        <v>46219</v>
      </c>
      <c r="G198" s="10">
        <v>46219</v>
      </c>
      <c r="H198" s="11">
        <v>0</v>
      </c>
      <c r="J198" s="1">
        <v>292</v>
      </c>
      <c r="L198" s="1" t="s">
        <v>149</v>
      </c>
      <c r="M198" s="1" t="s">
        <v>260</v>
      </c>
      <c r="N198" s="2">
        <v>46183</v>
      </c>
      <c r="P198" s="1" t="s">
        <v>377</v>
      </c>
      <c r="Q198" s="1" t="s">
        <v>151</v>
      </c>
      <c r="R198" s="1" t="s">
        <v>55</v>
      </c>
      <c r="S198" s="2">
        <v>46183</v>
      </c>
      <c r="T198" s="2">
        <v>46183</v>
      </c>
      <c r="V198" s="1">
        <v>0</v>
      </c>
      <c r="W198" s="1">
        <v>0</v>
      </c>
      <c r="X198" s="1">
        <v>0</v>
      </c>
      <c r="Y198" s="1">
        <v>0</v>
      </c>
      <c r="Z198" s="1">
        <v>1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</row>
    <row r="199" spans="1:33" x14ac:dyDescent="0.25">
      <c r="A199" s="1">
        <v>294</v>
      </c>
      <c r="B199" s="1" t="s">
        <v>448</v>
      </c>
      <c r="C199" s="1" t="s">
        <v>379</v>
      </c>
      <c r="D199" s="1" t="s">
        <v>449</v>
      </c>
      <c r="E199" s="1" t="s">
        <v>172</v>
      </c>
      <c r="F199" s="10">
        <v>46209</v>
      </c>
      <c r="G199" s="10">
        <v>46219</v>
      </c>
      <c r="H199" s="11">
        <v>0.32</v>
      </c>
      <c r="L199" s="1" t="s">
        <v>180</v>
      </c>
      <c r="M199" s="1" t="s">
        <v>177</v>
      </c>
      <c r="N199" s="2">
        <v>46183</v>
      </c>
      <c r="P199" s="1" t="s">
        <v>377</v>
      </c>
      <c r="Q199" s="1" t="s">
        <v>146</v>
      </c>
      <c r="R199" s="1" t="s">
        <v>55</v>
      </c>
      <c r="S199" s="2">
        <v>46175</v>
      </c>
      <c r="T199" s="2">
        <v>46183</v>
      </c>
      <c r="V199" s="1">
        <v>0.32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</row>
    <row r="200" spans="1:33" x14ac:dyDescent="0.25">
      <c r="A200" s="1">
        <v>295</v>
      </c>
      <c r="B200" s="1" t="s">
        <v>450</v>
      </c>
      <c r="C200" s="1" t="s">
        <v>451</v>
      </c>
      <c r="D200" s="1" t="s">
        <v>94</v>
      </c>
      <c r="E200" s="1" t="s">
        <v>95</v>
      </c>
      <c r="F200" s="10">
        <v>46209</v>
      </c>
      <c r="G200" s="10">
        <v>46211</v>
      </c>
      <c r="H200" s="11">
        <v>0.75</v>
      </c>
      <c r="J200" s="1" t="s">
        <v>415</v>
      </c>
      <c r="K200" s="1">
        <v>296</v>
      </c>
      <c r="L200" s="1" t="s">
        <v>180</v>
      </c>
      <c r="M200" s="1" t="s">
        <v>177</v>
      </c>
      <c r="N200" s="2">
        <v>46177</v>
      </c>
      <c r="P200" s="1" t="s">
        <v>377</v>
      </c>
      <c r="Q200" s="1" t="s">
        <v>146</v>
      </c>
      <c r="R200" s="1" t="s">
        <v>55</v>
      </c>
      <c r="S200" s="2">
        <v>46175</v>
      </c>
      <c r="T200" s="2">
        <v>46177</v>
      </c>
      <c r="V200" s="1">
        <v>0.75</v>
      </c>
      <c r="W200" s="1">
        <v>1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</row>
    <row r="201" spans="1:33" x14ac:dyDescent="0.25">
      <c r="A201" s="1">
        <v>296</v>
      </c>
      <c r="B201" s="1" t="s">
        <v>452</v>
      </c>
      <c r="C201" s="1" t="s">
        <v>451</v>
      </c>
      <c r="D201" s="1" t="s">
        <v>98</v>
      </c>
      <c r="E201" s="1" t="s">
        <v>53</v>
      </c>
      <c r="F201" s="10">
        <v>46216</v>
      </c>
      <c r="G201" s="10">
        <v>46216</v>
      </c>
      <c r="H201" s="11">
        <v>0</v>
      </c>
      <c r="J201" s="1">
        <v>295</v>
      </c>
      <c r="K201" s="1">
        <v>297</v>
      </c>
      <c r="L201" s="1" t="s">
        <v>149</v>
      </c>
      <c r="M201" s="1" t="s">
        <v>183</v>
      </c>
      <c r="N201" s="2">
        <v>46178</v>
      </c>
      <c r="P201" s="1" t="s">
        <v>377</v>
      </c>
      <c r="Q201" s="1" t="s">
        <v>146</v>
      </c>
      <c r="R201" s="1" t="s">
        <v>55</v>
      </c>
      <c r="S201" s="2">
        <v>46178</v>
      </c>
      <c r="T201" s="2">
        <v>46178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</row>
    <row r="202" spans="1:33" x14ac:dyDescent="0.25">
      <c r="A202" s="1">
        <v>297</v>
      </c>
      <c r="B202" s="1" t="s">
        <v>453</v>
      </c>
      <c r="C202" s="1" t="s">
        <v>451</v>
      </c>
      <c r="D202" s="1" t="s">
        <v>102</v>
      </c>
      <c r="E202" s="1" t="s">
        <v>121</v>
      </c>
      <c r="F202" s="10">
        <v>46217</v>
      </c>
      <c r="G202" s="10">
        <v>46218</v>
      </c>
      <c r="H202" s="11">
        <v>0</v>
      </c>
      <c r="J202" s="1">
        <v>296</v>
      </c>
      <c r="K202" s="1">
        <v>298</v>
      </c>
      <c r="L202" s="1" t="s">
        <v>149</v>
      </c>
      <c r="M202" s="1" t="s">
        <v>418</v>
      </c>
      <c r="N202" s="2">
        <v>46182</v>
      </c>
      <c r="P202" s="1" t="s">
        <v>377</v>
      </c>
      <c r="Q202" s="1" t="s">
        <v>151</v>
      </c>
      <c r="R202" s="1" t="s">
        <v>55</v>
      </c>
      <c r="S202" s="2">
        <v>46181</v>
      </c>
      <c r="T202" s="2">
        <v>46182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</row>
    <row r="203" spans="1:33" x14ac:dyDescent="0.25">
      <c r="A203" s="1">
        <v>298</v>
      </c>
      <c r="B203" s="1" t="s">
        <v>454</v>
      </c>
      <c r="C203" s="1" t="s">
        <v>451</v>
      </c>
      <c r="D203" s="1" t="s">
        <v>108</v>
      </c>
      <c r="E203" s="1" t="s">
        <v>53</v>
      </c>
      <c r="F203" s="10">
        <v>46219</v>
      </c>
      <c r="G203" s="10">
        <v>46219</v>
      </c>
      <c r="H203" s="11">
        <v>0</v>
      </c>
      <c r="J203" s="1">
        <v>297</v>
      </c>
      <c r="L203" s="1" t="s">
        <v>149</v>
      </c>
      <c r="M203" s="1" t="s">
        <v>260</v>
      </c>
      <c r="N203" s="2">
        <v>46183</v>
      </c>
      <c r="P203" s="1" t="s">
        <v>377</v>
      </c>
      <c r="Q203" s="1" t="s">
        <v>151</v>
      </c>
      <c r="R203" s="1" t="s">
        <v>55</v>
      </c>
      <c r="S203" s="2">
        <v>46183</v>
      </c>
      <c r="T203" s="2">
        <v>46183</v>
      </c>
      <c r="V203" s="1">
        <v>0</v>
      </c>
      <c r="W203" s="1">
        <v>0</v>
      </c>
      <c r="X203" s="1">
        <v>0</v>
      </c>
      <c r="Y203" s="1">
        <v>0</v>
      </c>
      <c r="Z203" s="1">
        <v>1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</row>
    <row r="204" spans="1:33" x14ac:dyDescent="0.25">
      <c r="A204" s="1">
        <v>299</v>
      </c>
      <c r="B204" s="1" t="s">
        <v>455</v>
      </c>
      <c r="C204" s="1" t="s">
        <v>379</v>
      </c>
      <c r="D204" s="1" t="s">
        <v>456</v>
      </c>
      <c r="E204" s="1" t="s">
        <v>172</v>
      </c>
      <c r="F204" s="10">
        <v>46209</v>
      </c>
      <c r="G204" s="10">
        <v>46219</v>
      </c>
      <c r="H204" s="11">
        <v>0.32</v>
      </c>
      <c r="L204" s="1" t="s">
        <v>180</v>
      </c>
      <c r="M204" s="1" t="s">
        <v>177</v>
      </c>
      <c r="N204" s="2">
        <v>46183</v>
      </c>
      <c r="P204" s="1" t="s">
        <v>377</v>
      </c>
      <c r="Q204" s="1" t="s">
        <v>146</v>
      </c>
      <c r="R204" s="1" t="s">
        <v>55</v>
      </c>
      <c r="S204" s="2">
        <v>46175</v>
      </c>
      <c r="T204" s="2">
        <v>46183</v>
      </c>
      <c r="U204" s="1" t="s">
        <v>288</v>
      </c>
      <c r="V204" s="1">
        <v>0.32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</row>
    <row r="205" spans="1:33" x14ac:dyDescent="0.25">
      <c r="A205" s="1">
        <v>300</v>
      </c>
      <c r="B205" s="1" t="s">
        <v>457</v>
      </c>
      <c r="C205" s="1" t="s">
        <v>458</v>
      </c>
      <c r="D205" s="1" t="s">
        <v>94</v>
      </c>
      <c r="E205" s="1" t="s">
        <v>95</v>
      </c>
      <c r="F205" s="10">
        <v>46209</v>
      </c>
      <c r="G205" s="10">
        <v>46211</v>
      </c>
      <c r="H205" s="11">
        <v>0.75</v>
      </c>
      <c r="J205" s="1" t="s">
        <v>415</v>
      </c>
      <c r="K205" s="1">
        <v>301</v>
      </c>
      <c r="L205" s="1" t="s">
        <v>180</v>
      </c>
      <c r="M205" s="1" t="s">
        <v>193</v>
      </c>
      <c r="N205" s="2">
        <v>46211</v>
      </c>
      <c r="P205" s="1" t="s">
        <v>377</v>
      </c>
      <c r="Q205" s="1" t="s">
        <v>146</v>
      </c>
      <c r="R205" s="1" t="s">
        <v>55</v>
      </c>
      <c r="S205" s="2">
        <v>46209</v>
      </c>
      <c r="T205" s="2">
        <v>46211</v>
      </c>
      <c r="V205" s="1">
        <v>0.75</v>
      </c>
      <c r="W205" s="1">
        <v>1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</row>
    <row r="206" spans="1:33" x14ac:dyDescent="0.25">
      <c r="A206" s="1">
        <v>301</v>
      </c>
      <c r="B206" s="1" t="s">
        <v>459</v>
      </c>
      <c r="C206" s="1" t="s">
        <v>458</v>
      </c>
      <c r="D206" s="1" t="s">
        <v>98</v>
      </c>
      <c r="E206" s="1" t="s">
        <v>53</v>
      </c>
      <c r="F206" s="10">
        <v>46216</v>
      </c>
      <c r="G206" s="10">
        <v>46216</v>
      </c>
      <c r="H206" s="11">
        <v>0</v>
      </c>
      <c r="J206" s="1">
        <v>300</v>
      </c>
      <c r="K206" s="1">
        <v>302</v>
      </c>
      <c r="L206" s="1" t="s">
        <v>149</v>
      </c>
      <c r="M206" s="1" t="s">
        <v>460</v>
      </c>
      <c r="N206" s="2">
        <v>46216</v>
      </c>
      <c r="P206" s="1" t="s">
        <v>377</v>
      </c>
      <c r="Q206" s="1" t="s">
        <v>146</v>
      </c>
      <c r="R206" s="1" t="s">
        <v>55</v>
      </c>
      <c r="S206" s="2">
        <v>46216</v>
      </c>
      <c r="T206" s="2">
        <v>46216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</row>
    <row r="207" spans="1:33" x14ac:dyDescent="0.25">
      <c r="A207" s="1">
        <v>302</v>
      </c>
      <c r="B207" s="1" t="s">
        <v>461</v>
      </c>
      <c r="C207" s="1" t="s">
        <v>458</v>
      </c>
      <c r="D207" s="1" t="s">
        <v>102</v>
      </c>
      <c r="E207" s="1" t="s">
        <v>121</v>
      </c>
      <c r="F207" s="10">
        <v>46217</v>
      </c>
      <c r="G207" s="10">
        <v>46218</v>
      </c>
      <c r="H207" s="11">
        <v>0</v>
      </c>
      <c r="J207" s="1">
        <v>301</v>
      </c>
      <c r="K207" s="1">
        <v>303</v>
      </c>
      <c r="L207" s="1" t="s">
        <v>149</v>
      </c>
      <c r="M207" s="1" t="s">
        <v>462</v>
      </c>
      <c r="N207" s="2">
        <v>46218</v>
      </c>
      <c r="P207" s="1" t="s">
        <v>377</v>
      </c>
      <c r="Q207" s="1" t="s">
        <v>151</v>
      </c>
      <c r="R207" s="1" t="s">
        <v>55</v>
      </c>
      <c r="S207" s="2">
        <v>46217</v>
      </c>
      <c r="T207" s="2">
        <v>46218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</row>
    <row r="208" spans="1:33" x14ac:dyDescent="0.25">
      <c r="A208" s="1">
        <v>303</v>
      </c>
      <c r="B208" s="1" t="s">
        <v>463</v>
      </c>
      <c r="C208" s="1" t="s">
        <v>458</v>
      </c>
      <c r="D208" s="1" t="s">
        <v>108</v>
      </c>
      <c r="E208" s="1" t="s">
        <v>53</v>
      </c>
      <c r="F208" s="10">
        <v>46219</v>
      </c>
      <c r="G208" s="10">
        <v>46219</v>
      </c>
      <c r="H208" s="11">
        <v>0</v>
      </c>
      <c r="J208" s="1">
        <v>302</v>
      </c>
      <c r="L208" s="1" t="s">
        <v>149</v>
      </c>
      <c r="M208" s="1" t="s">
        <v>464</v>
      </c>
      <c r="N208" s="2">
        <v>46219</v>
      </c>
      <c r="P208" s="1" t="s">
        <v>377</v>
      </c>
      <c r="Q208" s="1" t="s">
        <v>151</v>
      </c>
      <c r="R208" s="1" t="s">
        <v>55</v>
      </c>
      <c r="S208" s="2">
        <v>46219</v>
      </c>
      <c r="T208" s="2">
        <v>46219</v>
      </c>
      <c r="V208" s="1">
        <v>0</v>
      </c>
      <c r="W208" s="1">
        <v>0</v>
      </c>
      <c r="X208" s="1">
        <v>0</v>
      </c>
      <c r="Y208" s="1">
        <v>0</v>
      </c>
      <c r="Z208" s="1">
        <v>1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</row>
    <row r="209" spans="1:33" x14ac:dyDescent="0.25">
      <c r="A209" s="1">
        <v>304</v>
      </c>
      <c r="B209" s="1" t="s">
        <v>465</v>
      </c>
      <c r="C209" s="1" t="s">
        <v>379</v>
      </c>
      <c r="D209" s="1" t="s">
        <v>466</v>
      </c>
      <c r="E209" s="1" t="s">
        <v>172</v>
      </c>
      <c r="F209" s="10">
        <v>46209</v>
      </c>
      <c r="G209" s="10">
        <v>46219</v>
      </c>
      <c r="H209" s="11">
        <v>0.32</v>
      </c>
      <c r="K209" s="1" t="s">
        <v>412</v>
      </c>
      <c r="L209" s="1" t="s">
        <v>180</v>
      </c>
      <c r="M209" s="1" t="s">
        <v>177</v>
      </c>
      <c r="N209" s="2">
        <v>46183</v>
      </c>
      <c r="P209" s="1" t="s">
        <v>377</v>
      </c>
      <c r="Q209" s="1" t="s">
        <v>146</v>
      </c>
      <c r="R209" s="1" t="s">
        <v>55</v>
      </c>
      <c r="S209" s="2">
        <v>46175</v>
      </c>
      <c r="T209" s="2">
        <v>46183</v>
      </c>
      <c r="U209" s="1" t="s">
        <v>288</v>
      </c>
      <c r="V209" s="1">
        <v>0.32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</row>
    <row r="210" spans="1:33" x14ac:dyDescent="0.25">
      <c r="A210" s="1">
        <v>305</v>
      </c>
      <c r="B210" s="1" t="s">
        <v>467</v>
      </c>
      <c r="C210" s="1" t="s">
        <v>468</v>
      </c>
      <c r="D210" s="1" t="s">
        <v>94</v>
      </c>
      <c r="E210" s="1" t="s">
        <v>95</v>
      </c>
      <c r="F210" s="10">
        <v>46209</v>
      </c>
      <c r="G210" s="10">
        <v>46211</v>
      </c>
      <c r="H210" s="11">
        <v>0.75</v>
      </c>
      <c r="J210" s="1" t="s">
        <v>415</v>
      </c>
      <c r="K210" s="1">
        <v>306</v>
      </c>
      <c r="L210" s="1" t="s">
        <v>180</v>
      </c>
      <c r="M210" s="1" t="s">
        <v>193</v>
      </c>
      <c r="N210" s="2">
        <v>46211</v>
      </c>
      <c r="P210" s="1" t="s">
        <v>377</v>
      </c>
      <c r="Q210" s="1" t="s">
        <v>146</v>
      </c>
      <c r="R210" s="1" t="s">
        <v>55</v>
      </c>
      <c r="S210" s="2">
        <v>46209</v>
      </c>
      <c r="T210" s="2">
        <v>46211</v>
      </c>
      <c r="V210" s="1">
        <v>0.75</v>
      </c>
      <c r="W210" s="1">
        <v>1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</row>
    <row r="211" spans="1:33" x14ac:dyDescent="0.25">
      <c r="A211" s="1">
        <v>306</v>
      </c>
      <c r="B211" s="1" t="s">
        <v>469</v>
      </c>
      <c r="C211" s="1" t="s">
        <v>468</v>
      </c>
      <c r="D211" s="1" t="s">
        <v>98</v>
      </c>
      <c r="E211" s="1" t="s">
        <v>53</v>
      </c>
      <c r="F211" s="10">
        <v>46216</v>
      </c>
      <c r="G211" s="10">
        <v>46216</v>
      </c>
      <c r="H211" s="11">
        <v>0</v>
      </c>
      <c r="J211" s="1">
        <v>305</v>
      </c>
      <c r="K211" s="1">
        <v>307</v>
      </c>
      <c r="L211" s="1" t="s">
        <v>149</v>
      </c>
      <c r="M211" s="1" t="s">
        <v>460</v>
      </c>
      <c r="N211" s="2">
        <v>46216</v>
      </c>
      <c r="P211" s="1" t="s">
        <v>377</v>
      </c>
      <c r="Q211" s="1" t="s">
        <v>146</v>
      </c>
      <c r="R211" s="1" t="s">
        <v>55</v>
      </c>
      <c r="S211" s="2">
        <v>46216</v>
      </c>
      <c r="T211" s="2">
        <v>46216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</row>
    <row r="212" spans="1:33" x14ac:dyDescent="0.25">
      <c r="A212" s="1">
        <v>307</v>
      </c>
      <c r="B212" s="1" t="s">
        <v>470</v>
      </c>
      <c r="C212" s="1" t="s">
        <v>468</v>
      </c>
      <c r="D212" s="1" t="s">
        <v>102</v>
      </c>
      <c r="E212" s="1" t="s">
        <v>121</v>
      </c>
      <c r="F212" s="10">
        <v>46217</v>
      </c>
      <c r="G212" s="10">
        <v>46218</v>
      </c>
      <c r="H212" s="11">
        <v>0</v>
      </c>
      <c r="J212" s="1">
        <v>306</v>
      </c>
      <c r="K212" s="1">
        <v>308</v>
      </c>
      <c r="L212" s="1" t="s">
        <v>149</v>
      </c>
      <c r="M212" s="1" t="s">
        <v>462</v>
      </c>
      <c r="N212" s="2">
        <v>46218</v>
      </c>
      <c r="P212" s="1" t="s">
        <v>377</v>
      </c>
      <c r="Q212" s="1" t="s">
        <v>151</v>
      </c>
      <c r="R212" s="1" t="s">
        <v>55</v>
      </c>
      <c r="S212" s="2">
        <v>46217</v>
      </c>
      <c r="T212" s="2">
        <v>46218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</row>
    <row r="213" spans="1:33" x14ac:dyDescent="0.25">
      <c r="A213" s="1">
        <v>308</v>
      </c>
      <c r="B213" s="1" t="s">
        <v>471</v>
      </c>
      <c r="C213" s="1" t="s">
        <v>468</v>
      </c>
      <c r="D213" s="1" t="s">
        <v>108</v>
      </c>
      <c r="E213" s="1" t="s">
        <v>53</v>
      </c>
      <c r="F213" s="10">
        <v>46219</v>
      </c>
      <c r="G213" s="10">
        <v>46219</v>
      </c>
      <c r="H213" s="11">
        <v>0</v>
      </c>
      <c r="J213" s="1">
        <v>307</v>
      </c>
      <c r="L213" s="1" t="s">
        <v>149</v>
      </c>
      <c r="M213" s="1" t="s">
        <v>464</v>
      </c>
      <c r="N213" s="2">
        <v>46219</v>
      </c>
      <c r="P213" s="1" t="s">
        <v>377</v>
      </c>
      <c r="Q213" s="1" t="s">
        <v>151</v>
      </c>
      <c r="R213" s="1" t="s">
        <v>55</v>
      </c>
      <c r="S213" s="2">
        <v>46219</v>
      </c>
      <c r="T213" s="2">
        <v>46219</v>
      </c>
      <c r="V213" s="1">
        <v>0</v>
      </c>
      <c r="W213" s="1">
        <v>0</v>
      </c>
      <c r="X213" s="1">
        <v>0</v>
      </c>
      <c r="Y213" s="1">
        <v>0</v>
      </c>
      <c r="Z213" s="1">
        <v>1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</row>
    <row r="214" spans="1:33" x14ac:dyDescent="0.25">
      <c r="A214" s="1">
        <v>309</v>
      </c>
      <c r="B214" s="1" t="s">
        <v>472</v>
      </c>
      <c r="C214" s="1" t="s">
        <v>379</v>
      </c>
      <c r="D214" s="1" t="s">
        <v>473</v>
      </c>
      <c r="E214" s="1" t="s">
        <v>172</v>
      </c>
      <c r="F214" s="10">
        <v>46209</v>
      </c>
      <c r="G214" s="10">
        <v>46219</v>
      </c>
      <c r="H214" s="11">
        <v>0.32</v>
      </c>
      <c r="L214" s="1" t="s">
        <v>180</v>
      </c>
      <c r="M214" s="1" t="s">
        <v>177</v>
      </c>
      <c r="N214" s="2">
        <v>46183</v>
      </c>
      <c r="P214" s="1" t="s">
        <v>377</v>
      </c>
      <c r="Q214" s="1" t="s">
        <v>146</v>
      </c>
      <c r="R214" s="1" t="s">
        <v>55</v>
      </c>
      <c r="S214" s="2">
        <v>46175</v>
      </c>
      <c r="T214" s="2">
        <v>46183</v>
      </c>
      <c r="U214" s="1" t="s">
        <v>288</v>
      </c>
      <c r="V214" s="1">
        <v>0.32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</row>
    <row r="215" spans="1:33" x14ac:dyDescent="0.25">
      <c r="A215" s="1">
        <v>310</v>
      </c>
      <c r="B215" s="1" t="s">
        <v>474</v>
      </c>
      <c r="C215" s="1" t="s">
        <v>475</v>
      </c>
      <c r="D215" s="1" t="s">
        <v>94</v>
      </c>
      <c r="E215" s="1" t="s">
        <v>95</v>
      </c>
      <c r="F215" s="10">
        <v>46209</v>
      </c>
      <c r="G215" s="10">
        <v>46211</v>
      </c>
      <c r="H215" s="11">
        <v>0.75</v>
      </c>
      <c r="J215" s="1" t="s">
        <v>415</v>
      </c>
      <c r="K215" s="1">
        <v>311</v>
      </c>
      <c r="L215" s="1" t="s">
        <v>180</v>
      </c>
      <c r="M215" s="1" t="s">
        <v>193</v>
      </c>
      <c r="N215" s="2">
        <v>46211</v>
      </c>
      <c r="P215" s="1" t="s">
        <v>377</v>
      </c>
      <c r="Q215" s="1" t="s">
        <v>146</v>
      </c>
      <c r="R215" s="1" t="s">
        <v>55</v>
      </c>
      <c r="S215" s="2">
        <v>46209</v>
      </c>
      <c r="T215" s="2">
        <v>46211</v>
      </c>
      <c r="V215" s="1">
        <v>0.75</v>
      </c>
      <c r="W215" s="1">
        <v>1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</row>
    <row r="216" spans="1:33" x14ac:dyDescent="0.25">
      <c r="A216" s="1">
        <v>311</v>
      </c>
      <c r="B216" s="1" t="s">
        <v>476</v>
      </c>
      <c r="C216" s="1" t="s">
        <v>475</v>
      </c>
      <c r="D216" s="1" t="s">
        <v>98</v>
      </c>
      <c r="E216" s="1" t="s">
        <v>53</v>
      </c>
      <c r="F216" s="10">
        <v>46216</v>
      </c>
      <c r="G216" s="10">
        <v>46216</v>
      </c>
      <c r="H216" s="11">
        <v>0</v>
      </c>
      <c r="J216" s="1">
        <v>310</v>
      </c>
      <c r="K216" s="1">
        <v>312</v>
      </c>
      <c r="L216" s="1" t="s">
        <v>149</v>
      </c>
      <c r="M216" s="1" t="s">
        <v>460</v>
      </c>
      <c r="N216" s="2">
        <v>46216</v>
      </c>
      <c r="P216" s="1" t="s">
        <v>377</v>
      </c>
      <c r="Q216" s="1" t="s">
        <v>146</v>
      </c>
      <c r="R216" s="1" t="s">
        <v>55</v>
      </c>
      <c r="S216" s="2">
        <v>46216</v>
      </c>
      <c r="T216" s="2">
        <v>46216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</row>
    <row r="217" spans="1:33" x14ac:dyDescent="0.25">
      <c r="A217" s="1">
        <v>312</v>
      </c>
      <c r="B217" s="1" t="s">
        <v>477</v>
      </c>
      <c r="C217" s="1" t="s">
        <v>475</v>
      </c>
      <c r="D217" s="1" t="s">
        <v>102</v>
      </c>
      <c r="E217" s="1" t="s">
        <v>121</v>
      </c>
      <c r="F217" s="10">
        <v>46217</v>
      </c>
      <c r="G217" s="10">
        <v>46218</v>
      </c>
      <c r="H217" s="11">
        <v>0</v>
      </c>
      <c r="J217" s="1">
        <v>311</v>
      </c>
      <c r="K217" s="1">
        <v>313</v>
      </c>
      <c r="L217" s="1" t="s">
        <v>149</v>
      </c>
      <c r="M217" s="1" t="s">
        <v>462</v>
      </c>
      <c r="N217" s="2">
        <v>46218</v>
      </c>
      <c r="P217" s="1" t="s">
        <v>377</v>
      </c>
      <c r="Q217" s="1" t="s">
        <v>151</v>
      </c>
      <c r="R217" s="1" t="s">
        <v>55</v>
      </c>
      <c r="S217" s="2">
        <v>46217</v>
      </c>
      <c r="T217" s="2">
        <v>46218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</row>
    <row r="218" spans="1:33" x14ac:dyDescent="0.25">
      <c r="A218" s="1">
        <v>313</v>
      </c>
      <c r="B218" s="1" t="s">
        <v>478</v>
      </c>
      <c r="C218" s="1" t="s">
        <v>475</v>
      </c>
      <c r="D218" s="1" t="s">
        <v>108</v>
      </c>
      <c r="E218" s="1" t="s">
        <v>53</v>
      </c>
      <c r="F218" s="10">
        <v>46219</v>
      </c>
      <c r="G218" s="10">
        <v>46219</v>
      </c>
      <c r="H218" s="11">
        <v>0</v>
      </c>
      <c r="J218" s="1">
        <v>312</v>
      </c>
      <c r="L218" s="1" t="s">
        <v>149</v>
      </c>
      <c r="M218" s="1" t="s">
        <v>464</v>
      </c>
      <c r="N218" s="2">
        <v>46219</v>
      </c>
      <c r="P218" s="1" t="s">
        <v>377</v>
      </c>
      <c r="Q218" s="1" t="s">
        <v>151</v>
      </c>
      <c r="R218" s="1" t="s">
        <v>55</v>
      </c>
      <c r="S218" s="2">
        <v>46219</v>
      </c>
      <c r="T218" s="2">
        <v>46219</v>
      </c>
      <c r="V218" s="1">
        <v>0</v>
      </c>
      <c r="W218" s="1">
        <v>0</v>
      </c>
      <c r="X218" s="1">
        <v>0</v>
      </c>
      <c r="Y218" s="1">
        <v>0</v>
      </c>
      <c r="Z218" s="1">
        <v>1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</row>
    <row r="219" spans="1:33" x14ac:dyDescent="0.25">
      <c r="A219" s="1">
        <v>314</v>
      </c>
      <c r="B219" s="1" t="s">
        <v>479</v>
      </c>
      <c r="C219" s="1" t="s">
        <v>379</v>
      </c>
      <c r="D219" s="1" t="s">
        <v>480</v>
      </c>
      <c r="E219" s="1" t="s">
        <v>172</v>
      </c>
      <c r="F219" s="10">
        <v>46206</v>
      </c>
      <c r="G219" s="10">
        <v>46218</v>
      </c>
      <c r="H219" s="11">
        <v>0.43</v>
      </c>
      <c r="L219" s="1" t="s">
        <v>180</v>
      </c>
      <c r="M219" s="1" t="s">
        <v>177</v>
      </c>
      <c r="N219" s="2">
        <v>46183</v>
      </c>
      <c r="P219" s="1" t="s">
        <v>377</v>
      </c>
      <c r="Q219" s="1" t="s">
        <v>146</v>
      </c>
      <c r="R219" s="1" t="s">
        <v>55</v>
      </c>
      <c r="S219" s="2">
        <v>46175</v>
      </c>
      <c r="T219" s="2">
        <v>46183</v>
      </c>
      <c r="V219" s="1">
        <v>0.43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</row>
    <row r="220" spans="1:33" x14ac:dyDescent="0.25">
      <c r="A220" s="1">
        <v>315</v>
      </c>
      <c r="B220" s="1" t="s">
        <v>481</v>
      </c>
      <c r="C220" s="1" t="s">
        <v>482</v>
      </c>
      <c r="D220" s="1" t="s">
        <v>94</v>
      </c>
      <c r="E220" s="1" t="s">
        <v>95</v>
      </c>
      <c r="F220" s="10">
        <v>46206</v>
      </c>
      <c r="G220" s="10">
        <v>46210</v>
      </c>
      <c r="H220" s="11">
        <v>1</v>
      </c>
      <c r="I220" s="10">
        <v>46210</v>
      </c>
      <c r="J220" s="1">
        <v>242</v>
      </c>
      <c r="K220" s="1">
        <v>316</v>
      </c>
      <c r="L220" s="1" t="s">
        <v>59</v>
      </c>
      <c r="M220" s="1" t="s">
        <v>177</v>
      </c>
      <c r="N220" s="2">
        <v>46177</v>
      </c>
      <c r="P220" s="1" t="s">
        <v>377</v>
      </c>
      <c r="Q220" s="1" t="s">
        <v>146</v>
      </c>
      <c r="R220" s="1" t="s">
        <v>55</v>
      </c>
      <c r="S220" s="2">
        <v>46175</v>
      </c>
      <c r="T220" s="2">
        <v>46177</v>
      </c>
      <c r="V220" s="1">
        <v>1</v>
      </c>
      <c r="W220" s="1">
        <v>1</v>
      </c>
      <c r="X220" s="1">
        <v>1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1</v>
      </c>
    </row>
    <row r="221" spans="1:33" x14ac:dyDescent="0.25">
      <c r="A221" s="1">
        <v>316</v>
      </c>
      <c r="B221" s="1" t="s">
        <v>483</v>
      </c>
      <c r="C221" s="1" t="s">
        <v>482</v>
      </c>
      <c r="D221" s="1" t="s">
        <v>98</v>
      </c>
      <c r="E221" s="1" t="s">
        <v>53</v>
      </c>
      <c r="F221" s="10">
        <v>46211</v>
      </c>
      <c r="G221" s="10">
        <v>46211</v>
      </c>
      <c r="H221" s="11">
        <v>0</v>
      </c>
      <c r="J221" s="1">
        <v>315</v>
      </c>
      <c r="K221" s="1">
        <v>317</v>
      </c>
      <c r="L221" s="1" t="s">
        <v>149</v>
      </c>
      <c r="M221" s="1" t="s">
        <v>183</v>
      </c>
      <c r="N221" s="2">
        <v>46178</v>
      </c>
      <c r="P221" s="1" t="s">
        <v>377</v>
      </c>
      <c r="Q221" s="1" t="s">
        <v>146</v>
      </c>
      <c r="R221" s="1" t="s">
        <v>55</v>
      </c>
      <c r="S221" s="2">
        <v>46178</v>
      </c>
      <c r="T221" s="2">
        <v>46178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</row>
    <row r="222" spans="1:33" x14ac:dyDescent="0.25">
      <c r="A222" s="1">
        <v>317</v>
      </c>
      <c r="B222" s="1" t="s">
        <v>484</v>
      </c>
      <c r="C222" s="1" t="s">
        <v>482</v>
      </c>
      <c r="D222" s="1" t="s">
        <v>102</v>
      </c>
      <c r="E222" s="1" t="s">
        <v>121</v>
      </c>
      <c r="F222" s="10">
        <v>46216</v>
      </c>
      <c r="G222" s="10">
        <v>46217</v>
      </c>
      <c r="H222" s="11">
        <v>0</v>
      </c>
      <c r="J222" s="1">
        <v>316</v>
      </c>
      <c r="K222" s="1">
        <v>318</v>
      </c>
      <c r="L222" s="1" t="s">
        <v>149</v>
      </c>
      <c r="M222" s="1" t="s">
        <v>418</v>
      </c>
      <c r="N222" s="2">
        <v>46182</v>
      </c>
      <c r="P222" s="1" t="s">
        <v>377</v>
      </c>
      <c r="Q222" s="1" t="s">
        <v>151</v>
      </c>
      <c r="R222" s="1" t="s">
        <v>55</v>
      </c>
      <c r="S222" s="2">
        <v>46181</v>
      </c>
      <c r="T222" s="2">
        <v>46182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</row>
    <row r="223" spans="1:33" x14ac:dyDescent="0.25">
      <c r="A223" s="1">
        <v>318</v>
      </c>
      <c r="B223" s="1" t="s">
        <v>485</v>
      </c>
      <c r="C223" s="1" t="s">
        <v>482</v>
      </c>
      <c r="D223" s="1" t="s">
        <v>108</v>
      </c>
      <c r="E223" s="1" t="s">
        <v>53</v>
      </c>
      <c r="F223" s="10">
        <v>46218</v>
      </c>
      <c r="G223" s="10">
        <v>46218</v>
      </c>
      <c r="H223" s="11">
        <v>0</v>
      </c>
      <c r="J223" s="1">
        <v>317</v>
      </c>
      <c r="L223" s="1" t="s">
        <v>149</v>
      </c>
      <c r="M223" s="1" t="s">
        <v>260</v>
      </c>
      <c r="N223" s="2">
        <v>46183</v>
      </c>
      <c r="P223" s="1" t="s">
        <v>377</v>
      </c>
      <c r="Q223" s="1" t="s">
        <v>151</v>
      </c>
      <c r="R223" s="1" t="s">
        <v>55</v>
      </c>
      <c r="S223" s="2">
        <v>46183</v>
      </c>
      <c r="T223" s="2">
        <v>46183</v>
      </c>
      <c r="V223" s="1">
        <v>0</v>
      </c>
      <c r="W223" s="1">
        <v>0</v>
      </c>
      <c r="X223" s="1">
        <v>0</v>
      </c>
      <c r="Y223" s="1">
        <v>0</v>
      </c>
      <c r="Z223" s="1">
        <v>1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</row>
    <row r="224" spans="1:33" x14ac:dyDescent="0.25">
      <c r="A224" s="1">
        <v>324</v>
      </c>
      <c r="B224" s="1" t="s">
        <v>486</v>
      </c>
      <c r="C224" s="1" t="s">
        <v>73</v>
      </c>
      <c r="D224" s="1" t="s">
        <v>487</v>
      </c>
      <c r="E224" s="1" t="s">
        <v>488</v>
      </c>
      <c r="F224" s="10">
        <v>46209</v>
      </c>
      <c r="G224" s="10">
        <v>46227</v>
      </c>
      <c r="H224" s="11">
        <v>0.02</v>
      </c>
      <c r="L224" s="1" t="s">
        <v>35</v>
      </c>
      <c r="M224" s="1" t="s">
        <v>264</v>
      </c>
      <c r="N224" s="2">
        <v>46211</v>
      </c>
      <c r="P224" s="1" t="s">
        <v>489</v>
      </c>
      <c r="Q224" s="1" t="s">
        <v>133</v>
      </c>
      <c r="R224" s="1" t="s">
        <v>55</v>
      </c>
      <c r="S224" s="2">
        <v>46188</v>
      </c>
      <c r="T224" s="2">
        <v>46211</v>
      </c>
      <c r="V224" s="1">
        <v>0.02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</row>
    <row r="225" spans="1:33" x14ac:dyDescent="0.25">
      <c r="A225" s="1">
        <v>330</v>
      </c>
      <c r="B225" s="1" t="s">
        <v>490</v>
      </c>
      <c r="C225" s="1" t="s">
        <v>491</v>
      </c>
      <c r="D225" s="1" t="s">
        <v>492</v>
      </c>
      <c r="E225" s="1" t="s">
        <v>493</v>
      </c>
      <c r="F225" s="10">
        <v>46211</v>
      </c>
      <c r="G225" s="10">
        <v>46219</v>
      </c>
      <c r="H225" s="11">
        <v>0.38</v>
      </c>
      <c r="L225" s="1" t="s">
        <v>149</v>
      </c>
      <c r="M225" s="1" t="s">
        <v>314</v>
      </c>
      <c r="N225" s="2">
        <v>46198</v>
      </c>
      <c r="P225" s="1" t="s">
        <v>489</v>
      </c>
      <c r="Q225" s="1" t="s">
        <v>178</v>
      </c>
      <c r="R225" s="1" t="s">
        <v>55</v>
      </c>
      <c r="S225" s="2">
        <v>46190</v>
      </c>
      <c r="T225" s="2">
        <v>46198</v>
      </c>
      <c r="V225" s="1">
        <v>0.38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</row>
    <row r="226" spans="1:33" x14ac:dyDescent="0.25">
      <c r="A226" s="1">
        <v>331</v>
      </c>
      <c r="B226" s="1" t="s">
        <v>494</v>
      </c>
      <c r="C226" s="1" t="s">
        <v>495</v>
      </c>
      <c r="D226" s="1" t="s">
        <v>94</v>
      </c>
      <c r="E226" s="1" t="s">
        <v>95</v>
      </c>
      <c r="F226" s="10">
        <v>46211</v>
      </c>
      <c r="G226" s="10">
        <v>46216</v>
      </c>
      <c r="H226" s="11">
        <v>0.75</v>
      </c>
      <c r="J226" s="1" t="s">
        <v>496</v>
      </c>
      <c r="K226" s="1" t="s">
        <v>497</v>
      </c>
      <c r="L226" s="1" t="s">
        <v>149</v>
      </c>
      <c r="M226" s="1" t="s">
        <v>314</v>
      </c>
      <c r="N226" s="2">
        <v>46192</v>
      </c>
      <c r="P226" s="1" t="s">
        <v>489</v>
      </c>
      <c r="Q226" s="1" t="s">
        <v>178</v>
      </c>
      <c r="R226" s="1" t="s">
        <v>55</v>
      </c>
      <c r="S226" s="2">
        <v>46190</v>
      </c>
      <c r="T226" s="2">
        <v>46192</v>
      </c>
      <c r="V226" s="1">
        <v>0.75</v>
      </c>
      <c r="W226" s="1">
        <v>1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</row>
    <row r="227" spans="1:33" x14ac:dyDescent="0.25">
      <c r="A227" s="1">
        <v>332</v>
      </c>
      <c r="B227" s="1" t="s">
        <v>498</v>
      </c>
      <c r="C227" s="1" t="s">
        <v>495</v>
      </c>
      <c r="D227" s="1" t="s">
        <v>98</v>
      </c>
      <c r="E227" s="1" t="s">
        <v>53</v>
      </c>
      <c r="F227" s="10">
        <v>46216</v>
      </c>
      <c r="G227" s="10">
        <v>46217</v>
      </c>
      <c r="H227" s="11">
        <v>0</v>
      </c>
      <c r="J227" s="1">
        <v>331</v>
      </c>
      <c r="K227" s="1">
        <v>333</v>
      </c>
      <c r="L227" s="1" t="s">
        <v>149</v>
      </c>
      <c r="M227" s="1" t="s">
        <v>187</v>
      </c>
      <c r="N227" s="2">
        <v>46195</v>
      </c>
      <c r="P227" s="1" t="s">
        <v>489</v>
      </c>
      <c r="Q227" s="1" t="s">
        <v>146</v>
      </c>
      <c r="R227" s="1" t="s">
        <v>55</v>
      </c>
      <c r="S227" s="2">
        <v>46195</v>
      </c>
      <c r="T227" s="2">
        <v>46195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</row>
    <row r="228" spans="1:33" x14ac:dyDescent="0.25">
      <c r="A228" s="1">
        <v>333</v>
      </c>
      <c r="B228" s="1" t="s">
        <v>499</v>
      </c>
      <c r="C228" s="1" t="s">
        <v>495</v>
      </c>
      <c r="D228" s="1" t="s">
        <v>102</v>
      </c>
      <c r="E228" s="1" t="s">
        <v>53</v>
      </c>
      <c r="F228" s="10">
        <v>46217</v>
      </c>
      <c r="G228" s="10">
        <v>46218</v>
      </c>
      <c r="H228" s="11">
        <v>0</v>
      </c>
      <c r="J228" s="1">
        <v>332</v>
      </c>
      <c r="K228" s="1" t="s">
        <v>500</v>
      </c>
      <c r="L228" s="1" t="s">
        <v>149</v>
      </c>
      <c r="M228" s="1" t="s">
        <v>390</v>
      </c>
      <c r="N228" s="2">
        <v>46197</v>
      </c>
      <c r="P228" s="1" t="s">
        <v>489</v>
      </c>
      <c r="Q228" s="1" t="s">
        <v>146</v>
      </c>
      <c r="R228" s="1" t="s">
        <v>55</v>
      </c>
      <c r="S228" s="2">
        <v>46196</v>
      </c>
      <c r="T228" s="2">
        <v>46197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</row>
    <row r="229" spans="1:33" x14ac:dyDescent="0.25">
      <c r="A229" s="1">
        <v>334</v>
      </c>
      <c r="B229" s="1" t="s">
        <v>501</v>
      </c>
      <c r="C229" s="1" t="s">
        <v>495</v>
      </c>
      <c r="D229" s="1" t="s">
        <v>108</v>
      </c>
      <c r="E229" s="1" t="s">
        <v>53</v>
      </c>
      <c r="F229" s="10">
        <v>46218</v>
      </c>
      <c r="G229" s="10">
        <v>46219</v>
      </c>
      <c r="H229" s="11">
        <v>0</v>
      </c>
      <c r="J229" s="1">
        <v>333</v>
      </c>
      <c r="K229" s="1">
        <v>341</v>
      </c>
      <c r="L229" s="1" t="s">
        <v>149</v>
      </c>
      <c r="M229" s="1" t="s">
        <v>502</v>
      </c>
      <c r="N229" s="2">
        <v>46198</v>
      </c>
      <c r="P229" s="1" t="s">
        <v>489</v>
      </c>
      <c r="Q229" s="1" t="s">
        <v>146</v>
      </c>
      <c r="R229" s="1" t="s">
        <v>55</v>
      </c>
      <c r="S229" s="2">
        <v>46198</v>
      </c>
      <c r="T229" s="2">
        <v>46198</v>
      </c>
      <c r="V229" s="1">
        <v>0</v>
      </c>
      <c r="W229" s="1">
        <v>0</v>
      </c>
      <c r="X229" s="1">
        <v>0</v>
      </c>
      <c r="Y229" s="1">
        <v>0</v>
      </c>
      <c r="Z229" s="1">
        <v>1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</row>
    <row r="230" spans="1:33" x14ac:dyDescent="0.25">
      <c r="A230" s="1">
        <v>335</v>
      </c>
      <c r="B230" s="1" t="s">
        <v>503</v>
      </c>
      <c r="C230" s="1" t="s">
        <v>491</v>
      </c>
      <c r="D230" s="1" t="s">
        <v>504</v>
      </c>
      <c r="E230" s="1" t="s">
        <v>186</v>
      </c>
      <c r="F230" s="10">
        <v>46216</v>
      </c>
      <c r="G230" s="10">
        <v>46224</v>
      </c>
      <c r="H230" s="11">
        <v>0</v>
      </c>
      <c r="L230" s="1" t="s">
        <v>149</v>
      </c>
      <c r="M230" s="1" t="s">
        <v>505</v>
      </c>
      <c r="N230" s="2">
        <v>46210</v>
      </c>
      <c r="P230" s="1" t="s">
        <v>489</v>
      </c>
      <c r="Q230" s="1" t="s">
        <v>151</v>
      </c>
      <c r="R230" s="1" t="s">
        <v>55</v>
      </c>
      <c r="S230" s="2">
        <v>46203</v>
      </c>
      <c r="T230" s="2">
        <v>46210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</row>
    <row r="231" spans="1:33" x14ac:dyDescent="0.25">
      <c r="A231" s="1">
        <v>336</v>
      </c>
      <c r="B231" s="1" t="s">
        <v>506</v>
      </c>
      <c r="C231" s="1" t="s">
        <v>507</v>
      </c>
      <c r="D231" s="1" t="s">
        <v>94</v>
      </c>
      <c r="E231" s="1" t="s">
        <v>95</v>
      </c>
      <c r="F231" s="10">
        <v>46216</v>
      </c>
      <c r="G231" s="10">
        <v>46219</v>
      </c>
      <c r="H231" s="11">
        <v>0</v>
      </c>
      <c r="J231" s="1">
        <v>331</v>
      </c>
      <c r="K231" s="1">
        <v>337</v>
      </c>
      <c r="L231" s="1" t="s">
        <v>149</v>
      </c>
      <c r="M231" s="1" t="s">
        <v>505</v>
      </c>
      <c r="N231" s="2">
        <v>46204</v>
      </c>
      <c r="P231" s="1" t="s">
        <v>489</v>
      </c>
      <c r="Q231" s="1" t="s">
        <v>151</v>
      </c>
      <c r="R231" s="1" t="s">
        <v>55</v>
      </c>
      <c r="S231" s="2">
        <v>46203</v>
      </c>
      <c r="T231" s="2">
        <v>46204</v>
      </c>
      <c r="V231" s="1">
        <v>0</v>
      </c>
      <c r="W231" s="1">
        <v>1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</row>
    <row r="232" spans="1:33" x14ac:dyDescent="0.25">
      <c r="A232" s="1">
        <v>337</v>
      </c>
      <c r="B232" s="1" t="s">
        <v>508</v>
      </c>
      <c r="C232" s="1" t="s">
        <v>507</v>
      </c>
      <c r="D232" s="1" t="s">
        <v>98</v>
      </c>
      <c r="E232" s="1" t="s">
        <v>53</v>
      </c>
      <c r="F232" s="10">
        <v>46219</v>
      </c>
      <c r="G232" s="10">
        <v>46220</v>
      </c>
      <c r="H232" s="11">
        <v>0</v>
      </c>
      <c r="J232" s="1">
        <v>336</v>
      </c>
      <c r="K232" s="1">
        <v>338</v>
      </c>
      <c r="L232" s="1" t="s">
        <v>149</v>
      </c>
      <c r="M232" s="1" t="s">
        <v>292</v>
      </c>
      <c r="N232" s="2">
        <v>46205</v>
      </c>
      <c r="P232" s="1" t="s">
        <v>489</v>
      </c>
      <c r="Q232" s="1" t="s">
        <v>151</v>
      </c>
      <c r="R232" s="1" t="s">
        <v>55</v>
      </c>
      <c r="S232" s="2">
        <v>46205</v>
      </c>
      <c r="T232" s="2">
        <v>46205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</row>
    <row r="233" spans="1:33" x14ac:dyDescent="0.25">
      <c r="A233" s="1">
        <v>338</v>
      </c>
      <c r="B233" s="1" t="s">
        <v>509</v>
      </c>
      <c r="C233" s="1" t="s">
        <v>507</v>
      </c>
      <c r="D233" s="1" t="s">
        <v>102</v>
      </c>
      <c r="E233" s="1" t="s">
        <v>53</v>
      </c>
      <c r="F233" s="10">
        <v>46220</v>
      </c>
      <c r="G233" s="10">
        <v>46223</v>
      </c>
      <c r="H233" s="11">
        <v>0</v>
      </c>
      <c r="J233" s="1">
        <v>337</v>
      </c>
      <c r="K233" s="1">
        <v>339</v>
      </c>
      <c r="L233" s="1" t="s">
        <v>149</v>
      </c>
      <c r="M233" s="1" t="s">
        <v>191</v>
      </c>
      <c r="N233" s="2">
        <v>46209</v>
      </c>
      <c r="P233" s="1" t="s">
        <v>489</v>
      </c>
      <c r="Q233" s="1" t="s">
        <v>151</v>
      </c>
      <c r="R233" s="1" t="s">
        <v>55</v>
      </c>
      <c r="S233" s="2">
        <v>46206</v>
      </c>
      <c r="T233" s="2">
        <v>46209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</row>
    <row r="234" spans="1:33" x14ac:dyDescent="0.25">
      <c r="A234" s="1">
        <v>339</v>
      </c>
      <c r="B234" s="1" t="s">
        <v>510</v>
      </c>
      <c r="C234" s="1" t="s">
        <v>507</v>
      </c>
      <c r="D234" s="1" t="s">
        <v>108</v>
      </c>
      <c r="E234" s="1" t="s">
        <v>53</v>
      </c>
      <c r="F234" s="10">
        <v>46223</v>
      </c>
      <c r="G234" s="10">
        <v>46224</v>
      </c>
      <c r="H234" s="11">
        <v>0</v>
      </c>
      <c r="J234" s="1">
        <v>338</v>
      </c>
      <c r="L234" s="1" t="s">
        <v>149</v>
      </c>
      <c r="M234" s="1" t="s">
        <v>295</v>
      </c>
      <c r="N234" s="2">
        <v>46210</v>
      </c>
      <c r="P234" s="1" t="s">
        <v>489</v>
      </c>
      <c r="Q234" s="1" t="s">
        <v>511</v>
      </c>
      <c r="R234" s="1" t="s">
        <v>55</v>
      </c>
      <c r="S234" s="2">
        <v>46210</v>
      </c>
      <c r="T234" s="2">
        <v>46210</v>
      </c>
      <c r="V234" s="1">
        <v>0</v>
      </c>
      <c r="W234" s="1">
        <v>0</v>
      </c>
      <c r="X234" s="1">
        <v>0</v>
      </c>
      <c r="Y234" s="1">
        <v>0</v>
      </c>
      <c r="Z234" s="1">
        <v>1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</row>
    <row r="235" spans="1:33" x14ac:dyDescent="0.25">
      <c r="A235" s="1">
        <v>345</v>
      </c>
      <c r="B235" s="1" t="s">
        <v>512</v>
      </c>
      <c r="C235" s="1" t="s">
        <v>491</v>
      </c>
      <c r="D235" s="1" t="s">
        <v>513</v>
      </c>
      <c r="E235" s="1" t="s">
        <v>186</v>
      </c>
      <c r="F235" s="10">
        <v>46209</v>
      </c>
      <c r="G235" s="10">
        <v>46218</v>
      </c>
      <c r="H235" s="11">
        <v>0</v>
      </c>
      <c r="L235" s="1" t="s">
        <v>35</v>
      </c>
      <c r="M235" s="1" t="s">
        <v>264</v>
      </c>
      <c r="N235" s="2">
        <v>46198</v>
      </c>
      <c r="P235" s="1" t="s">
        <v>489</v>
      </c>
      <c r="Q235" s="1" t="s">
        <v>133</v>
      </c>
      <c r="R235" s="1" t="s">
        <v>39</v>
      </c>
      <c r="S235" s="2">
        <v>46188</v>
      </c>
      <c r="T235" s="2">
        <v>46198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</row>
    <row r="236" spans="1:33" x14ac:dyDescent="0.25">
      <c r="A236" s="1">
        <v>346</v>
      </c>
      <c r="B236" s="1" t="s">
        <v>514</v>
      </c>
      <c r="C236" s="1" t="s">
        <v>515</v>
      </c>
      <c r="D236" s="1" t="s">
        <v>94</v>
      </c>
      <c r="E236" s="1" t="s">
        <v>95</v>
      </c>
      <c r="F236" s="10">
        <v>46209</v>
      </c>
      <c r="G236" s="10">
        <v>46211</v>
      </c>
      <c r="H236" s="11">
        <v>0</v>
      </c>
      <c r="J236" s="1" t="s">
        <v>516</v>
      </c>
      <c r="K236" s="1" t="s">
        <v>517</v>
      </c>
      <c r="L236" s="1" t="s">
        <v>35</v>
      </c>
      <c r="M236" s="1" t="s">
        <v>264</v>
      </c>
      <c r="N236" s="2">
        <v>46192</v>
      </c>
      <c r="P236" s="1" t="s">
        <v>489</v>
      </c>
      <c r="Q236" s="1" t="s">
        <v>133</v>
      </c>
      <c r="R236" s="1" t="s">
        <v>39</v>
      </c>
      <c r="S236" s="2">
        <v>46188</v>
      </c>
      <c r="T236" s="2">
        <v>46192</v>
      </c>
      <c r="V236" s="1">
        <v>0</v>
      </c>
      <c r="W236" s="1">
        <v>1</v>
      </c>
      <c r="X236" s="1">
        <v>0</v>
      </c>
      <c r="Y236" s="1">
        <v>1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</row>
    <row r="237" spans="1:33" x14ac:dyDescent="0.25">
      <c r="A237" s="1">
        <v>347</v>
      </c>
      <c r="B237" s="1" t="s">
        <v>518</v>
      </c>
      <c r="C237" s="1" t="s">
        <v>515</v>
      </c>
      <c r="D237" s="1" t="s">
        <v>98</v>
      </c>
      <c r="E237" s="1" t="s">
        <v>53</v>
      </c>
      <c r="F237" s="10">
        <v>46216</v>
      </c>
      <c r="G237" s="10">
        <v>46216</v>
      </c>
      <c r="H237" s="11">
        <v>0</v>
      </c>
      <c r="J237" s="1">
        <v>346</v>
      </c>
      <c r="K237" s="1">
        <v>348</v>
      </c>
      <c r="L237" s="1" t="s">
        <v>149</v>
      </c>
      <c r="M237" s="1" t="s">
        <v>187</v>
      </c>
      <c r="N237" s="2">
        <v>46195</v>
      </c>
      <c r="P237" s="1" t="s">
        <v>489</v>
      </c>
      <c r="Q237" s="1" t="s">
        <v>178</v>
      </c>
      <c r="R237" s="1" t="s">
        <v>55</v>
      </c>
      <c r="S237" s="2">
        <v>46195</v>
      </c>
      <c r="T237" s="2">
        <v>46195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</row>
    <row r="238" spans="1:33" x14ac:dyDescent="0.25">
      <c r="A238" s="1">
        <v>348</v>
      </c>
      <c r="B238" s="1" t="s">
        <v>519</v>
      </c>
      <c r="C238" s="1" t="s">
        <v>515</v>
      </c>
      <c r="D238" s="1" t="s">
        <v>102</v>
      </c>
      <c r="E238" s="1" t="s">
        <v>53</v>
      </c>
      <c r="F238" s="10">
        <v>46217</v>
      </c>
      <c r="G238" s="10">
        <v>46217</v>
      </c>
      <c r="H238" s="11">
        <v>0</v>
      </c>
      <c r="J238" s="1">
        <v>347</v>
      </c>
      <c r="K238" s="1">
        <v>349</v>
      </c>
      <c r="L238" s="1" t="s">
        <v>149</v>
      </c>
      <c r="M238" s="1" t="s">
        <v>390</v>
      </c>
      <c r="N238" s="2">
        <v>46197</v>
      </c>
      <c r="P238" s="1" t="s">
        <v>489</v>
      </c>
      <c r="Q238" s="1" t="s">
        <v>178</v>
      </c>
      <c r="R238" s="1" t="s">
        <v>55</v>
      </c>
      <c r="S238" s="2">
        <v>46196</v>
      </c>
      <c r="T238" s="2">
        <v>46197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</row>
    <row r="239" spans="1:33" x14ac:dyDescent="0.25">
      <c r="A239" s="1">
        <v>349</v>
      </c>
      <c r="B239" s="1" t="s">
        <v>520</v>
      </c>
      <c r="C239" s="1" t="s">
        <v>515</v>
      </c>
      <c r="D239" s="1" t="s">
        <v>108</v>
      </c>
      <c r="E239" s="1" t="s">
        <v>53</v>
      </c>
      <c r="F239" s="10">
        <v>46218</v>
      </c>
      <c r="G239" s="10">
        <v>46218</v>
      </c>
      <c r="H239" s="11">
        <v>0</v>
      </c>
      <c r="J239" s="1">
        <v>348</v>
      </c>
      <c r="L239" s="1" t="s">
        <v>149</v>
      </c>
      <c r="M239" s="1" t="s">
        <v>502</v>
      </c>
      <c r="N239" s="2">
        <v>46198</v>
      </c>
      <c r="P239" s="1" t="s">
        <v>489</v>
      </c>
      <c r="Q239" s="1" t="s">
        <v>178</v>
      </c>
      <c r="R239" s="1" t="s">
        <v>55</v>
      </c>
      <c r="S239" s="2">
        <v>46198</v>
      </c>
      <c r="T239" s="2">
        <v>46198</v>
      </c>
      <c r="V239" s="1">
        <v>0</v>
      </c>
      <c r="W239" s="1">
        <v>0</v>
      </c>
      <c r="X239" s="1">
        <v>0</v>
      </c>
      <c r="Y239" s="1">
        <v>0</v>
      </c>
      <c r="Z239" s="1">
        <v>1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</row>
    <row r="240" spans="1:33" x14ac:dyDescent="0.25">
      <c r="A240" s="1">
        <v>350</v>
      </c>
      <c r="B240" s="1" t="s">
        <v>521</v>
      </c>
      <c r="C240" s="1" t="s">
        <v>491</v>
      </c>
      <c r="D240" s="1" t="s">
        <v>522</v>
      </c>
      <c r="E240" s="1" t="s">
        <v>172</v>
      </c>
      <c r="F240" s="10">
        <v>46218</v>
      </c>
      <c r="G240" s="10">
        <v>46227</v>
      </c>
      <c r="H240" s="11">
        <v>0</v>
      </c>
      <c r="L240" s="1" t="s">
        <v>149</v>
      </c>
      <c r="M240" s="1" t="s">
        <v>502</v>
      </c>
      <c r="N240" s="2">
        <v>46211</v>
      </c>
      <c r="P240" s="1" t="s">
        <v>489</v>
      </c>
      <c r="Q240" s="1" t="s">
        <v>146</v>
      </c>
      <c r="R240" s="1" t="s">
        <v>55</v>
      </c>
      <c r="S240" s="2">
        <v>46198</v>
      </c>
      <c r="T240" s="2">
        <v>46211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</row>
    <row r="241" spans="1:33" x14ac:dyDescent="0.25">
      <c r="A241" s="1">
        <v>351</v>
      </c>
      <c r="B241" s="1" t="s">
        <v>523</v>
      </c>
      <c r="C241" s="1" t="s">
        <v>524</v>
      </c>
      <c r="D241" s="1" t="s">
        <v>94</v>
      </c>
      <c r="E241" s="1" t="s">
        <v>525</v>
      </c>
      <c r="F241" s="10">
        <v>46218</v>
      </c>
      <c r="G241" s="10">
        <v>46224</v>
      </c>
      <c r="H241" s="11">
        <v>0</v>
      </c>
      <c r="J241" s="1">
        <v>333</v>
      </c>
      <c r="K241" s="1">
        <v>352</v>
      </c>
      <c r="L241" s="1" t="s">
        <v>149</v>
      </c>
      <c r="M241" s="1" t="s">
        <v>502</v>
      </c>
      <c r="N241" s="2">
        <v>46205</v>
      </c>
      <c r="P241" s="1" t="s">
        <v>489</v>
      </c>
      <c r="Q241" s="1" t="s">
        <v>146</v>
      </c>
      <c r="R241" s="1" t="s">
        <v>55</v>
      </c>
      <c r="S241" s="2">
        <v>46198</v>
      </c>
      <c r="T241" s="2">
        <v>46205</v>
      </c>
      <c r="V241" s="1">
        <v>0</v>
      </c>
      <c r="W241" s="1">
        <v>1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</row>
    <row r="242" spans="1:33" x14ac:dyDescent="0.25">
      <c r="A242" s="1">
        <v>352</v>
      </c>
      <c r="B242" s="1" t="s">
        <v>526</v>
      </c>
      <c r="C242" s="1" t="s">
        <v>524</v>
      </c>
      <c r="D242" s="1" t="s">
        <v>98</v>
      </c>
      <c r="E242" s="1" t="s">
        <v>53</v>
      </c>
      <c r="F242" s="10">
        <v>46224</v>
      </c>
      <c r="G242" s="10">
        <v>46225</v>
      </c>
      <c r="H242" s="11">
        <v>0</v>
      </c>
      <c r="J242" s="1">
        <v>351</v>
      </c>
      <c r="K242" s="1">
        <v>353</v>
      </c>
      <c r="L242" s="1" t="s">
        <v>149</v>
      </c>
      <c r="M242" s="1" t="s">
        <v>191</v>
      </c>
      <c r="N242" s="2">
        <v>46206</v>
      </c>
      <c r="P242" s="1" t="s">
        <v>489</v>
      </c>
      <c r="Q242" s="1" t="s">
        <v>151</v>
      </c>
      <c r="R242" s="1" t="s">
        <v>55</v>
      </c>
      <c r="S242" s="2">
        <v>46206</v>
      </c>
      <c r="T242" s="2">
        <v>46206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</row>
    <row r="243" spans="1:33" x14ac:dyDescent="0.25">
      <c r="A243" s="1">
        <v>353</v>
      </c>
      <c r="B243" s="1" t="s">
        <v>527</v>
      </c>
      <c r="C243" s="1" t="s">
        <v>524</v>
      </c>
      <c r="D243" s="1" t="s">
        <v>102</v>
      </c>
      <c r="E243" s="1" t="s">
        <v>53</v>
      </c>
      <c r="F243" s="10">
        <v>46225</v>
      </c>
      <c r="G243" s="10">
        <v>46226</v>
      </c>
      <c r="H243" s="11">
        <v>0</v>
      </c>
      <c r="J243" s="1">
        <v>352</v>
      </c>
      <c r="K243" s="1">
        <v>354</v>
      </c>
      <c r="L243" s="1" t="s">
        <v>149</v>
      </c>
      <c r="M243" s="1" t="s">
        <v>193</v>
      </c>
      <c r="N243" s="2">
        <v>46210</v>
      </c>
      <c r="P243" s="1" t="s">
        <v>489</v>
      </c>
      <c r="Q243" s="1" t="s">
        <v>151</v>
      </c>
      <c r="R243" s="1" t="s">
        <v>55</v>
      </c>
      <c r="S243" s="2">
        <v>46209</v>
      </c>
      <c r="T243" s="2">
        <v>46210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</row>
    <row r="244" spans="1:33" x14ac:dyDescent="0.25">
      <c r="A244" s="1">
        <v>354</v>
      </c>
      <c r="B244" s="1" t="s">
        <v>528</v>
      </c>
      <c r="C244" s="1" t="s">
        <v>524</v>
      </c>
      <c r="D244" s="1" t="s">
        <v>108</v>
      </c>
      <c r="E244" s="1" t="s">
        <v>53</v>
      </c>
      <c r="F244" s="10">
        <v>46226</v>
      </c>
      <c r="G244" s="10">
        <v>46227</v>
      </c>
      <c r="H244" s="11">
        <v>0</v>
      </c>
      <c r="J244" s="1">
        <v>353</v>
      </c>
      <c r="L244" s="1" t="s">
        <v>149</v>
      </c>
      <c r="M244" s="1" t="s">
        <v>195</v>
      </c>
      <c r="N244" s="2">
        <v>46211</v>
      </c>
      <c r="P244" s="1" t="s">
        <v>489</v>
      </c>
      <c r="Q244" s="1" t="s">
        <v>511</v>
      </c>
      <c r="R244" s="1" t="s">
        <v>55</v>
      </c>
      <c r="S244" s="2">
        <v>46211</v>
      </c>
      <c r="T244" s="2">
        <v>46211</v>
      </c>
      <c r="V244" s="1">
        <v>0</v>
      </c>
      <c r="W244" s="1">
        <v>0</v>
      </c>
      <c r="X244" s="1">
        <v>0</v>
      </c>
      <c r="Y244" s="1">
        <v>0</v>
      </c>
      <c r="Z244" s="1">
        <v>1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</row>
    <row r="245" spans="1:33" x14ac:dyDescent="0.25">
      <c r="A245" s="1">
        <v>355</v>
      </c>
      <c r="B245" s="1" t="s">
        <v>529</v>
      </c>
      <c r="C245" s="1" t="s">
        <v>491</v>
      </c>
      <c r="D245" s="1" t="s">
        <v>530</v>
      </c>
      <c r="E245" s="1" t="s">
        <v>172</v>
      </c>
      <c r="F245" s="10">
        <v>46218</v>
      </c>
      <c r="G245" s="10">
        <v>46227</v>
      </c>
      <c r="H245" s="11">
        <v>0</v>
      </c>
      <c r="L245" s="1" t="s">
        <v>149</v>
      </c>
      <c r="M245" s="1" t="s">
        <v>502</v>
      </c>
      <c r="N245" s="2">
        <v>46211</v>
      </c>
      <c r="P245" s="1" t="s">
        <v>489</v>
      </c>
      <c r="Q245" s="1" t="s">
        <v>146</v>
      </c>
      <c r="R245" s="1" t="s">
        <v>55</v>
      </c>
      <c r="S245" s="2">
        <v>46198</v>
      </c>
      <c r="T245" s="2">
        <v>46211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</row>
    <row r="246" spans="1:33" x14ac:dyDescent="0.25">
      <c r="A246" s="1">
        <v>356</v>
      </c>
      <c r="B246" s="1" t="s">
        <v>531</v>
      </c>
      <c r="C246" s="1" t="s">
        <v>532</v>
      </c>
      <c r="D246" s="1" t="s">
        <v>94</v>
      </c>
      <c r="E246" s="1" t="s">
        <v>525</v>
      </c>
      <c r="F246" s="10">
        <v>46218</v>
      </c>
      <c r="G246" s="10">
        <v>46224</v>
      </c>
      <c r="H246" s="11">
        <v>0</v>
      </c>
      <c r="J246" s="1">
        <v>333</v>
      </c>
      <c r="K246" s="1">
        <v>357</v>
      </c>
      <c r="L246" s="1" t="s">
        <v>149</v>
      </c>
      <c r="M246" s="1" t="s">
        <v>502</v>
      </c>
      <c r="N246" s="2">
        <v>46205</v>
      </c>
      <c r="P246" s="1" t="s">
        <v>489</v>
      </c>
      <c r="Q246" s="1" t="s">
        <v>146</v>
      </c>
      <c r="R246" s="1" t="s">
        <v>55</v>
      </c>
      <c r="S246" s="2">
        <v>46198</v>
      </c>
      <c r="T246" s="2">
        <v>46205</v>
      </c>
      <c r="V246" s="1">
        <v>0</v>
      </c>
      <c r="W246" s="1">
        <v>1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</row>
    <row r="247" spans="1:33" x14ac:dyDescent="0.25">
      <c r="A247" s="1">
        <v>357</v>
      </c>
      <c r="B247" s="1" t="s">
        <v>533</v>
      </c>
      <c r="C247" s="1" t="s">
        <v>532</v>
      </c>
      <c r="D247" s="1" t="s">
        <v>98</v>
      </c>
      <c r="E247" s="1" t="s">
        <v>53</v>
      </c>
      <c r="F247" s="10">
        <v>46224</v>
      </c>
      <c r="G247" s="10">
        <v>46225</v>
      </c>
      <c r="H247" s="11">
        <v>0</v>
      </c>
      <c r="J247" s="1">
        <v>356</v>
      </c>
      <c r="K247" s="1">
        <v>358</v>
      </c>
      <c r="L247" s="1" t="s">
        <v>149</v>
      </c>
      <c r="M247" s="1" t="s">
        <v>191</v>
      </c>
      <c r="N247" s="2">
        <v>46206</v>
      </c>
      <c r="P247" s="1" t="s">
        <v>489</v>
      </c>
      <c r="Q247" s="1" t="s">
        <v>151</v>
      </c>
      <c r="R247" s="1" t="s">
        <v>55</v>
      </c>
      <c r="S247" s="2">
        <v>46206</v>
      </c>
      <c r="T247" s="2">
        <v>46206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</row>
    <row r="248" spans="1:33" x14ac:dyDescent="0.25">
      <c r="A248" s="1">
        <v>358</v>
      </c>
      <c r="B248" s="1" t="s">
        <v>534</v>
      </c>
      <c r="C248" s="1" t="s">
        <v>532</v>
      </c>
      <c r="D248" s="1" t="s">
        <v>102</v>
      </c>
      <c r="E248" s="1" t="s">
        <v>53</v>
      </c>
      <c r="F248" s="10">
        <v>46225</v>
      </c>
      <c r="G248" s="10">
        <v>46226</v>
      </c>
      <c r="H248" s="11">
        <v>0</v>
      </c>
      <c r="J248" s="1">
        <v>357</v>
      </c>
      <c r="K248" s="1">
        <v>359</v>
      </c>
      <c r="L248" s="1" t="s">
        <v>149</v>
      </c>
      <c r="M248" s="1" t="s">
        <v>193</v>
      </c>
      <c r="N248" s="2">
        <v>46210</v>
      </c>
      <c r="P248" s="1" t="s">
        <v>489</v>
      </c>
      <c r="Q248" s="1" t="s">
        <v>151</v>
      </c>
      <c r="R248" s="1" t="s">
        <v>55</v>
      </c>
      <c r="S248" s="2">
        <v>46209</v>
      </c>
      <c r="T248" s="2">
        <v>46210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</row>
    <row r="249" spans="1:33" x14ac:dyDescent="0.25">
      <c r="A249" s="1">
        <v>359</v>
      </c>
      <c r="B249" s="1" t="s">
        <v>535</v>
      </c>
      <c r="C249" s="1" t="s">
        <v>532</v>
      </c>
      <c r="D249" s="1" t="s">
        <v>108</v>
      </c>
      <c r="E249" s="1" t="s">
        <v>53</v>
      </c>
      <c r="F249" s="10">
        <v>46226</v>
      </c>
      <c r="G249" s="10">
        <v>46227</v>
      </c>
      <c r="H249" s="11">
        <v>0</v>
      </c>
      <c r="J249" s="1">
        <v>358</v>
      </c>
      <c r="L249" s="1" t="s">
        <v>149</v>
      </c>
      <c r="M249" s="1" t="s">
        <v>195</v>
      </c>
      <c r="N249" s="2">
        <v>46211</v>
      </c>
      <c r="P249" s="1" t="s">
        <v>489</v>
      </c>
      <c r="Q249" s="1" t="s">
        <v>511</v>
      </c>
      <c r="R249" s="1" t="s">
        <v>55</v>
      </c>
      <c r="S249" s="2">
        <v>46211</v>
      </c>
      <c r="T249" s="2">
        <v>46211</v>
      </c>
      <c r="V249" s="1">
        <v>0</v>
      </c>
      <c r="W249" s="1">
        <v>0</v>
      </c>
      <c r="X249" s="1">
        <v>0</v>
      </c>
      <c r="Y249" s="1">
        <v>0</v>
      </c>
      <c r="Z249" s="1">
        <v>1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</row>
    <row r="250" spans="1:33" x14ac:dyDescent="0.25">
      <c r="A250" s="1">
        <v>360</v>
      </c>
      <c r="B250" s="1" t="s">
        <v>536</v>
      </c>
      <c r="C250" s="1" t="s">
        <v>491</v>
      </c>
      <c r="D250" s="1" t="s">
        <v>537</v>
      </c>
      <c r="E250" s="1" t="s">
        <v>172</v>
      </c>
      <c r="F250" s="10">
        <v>46218</v>
      </c>
      <c r="G250" s="10">
        <v>46227</v>
      </c>
      <c r="H250" s="11">
        <v>0</v>
      </c>
      <c r="L250" s="1" t="s">
        <v>149</v>
      </c>
      <c r="M250" s="1" t="s">
        <v>502</v>
      </c>
      <c r="N250" s="2">
        <v>46211</v>
      </c>
      <c r="P250" s="1" t="s">
        <v>489</v>
      </c>
      <c r="Q250" s="1" t="s">
        <v>146</v>
      </c>
      <c r="R250" s="1" t="s">
        <v>55</v>
      </c>
      <c r="S250" s="2">
        <v>46198</v>
      </c>
      <c r="T250" s="2">
        <v>46211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</row>
    <row r="251" spans="1:33" x14ac:dyDescent="0.25">
      <c r="A251" s="1">
        <v>361</v>
      </c>
      <c r="B251" s="1" t="s">
        <v>538</v>
      </c>
      <c r="C251" s="1" t="s">
        <v>539</v>
      </c>
      <c r="D251" s="1" t="s">
        <v>94</v>
      </c>
      <c r="E251" s="1" t="s">
        <v>525</v>
      </c>
      <c r="F251" s="10">
        <v>46218</v>
      </c>
      <c r="G251" s="10">
        <v>46224</v>
      </c>
      <c r="H251" s="11">
        <v>0</v>
      </c>
      <c r="J251" s="1">
        <v>333</v>
      </c>
      <c r="K251" s="1">
        <v>362</v>
      </c>
      <c r="L251" s="1" t="s">
        <v>149</v>
      </c>
      <c r="M251" s="1" t="s">
        <v>502</v>
      </c>
      <c r="N251" s="2">
        <v>46205</v>
      </c>
      <c r="P251" s="1" t="s">
        <v>489</v>
      </c>
      <c r="Q251" s="1" t="s">
        <v>146</v>
      </c>
      <c r="R251" s="1" t="s">
        <v>55</v>
      </c>
      <c r="S251" s="2">
        <v>46198</v>
      </c>
      <c r="T251" s="2">
        <v>46205</v>
      </c>
      <c r="V251" s="1">
        <v>0</v>
      </c>
      <c r="W251" s="1">
        <v>1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</row>
    <row r="252" spans="1:33" x14ac:dyDescent="0.25">
      <c r="A252" s="1">
        <v>362</v>
      </c>
      <c r="B252" s="1" t="s">
        <v>540</v>
      </c>
      <c r="C252" s="1" t="s">
        <v>539</v>
      </c>
      <c r="D252" s="1" t="s">
        <v>98</v>
      </c>
      <c r="E252" s="1" t="s">
        <v>53</v>
      </c>
      <c r="F252" s="10">
        <v>46224</v>
      </c>
      <c r="G252" s="10">
        <v>46225</v>
      </c>
      <c r="H252" s="11">
        <v>0</v>
      </c>
      <c r="J252" s="1">
        <v>361</v>
      </c>
      <c r="K252" s="1">
        <v>363</v>
      </c>
      <c r="L252" s="1" t="s">
        <v>149</v>
      </c>
      <c r="M252" s="1" t="s">
        <v>191</v>
      </c>
      <c r="N252" s="2">
        <v>46206</v>
      </c>
      <c r="P252" s="1" t="s">
        <v>489</v>
      </c>
      <c r="Q252" s="1" t="s">
        <v>151</v>
      </c>
      <c r="R252" s="1" t="s">
        <v>55</v>
      </c>
      <c r="S252" s="2">
        <v>46206</v>
      </c>
      <c r="T252" s="2">
        <v>46206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</row>
    <row r="253" spans="1:33" x14ac:dyDescent="0.25">
      <c r="A253" s="1">
        <v>363</v>
      </c>
      <c r="B253" s="1" t="s">
        <v>541</v>
      </c>
      <c r="C253" s="1" t="s">
        <v>539</v>
      </c>
      <c r="D253" s="1" t="s">
        <v>102</v>
      </c>
      <c r="E253" s="1" t="s">
        <v>53</v>
      </c>
      <c r="F253" s="10">
        <v>46225</v>
      </c>
      <c r="G253" s="10">
        <v>46226</v>
      </c>
      <c r="H253" s="11">
        <v>0</v>
      </c>
      <c r="J253" s="1">
        <v>362</v>
      </c>
      <c r="K253" s="1">
        <v>364</v>
      </c>
      <c r="L253" s="1" t="s">
        <v>149</v>
      </c>
      <c r="M253" s="1" t="s">
        <v>193</v>
      </c>
      <c r="N253" s="2">
        <v>46210</v>
      </c>
      <c r="P253" s="1" t="s">
        <v>489</v>
      </c>
      <c r="Q253" s="1" t="s">
        <v>151</v>
      </c>
      <c r="R253" s="1" t="s">
        <v>55</v>
      </c>
      <c r="S253" s="2">
        <v>46209</v>
      </c>
      <c r="T253" s="2">
        <v>46210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</row>
    <row r="254" spans="1:33" x14ac:dyDescent="0.25">
      <c r="A254" s="1">
        <v>364</v>
      </c>
      <c r="B254" s="1" t="s">
        <v>542</v>
      </c>
      <c r="C254" s="1" t="s">
        <v>539</v>
      </c>
      <c r="D254" s="1" t="s">
        <v>108</v>
      </c>
      <c r="E254" s="1" t="s">
        <v>53</v>
      </c>
      <c r="F254" s="10">
        <v>46226</v>
      </c>
      <c r="G254" s="10">
        <v>46227</v>
      </c>
      <c r="H254" s="11">
        <v>0</v>
      </c>
      <c r="J254" s="1">
        <v>363</v>
      </c>
      <c r="L254" s="1" t="s">
        <v>149</v>
      </c>
      <c r="M254" s="1" t="s">
        <v>195</v>
      </c>
      <c r="N254" s="2">
        <v>46211</v>
      </c>
      <c r="P254" s="1" t="s">
        <v>489</v>
      </c>
      <c r="Q254" s="1" t="s">
        <v>511</v>
      </c>
      <c r="R254" s="1" t="s">
        <v>55</v>
      </c>
      <c r="S254" s="2">
        <v>46211</v>
      </c>
      <c r="T254" s="2">
        <v>46211</v>
      </c>
      <c r="V254" s="1">
        <v>0</v>
      </c>
      <c r="W254" s="1">
        <v>0</v>
      </c>
      <c r="X254" s="1">
        <v>0</v>
      </c>
      <c r="Y254" s="1">
        <v>0</v>
      </c>
      <c r="Z254" s="1">
        <v>1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</row>
    <row r="255" spans="1:33" x14ac:dyDescent="0.25">
      <c r="A255" s="1">
        <v>365</v>
      </c>
      <c r="B255" s="1" t="s">
        <v>543</v>
      </c>
      <c r="C255" s="1" t="s">
        <v>491</v>
      </c>
      <c r="D255" s="1" t="s">
        <v>544</v>
      </c>
      <c r="E255" s="1" t="s">
        <v>172</v>
      </c>
      <c r="F255" s="10">
        <v>46218</v>
      </c>
      <c r="G255" s="10">
        <v>46227</v>
      </c>
      <c r="H255" s="11">
        <v>0</v>
      </c>
      <c r="L255" s="1" t="s">
        <v>149</v>
      </c>
      <c r="M255" s="1" t="s">
        <v>502</v>
      </c>
      <c r="N255" s="2">
        <v>46211</v>
      </c>
      <c r="P255" s="1" t="s">
        <v>489</v>
      </c>
      <c r="Q255" s="1" t="s">
        <v>146</v>
      </c>
      <c r="R255" s="1" t="s">
        <v>55</v>
      </c>
      <c r="S255" s="2">
        <v>46198</v>
      </c>
      <c r="T255" s="2">
        <v>46211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</row>
    <row r="256" spans="1:33" x14ac:dyDescent="0.25">
      <c r="A256" s="1">
        <v>366</v>
      </c>
      <c r="B256" s="1" t="s">
        <v>545</v>
      </c>
      <c r="C256" s="1" t="s">
        <v>546</v>
      </c>
      <c r="D256" s="1" t="s">
        <v>94</v>
      </c>
      <c r="E256" s="1" t="s">
        <v>525</v>
      </c>
      <c r="F256" s="10">
        <v>46218</v>
      </c>
      <c r="G256" s="10">
        <v>46224</v>
      </c>
      <c r="H256" s="11">
        <v>0</v>
      </c>
      <c r="J256" s="1">
        <v>333</v>
      </c>
      <c r="K256" s="1">
        <v>367</v>
      </c>
      <c r="L256" s="1" t="s">
        <v>149</v>
      </c>
      <c r="M256" s="1" t="s">
        <v>502</v>
      </c>
      <c r="N256" s="2">
        <v>46205</v>
      </c>
      <c r="P256" s="1" t="s">
        <v>489</v>
      </c>
      <c r="Q256" s="1" t="s">
        <v>146</v>
      </c>
      <c r="R256" s="1" t="s">
        <v>55</v>
      </c>
      <c r="S256" s="2">
        <v>46198</v>
      </c>
      <c r="T256" s="2">
        <v>46205</v>
      </c>
      <c r="V256" s="1">
        <v>0</v>
      </c>
      <c r="W256" s="1">
        <v>1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</row>
    <row r="257" spans="1:33" x14ac:dyDescent="0.25">
      <c r="A257" s="1">
        <v>367</v>
      </c>
      <c r="B257" s="1" t="s">
        <v>547</v>
      </c>
      <c r="C257" s="1" t="s">
        <v>546</v>
      </c>
      <c r="D257" s="1" t="s">
        <v>98</v>
      </c>
      <c r="E257" s="1" t="s">
        <v>53</v>
      </c>
      <c r="F257" s="10">
        <v>46224</v>
      </c>
      <c r="G257" s="10">
        <v>46225</v>
      </c>
      <c r="H257" s="11">
        <v>0</v>
      </c>
      <c r="J257" s="1">
        <v>366</v>
      </c>
      <c r="K257" s="1">
        <v>368</v>
      </c>
      <c r="L257" s="1" t="s">
        <v>149</v>
      </c>
      <c r="M257" s="1" t="s">
        <v>191</v>
      </c>
      <c r="N257" s="2">
        <v>46206</v>
      </c>
      <c r="P257" s="1" t="s">
        <v>489</v>
      </c>
      <c r="Q257" s="1" t="s">
        <v>151</v>
      </c>
      <c r="R257" s="1" t="s">
        <v>55</v>
      </c>
      <c r="S257" s="2">
        <v>46206</v>
      </c>
      <c r="T257" s="2">
        <v>46206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</row>
    <row r="258" spans="1:33" x14ac:dyDescent="0.25">
      <c r="A258" s="1">
        <v>368</v>
      </c>
      <c r="B258" s="1" t="s">
        <v>548</v>
      </c>
      <c r="C258" s="1" t="s">
        <v>546</v>
      </c>
      <c r="D258" s="1" t="s">
        <v>102</v>
      </c>
      <c r="E258" s="1" t="s">
        <v>53</v>
      </c>
      <c r="F258" s="10">
        <v>46225</v>
      </c>
      <c r="G258" s="10">
        <v>46226</v>
      </c>
      <c r="H258" s="11">
        <v>0</v>
      </c>
      <c r="J258" s="1">
        <v>367</v>
      </c>
      <c r="K258" s="1">
        <v>369</v>
      </c>
      <c r="L258" s="1" t="s">
        <v>149</v>
      </c>
      <c r="M258" s="1" t="s">
        <v>193</v>
      </c>
      <c r="N258" s="2">
        <v>46210</v>
      </c>
      <c r="P258" s="1" t="s">
        <v>489</v>
      </c>
      <c r="Q258" s="1" t="s">
        <v>151</v>
      </c>
      <c r="R258" s="1" t="s">
        <v>55</v>
      </c>
      <c r="S258" s="2">
        <v>46209</v>
      </c>
      <c r="T258" s="2">
        <v>46210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</row>
    <row r="259" spans="1:33" x14ac:dyDescent="0.25">
      <c r="A259" s="1">
        <v>369</v>
      </c>
      <c r="B259" s="1" t="s">
        <v>549</v>
      </c>
      <c r="C259" s="1" t="s">
        <v>546</v>
      </c>
      <c r="D259" s="1" t="s">
        <v>108</v>
      </c>
      <c r="E259" s="1" t="s">
        <v>53</v>
      </c>
      <c r="F259" s="10">
        <v>46226</v>
      </c>
      <c r="G259" s="10">
        <v>46227</v>
      </c>
      <c r="H259" s="11">
        <v>0</v>
      </c>
      <c r="J259" s="1">
        <v>368</v>
      </c>
      <c r="L259" s="1" t="s">
        <v>149</v>
      </c>
      <c r="M259" s="1" t="s">
        <v>195</v>
      </c>
      <c r="N259" s="2">
        <v>46211</v>
      </c>
      <c r="P259" s="1" t="s">
        <v>489</v>
      </c>
      <c r="Q259" s="1" t="s">
        <v>511</v>
      </c>
      <c r="R259" s="1" t="s">
        <v>55</v>
      </c>
      <c r="S259" s="2">
        <v>46211</v>
      </c>
      <c r="T259" s="2">
        <v>46211</v>
      </c>
      <c r="V259" s="1">
        <v>0</v>
      </c>
      <c r="W259" s="1">
        <v>0</v>
      </c>
      <c r="X259" s="1">
        <v>0</v>
      </c>
      <c r="Y259" s="1">
        <v>0</v>
      </c>
      <c r="Z259" s="1">
        <v>1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</row>
    <row r="260" spans="1:33" x14ac:dyDescent="0.25">
      <c r="A260" s="1">
        <v>370</v>
      </c>
      <c r="B260" s="1" t="s">
        <v>550</v>
      </c>
      <c r="C260" s="1" t="s">
        <v>491</v>
      </c>
      <c r="D260" s="1" t="s">
        <v>551</v>
      </c>
      <c r="E260" s="1" t="s">
        <v>172</v>
      </c>
      <c r="F260" s="10">
        <v>46218</v>
      </c>
      <c r="G260" s="10">
        <v>46227</v>
      </c>
      <c r="H260" s="11">
        <v>0</v>
      </c>
      <c r="L260" s="1" t="s">
        <v>149</v>
      </c>
      <c r="M260" s="1" t="s">
        <v>502</v>
      </c>
      <c r="N260" s="2">
        <v>46211</v>
      </c>
      <c r="P260" s="1" t="s">
        <v>489</v>
      </c>
      <c r="Q260" s="1" t="s">
        <v>146</v>
      </c>
      <c r="R260" s="1" t="s">
        <v>55</v>
      </c>
      <c r="S260" s="2">
        <v>46198</v>
      </c>
      <c r="T260" s="2">
        <v>46211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</row>
    <row r="261" spans="1:33" x14ac:dyDescent="0.25">
      <c r="A261" s="1">
        <v>371</v>
      </c>
      <c r="B261" s="1" t="s">
        <v>552</v>
      </c>
      <c r="C261" s="1" t="s">
        <v>553</v>
      </c>
      <c r="D261" s="1" t="s">
        <v>94</v>
      </c>
      <c r="E261" s="1" t="s">
        <v>525</v>
      </c>
      <c r="F261" s="10">
        <v>46218</v>
      </c>
      <c r="G261" s="10">
        <v>46224</v>
      </c>
      <c r="H261" s="11">
        <v>0</v>
      </c>
      <c r="J261" s="1">
        <v>333</v>
      </c>
      <c r="K261" s="1">
        <v>372</v>
      </c>
      <c r="L261" s="1" t="s">
        <v>149</v>
      </c>
      <c r="M261" s="1" t="s">
        <v>502</v>
      </c>
      <c r="N261" s="2">
        <v>46205</v>
      </c>
      <c r="P261" s="1" t="s">
        <v>489</v>
      </c>
      <c r="Q261" s="1" t="s">
        <v>146</v>
      </c>
      <c r="R261" s="1" t="s">
        <v>55</v>
      </c>
      <c r="S261" s="2">
        <v>46198</v>
      </c>
      <c r="T261" s="2">
        <v>46205</v>
      </c>
      <c r="V261" s="1">
        <v>0</v>
      </c>
      <c r="W261" s="1">
        <v>1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</row>
    <row r="262" spans="1:33" x14ac:dyDescent="0.25">
      <c r="A262" s="1">
        <v>372</v>
      </c>
      <c r="B262" s="1" t="s">
        <v>554</v>
      </c>
      <c r="C262" s="1" t="s">
        <v>553</v>
      </c>
      <c r="D262" s="1" t="s">
        <v>98</v>
      </c>
      <c r="E262" s="1" t="s">
        <v>53</v>
      </c>
      <c r="F262" s="10">
        <v>46224</v>
      </c>
      <c r="G262" s="10">
        <v>46225</v>
      </c>
      <c r="H262" s="11">
        <v>0</v>
      </c>
      <c r="J262" s="1">
        <v>371</v>
      </c>
      <c r="K262" s="1">
        <v>373</v>
      </c>
      <c r="L262" s="1" t="s">
        <v>149</v>
      </c>
      <c r="M262" s="1" t="s">
        <v>191</v>
      </c>
      <c r="N262" s="2">
        <v>46206</v>
      </c>
      <c r="P262" s="1" t="s">
        <v>489</v>
      </c>
      <c r="Q262" s="1" t="s">
        <v>151</v>
      </c>
      <c r="R262" s="1" t="s">
        <v>55</v>
      </c>
      <c r="S262" s="2">
        <v>46206</v>
      </c>
      <c r="T262" s="2">
        <v>46206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</row>
    <row r="263" spans="1:33" x14ac:dyDescent="0.25">
      <c r="A263" s="1">
        <v>373</v>
      </c>
      <c r="B263" s="1" t="s">
        <v>555</v>
      </c>
      <c r="C263" s="1" t="s">
        <v>553</v>
      </c>
      <c r="D263" s="1" t="s">
        <v>102</v>
      </c>
      <c r="E263" s="1" t="s">
        <v>53</v>
      </c>
      <c r="F263" s="10">
        <v>46225</v>
      </c>
      <c r="G263" s="10">
        <v>46226</v>
      </c>
      <c r="H263" s="11">
        <v>0</v>
      </c>
      <c r="J263" s="1">
        <v>372</v>
      </c>
      <c r="K263" s="1">
        <v>374</v>
      </c>
      <c r="L263" s="1" t="s">
        <v>149</v>
      </c>
      <c r="M263" s="1" t="s">
        <v>193</v>
      </c>
      <c r="N263" s="2">
        <v>46210</v>
      </c>
      <c r="P263" s="1" t="s">
        <v>489</v>
      </c>
      <c r="Q263" s="1" t="s">
        <v>151</v>
      </c>
      <c r="R263" s="1" t="s">
        <v>55</v>
      </c>
      <c r="S263" s="2">
        <v>46209</v>
      </c>
      <c r="T263" s="2">
        <v>46210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</row>
    <row r="264" spans="1:33" x14ac:dyDescent="0.25">
      <c r="A264" s="1">
        <v>374</v>
      </c>
      <c r="B264" s="1" t="s">
        <v>556</v>
      </c>
      <c r="C264" s="1" t="s">
        <v>553</v>
      </c>
      <c r="D264" s="1" t="s">
        <v>108</v>
      </c>
      <c r="E264" s="1" t="s">
        <v>53</v>
      </c>
      <c r="F264" s="10">
        <v>46226</v>
      </c>
      <c r="G264" s="10">
        <v>46227</v>
      </c>
      <c r="H264" s="11">
        <v>0</v>
      </c>
      <c r="J264" s="1">
        <v>373</v>
      </c>
      <c r="L264" s="1" t="s">
        <v>149</v>
      </c>
      <c r="M264" s="1" t="s">
        <v>195</v>
      </c>
      <c r="N264" s="2">
        <v>46211</v>
      </c>
      <c r="P264" s="1" t="s">
        <v>489</v>
      </c>
      <c r="Q264" s="1" t="s">
        <v>511</v>
      </c>
      <c r="R264" s="1" t="s">
        <v>55</v>
      </c>
      <c r="S264" s="2">
        <v>46211</v>
      </c>
      <c r="T264" s="2">
        <v>46211</v>
      </c>
      <c r="V264" s="1">
        <v>0</v>
      </c>
      <c r="W264" s="1">
        <v>0</v>
      </c>
      <c r="X264" s="1">
        <v>0</v>
      </c>
      <c r="Y264" s="1">
        <v>0</v>
      </c>
      <c r="Z264" s="1">
        <v>1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</row>
    <row r="265" spans="1:33" x14ac:dyDescent="0.25">
      <c r="A265" s="1">
        <v>375</v>
      </c>
      <c r="B265" s="1" t="s">
        <v>557</v>
      </c>
      <c r="C265" s="1" t="s">
        <v>491</v>
      </c>
      <c r="D265" s="1" t="s">
        <v>558</v>
      </c>
      <c r="E265" s="1" t="s">
        <v>172</v>
      </c>
      <c r="F265" s="10">
        <v>46218</v>
      </c>
      <c r="G265" s="10">
        <v>46227</v>
      </c>
      <c r="H265" s="11">
        <v>0</v>
      </c>
      <c r="L265" s="1" t="s">
        <v>149</v>
      </c>
      <c r="M265" s="1" t="s">
        <v>502</v>
      </c>
      <c r="N265" s="2">
        <v>46211</v>
      </c>
      <c r="P265" s="1" t="s">
        <v>489</v>
      </c>
      <c r="Q265" s="1" t="s">
        <v>146</v>
      </c>
      <c r="R265" s="1" t="s">
        <v>55</v>
      </c>
      <c r="S265" s="2">
        <v>46198</v>
      </c>
      <c r="T265" s="2">
        <v>46211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</row>
    <row r="266" spans="1:33" x14ac:dyDescent="0.25">
      <c r="A266" s="1">
        <v>376</v>
      </c>
      <c r="B266" s="1" t="s">
        <v>559</v>
      </c>
      <c r="C266" s="1" t="s">
        <v>560</v>
      </c>
      <c r="D266" s="1" t="s">
        <v>94</v>
      </c>
      <c r="E266" s="1" t="s">
        <v>525</v>
      </c>
      <c r="F266" s="10">
        <v>46218</v>
      </c>
      <c r="G266" s="10">
        <v>46224</v>
      </c>
      <c r="H266" s="11">
        <v>0</v>
      </c>
      <c r="J266" s="1">
        <v>333</v>
      </c>
      <c r="K266" s="1">
        <v>377</v>
      </c>
      <c r="L266" s="1" t="s">
        <v>149</v>
      </c>
      <c r="M266" s="1" t="s">
        <v>502</v>
      </c>
      <c r="N266" s="2">
        <v>46205</v>
      </c>
      <c r="P266" s="1" t="s">
        <v>489</v>
      </c>
      <c r="Q266" s="1" t="s">
        <v>146</v>
      </c>
      <c r="R266" s="1" t="s">
        <v>55</v>
      </c>
      <c r="S266" s="2">
        <v>46198</v>
      </c>
      <c r="T266" s="2">
        <v>46205</v>
      </c>
      <c r="V266" s="1">
        <v>0</v>
      </c>
      <c r="W266" s="1">
        <v>1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</row>
    <row r="267" spans="1:33" x14ac:dyDescent="0.25">
      <c r="A267" s="1">
        <v>377</v>
      </c>
      <c r="B267" s="1" t="s">
        <v>561</v>
      </c>
      <c r="C267" s="1" t="s">
        <v>560</v>
      </c>
      <c r="D267" s="1" t="s">
        <v>98</v>
      </c>
      <c r="E267" s="1" t="s">
        <v>53</v>
      </c>
      <c r="F267" s="10">
        <v>46224</v>
      </c>
      <c r="G267" s="10">
        <v>46225</v>
      </c>
      <c r="H267" s="11">
        <v>0</v>
      </c>
      <c r="J267" s="1">
        <v>376</v>
      </c>
      <c r="K267" s="1">
        <v>378</v>
      </c>
      <c r="L267" s="1" t="s">
        <v>149</v>
      </c>
      <c r="M267" s="1" t="s">
        <v>191</v>
      </c>
      <c r="N267" s="2">
        <v>46206</v>
      </c>
      <c r="P267" s="1" t="s">
        <v>489</v>
      </c>
      <c r="Q267" s="1" t="s">
        <v>151</v>
      </c>
      <c r="R267" s="1" t="s">
        <v>55</v>
      </c>
      <c r="S267" s="2">
        <v>46206</v>
      </c>
      <c r="T267" s="2">
        <v>46206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</row>
    <row r="268" spans="1:33" x14ac:dyDescent="0.25">
      <c r="A268" s="1">
        <v>378</v>
      </c>
      <c r="B268" s="1" t="s">
        <v>562</v>
      </c>
      <c r="C268" s="1" t="s">
        <v>560</v>
      </c>
      <c r="D268" s="1" t="s">
        <v>102</v>
      </c>
      <c r="E268" s="1" t="s">
        <v>53</v>
      </c>
      <c r="F268" s="10">
        <v>46225</v>
      </c>
      <c r="G268" s="10">
        <v>46226</v>
      </c>
      <c r="H268" s="11">
        <v>0</v>
      </c>
      <c r="J268" s="1">
        <v>377</v>
      </c>
      <c r="K268" s="1">
        <v>379</v>
      </c>
      <c r="L268" s="1" t="s">
        <v>149</v>
      </c>
      <c r="M268" s="1" t="s">
        <v>193</v>
      </c>
      <c r="N268" s="2">
        <v>46210</v>
      </c>
      <c r="P268" s="1" t="s">
        <v>489</v>
      </c>
      <c r="Q268" s="1" t="s">
        <v>151</v>
      </c>
      <c r="R268" s="1" t="s">
        <v>55</v>
      </c>
      <c r="S268" s="2">
        <v>46209</v>
      </c>
      <c r="T268" s="2">
        <v>46210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</row>
    <row r="269" spans="1:33" x14ac:dyDescent="0.25">
      <c r="A269" s="1">
        <v>379</v>
      </c>
      <c r="B269" s="1" t="s">
        <v>563</v>
      </c>
      <c r="C269" s="1" t="s">
        <v>560</v>
      </c>
      <c r="D269" s="1" t="s">
        <v>108</v>
      </c>
      <c r="E269" s="1" t="s">
        <v>53</v>
      </c>
      <c r="F269" s="10">
        <v>46226</v>
      </c>
      <c r="G269" s="10">
        <v>46227</v>
      </c>
      <c r="H269" s="11">
        <v>0</v>
      </c>
      <c r="J269" s="1">
        <v>378</v>
      </c>
      <c r="L269" s="1" t="s">
        <v>149</v>
      </c>
      <c r="M269" s="1" t="s">
        <v>195</v>
      </c>
      <c r="N269" s="2">
        <v>46211</v>
      </c>
      <c r="P269" s="1" t="s">
        <v>489</v>
      </c>
      <c r="Q269" s="1" t="s">
        <v>511</v>
      </c>
      <c r="R269" s="1" t="s">
        <v>55</v>
      </c>
      <c r="S269" s="2">
        <v>46211</v>
      </c>
      <c r="T269" s="2">
        <v>46211</v>
      </c>
      <c r="V269" s="1">
        <v>0</v>
      </c>
      <c r="W269" s="1">
        <v>0</v>
      </c>
      <c r="X269" s="1">
        <v>0</v>
      </c>
      <c r="Y269" s="1">
        <v>0</v>
      </c>
      <c r="Z269" s="1">
        <v>1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</row>
    <row r="270" spans="1:33" x14ac:dyDescent="0.25">
      <c r="A270" s="1">
        <v>380</v>
      </c>
      <c r="B270" s="1" t="s">
        <v>564</v>
      </c>
      <c r="C270" s="1" t="s">
        <v>491</v>
      </c>
      <c r="D270" s="1" t="s">
        <v>565</v>
      </c>
      <c r="E270" s="1" t="s">
        <v>172</v>
      </c>
      <c r="F270" s="10">
        <v>46218</v>
      </c>
      <c r="G270" s="10">
        <v>46227</v>
      </c>
      <c r="H270" s="11">
        <v>0</v>
      </c>
      <c r="L270" s="1" t="s">
        <v>149</v>
      </c>
      <c r="M270" s="1" t="s">
        <v>502</v>
      </c>
      <c r="N270" s="2">
        <v>46211</v>
      </c>
      <c r="P270" s="1" t="s">
        <v>489</v>
      </c>
      <c r="Q270" s="1" t="s">
        <v>146</v>
      </c>
      <c r="R270" s="1" t="s">
        <v>55</v>
      </c>
      <c r="S270" s="2">
        <v>46198</v>
      </c>
      <c r="T270" s="2">
        <v>46211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</row>
    <row r="271" spans="1:33" x14ac:dyDescent="0.25">
      <c r="A271" s="1">
        <v>381</v>
      </c>
      <c r="B271" s="1" t="s">
        <v>566</v>
      </c>
      <c r="C271" s="1" t="s">
        <v>567</v>
      </c>
      <c r="D271" s="1" t="s">
        <v>94</v>
      </c>
      <c r="E271" s="1" t="s">
        <v>525</v>
      </c>
      <c r="F271" s="10">
        <v>46218</v>
      </c>
      <c r="G271" s="10">
        <v>46224</v>
      </c>
      <c r="H271" s="11">
        <v>0</v>
      </c>
      <c r="J271" s="1">
        <v>333</v>
      </c>
      <c r="K271" s="1">
        <v>382</v>
      </c>
      <c r="L271" s="1" t="s">
        <v>149</v>
      </c>
      <c r="M271" s="1" t="s">
        <v>502</v>
      </c>
      <c r="N271" s="2">
        <v>46205</v>
      </c>
      <c r="P271" s="1" t="s">
        <v>489</v>
      </c>
      <c r="Q271" s="1" t="s">
        <v>146</v>
      </c>
      <c r="R271" s="1" t="s">
        <v>55</v>
      </c>
      <c r="S271" s="2">
        <v>46198</v>
      </c>
      <c r="T271" s="2">
        <v>46205</v>
      </c>
      <c r="V271" s="1">
        <v>0</v>
      </c>
      <c r="W271" s="1">
        <v>1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</row>
    <row r="272" spans="1:33" x14ac:dyDescent="0.25">
      <c r="A272" s="1">
        <v>382</v>
      </c>
      <c r="B272" s="1" t="s">
        <v>568</v>
      </c>
      <c r="C272" s="1" t="s">
        <v>567</v>
      </c>
      <c r="D272" s="1" t="s">
        <v>98</v>
      </c>
      <c r="E272" s="1" t="s">
        <v>53</v>
      </c>
      <c r="F272" s="10">
        <v>46224</v>
      </c>
      <c r="G272" s="10">
        <v>46225</v>
      </c>
      <c r="H272" s="11">
        <v>0</v>
      </c>
      <c r="J272" s="1">
        <v>381</v>
      </c>
      <c r="K272" s="1">
        <v>383</v>
      </c>
      <c r="L272" s="1" t="s">
        <v>149</v>
      </c>
      <c r="M272" s="1" t="s">
        <v>191</v>
      </c>
      <c r="N272" s="2">
        <v>46206</v>
      </c>
      <c r="P272" s="1" t="s">
        <v>489</v>
      </c>
      <c r="Q272" s="1" t="s">
        <v>151</v>
      </c>
      <c r="R272" s="1" t="s">
        <v>55</v>
      </c>
      <c r="S272" s="2">
        <v>46206</v>
      </c>
      <c r="T272" s="2">
        <v>46206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</row>
    <row r="273" spans="1:33" x14ac:dyDescent="0.25">
      <c r="A273" s="1">
        <v>383</v>
      </c>
      <c r="B273" s="1" t="s">
        <v>569</v>
      </c>
      <c r="C273" s="1" t="s">
        <v>567</v>
      </c>
      <c r="D273" s="1" t="s">
        <v>102</v>
      </c>
      <c r="E273" s="1" t="s">
        <v>53</v>
      </c>
      <c r="F273" s="10">
        <v>46225</v>
      </c>
      <c r="G273" s="10">
        <v>46226</v>
      </c>
      <c r="H273" s="11">
        <v>0</v>
      </c>
      <c r="J273" s="1">
        <v>382</v>
      </c>
      <c r="K273" s="1">
        <v>384</v>
      </c>
      <c r="L273" s="1" t="s">
        <v>149</v>
      </c>
      <c r="M273" s="1" t="s">
        <v>193</v>
      </c>
      <c r="N273" s="2">
        <v>46210</v>
      </c>
      <c r="P273" s="1" t="s">
        <v>489</v>
      </c>
      <c r="Q273" s="1" t="s">
        <v>151</v>
      </c>
      <c r="R273" s="1" t="s">
        <v>55</v>
      </c>
      <c r="S273" s="2">
        <v>46209</v>
      </c>
      <c r="T273" s="2">
        <v>46210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</row>
    <row r="274" spans="1:33" x14ac:dyDescent="0.25">
      <c r="A274" s="1">
        <v>384</v>
      </c>
      <c r="B274" s="1" t="s">
        <v>570</v>
      </c>
      <c r="C274" s="1" t="s">
        <v>567</v>
      </c>
      <c r="D274" s="1" t="s">
        <v>108</v>
      </c>
      <c r="E274" s="1" t="s">
        <v>53</v>
      </c>
      <c r="F274" s="10">
        <v>46226</v>
      </c>
      <c r="G274" s="10">
        <v>46227</v>
      </c>
      <c r="H274" s="11">
        <v>0</v>
      </c>
      <c r="J274" s="1">
        <v>383</v>
      </c>
      <c r="L274" s="1" t="s">
        <v>149</v>
      </c>
      <c r="M274" s="1" t="s">
        <v>195</v>
      </c>
      <c r="N274" s="2">
        <v>46211</v>
      </c>
      <c r="P274" s="1" t="s">
        <v>489</v>
      </c>
      <c r="Q274" s="1" t="s">
        <v>511</v>
      </c>
      <c r="R274" s="1" t="s">
        <v>55</v>
      </c>
      <c r="S274" s="2">
        <v>46211</v>
      </c>
      <c r="T274" s="2">
        <v>46211</v>
      </c>
      <c r="V274" s="1">
        <v>0</v>
      </c>
      <c r="W274" s="1">
        <v>0</v>
      </c>
      <c r="X274" s="1">
        <v>0</v>
      </c>
      <c r="Y274" s="1">
        <v>0</v>
      </c>
      <c r="Z274" s="1">
        <v>1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</row>
    <row r="275" spans="1:33" x14ac:dyDescent="0.25">
      <c r="A275" s="1">
        <v>385</v>
      </c>
      <c r="B275" s="1" t="s">
        <v>571</v>
      </c>
      <c r="C275" s="1" t="s">
        <v>491</v>
      </c>
      <c r="D275" s="1" t="s">
        <v>572</v>
      </c>
      <c r="E275" s="1" t="s">
        <v>172</v>
      </c>
      <c r="F275" s="10">
        <v>46218</v>
      </c>
      <c r="G275" s="10">
        <v>46227</v>
      </c>
      <c r="H275" s="11">
        <v>0</v>
      </c>
      <c r="L275" s="1" t="s">
        <v>149</v>
      </c>
      <c r="M275" s="1" t="s">
        <v>502</v>
      </c>
      <c r="N275" s="2">
        <v>46211</v>
      </c>
      <c r="P275" s="1" t="s">
        <v>489</v>
      </c>
      <c r="Q275" s="1" t="s">
        <v>146</v>
      </c>
      <c r="R275" s="1" t="s">
        <v>55</v>
      </c>
      <c r="S275" s="2">
        <v>46198</v>
      </c>
      <c r="T275" s="2">
        <v>46211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</row>
    <row r="276" spans="1:33" x14ac:dyDescent="0.25">
      <c r="A276" s="1">
        <v>386</v>
      </c>
      <c r="B276" s="1" t="s">
        <v>573</v>
      </c>
      <c r="C276" s="1" t="s">
        <v>574</v>
      </c>
      <c r="D276" s="1" t="s">
        <v>94</v>
      </c>
      <c r="E276" s="1" t="s">
        <v>525</v>
      </c>
      <c r="F276" s="10">
        <v>46218</v>
      </c>
      <c r="G276" s="10">
        <v>46224</v>
      </c>
      <c r="H276" s="11">
        <v>0</v>
      </c>
      <c r="J276" s="1">
        <v>333</v>
      </c>
      <c r="K276" s="1">
        <v>387</v>
      </c>
      <c r="L276" s="1" t="s">
        <v>149</v>
      </c>
      <c r="M276" s="1" t="s">
        <v>502</v>
      </c>
      <c r="N276" s="2">
        <v>46205</v>
      </c>
      <c r="P276" s="1" t="s">
        <v>489</v>
      </c>
      <c r="Q276" s="1" t="s">
        <v>146</v>
      </c>
      <c r="R276" s="1" t="s">
        <v>55</v>
      </c>
      <c r="S276" s="2">
        <v>46198</v>
      </c>
      <c r="T276" s="2">
        <v>46205</v>
      </c>
      <c r="V276" s="1">
        <v>0</v>
      </c>
      <c r="W276" s="1">
        <v>1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</row>
    <row r="277" spans="1:33" x14ac:dyDescent="0.25">
      <c r="A277" s="1">
        <v>387</v>
      </c>
      <c r="B277" s="1" t="s">
        <v>575</v>
      </c>
      <c r="C277" s="1" t="s">
        <v>574</v>
      </c>
      <c r="D277" s="1" t="s">
        <v>98</v>
      </c>
      <c r="E277" s="1" t="s">
        <v>53</v>
      </c>
      <c r="F277" s="10">
        <v>46224</v>
      </c>
      <c r="G277" s="10">
        <v>46225</v>
      </c>
      <c r="H277" s="11">
        <v>0</v>
      </c>
      <c r="J277" s="1">
        <v>386</v>
      </c>
      <c r="K277" s="1">
        <v>388</v>
      </c>
      <c r="L277" s="1" t="s">
        <v>149</v>
      </c>
      <c r="M277" s="1" t="s">
        <v>191</v>
      </c>
      <c r="N277" s="2">
        <v>46206</v>
      </c>
      <c r="P277" s="1" t="s">
        <v>489</v>
      </c>
      <c r="Q277" s="1" t="s">
        <v>151</v>
      </c>
      <c r="R277" s="1" t="s">
        <v>55</v>
      </c>
      <c r="S277" s="2">
        <v>46206</v>
      </c>
      <c r="T277" s="2">
        <v>46206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</row>
    <row r="278" spans="1:33" x14ac:dyDescent="0.25">
      <c r="A278" s="1">
        <v>388</v>
      </c>
      <c r="B278" s="1" t="s">
        <v>576</v>
      </c>
      <c r="C278" s="1" t="s">
        <v>574</v>
      </c>
      <c r="D278" s="1" t="s">
        <v>102</v>
      </c>
      <c r="E278" s="1" t="s">
        <v>53</v>
      </c>
      <c r="F278" s="10">
        <v>46225</v>
      </c>
      <c r="G278" s="10">
        <v>46226</v>
      </c>
      <c r="H278" s="11">
        <v>0</v>
      </c>
      <c r="J278" s="1">
        <v>387</v>
      </c>
      <c r="K278" s="1">
        <v>389</v>
      </c>
      <c r="L278" s="1" t="s">
        <v>149</v>
      </c>
      <c r="M278" s="1" t="s">
        <v>193</v>
      </c>
      <c r="N278" s="2">
        <v>46210</v>
      </c>
      <c r="P278" s="1" t="s">
        <v>489</v>
      </c>
      <c r="Q278" s="1" t="s">
        <v>151</v>
      </c>
      <c r="R278" s="1" t="s">
        <v>55</v>
      </c>
      <c r="S278" s="2">
        <v>46209</v>
      </c>
      <c r="T278" s="2">
        <v>46210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</row>
    <row r="279" spans="1:33" x14ac:dyDescent="0.25">
      <c r="A279" s="1">
        <v>389</v>
      </c>
      <c r="B279" s="1" t="s">
        <v>577</v>
      </c>
      <c r="C279" s="1" t="s">
        <v>574</v>
      </c>
      <c r="D279" s="1" t="s">
        <v>108</v>
      </c>
      <c r="E279" s="1" t="s">
        <v>53</v>
      </c>
      <c r="F279" s="10">
        <v>46226</v>
      </c>
      <c r="G279" s="10">
        <v>46227</v>
      </c>
      <c r="H279" s="11">
        <v>0</v>
      </c>
      <c r="J279" s="1">
        <v>388</v>
      </c>
      <c r="L279" s="1" t="s">
        <v>149</v>
      </c>
      <c r="M279" s="1" t="s">
        <v>195</v>
      </c>
      <c r="N279" s="2">
        <v>46211</v>
      </c>
      <c r="P279" s="1" t="s">
        <v>489</v>
      </c>
      <c r="Q279" s="1" t="s">
        <v>511</v>
      </c>
      <c r="R279" s="1" t="s">
        <v>55</v>
      </c>
      <c r="S279" s="2">
        <v>46211</v>
      </c>
      <c r="T279" s="2">
        <v>46211</v>
      </c>
      <c r="V279" s="1">
        <v>0</v>
      </c>
      <c r="W279" s="1">
        <v>0</v>
      </c>
      <c r="X279" s="1">
        <v>0</v>
      </c>
      <c r="Y279" s="1">
        <v>0</v>
      </c>
      <c r="Z279" s="1">
        <v>1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</row>
    <row r="280" spans="1:33" x14ac:dyDescent="0.25">
      <c r="A280" s="1">
        <v>390</v>
      </c>
      <c r="B280" s="1" t="s">
        <v>578</v>
      </c>
      <c r="C280" s="1" t="s">
        <v>491</v>
      </c>
      <c r="D280" s="1" t="s">
        <v>579</v>
      </c>
      <c r="E280" s="1" t="s">
        <v>172</v>
      </c>
      <c r="F280" s="10">
        <v>46218</v>
      </c>
      <c r="G280" s="10">
        <v>46227</v>
      </c>
      <c r="H280" s="11">
        <v>0</v>
      </c>
      <c r="L280" s="1" t="s">
        <v>149</v>
      </c>
      <c r="M280" s="1" t="s">
        <v>502</v>
      </c>
      <c r="N280" s="2">
        <v>46211</v>
      </c>
      <c r="P280" s="1" t="s">
        <v>489</v>
      </c>
      <c r="Q280" s="1" t="s">
        <v>146</v>
      </c>
      <c r="R280" s="1" t="s">
        <v>55</v>
      </c>
      <c r="S280" s="2">
        <v>46198</v>
      </c>
      <c r="T280" s="2">
        <v>46211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</row>
    <row r="281" spans="1:33" x14ac:dyDescent="0.25">
      <c r="A281" s="1">
        <v>391</v>
      </c>
      <c r="B281" s="1" t="s">
        <v>580</v>
      </c>
      <c r="C281" s="1" t="s">
        <v>581</v>
      </c>
      <c r="D281" s="1" t="s">
        <v>94</v>
      </c>
      <c r="E281" s="1" t="s">
        <v>525</v>
      </c>
      <c r="F281" s="10">
        <v>46218</v>
      </c>
      <c r="G281" s="10">
        <v>46224</v>
      </c>
      <c r="H281" s="11">
        <v>0</v>
      </c>
      <c r="J281" s="1">
        <v>333</v>
      </c>
      <c r="K281" s="1">
        <v>392</v>
      </c>
      <c r="L281" s="1" t="s">
        <v>149</v>
      </c>
      <c r="M281" s="1" t="s">
        <v>502</v>
      </c>
      <c r="N281" s="2">
        <v>46205</v>
      </c>
      <c r="P281" s="1" t="s">
        <v>489</v>
      </c>
      <c r="Q281" s="1" t="s">
        <v>146</v>
      </c>
      <c r="R281" s="1" t="s">
        <v>55</v>
      </c>
      <c r="S281" s="2">
        <v>46198</v>
      </c>
      <c r="T281" s="2">
        <v>46205</v>
      </c>
      <c r="V281" s="1">
        <v>0</v>
      </c>
      <c r="W281" s="1">
        <v>1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</row>
    <row r="282" spans="1:33" x14ac:dyDescent="0.25">
      <c r="A282" s="1">
        <v>392</v>
      </c>
      <c r="B282" s="1" t="s">
        <v>582</v>
      </c>
      <c r="C282" s="1" t="s">
        <v>581</v>
      </c>
      <c r="D282" s="1" t="s">
        <v>98</v>
      </c>
      <c r="E282" s="1" t="s">
        <v>53</v>
      </c>
      <c r="F282" s="10">
        <v>46224</v>
      </c>
      <c r="G282" s="10">
        <v>46225</v>
      </c>
      <c r="H282" s="11">
        <v>0</v>
      </c>
      <c r="J282" s="1">
        <v>391</v>
      </c>
      <c r="K282" s="1">
        <v>393</v>
      </c>
      <c r="L282" s="1" t="s">
        <v>149</v>
      </c>
      <c r="M282" s="1" t="s">
        <v>191</v>
      </c>
      <c r="N282" s="2">
        <v>46206</v>
      </c>
      <c r="P282" s="1" t="s">
        <v>489</v>
      </c>
      <c r="Q282" s="1" t="s">
        <v>151</v>
      </c>
      <c r="R282" s="1" t="s">
        <v>55</v>
      </c>
      <c r="S282" s="2">
        <v>46206</v>
      </c>
      <c r="T282" s="2">
        <v>46206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</row>
    <row r="283" spans="1:33" x14ac:dyDescent="0.25">
      <c r="A283" s="1">
        <v>393</v>
      </c>
      <c r="B283" s="1" t="s">
        <v>583</v>
      </c>
      <c r="C283" s="1" t="s">
        <v>581</v>
      </c>
      <c r="D283" s="1" t="s">
        <v>102</v>
      </c>
      <c r="E283" s="1" t="s">
        <v>53</v>
      </c>
      <c r="F283" s="10">
        <v>46225</v>
      </c>
      <c r="G283" s="10">
        <v>46226</v>
      </c>
      <c r="H283" s="11">
        <v>0</v>
      </c>
      <c r="J283" s="1">
        <v>392</v>
      </c>
      <c r="K283" s="1">
        <v>394</v>
      </c>
      <c r="L283" s="1" t="s">
        <v>149</v>
      </c>
      <c r="M283" s="1" t="s">
        <v>193</v>
      </c>
      <c r="N283" s="2">
        <v>46210</v>
      </c>
      <c r="P283" s="1" t="s">
        <v>489</v>
      </c>
      <c r="Q283" s="1" t="s">
        <v>151</v>
      </c>
      <c r="R283" s="1" t="s">
        <v>55</v>
      </c>
      <c r="S283" s="2">
        <v>46209</v>
      </c>
      <c r="T283" s="2">
        <v>46210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</row>
    <row r="284" spans="1:33" x14ac:dyDescent="0.25">
      <c r="A284" s="1">
        <v>394</v>
      </c>
      <c r="B284" s="1" t="s">
        <v>584</v>
      </c>
      <c r="C284" s="1" t="s">
        <v>581</v>
      </c>
      <c r="D284" s="1" t="s">
        <v>108</v>
      </c>
      <c r="E284" s="1" t="s">
        <v>53</v>
      </c>
      <c r="F284" s="10">
        <v>46226</v>
      </c>
      <c r="G284" s="10">
        <v>46227</v>
      </c>
      <c r="H284" s="11">
        <v>0</v>
      </c>
      <c r="J284" s="1">
        <v>393</v>
      </c>
      <c r="L284" s="1" t="s">
        <v>149</v>
      </c>
      <c r="M284" s="1" t="s">
        <v>195</v>
      </c>
      <c r="N284" s="2">
        <v>46211</v>
      </c>
      <c r="P284" s="1" t="s">
        <v>489</v>
      </c>
      <c r="Q284" s="1" t="s">
        <v>511</v>
      </c>
      <c r="R284" s="1" t="s">
        <v>55</v>
      </c>
      <c r="S284" s="2">
        <v>46211</v>
      </c>
      <c r="T284" s="2">
        <v>46211</v>
      </c>
      <c r="V284" s="1">
        <v>0</v>
      </c>
      <c r="W284" s="1">
        <v>0</v>
      </c>
      <c r="X284" s="1">
        <v>0</v>
      </c>
      <c r="Y284" s="1">
        <v>0</v>
      </c>
      <c r="Z284" s="1">
        <v>1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</row>
    <row r="285" spans="1:33" x14ac:dyDescent="0.25">
      <c r="A285" s="1">
        <v>395</v>
      </c>
      <c r="B285" s="1" t="s">
        <v>585</v>
      </c>
      <c r="C285" s="1" t="s">
        <v>491</v>
      </c>
      <c r="D285" s="1" t="s">
        <v>586</v>
      </c>
      <c r="E285" s="1" t="s">
        <v>172</v>
      </c>
      <c r="F285" s="10">
        <v>46218</v>
      </c>
      <c r="G285" s="10">
        <v>46227</v>
      </c>
      <c r="H285" s="11">
        <v>0</v>
      </c>
      <c r="L285" s="1" t="s">
        <v>149</v>
      </c>
      <c r="M285" s="1" t="s">
        <v>502</v>
      </c>
      <c r="N285" s="2">
        <v>46211</v>
      </c>
      <c r="P285" s="1" t="s">
        <v>489</v>
      </c>
      <c r="Q285" s="1" t="s">
        <v>146</v>
      </c>
      <c r="R285" s="1" t="s">
        <v>55</v>
      </c>
      <c r="S285" s="2">
        <v>46198</v>
      </c>
      <c r="T285" s="2">
        <v>46211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</row>
    <row r="286" spans="1:33" x14ac:dyDescent="0.25">
      <c r="A286" s="1">
        <v>396</v>
      </c>
      <c r="B286" s="1" t="s">
        <v>587</v>
      </c>
      <c r="C286" s="1" t="s">
        <v>588</v>
      </c>
      <c r="D286" s="1" t="s">
        <v>94</v>
      </c>
      <c r="E286" s="1" t="s">
        <v>525</v>
      </c>
      <c r="F286" s="10">
        <v>46218</v>
      </c>
      <c r="G286" s="10">
        <v>46224</v>
      </c>
      <c r="H286" s="11">
        <v>0</v>
      </c>
      <c r="J286" s="1">
        <v>333</v>
      </c>
      <c r="K286" s="1">
        <v>397</v>
      </c>
      <c r="L286" s="1" t="s">
        <v>149</v>
      </c>
      <c r="M286" s="1" t="s">
        <v>502</v>
      </c>
      <c r="N286" s="2">
        <v>46205</v>
      </c>
      <c r="P286" s="1" t="s">
        <v>489</v>
      </c>
      <c r="Q286" s="1" t="s">
        <v>146</v>
      </c>
      <c r="R286" s="1" t="s">
        <v>55</v>
      </c>
      <c r="S286" s="2">
        <v>46198</v>
      </c>
      <c r="T286" s="2">
        <v>46205</v>
      </c>
      <c r="V286" s="1">
        <v>0</v>
      </c>
      <c r="W286" s="1">
        <v>1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</row>
    <row r="287" spans="1:33" x14ac:dyDescent="0.25">
      <c r="A287" s="1">
        <v>397</v>
      </c>
      <c r="B287" s="1" t="s">
        <v>589</v>
      </c>
      <c r="C287" s="1" t="s">
        <v>588</v>
      </c>
      <c r="D287" s="1" t="s">
        <v>98</v>
      </c>
      <c r="E287" s="1" t="s">
        <v>53</v>
      </c>
      <c r="F287" s="10">
        <v>46224</v>
      </c>
      <c r="G287" s="10">
        <v>46225</v>
      </c>
      <c r="H287" s="11">
        <v>0</v>
      </c>
      <c r="J287" s="1">
        <v>396</v>
      </c>
      <c r="K287" s="1">
        <v>398</v>
      </c>
      <c r="L287" s="1" t="s">
        <v>149</v>
      </c>
      <c r="M287" s="1" t="s">
        <v>191</v>
      </c>
      <c r="N287" s="2">
        <v>46206</v>
      </c>
      <c r="P287" s="1" t="s">
        <v>489</v>
      </c>
      <c r="Q287" s="1" t="s">
        <v>151</v>
      </c>
      <c r="R287" s="1" t="s">
        <v>55</v>
      </c>
      <c r="S287" s="2">
        <v>46206</v>
      </c>
      <c r="T287" s="2">
        <v>46206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</row>
    <row r="288" spans="1:33" x14ac:dyDescent="0.25">
      <c r="A288" s="1">
        <v>398</v>
      </c>
      <c r="B288" s="1" t="s">
        <v>590</v>
      </c>
      <c r="C288" s="1" t="s">
        <v>588</v>
      </c>
      <c r="D288" s="1" t="s">
        <v>102</v>
      </c>
      <c r="E288" s="1" t="s">
        <v>53</v>
      </c>
      <c r="F288" s="10">
        <v>46225</v>
      </c>
      <c r="G288" s="10">
        <v>46226</v>
      </c>
      <c r="H288" s="11">
        <v>0</v>
      </c>
      <c r="J288" s="1">
        <v>397</v>
      </c>
      <c r="K288" s="1">
        <v>399</v>
      </c>
      <c r="L288" s="1" t="s">
        <v>149</v>
      </c>
      <c r="M288" s="1" t="s">
        <v>193</v>
      </c>
      <c r="N288" s="2">
        <v>46210</v>
      </c>
      <c r="P288" s="1" t="s">
        <v>489</v>
      </c>
      <c r="Q288" s="1" t="s">
        <v>151</v>
      </c>
      <c r="R288" s="1" t="s">
        <v>55</v>
      </c>
      <c r="S288" s="2">
        <v>46209</v>
      </c>
      <c r="T288" s="2">
        <v>46210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</row>
    <row r="289" spans="1:33" x14ac:dyDescent="0.25">
      <c r="A289" s="1">
        <v>399</v>
      </c>
      <c r="B289" s="1" t="s">
        <v>591</v>
      </c>
      <c r="C289" s="1" t="s">
        <v>588</v>
      </c>
      <c r="D289" s="1" t="s">
        <v>108</v>
      </c>
      <c r="E289" s="1" t="s">
        <v>53</v>
      </c>
      <c r="F289" s="10">
        <v>46226</v>
      </c>
      <c r="G289" s="10">
        <v>46227</v>
      </c>
      <c r="H289" s="11">
        <v>0</v>
      </c>
      <c r="J289" s="1">
        <v>398</v>
      </c>
      <c r="L289" s="1" t="s">
        <v>149</v>
      </c>
      <c r="M289" s="1" t="s">
        <v>195</v>
      </c>
      <c r="N289" s="2">
        <v>46211</v>
      </c>
      <c r="P289" s="1" t="s">
        <v>489</v>
      </c>
      <c r="Q289" s="1" t="s">
        <v>511</v>
      </c>
      <c r="R289" s="1" t="s">
        <v>55</v>
      </c>
      <c r="S289" s="2">
        <v>46211</v>
      </c>
      <c r="T289" s="2">
        <v>46211</v>
      </c>
      <c r="V289" s="1">
        <v>0</v>
      </c>
      <c r="W289" s="1">
        <v>0</v>
      </c>
      <c r="X289" s="1">
        <v>0</v>
      </c>
      <c r="Y289" s="1">
        <v>0</v>
      </c>
      <c r="Z289" s="1">
        <v>1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</row>
    <row r="290" spans="1:33" x14ac:dyDescent="0.25">
      <c r="A290" s="1">
        <v>400</v>
      </c>
      <c r="B290" s="1" t="s">
        <v>592</v>
      </c>
      <c r="C290" s="1" t="s">
        <v>491</v>
      </c>
      <c r="D290" s="1" t="s">
        <v>593</v>
      </c>
      <c r="E290" s="1" t="s">
        <v>594</v>
      </c>
      <c r="F290" s="10">
        <v>46210</v>
      </c>
      <c r="G290" s="10">
        <v>46223</v>
      </c>
      <c r="H290" s="11">
        <v>0</v>
      </c>
      <c r="L290" s="1" t="s">
        <v>180</v>
      </c>
      <c r="M290" s="1" t="s">
        <v>502</v>
      </c>
      <c r="N290" s="2">
        <v>46210</v>
      </c>
      <c r="P290" s="1" t="s">
        <v>489</v>
      </c>
      <c r="Q290" s="1" t="s">
        <v>146</v>
      </c>
      <c r="R290" s="1" t="s">
        <v>55</v>
      </c>
      <c r="S290" s="2">
        <v>46198</v>
      </c>
      <c r="T290" s="2">
        <v>46210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</row>
    <row r="291" spans="1:33" x14ac:dyDescent="0.25">
      <c r="A291" s="1">
        <v>401</v>
      </c>
      <c r="B291" s="1" t="s">
        <v>595</v>
      </c>
      <c r="C291" s="1" t="s">
        <v>596</v>
      </c>
      <c r="D291" s="1" t="s">
        <v>94</v>
      </c>
      <c r="E291" s="1" t="s">
        <v>597</v>
      </c>
      <c r="F291" s="10">
        <v>46210</v>
      </c>
      <c r="G291" s="10">
        <v>46218</v>
      </c>
      <c r="H291" s="11">
        <v>0</v>
      </c>
      <c r="J291" s="1" t="s">
        <v>598</v>
      </c>
      <c r="K291" s="1">
        <v>402</v>
      </c>
      <c r="L291" s="1" t="s">
        <v>180</v>
      </c>
      <c r="M291" s="1" t="s">
        <v>502</v>
      </c>
      <c r="N291" s="2">
        <v>46204</v>
      </c>
      <c r="P291" s="1" t="s">
        <v>489</v>
      </c>
      <c r="Q291" s="1" t="s">
        <v>146</v>
      </c>
      <c r="R291" s="1" t="s">
        <v>55</v>
      </c>
      <c r="S291" s="2">
        <v>46198</v>
      </c>
      <c r="T291" s="2">
        <v>46204</v>
      </c>
      <c r="V291" s="1">
        <v>0</v>
      </c>
      <c r="W291" s="1">
        <v>1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</row>
    <row r="292" spans="1:33" x14ac:dyDescent="0.25">
      <c r="A292" s="1">
        <v>402</v>
      </c>
      <c r="B292" s="1" t="s">
        <v>599</v>
      </c>
      <c r="C292" s="1" t="s">
        <v>596</v>
      </c>
      <c r="D292" s="1" t="s">
        <v>98</v>
      </c>
      <c r="E292" s="1" t="s">
        <v>53</v>
      </c>
      <c r="F292" s="10">
        <v>46219</v>
      </c>
      <c r="G292" s="10">
        <v>46219</v>
      </c>
      <c r="H292" s="11">
        <v>0</v>
      </c>
      <c r="J292" s="1">
        <v>401</v>
      </c>
      <c r="K292" s="1">
        <v>403</v>
      </c>
      <c r="L292" s="1" t="s">
        <v>149</v>
      </c>
      <c r="M292" s="1" t="s">
        <v>292</v>
      </c>
      <c r="N292" s="2">
        <v>46205</v>
      </c>
      <c r="P292" s="1" t="s">
        <v>489</v>
      </c>
      <c r="Q292" s="1" t="s">
        <v>151</v>
      </c>
      <c r="R292" s="1" t="s">
        <v>55</v>
      </c>
      <c r="S292" s="2">
        <v>46205</v>
      </c>
      <c r="T292" s="2">
        <v>46205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</row>
    <row r="293" spans="1:33" x14ac:dyDescent="0.25">
      <c r="A293" s="1">
        <v>403</v>
      </c>
      <c r="B293" s="1" t="s">
        <v>600</v>
      </c>
      <c r="C293" s="1" t="s">
        <v>596</v>
      </c>
      <c r="D293" s="1" t="s">
        <v>102</v>
      </c>
      <c r="E293" s="1" t="s">
        <v>53</v>
      </c>
      <c r="F293" s="10">
        <v>46220</v>
      </c>
      <c r="G293" s="10">
        <v>46220</v>
      </c>
      <c r="H293" s="11">
        <v>0</v>
      </c>
      <c r="J293" s="1">
        <v>402</v>
      </c>
      <c r="K293" s="1">
        <v>404</v>
      </c>
      <c r="L293" s="1" t="s">
        <v>149</v>
      </c>
      <c r="M293" s="1" t="s">
        <v>191</v>
      </c>
      <c r="N293" s="2">
        <v>46209</v>
      </c>
      <c r="P293" s="1" t="s">
        <v>489</v>
      </c>
      <c r="Q293" s="1" t="s">
        <v>151</v>
      </c>
      <c r="R293" s="1" t="s">
        <v>55</v>
      </c>
      <c r="S293" s="2">
        <v>46206</v>
      </c>
      <c r="T293" s="2">
        <v>46209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</row>
    <row r="294" spans="1:33" x14ac:dyDescent="0.25">
      <c r="A294" s="1">
        <v>404</v>
      </c>
      <c r="B294" s="1" t="s">
        <v>601</v>
      </c>
      <c r="C294" s="1" t="s">
        <v>596</v>
      </c>
      <c r="D294" s="1" t="s">
        <v>108</v>
      </c>
      <c r="E294" s="1" t="s">
        <v>53</v>
      </c>
      <c r="F294" s="10">
        <v>46223</v>
      </c>
      <c r="G294" s="10">
        <v>46223</v>
      </c>
      <c r="H294" s="11">
        <v>0</v>
      </c>
      <c r="J294" s="1">
        <v>403</v>
      </c>
      <c r="L294" s="1" t="s">
        <v>149</v>
      </c>
      <c r="M294" s="1" t="s">
        <v>295</v>
      </c>
      <c r="N294" s="2">
        <v>46210</v>
      </c>
      <c r="P294" s="1" t="s">
        <v>489</v>
      </c>
      <c r="Q294" s="1" t="s">
        <v>151</v>
      </c>
      <c r="R294" s="1" t="s">
        <v>55</v>
      </c>
      <c r="S294" s="2">
        <v>46210</v>
      </c>
      <c r="T294" s="2">
        <v>46210</v>
      </c>
      <c r="V294" s="1">
        <v>0</v>
      </c>
      <c r="W294" s="1">
        <v>0</v>
      </c>
      <c r="X294" s="1">
        <v>0</v>
      </c>
      <c r="Y294" s="1">
        <v>0</v>
      </c>
      <c r="Z294" s="1">
        <v>1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</row>
    <row r="295" spans="1:33" x14ac:dyDescent="0.25">
      <c r="A295" s="1">
        <v>405</v>
      </c>
      <c r="B295" s="1" t="s">
        <v>602</v>
      </c>
      <c r="C295" s="1" t="s">
        <v>73</v>
      </c>
      <c r="D295" s="1" t="s">
        <v>603</v>
      </c>
      <c r="E295" s="1" t="s">
        <v>604</v>
      </c>
      <c r="F295" s="10">
        <v>46170</v>
      </c>
      <c r="G295" s="10">
        <v>46210</v>
      </c>
      <c r="H295" s="11">
        <v>0.73</v>
      </c>
      <c r="L295" s="1" t="s">
        <v>35</v>
      </c>
      <c r="M295" s="1" t="s">
        <v>145</v>
      </c>
      <c r="N295" s="2">
        <v>46211</v>
      </c>
      <c r="P295" s="1" t="s">
        <v>605</v>
      </c>
      <c r="Q295" s="1" t="s">
        <v>110</v>
      </c>
      <c r="R295" s="1" t="s">
        <v>55</v>
      </c>
      <c r="S295" s="2">
        <v>46163</v>
      </c>
      <c r="T295" s="2">
        <v>46211</v>
      </c>
      <c r="V295" s="1">
        <v>0.73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</row>
    <row r="296" spans="1:33" x14ac:dyDescent="0.25">
      <c r="A296" s="1">
        <v>416</v>
      </c>
      <c r="B296" s="1" t="s">
        <v>606</v>
      </c>
      <c r="C296" s="1" t="s">
        <v>607</v>
      </c>
      <c r="D296" s="1" t="s">
        <v>608</v>
      </c>
      <c r="E296" s="1" t="s">
        <v>609</v>
      </c>
      <c r="F296" s="10">
        <v>46176</v>
      </c>
      <c r="G296" s="10">
        <v>46210</v>
      </c>
      <c r="H296" s="11">
        <v>0.7</v>
      </c>
      <c r="L296" s="1" t="s">
        <v>35</v>
      </c>
      <c r="M296" s="1" t="s">
        <v>168</v>
      </c>
      <c r="N296" s="2">
        <v>46176</v>
      </c>
      <c r="P296" s="1" t="s">
        <v>605</v>
      </c>
      <c r="Q296" s="1" t="s">
        <v>169</v>
      </c>
      <c r="R296" s="1" t="s">
        <v>55</v>
      </c>
      <c r="S296" s="2">
        <v>46168</v>
      </c>
      <c r="T296" s="2">
        <v>46176</v>
      </c>
      <c r="V296" s="1">
        <v>0.7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</row>
    <row r="297" spans="1:33" x14ac:dyDescent="0.25">
      <c r="A297" s="1">
        <v>417</v>
      </c>
      <c r="B297" s="1" t="s">
        <v>610</v>
      </c>
      <c r="C297" s="1" t="s">
        <v>611</v>
      </c>
      <c r="D297" s="1" t="s">
        <v>94</v>
      </c>
      <c r="E297" s="1" t="s">
        <v>121</v>
      </c>
      <c r="F297" s="10">
        <v>46176</v>
      </c>
      <c r="G297" s="10">
        <v>46181</v>
      </c>
      <c r="H297" s="11">
        <v>1</v>
      </c>
      <c r="I297" s="10">
        <v>46181</v>
      </c>
      <c r="J297" s="1" t="s">
        <v>612</v>
      </c>
      <c r="K297" s="1" t="s">
        <v>613</v>
      </c>
      <c r="L297" s="1" t="s">
        <v>59</v>
      </c>
      <c r="M297" s="1" t="s">
        <v>168</v>
      </c>
      <c r="N297" s="2">
        <v>46170</v>
      </c>
      <c r="P297" s="1" t="s">
        <v>605</v>
      </c>
      <c r="Q297" s="1" t="s">
        <v>169</v>
      </c>
      <c r="R297" s="1" t="s">
        <v>55</v>
      </c>
      <c r="S297" s="2">
        <v>46168</v>
      </c>
      <c r="T297" s="2">
        <v>46170</v>
      </c>
      <c r="V297" s="1">
        <v>1</v>
      </c>
      <c r="W297" s="1">
        <v>1</v>
      </c>
      <c r="X297" s="1">
        <v>1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1</v>
      </c>
    </row>
    <row r="298" spans="1:33" x14ac:dyDescent="0.25">
      <c r="A298" s="1">
        <v>418</v>
      </c>
      <c r="B298" s="1" t="s">
        <v>614</v>
      </c>
      <c r="C298" s="1" t="s">
        <v>611</v>
      </c>
      <c r="D298" s="1" t="s">
        <v>98</v>
      </c>
      <c r="E298" s="1" t="s">
        <v>53</v>
      </c>
      <c r="F298" s="10">
        <v>46182</v>
      </c>
      <c r="G298" s="10">
        <v>46182</v>
      </c>
      <c r="H298" s="11">
        <v>1</v>
      </c>
      <c r="I298" s="10">
        <v>46182</v>
      </c>
      <c r="J298" s="1">
        <v>417</v>
      </c>
      <c r="K298" s="1">
        <v>419</v>
      </c>
      <c r="L298" s="1" t="s">
        <v>59</v>
      </c>
      <c r="M298" s="1" t="s">
        <v>255</v>
      </c>
      <c r="N298" s="2">
        <v>46171</v>
      </c>
      <c r="P298" s="1" t="s">
        <v>605</v>
      </c>
      <c r="Q298" s="1" t="s">
        <v>65</v>
      </c>
      <c r="R298" s="1" t="s">
        <v>55</v>
      </c>
      <c r="S298" s="2">
        <v>46171</v>
      </c>
      <c r="T298" s="2">
        <v>46171</v>
      </c>
      <c r="V298" s="1">
        <v>1</v>
      </c>
      <c r="W298" s="1">
        <v>0</v>
      </c>
      <c r="X298" s="1">
        <v>0</v>
      </c>
      <c r="Y298" s="1">
        <v>0</v>
      </c>
      <c r="Z298" s="1">
        <v>0</v>
      </c>
      <c r="AA298" s="1">
        <v>1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</row>
    <row r="299" spans="1:33" x14ac:dyDescent="0.25">
      <c r="A299" s="1">
        <v>419</v>
      </c>
      <c r="B299" s="1" t="s">
        <v>615</v>
      </c>
      <c r="C299" s="1" t="s">
        <v>611</v>
      </c>
      <c r="D299" s="1" t="s">
        <v>102</v>
      </c>
      <c r="E299" s="1" t="s">
        <v>53</v>
      </c>
      <c r="F299" s="10">
        <v>46209</v>
      </c>
      <c r="G299" s="10">
        <v>46209</v>
      </c>
      <c r="H299" s="11">
        <v>0.5</v>
      </c>
      <c r="J299" s="1">
        <v>418</v>
      </c>
      <c r="K299" s="1">
        <v>420</v>
      </c>
      <c r="L299" s="1" t="s">
        <v>35</v>
      </c>
      <c r="M299" s="1" t="s">
        <v>320</v>
      </c>
      <c r="N299" s="2">
        <v>46175</v>
      </c>
      <c r="P299" s="1" t="s">
        <v>605</v>
      </c>
      <c r="Q299" s="1" t="s">
        <v>65</v>
      </c>
      <c r="R299" s="1" t="s">
        <v>55</v>
      </c>
      <c r="S299" s="2">
        <v>46174</v>
      </c>
      <c r="T299" s="2">
        <v>46175</v>
      </c>
      <c r="V299" s="1">
        <v>0.5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1</v>
      </c>
      <c r="AE299" s="1">
        <v>0</v>
      </c>
      <c r="AF299" s="1">
        <v>0</v>
      </c>
      <c r="AG299" s="1">
        <v>0</v>
      </c>
    </row>
    <row r="300" spans="1:33" x14ac:dyDescent="0.25">
      <c r="A300" s="1">
        <v>420</v>
      </c>
      <c r="B300" s="1" t="s">
        <v>616</v>
      </c>
      <c r="C300" s="1" t="s">
        <v>611</v>
      </c>
      <c r="D300" s="1" t="s">
        <v>108</v>
      </c>
      <c r="E300" s="1" t="s">
        <v>53</v>
      </c>
      <c r="F300" s="10">
        <v>46210</v>
      </c>
      <c r="G300" s="10">
        <v>46210</v>
      </c>
      <c r="H300" s="11">
        <v>0</v>
      </c>
      <c r="J300" s="1">
        <v>419</v>
      </c>
      <c r="L300" s="1" t="s">
        <v>180</v>
      </c>
      <c r="M300" s="1" t="s">
        <v>181</v>
      </c>
      <c r="N300" s="2">
        <v>46176</v>
      </c>
      <c r="P300" s="1" t="s">
        <v>605</v>
      </c>
      <c r="Q300" s="1" t="s">
        <v>65</v>
      </c>
      <c r="R300" s="1" t="s">
        <v>55</v>
      </c>
      <c r="S300" s="2">
        <v>46176</v>
      </c>
      <c r="T300" s="2">
        <v>46176</v>
      </c>
      <c r="V300" s="1">
        <v>0</v>
      </c>
      <c r="W300" s="1">
        <v>0</v>
      </c>
      <c r="X300" s="1">
        <v>0</v>
      </c>
      <c r="Y300" s="1">
        <v>0</v>
      </c>
      <c r="Z300" s="1">
        <v>1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</row>
    <row r="301" spans="1:33" x14ac:dyDescent="0.25">
      <c r="A301" s="1">
        <v>426</v>
      </c>
      <c r="B301" s="1" t="s">
        <v>617</v>
      </c>
      <c r="C301" s="1" t="s">
        <v>607</v>
      </c>
      <c r="D301" s="1" t="s">
        <v>618</v>
      </c>
      <c r="E301" s="1" t="s">
        <v>619</v>
      </c>
      <c r="F301" s="10">
        <v>46170</v>
      </c>
      <c r="G301" s="10">
        <v>46198</v>
      </c>
      <c r="H301" s="11">
        <v>0.85</v>
      </c>
      <c r="L301" s="1" t="s">
        <v>35</v>
      </c>
      <c r="M301" s="1" t="s">
        <v>145</v>
      </c>
      <c r="N301" s="2">
        <v>46171</v>
      </c>
      <c r="P301" s="1" t="s">
        <v>605</v>
      </c>
      <c r="Q301" s="1" t="s">
        <v>110</v>
      </c>
      <c r="R301" s="1" t="s">
        <v>55</v>
      </c>
      <c r="S301" s="2">
        <v>46163</v>
      </c>
      <c r="T301" s="2">
        <v>46171</v>
      </c>
      <c r="V301" s="1">
        <v>0.85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</row>
    <row r="302" spans="1:33" x14ac:dyDescent="0.25">
      <c r="A302" s="1">
        <v>427</v>
      </c>
      <c r="B302" s="1" t="s">
        <v>620</v>
      </c>
      <c r="C302" s="1" t="s">
        <v>621</v>
      </c>
      <c r="D302" s="1" t="s">
        <v>94</v>
      </c>
      <c r="E302" s="1" t="s">
        <v>525</v>
      </c>
      <c r="F302" s="10">
        <v>46170</v>
      </c>
      <c r="G302" s="10">
        <v>46175</v>
      </c>
      <c r="H302" s="11">
        <v>1</v>
      </c>
      <c r="I302" s="10">
        <v>46175</v>
      </c>
      <c r="J302" s="1" t="s">
        <v>622</v>
      </c>
      <c r="K302" s="1" t="s">
        <v>623</v>
      </c>
      <c r="L302" s="1" t="s">
        <v>59</v>
      </c>
      <c r="M302" s="1" t="s">
        <v>145</v>
      </c>
      <c r="N302" s="2">
        <v>46167</v>
      </c>
      <c r="P302" s="1" t="s">
        <v>605</v>
      </c>
      <c r="Q302" s="1" t="s">
        <v>110</v>
      </c>
      <c r="R302" s="1" t="s">
        <v>55</v>
      </c>
      <c r="S302" s="2">
        <v>46163</v>
      </c>
      <c r="T302" s="2">
        <v>46167</v>
      </c>
      <c r="V302" s="1">
        <v>1</v>
      </c>
      <c r="W302" s="1">
        <v>1</v>
      </c>
      <c r="X302" s="1">
        <v>1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1</v>
      </c>
    </row>
    <row r="303" spans="1:33" x14ac:dyDescent="0.25">
      <c r="A303" s="1">
        <v>428</v>
      </c>
      <c r="B303" s="1" t="s">
        <v>624</v>
      </c>
      <c r="C303" s="1" t="s">
        <v>621</v>
      </c>
      <c r="D303" s="1" t="s">
        <v>98</v>
      </c>
      <c r="E303" s="1" t="s">
        <v>525</v>
      </c>
      <c r="F303" s="10">
        <v>46175</v>
      </c>
      <c r="G303" s="10">
        <v>46182</v>
      </c>
      <c r="H303" s="11">
        <v>1</v>
      </c>
      <c r="I303" s="10">
        <v>46182</v>
      </c>
      <c r="J303" s="1">
        <v>427</v>
      </c>
      <c r="K303" s="1">
        <v>429</v>
      </c>
      <c r="L303" s="1" t="s">
        <v>59</v>
      </c>
      <c r="M303" s="1" t="s">
        <v>168</v>
      </c>
      <c r="N303" s="2">
        <v>46168</v>
      </c>
      <c r="P303" s="1" t="s">
        <v>605</v>
      </c>
      <c r="Q303" s="1" t="s">
        <v>169</v>
      </c>
      <c r="R303" s="1" t="s">
        <v>55</v>
      </c>
      <c r="S303" s="2">
        <v>46168</v>
      </c>
      <c r="T303" s="2">
        <v>46168</v>
      </c>
      <c r="V303" s="1">
        <v>1</v>
      </c>
      <c r="W303" s="1">
        <v>0</v>
      </c>
      <c r="X303" s="1">
        <v>0</v>
      </c>
      <c r="Y303" s="1">
        <v>0</v>
      </c>
      <c r="Z303" s="1">
        <v>0</v>
      </c>
      <c r="AA303" s="1">
        <v>1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</row>
    <row r="304" spans="1:33" x14ac:dyDescent="0.25">
      <c r="A304" s="1">
        <v>429</v>
      </c>
      <c r="B304" s="1" t="s">
        <v>625</v>
      </c>
      <c r="C304" s="1" t="s">
        <v>621</v>
      </c>
      <c r="D304" s="1" t="s">
        <v>102</v>
      </c>
      <c r="E304" s="1" t="s">
        <v>53</v>
      </c>
      <c r="F304" s="10">
        <v>46197</v>
      </c>
      <c r="G304" s="10">
        <v>46197</v>
      </c>
      <c r="H304" s="11">
        <v>0.5</v>
      </c>
      <c r="J304" s="1">
        <v>428</v>
      </c>
      <c r="K304" s="1" t="s">
        <v>626</v>
      </c>
      <c r="L304" s="1" t="s">
        <v>35</v>
      </c>
      <c r="M304" s="1" t="s">
        <v>409</v>
      </c>
      <c r="N304" s="2">
        <v>46170</v>
      </c>
      <c r="P304" s="1" t="s">
        <v>605</v>
      </c>
      <c r="Q304" s="1" t="s">
        <v>169</v>
      </c>
      <c r="R304" s="1" t="s">
        <v>55</v>
      </c>
      <c r="S304" s="2">
        <v>46169</v>
      </c>
      <c r="T304" s="2">
        <v>46170</v>
      </c>
      <c r="V304" s="1">
        <v>0.5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1</v>
      </c>
      <c r="AE304" s="1">
        <v>0</v>
      </c>
      <c r="AF304" s="1">
        <v>0</v>
      </c>
      <c r="AG304" s="1">
        <v>0</v>
      </c>
    </row>
    <row r="305" spans="1:33" x14ac:dyDescent="0.25">
      <c r="A305" s="1">
        <v>430</v>
      </c>
      <c r="B305" s="1" t="s">
        <v>627</v>
      </c>
      <c r="C305" s="1" t="s">
        <v>621</v>
      </c>
      <c r="D305" s="1" t="s">
        <v>108</v>
      </c>
      <c r="E305" s="1" t="s">
        <v>53</v>
      </c>
      <c r="F305" s="10">
        <v>46198</v>
      </c>
      <c r="G305" s="10">
        <v>46198</v>
      </c>
      <c r="H305" s="11">
        <v>0</v>
      </c>
      <c r="J305" s="1" t="s">
        <v>628</v>
      </c>
      <c r="L305" s="1" t="s">
        <v>35</v>
      </c>
      <c r="M305" s="1" t="s">
        <v>255</v>
      </c>
      <c r="N305" s="2">
        <v>46171</v>
      </c>
      <c r="P305" s="1" t="s">
        <v>605</v>
      </c>
      <c r="Q305" s="1" t="s">
        <v>169</v>
      </c>
      <c r="R305" s="1" t="s">
        <v>55</v>
      </c>
      <c r="S305" s="2">
        <v>46171</v>
      </c>
      <c r="T305" s="2">
        <v>46171</v>
      </c>
      <c r="V305" s="1">
        <v>0</v>
      </c>
      <c r="W305" s="1">
        <v>0</v>
      </c>
      <c r="X305" s="1">
        <v>0</v>
      </c>
      <c r="Y305" s="1">
        <v>0</v>
      </c>
      <c r="Z305" s="1">
        <v>1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1</v>
      </c>
      <c r="AG305" s="1">
        <v>0</v>
      </c>
    </row>
    <row r="306" spans="1:33" x14ac:dyDescent="0.25">
      <c r="A306" s="1">
        <v>446</v>
      </c>
      <c r="B306" s="1" t="s">
        <v>629</v>
      </c>
      <c r="C306" s="1" t="s">
        <v>607</v>
      </c>
      <c r="D306" s="1" t="s">
        <v>630</v>
      </c>
      <c r="E306" s="1" t="s">
        <v>631</v>
      </c>
      <c r="F306" s="10">
        <v>46205</v>
      </c>
      <c r="G306" s="10">
        <v>46210</v>
      </c>
      <c r="H306" s="11">
        <v>0.5</v>
      </c>
      <c r="L306" s="1" t="s">
        <v>35</v>
      </c>
      <c r="M306" s="1" t="s">
        <v>418</v>
      </c>
      <c r="N306" s="2">
        <v>46191</v>
      </c>
      <c r="P306" s="1" t="s">
        <v>605</v>
      </c>
      <c r="Q306" s="1" t="s">
        <v>169</v>
      </c>
      <c r="R306" s="1" t="s">
        <v>55</v>
      </c>
      <c r="S306" s="2">
        <v>46181</v>
      </c>
      <c r="T306" s="2">
        <v>46191</v>
      </c>
      <c r="V306" s="1">
        <v>0.5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</row>
    <row r="307" spans="1:33" x14ac:dyDescent="0.25">
      <c r="A307" s="1">
        <v>447</v>
      </c>
      <c r="B307" s="1" t="s">
        <v>632</v>
      </c>
      <c r="C307" s="1" t="s">
        <v>633</v>
      </c>
      <c r="D307" s="1" t="s">
        <v>94</v>
      </c>
      <c r="E307" s="1" t="s">
        <v>121</v>
      </c>
      <c r="F307" s="10">
        <v>46205</v>
      </c>
      <c r="G307" s="10">
        <v>46206</v>
      </c>
      <c r="H307" s="11">
        <v>1</v>
      </c>
      <c r="I307" s="10">
        <v>46206</v>
      </c>
      <c r="J307" s="1" t="s">
        <v>634</v>
      </c>
      <c r="K307" s="1" t="s">
        <v>635</v>
      </c>
      <c r="L307" s="1" t="s">
        <v>59</v>
      </c>
      <c r="M307" s="1" t="s">
        <v>418</v>
      </c>
      <c r="N307" s="2">
        <v>46185</v>
      </c>
      <c r="P307" s="1" t="s">
        <v>605</v>
      </c>
      <c r="Q307" s="1" t="s">
        <v>169</v>
      </c>
      <c r="R307" s="1" t="s">
        <v>55</v>
      </c>
      <c r="S307" s="2">
        <v>46181</v>
      </c>
      <c r="T307" s="2">
        <v>46185</v>
      </c>
      <c r="V307" s="1">
        <v>1</v>
      </c>
      <c r="W307" s="1">
        <v>1</v>
      </c>
      <c r="X307" s="1">
        <v>1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1</v>
      </c>
    </row>
    <row r="308" spans="1:33" x14ac:dyDescent="0.25">
      <c r="A308" s="1">
        <v>448</v>
      </c>
      <c r="B308" s="1" t="s">
        <v>636</v>
      </c>
      <c r="C308" s="1" t="s">
        <v>633</v>
      </c>
      <c r="D308" s="1" t="s">
        <v>98</v>
      </c>
      <c r="E308" s="1" t="s">
        <v>53</v>
      </c>
      <c r="F308" s="10">
        <v>46209</v>
      </c>
      <c r="G308" s="10">
        <v>46209</v>
      </c>
      <c r="H308" s="11">
        <v>0.5</v>
      </c>
      <c r="J308" s="1">
        <v>447</v>
      </c>
      <c r="K308" s="1">
        <v>449</v>
      </c>
      <c r="L308" s="1" t="s">
        <v>35</v>
      </c>
      <c r="M308" s="1" t="s">
        <v>264</v>
      </c>
      <c r="N308" s="2">
        <v>46188</v>
      </c>
      <c r="P308" s="1" t="s">
        <v>605</v>
      </c>
      <c r="Q308" s="1" t="s">
        <v>65</v>
      </c>
      <c r="R308" s="1" t="s">
        <v>55</v>
      </c>
      <c r="S308" s="2">
        <v>46188</v>
      </c>
      <c r="T308" s="2">
        <v>46188</v>
      </c>
      <c r="V308" s="1">
        <v>0.5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1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</row>
    <row r="309" spans="1:33" x14ac:dyDescent="0.25">
      <c r="A309" s="1">
        <v>449</v>
      </c>
      <c r="B309" s="1" t="s">
        <v>637</v>
      </c>
      <c r="C309" s="1" t="s">
        <v>633</v>
      </c>
      <c r="D309" s="1" t="s">
        <v>102</v>
      </c>
      <c r="E309" s="1" t="s">
        <v>53</v>
      </c>
      <c r="F309" s="10">
        <v>46210</v>
      </c>
      <c r="G309" s="10">
        <v>46210</v>
      </c>
      <c r="H309" s="11">
        <v>0</v>
      </c>
      <c r="J309" s="1">
        <v>448</v>
      </c>
      <c r="K309" s="1" t="s">
        <v>638</v>
      </c>
      <c r="L309" s="1" t="s">
        <v>180</v>
      </c>
      <c r="M309" s="1" t="s">
        <v>639</v>
      </c>
      <c r="N309" s="2">
        <v>46190</v>
      </c>
      <c r="P309" s="1" t="s">
        <v>605</v>
      </c>
      <c r="Q309" s="1" t="s">
        <v>65</v>
      </c>
      <c r="R309" s="1" t="s">
        <v>55</v>
      </c>
      <c r="S309" s="2">
        <v>46189</v>
      </c>
      <c r="T309" s="2">
        <v>46190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</row>
    <row r="310" spans="1:33" x14ac:dyDescent="0.25">
      <c r="A310" s="1">
        <v>450</v>
      </c>
      <c r="B310" s="1" t="s">
        <v>640</v>
      </c>
      <c r="C310" s="1" t="s">
        <v>633</v>
      </c>
      <c r="D310" s="1" t="s">
        <v>108</v>
      </c>
      <c r="E310" s="1" t="s">
        <v>53</v>
      </c>
      <c r="F310" s="10">
        <v>46210</v>
      </c>
      <c r="G310" s="10">
        <v>46210</v>
      </c>
      <c r="H310" s="11">
        <v>0</v>
      </c>
      <c r="J310" s="1" t="s">
        <v>641</v>
      </c>
      <c r="L310" s="1" t="s">
        <v>180</v>
      </c>
      <c r="M310" s="1" t="s">
        <v>323</v>
      </c>
      <c r="N310" s="2">
        <v>46191</v>
      </c>
      <c r="P310" s="1" t="s">
        <v>605</v>
      </c>
      <c r="Q310" s="1" t="s">
        <v>65</v>
      </c>
      <c r="R310" s="1" t="s">
        <v>55</v>
      </c>
      <c r="S310" s="2">
        <v>46191</v>
      </c>
      <c r="T310" s="2">
        <v>46191</v>
      </c>
      <c r="V310" s="1">
        <v>0</v>
      </c>
      <c r="W310" s="1">
        <v>0</v>
      </c>
      <c r="X310" s="1">
        <v>0</v>
      </c>
      <c r="Y310" s="1">
        <v>0</v>
      </c>
      <c r="Z310" s="1">
        <v>1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</row>
    <row r="311" spans="1:33" x14ac:dyDescent="0.25">
      <c r="A311" s="1">
        <v>471</v>
      </c>
      <c r="B311" s="1" t="s">
        <v>642</v>
      </c>
      <c r="C311" s="1" t="s">
        <v>73</v>
      </c>
      <c r="D311" s="1" t="s">
        <v>643</v>
      </c>
      <c r="E311" s="1" t="s">
        <v>644</v>
      </c>
      <c r="F311" s="10">
        <v>46174</v>
      </c>
      <c r="G311" s="10">
        <v>46227</v>
      </c>
      <c r="H311" s="11">
        <v>0.76</v>
      </c>
      <c r="L311" s="1" t="s">
        <v>35</v>
      </c>
      <c r="M311" s="1" t="s">
        <v>142</v>
      </c>
      <c r="N311" s="2">
        <v>46211</v>
      </c>
      <c r="P311" s="1" t="s">
        <v>645</v>
      </c>
      <c r="Q311" s="1" t="s">
        <v>169</v>
      </c>
      <c r="R311" s="1" t="s">
        <v>39</v>
      </c>
      <c r="S311" s="2">
        <v>46162</v>
      </c>
      <c r="T311" s="2">
        <v>46211</v>
      </c>
      <c r="V311" s="1">
        <v>0.76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</row>
    <row r="312" spans="1:33" x14ac:dyDescent="0.25">
      <c r="A312" s="1">
        <v>477</v>
      </c>
      <c r="B312" s="1" t="s">
        <v>646</v>
      </c>
      <c r="C312" s="1" t="s">
        <v>647</v>
      </c>
      <c r="D312" s="1" t="s">
        <v>648</v>
      </c>
      <c r="E312" s="1" t="s">
        <v>649</v>
      </c>
      <c r="F312" s="10">
        <v>46204</v>
      </c>
      <c r="G312" s="10">
        <v>46218</v>
      </c>
      <c r="H312" s="11">
        <v>0.56000000000000005</v>
      </c>
      <c r="K312" s="1">
        <v>558</v>
      </c>
      <c r="L312" s="1" t="s">
        <v>180</v>
      </c>
      <c r="M312" s="1" t="s">
        <v>62</v>
      </c>
      <c r="N312" s="2">
        <v>46174</v>
      </c>
      <c r="P312" s="1" t="s">
        <v>645</v>
      </c>
      <c r="Q312" s="1" t="s">
        <v>133</v>
      </c>
      <c r="R312" s="1" t="s">
        <v>39</v>
      </c>
      <c r="S312" s="2">
        <v>46164</v>
      </c>
      <c r="T312" s="2">
        <v>46174</v>
      </c>
      <c r="V312" s="1">
        <v>0.56000000000000005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</row>
    <row r="313" spans="1:33" x14ac:dyDescent="0.25">
      <c r="A313" s="1">
        <v>478</v>
      </c>
      <c r="B313" s="1" t="s">
        <v>650</v>
      </c>
      <c r="C313" s="1" t="s">
        <v>651</v>
      </c>
      <c r="D313" s="1" t="s">
        <v>94</v>
      </c>
      <c r="E313" s="1" t="s">
        <v>597</v>
      </c>
      <c r="F313" s="10">
        <v>46204</v>
      </c>
      <c r="G313" s="10">
        <v>46210</v>
      </c>
      <c r="H313" s="11">
        <v>1</v>
      </c>
      <c r="I313" s="10">
        <v>46210</v>
      </c>
      <c r="J313" s="1">
        <v>513</v>
      </c>
      <c r="K313" s="1" t="s">
        <v>652</v>
      </c>
      <c r="L313" s="1" t="s">
        <v>59</v>
      </c>
      <c r="M313" s="1" t="s">
        <v>62</v>
      </c>
      <c r="N313" s="2">
        <v>46168</v>
      </c>
      <c r="P313" s="1" t="s">
        <v>645</v>
      </c>
      <c r="Q313" s="1" t="s">
        <v>133</v>
      </c>
      <c r="R313" s="1" t="s">
        <v>55</v>
      </c>
      <c r="S313" s="2">
        <v>46164</v>
      </c>
      <c r="T313" s="2">
        <v>46168</v>
      </c>
      <c r="V313" s="1">
        <v>1</v>
      </c>
      <c r="W313" s="1">
        <v>1</v>
      </c>
      <c r="X313" s="1">
        <v>1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1</v>
      </c>
    </row>
    <row r="314" spans="1:33" x14ac:dyDescent="0.25">
      <c r="A314" s="1">
        <v>479</v>
      </c>
      <c r="B314" s="1" t="s">
        <v>653</v>
      </c>
      <c r="C314" s="1" t="s">
        <v>651</v>
      </c>
      <c r="D314" s="1" t="s">
        <v>98</v>
      </c>
      <c r="E314" s="1" t="s">
        <v>53</v>
      </c>
      <c r="F314" s="10">
        <v>46211</v>
      </c>
      <c r="G314" s="10">
        <v>46211</v>
      </c>
      <c r="H314" s="11">
        <v>0</v>
      </c>
      <c r="J314" s="1">
        <v>478</v>
      </c>
      <c r="K314" s="1">
        <v>480</v>
      </c>
      <c r="L314" s="1" t="s">
        <v>149</v>
      </c>
      <c r="M314" s="1" t="s">
        <v>409</v>
      </c>
      <c r="N314" s="2">
        <v>46169</v>
      </c>
      <c r="P314" s="1" t="s">
        <v>645</v>
      </c>
      <c r="Q314" s="1" t="s">
        <v>178</v>
      </c>
      <c r="R314" s="1" t="s">
        <v>39</v>
      </c>
      <c r="S314" s="2">
        <v>46169</v>
      </c>
      <c r="T314" s="2">
        <v>46169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</row>
    <row r="315" spans="1:33" x14ac:dyDescent="0.25">
      <c r="A315" s="1">
        <v>480</v>
      </c>
      <c r="B315" s="1" t="s">
        <v>654</v>
      </c>
      <c r="C315" s="1" t="s">
        <v>651</v>
      </c>
      <c r="D315" s="1" t="s">
        <v>102</v>
      </c>
      <c r="E315" s="1" t="s">
        <v>121</v>
      </c>
      <c r="F315" s="10">
        <v>46216</v>
      </c>
      <c r="G315" s="10">
        <v>46217</v>
      </c>
      <c r="H315" s="11">
        <v>0</v>
      </c>
      <c r="J315" s="1">
        <v>479</v>
      </c>
      <c r="K315" s="1">
        <v>481</v>
      </c>
      <c r="L315" s="1" t="s">
        <v>149</v>
      </c>
      <c r="M315" s="1" t="s">
        <v>173</v>
      </c>
      <c r="N315" s="2">
        <v>46171</v>
      </c>
      <c r="P315" s="1" t="s">
        <v>645</v>
      </c>
      <c r="Q315" s="1" t="s">
        <v>178</v>
      </c>
      <c r="R315" s="1" t="s">
        <v>39</v>
      </c>
      <c r="S315" s="2">
        <v>46170</v>
      </c>
      <c r="T315" s="2">
        <v>46171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</row>
    <row r="316" spans="1:33" x14ac:dyDescent="0.25">
      <c r="A316" s="1">
        <v>481</v>
      </c>
      <c r="B316" s="1" t="s">
        <v>655</v>
      </c>
      <c r="C316" s="1" t="s">
        <v>651</v>
      </c>
      <c r="D316" s="1" t="s">
        <v>108</v>
      </c>
      <c r="E316" s="1" t="s">
        <v>53</v>
      </c>
      <c r="F316" s="10">
        <v>46218</v>
      </c>
      <c r="G316" s="10">
        <v>46218</v>
      </c>
      <c r="H316" s="11">
        <v>0</v>
      </c>
      <c r="J316" s="1">
        <v>480</v>
      </c>
      <c r="L316" s="1" t="s">
        <v>149</v>
      </c>
      <c r="M316" s="1" t="s">
        <v>320</v>
      </c>
      <c r="N316" s="2">
        <v>46174</v>
      </c>
      <c r="P316" s="1" t="s">
        <v>645</v>
      </c>
      <c r="Q316" s="1" t="s">
        <v>146</v>
      </c>
      <c r="R316" s="1" t="s">
        <v>39</v>
      </c>
      <c r="S316" s="2">
        <v>46174</v>
      </c>
      <c r="T316" s="2">
        <v>46174</v>
      </c>
      <c r="V316" s="1">
        <v>0</v>
      </c>
      <c r="W316" s="1">
        <v>0</v>
      </c>
      <c r="X316" s="1">
        <v>0</v>
      </c>
      <c r="Y316" s="1">
        <v>0</v>
      </c>
      <c r="Z316" s="1">
        <v>1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</row>
    <row r="317" spans="1:33" x14ac:dyDescent="0.25">
      <c r="A317" s="1">
        <v>482</v>
      </c>
      <c r="B317" s="1" t="s">
        <v>656</v>
      </c>
      <c r="C317" s="1" t="s">
        <v>647</v>
      </c>
      <c r="D317" s="1" t="s">
        <v>657</v>
      </c>
      <c r="E317" s="1" t="s">
        <v>594</v>
      </c>
      <c r="F317" s="10">
        <v>46203</v>
      </c>
      <c r="G317" s="10">
        <v>46216</v>
      </c>
      <c r="H317" s="11">
        <v>0.5</v>
      </c>
      <c r="L317" s="1" t="s">
        <v>35</v>
      </c>
      <c r="M317" s="1" t="s">
        <v>390</v>
      </c>
      <c r="N317" s="2">
        <v>46204</v>
      </c>
      <c r="P317" s="1" t="s">
        <v>645</v>
      </c>
      <c r="Q317" s="1" t="s">
        <v>178</v>
      </c>
      <c r="R317" s="1" t="s">
        <v>55</v>
      </c>
      <c r="S317" s="2">
        <v>46196</v>
      </c>
      <c r="T317" s="2">
        <v>46204</v>
      </c>
      <c r="V317" s="1">
        <v>0.5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</row>
    <row r="318" spans="1:33" x14ac:dyDescent="0.25">
      <c r="A318" s="1">
        <v>483</v>
      </c>
      <c r="B318" s="1" t="s">
        <v>658</v>
      </c>
      <c r="C318" s="1" t="s">
        <v>659</v>
      </c>
      <c r="D318" s="1" t="s">
        <v>94</v>
      </c>
      <c r="E318" s="1" t="s">
        <v>525</v>
      </c>
      <c r="F318" s="10">
        <v>46203</v>
      </c>
      <c r="G318" s="10">
        <v>46206</v>
      </c>
      <c r="H318" s="11">
        <v>1</v>
      </c>
      <c r="I318" s="10">
        <v>46206</v>
      </c>
      <c r="K318" s="1">
        <v>484</v>
      </c>
      <c r="L318" s="1" t="s">
        <v>59</v>
      </c>
      <c r="M318" s="1" t="s">
        <v>390</v>
      </c>
      <c r="N318" s="2">
        <v>46198</v>
      </c>
      <c r="P318" s="1" t="s">
        <v>645</v>
      </c>
      <c r="Q318" s="1" t="s">
        <v>178</v>
      </c>
      <c r="R318" s="1" t="s">
        <v>55</v>
      </c>
      <c r="S318" s="2">
        <v>46196</v>
      </c>
      <c r="T318" s="2">
        <v>46198</v>
      </c>
      <c r="V318" s="1">
        <v>1</v>
      </c>
      <c r="W318" s="1">
        <v>1</v>
      </c>
      <c r="X318" s="1">
        <v>1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1</v>
      </c>
    </row>
    <row r="319" spans="1:33" x14ac:dyDescent="0.25">
      <c r="A319" s="1">
        <v>484</v>
      </c>
      <c r="B319" s="1" t="s">
        <v>660</v>
      </c>
      <c r="C319" s="1" t="s">
        <v>659</v>
      </c>
      <c r="D319" s="1" t="s">
        <v>98</v>
      </c>
      <c r="E319" s="1" t="s">
        <v>53</v>
      </c>
      <c r="F319" s="10">
        <v>46209</v>
      </c>
      <c r="G319" s="10">
        <v>46209</v>
      </c>
      <c r="H319" s="11">
        <v>0</v>
      </c>
      <c r="J319" s="1">
        <v>483</v>
      </c>
      <c r="K319" s="1">
        <v>485</v>
      </c>
      <c r="L319" s="1" t="s">
        <v>35</v>
      </c>
      <c r="M319" s="1" t="s">
        <v>394</v>
      </c>
      <c r="N319" s="2">
        <v>46199</v>
      </c>
      <c r="P319" s="1" t="s">
        <v>645</v>
      </c>
      <c r="Q319" s="1" t="s">
        <v>146</v>
      </c>
      <c r="R319" s="1" t="s">
        <v>55</v>
      </c>
      <c r="S319" s="2">
        <v>46199</v>
      </c>
      <c r="T319" s="2">
        <v>46199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1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</row>
    <row r="320" spans="1:33" x14ac:dyDescent="0.25">
      <c r="A320" s="1">
        <v>485</v>
      </c>
      <c r="B320" s="1" t="s">
        <v>661</v>
      </c>
      <c r="C320" s="1" t="s">
        <v>659</v>
      </c>
      <c r="D320" s="1" t="s">
        <v>102</v>
      </c>
      <c r="E320" s="1" t="s">
        <v>121</v>
      </c>
      <c r="F320" s="10">
        <v>46210</v>
      </c>
      <c r="G320" s="10">
        <v>46211</v>
      </c>
      <c r="H320" s="11">
        <v>0</v>
      </c>
      <c r="J320" s="1">
        <v>484</v>
      </c>
      <c r="K320" s="1">
        <v>486</v>
      </c>
      <c r="L320" s="1" t="s">
        <v>180</v>
      </c>
      <c r="M320" s="1" t="s">
        <v>396</v>
      </c>
      <c r="N320" s="2">
        <v>46203</v>
      </c>
      <c r="P320" s="1" t="s">
        <v>645</v>
      </c>
      <c r="Q320" s="1" t="s">
        <v>146</v>
      </c>
      <c r="R320" s="1" t="s">
        <v>55</v>
      </c>
      <c r="S320" s="2">
        <v>46202</v>
      </c>
      <c r="T320" s="2">
        <v>46203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</row>
    <row r="321" spans="1:33" x14ac:dyDescent="0.25">
      <c r="A321" s="1">
        <v>486</v>
      </c>
      <c r="B321" s="1" t="s">
        <v>662</v>
      </c>
      <c r="C321" s="1" t="s">
        <v>659</v>
      </c>
      <c r="D321" s="1" t="s">
        <v>108</v>
      </c>
      <c r="E321" s="1" t="s">
        <v>53</v>
      </c>
      <c r="F321" s="10">
        <v>46216</v>
      </c>
      <c r="G321" s="10">
        <v>46216</v>
      </c>
      <c r="H321" s="11">
        <v>0</v>
      </c>
      <c r="J321" s="1">
        <v>485</v>
      </c>
      <c r="L321" s="1" t="s">
        <v>149</v>
      </c>
      <c r="M321" s="1" t="s">
        <v>398</v>
      </c>
      <c r="N321" s="2">
        <v>46204</v>
      </c>
      <c r="P321" s="1" t="s">
        <v>645</v>
      </c>
      <c r="Q321" s="1" t="s">
        <v>151</v>
      </c>
      <c r="R321" s="1" t="s">
        <v>55</v>
      </c>
      <c r="S321" s="2">
        <v>46204</v>
      </c>
      <c r="T321" s="2">
        <v>46204</v>
      </c>
      <c r="V321" s="1">
        <v>0</v>
      </c>
      <c r="W321" s="1">
        <v>0</v>
      </c>
      <c r="X321" s="1">
        <v>0</v>
      </c>
      <c r="Y321" s="1">
        <v>0</v>
      </c>
      <c r="Z321" s="1">
        <v>1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</row>
    <row r="322" spans="1:33" x14ac:dyDescent="0.25">
      <c r="A322" s="1">
        <v>487</v>
      </c>
      <c r="B322" s="1" t="s">
        <v>663</v>
      </c>
      <c r="C322" s="1" t="s">
        <v>647</v>
      </c>
      <c r="D322" s="1" t="s">
        <v>664</v>
      </c>
      <c r="E322" s="1" t="s">
        <v>594</v>
      </c>
      <c r="F322" s="10">
        <v>46203</v>
      </c>
      <c r="G322" s="10">
        <v>46216</v>
      </c>
      <c r="H322" s="11">
        <v>0.5</v>
      </c>
      <c r="L322" s="1" t="s">
        <v>35</v>
      </c>
      <c r="M322" s="1" t="s">
        <v>264</v>
      </c>
      <c r="N322" s="2">
        <v>46196</v>
      </c>
      <c r="P322" s="1" t="s">
        <v>645</v>
      </c>
      <c r="Q322" s="1" t="s">
        <v>178</v>
      </c>
      <c r="R322" s="1" t="s">
        <v>55</v>
      </c>
      <c r="S322" s="2">
        <v>46188</v>
      </c>
      <c r="T322" s="2">
        <v>46196</v>
      </c>
      <c r="U322" s="1" t="s">
        <v>288</v>
      </c>
      <c r="V322" s="1">
        <v>0.5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</row>
    <row r="323" spans="1:33" x14ac:dyDescent="0.25">
      <c r="A323" s="1">
        <v>488</v>
      </c>
      <c r="B323" s="1" t="s">
        <v>665</v>
      </c>
      <c r="C323" s="1" t="s">
        <v>666</v>
      </c>
      <c r="D323" s="1" t="s">
        <v>94</v>
      </c>
      <c r="E323" s="1" t="s">
        <v>525</v>
      </c>
      <c r="F323" s="10">
        <v>46203</v>
      </c>
      <c r="G323" s="10">
        <v>46206</v>
      </c>
      <c r="H323" s="11">
        <v>1</v>
      </c>
      <c r="I323" s="10">
        <v>46206</v>
      </c>
      <c r="J323" s="1">
        <v>543</v>
      </c>
      <c r="K323" s="1">
        <v>489</v>
      </c>
      <c r="L323" s="1" t="s">
        <v>59</v>
      </c>
      <c r="M323" s="1" t="s">
        <v>505</v>
      </c>
      <c r="N323" s="2">
        <v>46206</v>
      </c>
      <c r="P323" s="1" t="s">
        <v>645</v>
      </c>
      <c r="Q323" s="1" t="s">
        <v>178</v>
      </c>
      <c r="R323" s="1" t="s">
        <v>55</v>
      </c>
      <c r="S323" s="2">
        <v>46203</v>
      </c>
      <c r="T323" s="2">
        <v>46206</v>
      </c>
      <c r="V323" s="1">
        <v>1</v>
      </c>
      <c r="W323" s="1">
        <v>1</v>
      </c>
      <c r="X323" s="1">
        <v>1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1</v>
      </c>
    </row>
    <row r="324" spans="1:33" x14ac:dyDescent="0.25">
      <c r="A324" s="1">
        <v>489</v>
      </c>
      <c r="B324" s="1" t="s">
        <v>667</v>
      </c>
      <c r="C324" s="1" t="s">
        <v>666</v>
      </c>
      <c r="D324" s="1" t="s">
        <v>98</v>
      </c>
      <c r="E324" s="1" t="s">
        <v>53</v>
      </c>
      <c r="F324" s="10">
        <v>46209</v>
      </c>
      <c r="G324" s="10">
        <v>46209</v>
      </c>
      <c r="H324" s="11">
        <v>0</v>
      </c>
      <c r="J324" s="1">
        <v>488</v>
      </c>
      <c r="K324" s="1">
        <v>490</v>
      </c>
      <c r="L324" s="1" t="s">
        <v>35</v>
      </c>
      <c r="M324" s="1" t="s">
        <v>193</v>
      </c>
      <c r="N324" s="2">
        <v>46209</v>
      </c>
      <c r="P324" s="1" t="s">
        <v>645</v>
      </c>
      <c r="Q324" s="1" t="s">
        <v>146</v>
      </c>
      <c r="R324" s="1" t="s">
        <v>55</v>
      </c>
      <c r="S324" s="2">
        <v>46209</v>
      </c>
      <c r="T324" s="2">
        <v>46209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1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</row>
    <row r="325" spans="1:33" x14ac:dyDescent="0.25">
      <c r="A325" s="1">
        <v>490</v>
      </c>
      <c r="B325" s="1" t="s">
        <v>668</v>
      </c>
      <c r="C325" s="1" t="s">
        <v>666</v>
      </c>
      <c r="D325" s="1" t="s">
        <v>102</v>
      </c>
      <c r="E325" s="1" t="s">
        <v>121</v>
      </c>
      <c r="F325" s="10">
        <v>46210</v>
      </c>
      <c r="G325" s="10">
        <v>46211</v>
      </c>
      <c r="H325" s="11">
        <v>0</v>
      </c>
      <c r="J325" s="1">
        <v>489</v>
      </c>
      <c r="K325" s="1">
        <v>491</v>
      </c>
      <c r="L325" s="1" t="s">
        <v>180</v>
      </c>
      <c r="M325" s="1" t="s">
        <v>295</v>
      </c>
      <c r="N325" s="2">
        <v>46211</v>
      </c>
      <c r="P325" s="1" t="s">
        <v>645</v>
      </c>
      <c r="Q325" s="1" t="s">
        <v>146</v>
      </c>
      <c r="R325" s="1" t="s">
        <v>55</v>
      </c>
      <c r="S325" s="2">
        <v>46210</v>
      </c>
      <c r="T325" s="2">
        <v>46211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</row>
    <row r="326" spans="1:33" x14ac:dyDescent="0.25">
      <c r="A326" s="1">
        <v>491</v>
      </c>
      <c r="B326" s="1" t="s">
        <v>669</v>
      </c>
      <c r="C326" s="1" t="s">
        <v>666</v>
      </c>
      <c r="D326" s="1" t="s">
        <v>108</v>
      </c>
      <c r="E326" s="1" t="s">
        <v>53</v>
      </c>
      <c r="F326" s="10">
        <v>46216</v>
      </c>
      <c r="G326" s="10">
        <v>46216</v>
      </c>
      <c r="H326" s="11">
        <v>0</v>
      </c>
      <c r="J326" s="1">
        <v>490</v>
      </c>
      <c r="L326" s="1" t="s">
        <v>149</v>
      </c>
      <c r="M326" s="1" t="s">
        <v>460</v>
      </c>
      <c r="N326" s="2">
        <v>46216</v>
      </c>
      <c r="P326" s="1" t="s">
        <v>645</v>
      </c>
      <c r="Q326" s="1" t="s">
        <v>151</v>
      </c>
      <c r="R326" s="1" t="s">
        <v>55</v>
      </c>
      <c r="S326" s="2">
        <v>46216</v>
      </c>
      <c r="T326" s="2">
        <v>46216</v>
      </c>
      <c r="V326" s="1">
        <v>0</v>
      </c>
      <c r="W326" s="1">
        <v>0</v>
      </c>
      <c r="X326" s="1">
        <v>0</v>
      </c>
      <c r="Y326" s="1">
        <v>0</v>
      </c>
      <c r="Z326" s="1">
        <v>1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</row>
    <row r="327" spans="1:33" x14ac:dyDescent="0.25">
      <c r="A327" s="1">
        <v>502</v>
      </c>
      <c r="B327" s="1" t="s">
        <v>670</v>
      </c>
      <c r="C327" s="1" t="s">
        <v>647</v>
      </c>
      <c r="D327" s="1" t="s">
        <v>671</v>
      </c>
      <c r="E327" s="1" t="s">
        <v>594</v>
      </c>
      <c r="F327" s="10">
        <v>46206</v>
      </c>
      <c r="G327" s="10">
        <v>46219</v>
      </c>
      <c r="H327" s="11">
        <v>0.31</v>
      </c>
      <c r="L327" s="1" t="s">
        <v>180</v>
      </c>
      <c r="M327" s="1" t="s">
        <v>292</v>
      </c>
      <c r="N327" s="2">
        <v>46211</v>
      </c>
      <c r="P327" s="1" t="s">
        <v>645</v>
      </c>
      <c r="Q327" s="1" t="s">
        <v>178</v>
      </c>
      <c r="R327" s="1" t="s">
        <v>55</v>
      </c>
      <c r="S327" s="2">
        <v>46205</v>
      </c>
      <c r="T327" s="2">
        <v>46211</v>
      </c>
      <c r="V327" s="1">
        <v>0.31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</row>
    <row r="328" spans="1:33" x14ac:dyDescent="0.25">
      <c r="A328" s="1">
        <v>503</v>
      </c>
      <c r="B328" s="1" t="s">
        <v>672</v>
      </c>
      <c r="C328" s="1" t="s">
        <v>673</v>
      </c>
      <c r="D328" s="1" t="s">
        <v>94</v>
      </c>
      <c r="E328" s="1" t="s">
        <v>597</v>
      </c>
      <c r="F328" s="10">
        <v>46206</v>
      </c>
      <c r="G328" s="10">
        <v>46216</v>
      </c>
      <c r="H328" s="11">
        <v>0.5</v>
      </c>
      <c r="J328" s="1" t="s">
        <v>674</v>
      </c>
      <c r="K328" s="1">
        <v>504</v>
      </c>
      <c r="L328" s="1" t="s">
        <v>180</v>
      </c>
      <c r="M328" s="1" t="s">
        <v>292</v>
      </c>
      <c r="N328" s="2">
        <v>46205</v>
      </c>
      <c r="P328" s="1" t="s">
        <v>645</v>
      </c>
      <c r="Q328" s="1" t="s">
        <v>178</v>
      </c>
      <c r="R328" s="1" t="s">
        <v>55</v>
      </c>
      <c r="S328" s="2">
        <v>46205</v>
      </c>
      <c r="T328" s="2">
        <v>46205</v>
      </c>
      <c r="V328" s="1">
        <v>0.5</v>
      </c>
      <c r="W328" s="1">
        <v>1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</row>
    <row r="329" spans="1:33" x14ac:dyDescent="0.25">
      <c r="A329" s="1">
        <v>504</v>
      </c>
      <c r="B329" s="1" t="s">
        <v>675</v>
      </c>
      <c r="C329" s="1" t="s">
        <v>673</v>
      </c>
      <c r="D329" s="1" t="s">
        <v>98</v>
      </c>
      <c r="E329" s="1" t="s">
        <v>53</v>
      </c>
      <c r="F329" s="10">
        <v>46217</v>
      </c>
      <c r="G329" s="10">
        <v>46217</v>
      </c>
      <c r="H329" s="11">
        <v>0</v>
      </c>
      <c r="J329" s="1">
        <v>503</v>
      </c>
      <c r="K329" s="1">
        <v>505</v>
      </c>
      <c r="L329" s="1" t="s">
        <v>149</v>
      </c>
      <c r="M329" s="1" t="s">
        <v>191</v>
      </c>
      <c r="N329" s="2">
        <v>46206</v>
      </c>
      <c r="P329" s="1" t="s">
        <v>645</v>
      </c>
      <c r="Q329" s="1" t="s">
        <v>146</v>
      </c>
      <c r="R329" s="1" t="s">
        <v>55</v>
      </c>
      <c r="S329" s="2">
        <v>46206</v>
      </c>
      <c r="T329" s="2">
        <v>46206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</row>
    <row r="330" spans="1:33" x14ac:dyDescent="0.25">
      <c r="A330" s="1">
        <v>505</v>
      </c>
      <c r="B330" s="1" t="s">
        <v>676</v>
      </c>
      <c r="C330" s="1" t="s">
        <v>673</v>
      </c>
      <c r="D330" s="1" t="s">
        <v>102</v>
      </c>
      <c r="E330" s="1" t="s">
        <v>53</v>
      </c>
      <c r="F330" s="10">
        <v>46218</v>
      </c>
      <c r="G330" s="10">
        <v>46218</v>
      </c>
      <c r="H330" s="11">
        <v>0</v>
      </c>
      <c r="J330" s="1">
        <v>504</v>
      </c>
      <c r="K330" s="1">
        <v>506</v>
      </c>
      <c r="L330" s="1" t="s">
        <v>149</v>
      </c>
      <c r="M330" s="1" t="s">
        <v>193</v>
      </c>
      <c r="N330" s="2">
        <v>46210</v>
      </c>
      <c r="P330" s="1" t="s">
        <v>645</v>
      </c>
      <c r="Q330" s="1" t="s">
        <v>151</v>
      </c>
      <c r="R330" s="1" t="s">
        <v>55</v>
      </c>
      <c r="S330" s="2">
        <v>46209</v>
      </c>
      <c r="T330" s="2">
        <v>46210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</row>
    <row r="331" spans="1:33" x14ac:dyDescent="0.25">
      <c r="A331" s="1">
        <v>506</v>
      </c>
      <c r="B331" s="1" t="s">
        <v>677</v>
      </c>
      <c r="C331" s="1" t="s">
        <v>673</v>
      </c>
      <c r="D331" s="1" t="s">
        <v>108</v>
      </c>
      <c r="E331" s="1" t="s">
        <v>53</v>
      </c>
      <c r="F331" s="10">
        <v>46219</v>
      </c>
      <c r="G331" s="10">
        <v>46219</v>
      </c>
      <c r="H331" s="11">
        <v>0</v>
      </c>
      <c r="J331" s="1">
        <v>505</v>
      </c>
      <c r="L331" s="1" t="s">
        <v>149</v>
      </c>
      <c r="M331" s="1" t="s">
        <v>195</v>
      </c>
      <c r="N331" s="2">
        <v>46211</v>
      </c>
      <c r="P331" s="1" t="s">
        <v>645</v>
      </c>
      <c r="Q331" s="1" t="s">
        <v>151</v>
      </c>
      <c r="R331" s="1" t="s">
        <v>55</v>
      </c>
      <c r="S331" s="2">
        <v>46211</v>
      </c>
      <c r="T331" s="2">
        <v>46211</v>
      </c>
      <c r="V331" s="1">
        <v>0</v>
      </c>
      <c r="W331" s="1">
        <v>0</v>
      </c>
      <c r="X331" s="1">
        <v>0</v>
      </c>
      <c r="Y331" s="1">
        <v>0</v>
      </c>
      <c r="Z331" s="1">
        <v>1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</row>
    <row r="332" spans="1:33" x14ac:dyDescent="0.25">
      <c r="A332" s="1">
        <v>507</v>
      </c>
      <c r="B332" s="1" t="s">
        <v>678</v>
      </c>
      <c r="C332" s="1" t="s">
        <v>647</v>
      </c>
      <c r="D332" s="1" t="s">
        <v>679</v>
      </c>
      <c r="E332" s="1" t="s">
        <v>609</v>
      </c>
      <c r="F332" s="10">
        <v>46174</v>
      </c>
      <c r="G332" s="10">
        <v>46206</v>
      </c>
      <c r="H332" s="11">
        <v>0.74</v>
      </c>
      <c r="L332" s="1" t="s">
        <v>35</v>
      </c>
      <c r="M332" s="1" t="s">
        <v>142</v>
      </c>
      <c r="N332" s="2">
        <v>46169</v>
      </c>
      <c r="P332" s="1" t="s">
        <v>645</v>
      </c>
      <c r="Q332" s="1" t="s">
        <v>169</v>
      </c>
      <c r="R332" s="1" t="s">
        <v>55</v>
      </c>
      <c r="S332" s="2">
        <v>46162</v>
      </c>
      <c r="T332" s="2">
        <v>46169</v>
      </c>
      <c r="V332" s="1">
        <v>0.74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</row>
    <row r="333" spans="1:33" x14ac:dyDescent="0.25">
      <c r="A333" s="1">
        <v>508</v>
      </c>
      <c r="B333" s="1" t="s">
        <v>680</v>
      </c>
      <c r="C333" s="1" t="s">
        <v>681</v>
      </c>
      <c r="D333" s="1" t="s">
        <v>94</v>
      </c>
      <c r="E333" s="1" t="s">
        <v>103</v>
      </c>
      <c r="F333" s="10">
        <v>46174</v>
      </c>
      <c r="G333" s="10">
        <v>46185</v>
      </c>
      <c r="H333" s="11">
        <v>1</v>
      </c>
      <c r="I333" s="10">
        <v>46185</v>
      </c>
      <c r="J333" s="1" t="s">
        <v>682</v>
      </c>
      <c r="K333" s="1">
        <v>509</v>
      </c>
      <c r="L333" s="1" t="s">
        <v>59</v>
      </c>
      <c r="M333" s="1" t="s">
        <v>142</v>
      </c>
      <c r="N333" s="2">
        <v>46163</v>
      </c>
      <c r="P333" s="1" t="s">
        <v>645</v>
      </c>
      <c r="Q333" s="1" t="s">
        <v>169</v>
      </c>
      <c r="R333" s="1" t="s">
        <v>55</v>
      </c>
      <c r="S333" s="2">
        <v>46162</v>
      </c>
      <c r="T333" s="2">
        <v>46163</v>
      </c>
      <c r="V333" s="1">
        <v>1</v>
      </c>
      <c r="W333" s="1">
        <v>1</v>
      </c>
      <c r="X333" s="1">
        <v>1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1</v>
      </c>
    </row>
    <row r="334" spans="1:33" x14ac:dyDescent="0.25">
      <c r="A334" s="1">
        <v>509</v>
      </c>
      <c r="B334" s="1" t="s">
        <v>683</v>
      </c>
      <c r="C334" s="1" t="s">
        <v>681</v>
      </c>
      <c r="D334" s="1" t="s">
        <v>98</v>
      </c>
      <c r="E334" s="1" t="s">
        <v>597</v>
      </c>
      <c r="F334" s="10">
        <v>46188</v>
      </c>
      <c r="G334" s="10">
        <v>46192</v>
      </c>
      <c r="H334" s="11">
        <v>1</v>
      </c>
      <c r="I334" s="10">
        <v>46192</v>
      </c>
      <c r="J334" s="1">
        <v>508</v>
      </c>
      <c r="K334" s="1">
        <v>510</v>
      </c>
      <c r="L334" s="1" t="s">
        <v>59</v>
      </c>
      <c r="M334" s="1" t="s">
        <v>62</v>
      </c>
      <c r="N334" s="2">
        <v>46164</v>
      </c>
      <c r="P334" s="1" t="s">
        <v>645</v>
      </c>
      <c r="Q334" s="1" t="s">
        <v>133</v>
      </c>
      <c r="R334" s="1" t="s">
        <v>55</v>
      </c>
      <c r="S334" s="2">
        <v>46164</v>
      </c>
      <c r="T334" s="2">
        <v>46164</v>
      </c>
      <c r="V334" s="1">
        <v>1</v>
      </c>
      <c r="W334" s="1">
        <v>0</v>
      </c>
      <c r="X334" s="1">
        <v>0</v>
      </c>
      <c r="Y334" s="1">
        <v>0</v>
      </c>
      <c r="Z334" s="1">
        <v>0</v>
      </c>
      <c r="AA334" s="1">
        <v>1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</row>
    <row r="335" spans="1:33" x14ac:dyDescent="0.25">
      <c r="A335" s="1">
        <v>510</v>
      </c>
      <c r="B335" s="1" t="s">
        <v>684</v>
      </c>
      <c r="C335" s="1" t="s">
        <v>681</v>
      </c>
      <c r="D335" s="1" t="s">
        <v>102</v>
      </c>
      <c r="E335" s="1" t="s">
        <v>685</v>
      </c>
      <c r="F335" s="10">
        <v>46195</v>
      </c>
      <c r="G335" s="10">
        <v>46205</v>
      </c>
      <c r="H335" s="11">
        <v>0.5</v>
      </c>
      <c r="J335" s="1">
        <v>509</v>
      </c>
      <c r="K335" s="1">
        <v>511</v>
      </c>
      <c r="L335" s="1" t="s">
        <v>35</v>
      </c>
      <c r="M335" s="1" t="s">
        <v>150</v>
      </c>
      <c r="N335" s="2">
        <v>46168</v>
      </c>
      <c r="P335" s="1" t="s">
        <v>645</v>
      </c>
      <c r="Q335" s="1" t="s">
        <v>133</v>
      </c>
      <c r="R335" s="1" t="s">
        <v>55</v>
      </c>
      <c r="S335" s="2">
        <v>46167</v>
      </c>
      <c r="T335" s="2">
        <v>46168</v>
      </c>
      <c r="V335" s="1">
        <v>0.5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1</v>
      </c>
      <c r="AE335" s="1">
        <v>0</v>
      </c>
      <c r="AF335" s="1">
        <v>0</v>
      </c>
      <c r="AG335" s="1">
        <v>0</v>
      </c>
    </row>
    <row r="336" spans="1:33" x14ac:dyDescent="0.25">
      <c r="A336" s="1">
        <v>511</v>
      </c>
      <c r="B336" s="1" t="s">
        <v>686</v>
      </c>
      <c r="C336" s="1" t="s">
        <v>681</v>
      </c>
      <c r="D336" s="1" t="s">
        <v>108</v>
      </c>
      <c r="E336" s="1" t="s">
        <v>53</v>
      </c>
      <c r="F336" s="10">
        <v>46206</v>
      </c>
      <c r="G336" s="10">
        <v>46206</v>
      </c>
      <c r="H336" s="11">
        <v>0</v>
      </c>
      <c r="J336" s="1">
        <v>510</v>
      </c>
      <c r="L336" s="1" t="s">
        <v>35</v>
      </c>
      <c r="M336" s="1" t="s">
        <v>409</v>
      </c>
      <c r="N336" s="2">
        <v>46169</v>
      </c>
      <c r="P336" s="1" t="s">
        <v>645</v>
      </c>
      <c r="Q336" s="1" t="s">
        <v>133</v>
      </c>
      <c r="R336" s="1" t="s">
        <v>55</v>
      </c>
      <c r="S336" s="2">
        <v>46169</v>
      </c>
      <c r="T336" s="2">
        <v>46169</v>
      </c>
      <c r="V336" s="1">
        <v>0</v>
      </c>
      <c r="W336" s="1">
        <v>0</v>
      </c>
      <c r="X336" s="1">
        <v>0</v>
      </c>
      <c r="Y336" s="1">
        <v>0</v>
      </c>
      <c r="Z336" s="1">
        <v>1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1</v>
      </c>
      <c r="AG336" s="1">
        <v>0</v>
      </c>
    </row>
    <row r="337" spans="1:33" x14ac:dyDescent="0.25">
      <c r="A337" s="1">
        <v>512</v>
      </c>
      <c r="B337" s="1" t="s">
        <v>687</v>
      </c>
      <c r="C337" s="1" t="s">
        <v>647</v>
      </c>
      <c r="D337" s="1" t="s">
        <v>688</v>
      </c>
      <c r="E337" s="1" t="s">
        <v>609</v>
      </c>
      <c r="F337" s="10">
        <v>46174</v>
      </c>
      <c r="G337" s="10">
        <v>46206</v>
      </c>
      <c r="H337" s="11">
        <v>0.74</v>
      </c>
      <c r="L337" s="1" t="s">
        <v>35</v>
      </c>
      <c r="M337" s="1" t="s">
        <v>142</v>
      </c>
      <c r="N337" s="2">
        <v>46169</v>
      </c>
      <c r="P337" s="1" t="s">
        <v>645</v>
      </c>
      <c r="Q337" s="1" t="s">
        <v>169</v>
      </c>
      <c r="R337" s="1" t="s">
        <v>55</v>
      </c>
      <c r="S337" s="2">
        <v>46162</v>
      </c>
      <c r="T337" s="2">
        <v>46169</v>
      </c>
      <c r="V337" s="1">
        <v>0.74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</row>
    <row r="338" spans="1:33" x14ac:dyDescent="0.25">
      <c r="A338" s="1">
        <v>513</v>
      </c>
      <c r="B338" s="1" t="s">
        <v>689</v>
      </c>
      <c r="C338" s="1" t="s">
        <v>690</v>
      </c>
      <c r="D338" s="1" t="s">
        <v>94</v>
      </c>
      <c r="E338" s="1" t="s">
        <v>103</v>
      </c>
      <c r="F338" s="10">
        <v>46174</v>
      </c>
      <c r="G338" s="10">
        <v>46185</v>
      </c>
      <c r="H338" s="11">
        <v>1</v>
      </c>
      <c r="I338" s="10">
        <v>46185</v>
      </c>
      <c r="J338" s="1" t="s">
        <v>682</v>
      </c>
      <c r="K338" s="1" t="s">
        <v>691</v>
      </c>
      <c r="L338" s="1" t="s">
        <v>59</v>
      </c>
      <c r="M338" s="1" t="s">
        <v>142</v>
      </c>
      <c r="N338" s="2">
        <v>46163</v>
      </c>
      <c r="P338" s="1" t="s">
        <v>645</v>
      </c>
      <c r="Q338" s="1" t="s">
        <v>169</v>
      </c>
      <c r="R338" s="1" t="s">
        <v>55</v>
      </c>
      <c r="S338" s="2">
        <v>46162</v>
      </c>
      <c r="T338" s="2">
        <v>46163</v>
      </c>
      <c r="V338" s="1">
        <v>1</v>
      </c>
      <c r="W338" s="1">
        <v>1</v>
      </c>
      <c r="X338" s="1">
        <v>1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1</v>
      </c>
    </row>
    <row r="339" spans="1:33" x14ac:dyDescent="0.25">
      <c r="A339" s="1">
        <v>514</v>
      </c>
      <c r="B339" s="1" t="s">
        <v>692</v>
      </c>
      <c r="C339" s="1" t="s">
        <v>690</v>
      </c>
      <c r="D339" s="1" t="s">
        <v>98</v>
      </c>
      <c r="E339" s="1" t="s">
        <v>597</v>
      </c>
      <c r="F339" s="10">
        <v>46188</v>
      </c>
      <c r="G339" s="10">
        <v>46192</v>
      </c>
      <c r="H339" s="11">
        <v>1</v>
      </c>
      <c r="I339" s="10">
        <v>46192</v>
      </c>
      <c r="J339" s="1">
        <v>513</v>
      </c>
      <c r="K339" s="1">
        <v>515</v>
      </c>
      <c r="L339" s="1" t="s">
        <v>59</v>
      </c>
      <c r="M339" s="1" t="s">
        <v>62</v>
      </c>
      <c r="N339" s="2">
        <v>46164</v>
      </c>
      <c r="P339" s="1" t="s">
        <v>645</v>
      </c>
      <c r="Q339" s="1" t="s">
        <v>133</v>
      </c>
      <c r="R339" s="1" t="s">
        <v>55</v>
      </c>
      <c r="S339" s="2">
        <v>46164</v>
      </c>
      <c r="T339" s="2">
        <v>46164</v>
      </c>
      <c r="V339" s="1">
        <v>1</v>
      </c>
      <c r="W339" s="1">
        <v>0</v>
      </c>
      <c r="X339" s="1">
        <v>0</v>
      </c>
      <c r="Y339" s="1">
        <v>0</v>
      </c>
      <c r="Z339" s="1">
        <v>0</v>
      </c>
      <c r="AA339" s="1">
        <v>1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</row>
    <row r="340" spans="1:33" x14ac:dyDescent="0.25">
      <c r="A340" s="1">
        <v>515</v>
      </c>
      <c r="B340" s="1" t="s">
        <v>693</v>
      </c>
      <c r="C340" s="1" t="s">
        <v>690</v>
      </c>
      <c r="D340" s="1" t="s">
        <v>102</v>
      </c>
      <c r="E340" s="1" t="s">
        <v>685</v>
      </c>
      <c r="F340" s="10">
        <v>46195</v>
      </c>
      <c r="G340" s="10">
        <v>46205</v>
      </c>
      <c r="H340" s="11">
        <v>0.5</v>
      </c>
      <c r="J340" s="1">
        <v>514</v>
      </c>
      <c r="K340" s="1">
        <v>516</v>
      </c>
      <c r="L340" s="1" t="s">
        <v>35</v>
      </c>
      <c r="M340" s="1" t="s">
        <v>150</v>
      </c>
      <c r="N340" s="2">
        <v>46168</v>
      </c>
      <c r="P340" s="1" t="s">
        <v>645</v>
      </c>
      <c r="Q340" s="1" t="s">
        <v>133</v>
      </c>
      <c r="R340" s="1" t="s">
        <v>55</v>
      </c>
      <c r="S340" s="2">
        <v>46167</v>
      </c>
      <c r="T340" s="2">
        <v>46168</v>
      </c>
      <c r="V340" s="1">
        <v>0.5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1</v>
      </c>
      <c r="AE340" s="1">
        <v>0</v>
      </c>
      <c r="AF340" s="1">
        <v>0</v>
      </c>
      <c r="AG340" s="1">
        <v>0</v>
      </c>
    </row>
    <row r="341" spans="1:33" x14ac:dyDescent="0.25">
      <c r="A341" s="1">
        <v>516</v>
      </c>
      <c r="B341" s="1" t="s">
        <v>694</v>
      </c>
      <c r="C341" s="1" t="s">
        <v>690</v>
      </c>
      <c r="D341" s="1" t="s">
        <v>108</v>
      </c>
      <c r="E341" s="1" t="s">
        <v>53</v>
      </c>
      <c r="F341" s="10">
        <v>46206</v>
      </c>
      <c r="G341" s="10">
        <v>46206</v>
      </c>
      <c r="H341" s="11">
        <v>0</v>
      </c>
      <c r="J341" s="1">
        <v>515</v>
      </c>
      <c r="L341" s="1" t="s">
        <v>35</v>
      </c>
      <c r="M341" s="1" t="s">
        <v>409</v>
      </c>
      <c r="N341" s="2">
        <v>46169</v>
      </c>
      <c r="P341" s="1" t="s">
        <v>645</v>
      </c>
      <c r="Q341" s="1" t="s">
        <v>133</v>
      </c>
      <c r="R341" s="1" t="s">
        <v>55</v>
      </c>
      <c r="S341" s="2">
        <v>46169</v>
      </c>
      <c r="T341" s="2">
        <v>46169</v>
      </c>
      <c r="V341" s="1">
        <v>0</v>
      </c>
      <c r="W341" s="1">
        <v>0</v>
      </c>
      <c r="X341" s="1">
        <v>0</v>
      </c>
      <c r="Y341" s="1">
        <v>0</v>
      </c>
      <c r="Z341" s="1">
        <v>1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1</v>
      </c>
      <c r="AG341" s="1">
        <v>0</v>
      </c>
    </row>
    <row r="342" spans="1:33" x14ac:dyDescent="0.25">
      <c r="A342" s="1">
        <v>517</v>
      </c>
      <c r="B342" s="1" t="s">
        <v>695</v>
      </c>
      <c r="C342" s="1" t="s">
        <v>647</v>
      </c>
      <c r="D342" s="1" t="s">
        <v>696</v>
      </c>
      <c r="E342" s="1" t="s">
        <v>609</v>
      </c>
      <c r="F342" s="10">
        <v>46174</v>
      </c>
      <c r="G342" s="10">
        <v>46206</v>
      </c>
      <c r="H342" s="11">
        <v>0.74</v>
      </c>
      <c r="L342" s="1" t="s">
        <v>35</v>
      </c>
      <c r="M342" s="1" t="s">
        <v>142</v>
      </c>
      <c r="N342" s="2">
        <v>46169</v>
      </c>
      <c r="P342" s="1" t="s">
        <v>645</v>
      </c>
      <c r="Q342" s="1" t="s">
        <v>169</v>
      </c>
      <c r="R342" s="1" t="s">
        <v>55</v>
      </c>
      <c r="S342" s="2">
        <v>46162</v>
      </c>
      <c r="T342" s="2">
        <v>46169</v>
      </c>
      <c r="V342" s="1">
        <v>0.74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</row>
    <row r="343" spans="1:33" x14ac:dyDescent="0.25">
      <c r="A343" s="1">
        <v>518</v>
      </c>
      <c r="B343" s="1" t="s">
        <v>697</v>
      </c>
      <c r="C343" s="1" t="s">
        <v>698</v>
      </c>
      <c r="D343" s="1" t="s">
        <v>94</v>
      </c>
      <c r="E343" s="1" t="s">
        <v>103</v>
      </c>
      <c r="F343" s="10">
        <v>46174</v>
      </c>
      <c r="G343" s="10">
        <v>46185</v>
      </c>
      <c r="H343" s="11">
        <v>1</v>
      </c>
      <c r="I343" s="10">
        <v>46185</v>
      </c>
      <c r="J343" s="1" t="s">
        <v>682</v>
      </c>
      <c r="K343" s="1">
        <v>519</v>
      </c>
      <c r="L343" s="1" t="s">
        <v>59</v>
      </c>
      <c r="M343" s="1" t="s">
        <v>142</v>
      </c>
      <c r="N343" s="2">
        <v>46163</v>
      </c>
      <c r="P343" s="1" t="s">
        <v>645</v>
      </c>
      <c r="Q343" s="1" t="s">
        <v>169</v>
      </c>
      <c r="R343" s="1" t="s">
        <v>55</v>
      </c>
      <c r="S343" s="2">
        <v>46162</v>
      </c>
      <c r="T343" s="2">
        <v>46163</v>
      </c>
      <c r="V343" s="1">
        <v>1</v>
      </c>
      <c r="W343" s="1">
        <v>1</v>
      </c>
      <c r="X343" s="1">
        <v>1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1</v>
      </c>
    </row>
    <row r="344" spans="1:33" x14ac:dyDescent="0.25">
      <c r="A344" s="1">
        <v>519</v>
      </c>
      <c r="B344" s="1" t="s">
        <v>699</v>
      </c>
      <c r="C344" s="1" t="s">
        <v>698</v>
      </c>
      <c r="D344" s="1" t="s">
        <v>98</v>
      </c>
      <c r="E344" s="1" t="s">
        <v>597</v>
      </c>
      <c r="F344" s="10">
        <v>46188</v>
      </c>
      <c r="G344" s="10">
        <v>46192</v>
      </c>
      <c r="H344" s="11">
        <v>1</v>
      </c>
      <c r="I344" s="10">
        <v>46192</v>
      </c>
      <c r="J344" s="1">
        <v>518</v>
      </c>
      <c r="K344" s="1">
        <v>520</v>
      </c>
      <c r="L344" s="1" t="s">
        <v>59</v>
      </c>
      <c r="M344" s="1" t="s">
        <v>62</v>
      </c>
      <c r="N344" s="2">
        <v>46164</v>
      </c>
      <c r="P344" s="1" t="s">
        <v>645</v>
      </c>
      <c r="Q344" s="1" t="s">
        <v>133</v>
      </c>
      <c r="R344" s="1" t="s">
        <v>55</v>
      </c>
      <c r="S344" s="2">
        <v>46164</v>
      </c>
      <c r="T344" s="2">
        <v>46164</v>
      </c>
      <c r="V344" s="1">
        <v>1</v>
      </c>
      <c r="W344" s="1">
        <v>0</v>
      </c>
      <c r="X344" s="1">
        <v>0</v>
      </c>
      <c r="Y344" s="1">
        <v>0</v>
      </c>
      <c r="Z344" s="1">
        <v>0</v>
      </c>
      <c r="AA344" s="1">
        <v>1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</row>
    <row r="345" spans="1:33" x14ac:dyDescent="0.25">
      <c r="A345" s="1">
        <v>520</v>
      </c>
      <c r="B345" s="1" t="s">
        <v>700</v>
      </c>
      <c r="C345" s="1" t="s">
        <v>698</v>
      </c>
      <c r="D345" s="1" t="s">
        <v>102</v>
      </c>
      <c r="E345" s="1" t="s">
        <v>685</v>
      </c>
      <c r="F345" s="10">
        <v>46195</v>
      </c>
      <c r="G345" s="10">
        <v>46205</v>
      </c>
      <c r="H345" s="11">
        <v>0.5</v>
      </c>
      <c r="J345" s="1">
        <v>519</v>
      </c>
      <c r="K345" s="1">
        <v>521</v>
      </c>
      <c r="L345" s="1" t="s">
        <v>35</v>
      </c>
      <c r="M345" s="1" t="s">
        <v>150</v>
      </c>
      <c r="N345" s="2">
        <v>46168</v>
      </c>
      <c r="P345" s="1" t="s">
        <v>645</v>
      </c>
      <c r="Q345" s="1" t="s">
        <v>133</v>
      </c>
      <c r="R345" s="1" t="s">
        <v>55</v>
      </c>
      <c r="S345" s="2">
        <v>46167</v>
      </c>
      <c r="T345" s="2">
        <v>46168</v>
      </c>
      <c r="V345" s="1">
        <v>0.5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1</v>
      </c>
      <c r="AE345" s="1">
        <v>0</v>
      </c>
      <c r="AF345" s="1">
        <v>0</v>
      </c>
      <c r="AG345" s="1">
        <v>0</v>
      </c>
    </row>
    <row r="346" spans="1:33" x14ac:dyDescent="0.25">
      <c r="A346" s="1">
        <v>521</v>
      </c>
      <c r="B346" s="1" t="s">
        <v>701</v>
      </c>
      <c r="C346" s="1" t="s">
        <v>698</v>
      </c>
      <c r="D346" s="1" t="s">
        <v>108</v>
      </c>
      <c r="E346" s="1" t="s">
        <v>53</v>
      </c>
      <c r="F346" s="10">
        <v>46206</v>
      </c>
      <c r="G346" s="10">
        <v>46206</v>
      </c>
      <c r="H346" s="11">
        <v>0</v>
      </c>
      <c r="J346" s="1">
        <v>520</v>
      </c>
      <c r="L346" s="1" t="s">
        <v>35</v>
      </c>
      <c r="M346" s="1" t="s">
        <v>409</v>
      </c>
      <c r="N346" s="2">
        <v>46169</v>
      </c>
      <c r="P346" s="1" t="s">
        <v>645</v>
      </c>
      <c r="Q346" s="1" t="s">
        <v>133</v>
      </c>
      <c r="R346" s="1" t="s">
        <v>55</v>
      </c>
      <c r="S346" s="2">
        <v>46169</v>
      </c>
      <c r="T346" s="2">
        <v>46169</v>
      </c>
      <c r="V346" s="1">
        <v>0</v>
      </c>
      <c r="W346" s="1">
        <v>0</v>
      </c>
      <c r="X346" s="1">
        <v>0</v>
      </c>
      <c r="Y346" s="1">
        <v>0</v>
      </c>
      <c r="Z346" s="1">
        <v>1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1</v>
      </c>
      <c r="AG346" s="1">
        <v>0</v>
      </c>
    </row>
    <row r="347" spans="1:33" x14ac:dyDescent="0.25">
      <c r="A347" s="1">
        <v>522</v>
      </c>
      <c r="B347" s="1" t="s">
        <v>702</v>
      </c>
      <c r="C347" s="1" t="s">
        <v>647</v>
      </c>
      <c r="D347" s="1" t="s">
        <v>703</v>
      </c>
      <c r="E347" s="1" t="s">
        <v>704</v>
      </c>
      <c r="F347" s="10">
        <v>46195</v>
      </c>
      <c r="G347" s="10">
        <v>46206</v>
      </c>
      <c r="H347" s="11">
        <v>0.56000000000000005</v>
      </c>
      <c r="L347" s="1" t="s">
        <v>35</v>
      </c>
      <c r="M347" s="1" t="s">
        <v>409</v>
      </c>
      <c r="N347" s="2">
        <v>46188</v>
      </c>
      <c r="P347" s="1" t="s">
        <v>645</v>
      </c>
      <c r="Q347" s="1" t="s">
        <v>178</v>
      </c>
      <c r="R347" s="1" t="s">
        <v>55</v>
      </c>
      <c r="S347" s="2">
        <v>46169</v>
      </c>
      <c r="T347" s="2">
        <v>46188</v>
      </c>
      <c r="V347" s="1">
        <v>0.56000000000000005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</row>
    <row r="348" spans="1:33" x14ac:dyDescent="0.25">
      <c r="A348" s="1">
        <v>523</v>
      </c>
      <c r="B348" s="1" t="s">
        <v>705</v>
      </c>
      <c r="C348" s="1" t="s">
        <v>706</v>
      </c>
      <c r="D348" s="1" t="s">
        <v>94</v>
      </c>
      <c r="E348" s="1" t="s">
        <v>525</v>
      </c>
      <c r="F348" s="10">
        <v>46195</v>
      </c>
      <c r="G348" s="10">
        <v>46198</v>
      </c>
      <c r="H348" s="11">
        <v>1</v>
      </c>
      <c r="I348" s="10">
        <v>46198</v>
      </c>
      <c r="J348" s="1">
        <v>478</v>
      </c>
      <c r="K348" s="1">
        <v>524</v>
      </c>
      <c r="L348" s="1" t="s">
        <v>59</v>
      </c>
      <c r="M348" s="1" t="s">
        <v>409</v>
      </c>
      <c r="N348" s="2">
        <v>46182</v>
      </c>
      <c r="P348" s="1" t="s">
        <v>645</v>
      </c>
      <c r="Q348" s="1" t="s">
        <v>178</v>
      </c>
      <c r="R348" s="1" t="s">
        <v>55</v>
      </c>
      <c r="S348" s="2">
        <v>46169</v>
      </c>
      <c r="T348" s="2">
        <v>46182</v>
      </c>
      <c r="V348" s="1">
        <v>1</v>
      </c>
      <c r="W348" s="1">
        <v>1</v>
      </c>
      <c r="X348" s="1">
        <v>1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1</v>
      </c>
    </row>
    <row r="349" spans="1:33" x14ac:dyDescent="0.25">
      <c r="A349" s="1">
        <v>524</v>
      </c>
      <c r="B349" s="1" t="s">
        <v>707</v>
      </c>
      <c r="C349" s="1" t="s">
        <v>706</v>
      </c>
      <c r="D349" s="1" t="s">
        <v>98</v>
      </c>
      <c r="E349" s="1" t="s">
        <v>53</v>
      </c>
      <c r="F349" s="10">
        <v>46199</v>
      </c>
      <c r="G349" s="10">
        <v>46199</v>
      </c>
      <c r="H349" s="11">
        <v>0.5</v>
      </c>
      <c r="J349" s="1">
        <v>523</v>
      </c>
      <c r="K349" s="1">
        <v>525</v>
      </c>
      <c r="L349" s="1" t="s">
        <v>35</v>
      </c>
      <c r="M349" s="1" t="s">
        <v>260</v>
      </c>
      <c r="N349" s="2">
        <v>46183</v>
      </c>
      <c r="P349" s="1" t="s">
        <v>645</v>
      </c>
      <c r="Q349" s="1" t="s">
        <v>146</v>
      </c>
      <c r="R349" s="1" t="s">
        <v>55</v>
      </c>
      <c r="S349" s="2">
        <v>46183</v>
      </c>
      <c r="T349" s="2">
        <v>46183</v>
      </c>
      <c r="V349" s="1">
        <v>0.5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1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</row>
    <row r="350" spans="1:33" x14ac:dyDescent="0.25">
      <c r="A350" s="1">
        <v>525</v>
      </c>
      <c r="B350" s="1" t="s">
        <v>708</v>
      </c>
      <c r="C350" s="1" t="s">
        <v>706</v>
      </c>
      <c r="D350" s="1" t="s">
        <v>102</v>
      </c>
      <c r="E350" s="1" t="s">
        <v>121</v>
      </c>
      <c r="F350" s="10">
        <v>46202</v>
      </c>
      <c r="G350" s="10">
        <v>46203</v>
      </c>
      <c r="H350" s="11">
        <v>0</v>
      </c>
      <c r="J350" s="1">
        <v>524</v>
      </c>
      <c r="K350" s="1">
        <v>526</v>
      </c>
      <c r="L350" s="1" t="s">
        <v>35</v>
      </c>
      <c r="M350" s="1" t="s">
        <v>262</v>
      </c>
      <c r="N350" s="2">
        <v>46185</v>
      </c>
      <c r="P350" s="1" t="s">
        <v>645</v>
      </c>
      <c r="Q350" s="1" t="s">
        <v>146</v>
      </c>
      <c r="R350" s="1" t="s">
        <v>55</v>
      </c>
      <c r="S350" s="2">
        <v>46184</v>
      </c>
      <c r="T350" s="2">
        <v>46185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1</v>
      </c>
      <c r="AE350" s="1">
        <v>0</v>
      </c>
      <c r="AF350" s="1">
        <v>0</v>
      </c>
      <c r="AG350" s="1">
        <v>0</v>
      </c>
    </row>
    <row r="351" spans="1:33" x14ac:dyDescent="0.25">
      <c r="A351" s="1">
        <v>526</v>
      </c>
      <c r="B351" s="1" t="s">
        <v>709</v>
      </c>
      <c r="C351" s="1" t="s">
        <v>706</v>
      </c>
      <c r="D351" s="1" t="s">
        <v>108</v>
      </c>
      <c r="E351" s="1" t="s">
        <v>53</v>
      </c>
      <c r="F351" s="10">
        <v>46206</v>
      </c>
      <c r="G351" s="10">
        <v>46206</v>
      </c>
      <c r="H351" s="11">
        <v>0</v>
      </c>
      <c r="J351" s="1">
        <v>525</v>
      </c>
      <c r="L351" s="1" t="s">
        <v>35</v>
      </c>
      <c r="M351" s="1" t="s">
        <v>264</v>
      </c>
      <c r="N351" s="2">
        <v>46188</v>
      </c>
      <c r="P351" s="1" t="s">
        <v>645</v>
      </c>
      <c r="Q351" s="1" t="s">
        <v>146</v>
      </c>
      <c r="R351" s="1" t="s">
        <v>55</v>
      </c>
      <c r="S351" s="2">
        <v>46188</v>
      </c>
      <c r="T351" s="2">
        <v>46188</v>
      </c>
      <c r="V351" s="1">
        <v>0</v>
      </c>
      <c r="W351" s="1">
        <v>0</v>
      </c>
      <c r="X351" s="1">
        <v>0</v>
      </c>
      <c r="Y351" s="1">
        <v>0</v>
      </c>
      <c r="Z351" s="1">
        <v>1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1</v>
      </c>
      <c r="AG351" s="1">
        <v>0</v>
      </c>
    </row>
    <row r="352" spans="1:33" x14ac:dyDescent="0.25">
      <c r="A352" s="1">
        <v>527</v>
      </c>
      <c r="B352" s="1" t="s">
        <v>710</v>
      </c>
      <c r="C352" s="1" t="s">
        <v>647</v>
      </c>
      <c r="D352" s="1" t="s">
        <v>711</v>
      </c>
      <c r="E352" s="1" t="s">
        <v>159</v>
      </c>
      <c r="F352" s="10">
        <v>46192</v>
      </c>
      <c r="G352" s="10">
        <v>46211</v>
      </c>
      <c r="H352" s="11">
        <v>0.75</v>
      </c>
      <c r="L352" s="1" t="s">
        <v>180</v>
      </c>
      <c r="M352" s="1" t="s">
        <v>409</v>
      </c>
      <c r="N352" s="2">
        <v>46188</v>
      </c>
      <c r="P352" s="1" t="s">
        <v>645</v>
      </c>
      <c r="Q352" s="1" t="s">
        <v>133</v>
      </c>
      <c r="R352" s="1" t="s">
        <v>55</v>
      </c>
      <c r="S352" s="2">
        <v>46169</v>
      </c>
      <c r="T352" s="2">
        <v>46188</v>
      </c>
      <c r="V352" s="1">
        <v>0.75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</row>
    <row r="353" spans="1:33" x14ac:dyDescent="0.25">
      <c r="A353" s="1">
        <v>528</v>
      </c>
      <c r="B353" s="1" t="s">
        <v>712</v>
      </c>
      <c r="C353" s="1" t="s">
        <v>713</v>
      </c>
      <c r="D353" s="1" t="s">
        <v>94</v>
      </c>
      <c r="E353" s="1" t="s">
        <v>525</v>
      </c>
      <c r="F353" s="10">
        <v>46192</v>
      </c>
      <c r="G353" s="10">
        <v>46197</v>
      </c>
      <c r="H353" s="11">
        <v>1</v>
      </c>
      <c r="I353" s="10">
        <v>46197</v>
      </c>
      <c r="J353" s="1">
        <v>478</v>
      </c>
      <c r="K353" s="1">
        <v>529</v>
      </c>
      <c r="L353" s="1" t="s">
        <v>59</v>
      </c>
      <c r="M353" s="1" t="s">
        <v>409</v>
      </c>
      <c r="N353" s="2">
        <v>46182</v>
      </c>
      <c r="P353" s="1" t="s">
        <v>645</v>
      </c>
      <c r="Q353" s="1" t="s">
        <v>133</v>
      </c>
      <c r="R353" s="1" t="s">
        <v>55</v>
      </c>
      <c r="S353" s="2">
        <v>46169</v>
      </c>
      <c r="T353" s="2">
        <v>46182</v>
      </c>
      <c r="V353" s="1">
        <v>1</v>
      </c>
      <c r="W353" s="1">
        <v>1</v>
      </c>
      <c r="X353" s="1">
        <v>1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1</v>
      </c>
    </row>
    <row r="354" spans="1:33" x14ac:dyDescent="0.25">
      <c r="A354" s="1">
        <v>529</v>
      </c>
      <c r="B354" s="1" t="s">
        <v>714</v>
      </c>
      <c r="C354" s="1" t="s">
        <v>713</v>
      </c>
      <c r="D354" s="1" t="s">
        <v>98</v>
      </c>
      <c r="E354" s="1" t="s">
        <v>53</v>
      </c>
      <c r="F354" s="10">
        <v>46198</v>
      </c>
      <c r="G354" s="10">
        <v>46198</v>
      </c>
      <c r="H354" s="11">
        <v>1</v>
      </c>
      <c r="I354" s="10">
        <v>46198</v>
      </c>
      <c r="J354" s="1">
        <v>528</v>
      </c>
      <c r="K354" s="1">
        <v>530</v>
      </c>
      <c r="L354" s="1" t="s">
        <v>59</v>
      </c>
      <c r="M354" s="1" t="s">
        <v>260</v>
      </c>
      <c r="N354" s="2">
        <v>46183</v>
      </c>
      <c r="P354" s="1" t="s">
        <v>645</v>
      </c>
      <c r="Q354" s="1" t="s">
        <v>178</v>
      </c>
      <c r="R354" s="1" t="s">
        <v>55</v>
      </c>
      <c r="S354" s="2">
        <v>46183</v>
      </c>
      <c r="T354" s="2">
        <v>46183</v>
      </c>
      <c r="V354" s="1">
        <v>1</v>
      </c>
      <c r="W354" s="1">
        <v>0</v>
      </c>
      <c r="X354" s="1">
        <v>0</v>
      </c>
      <c r="Y354" s="1">
        <v>0</v>
      </c>
      <c r="Z354" s="1">
        <v>0</v>
      </c>
      <c r="AA354" s="1">
        <v>1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</row>
    <row r="355" spans="1:33" x14ac:dyDescent="0.25">
      <c r="A355" s="1">
        <v>530</v>
      </c>
      <c r="B355" s="1" t="s">
        <v>715</v>
      </c>
      <c r="C355" s="1" t="s">
        <v>713</v>
      </c>
      <c r="D355" s="1" t="s">
        <v>102</v>
      </c>
      <c r="E355" s="1" t="s">
        <v>121</v>
      </c>
      <c r="F355" s="10">
        <v>46209</v>
      </c>
      <c r="G355" s="10">
        <v>46210</v>
      </c>
      <c r="H355" s="11">
        <v>0.5</v>
      </c>
      <c r="J355" s="1">
        <v>529</v>
      </c>
      <c r="K355" s="1">
        <v>531</v>
      </c>
      <c r="L355" s="1" t="s">
        <v>180</v>
      </c>
      <c r="M355" s="1" t="s">
        <v>262</v>
      </c>
      <c r="N355" s="2">
        <v>46185</v>
      </c>
      <c r="P355" s="1" t="s">
        <v>645</v>
      </c>
      <c r="Q355" s="1" t="s">
        <v>178</v>
      </c>
      <c r="R355" s="1" t="s">
        <v>55</v>
      </c>
      <c r="S355" s="2">
        <v>46184</v>
      </c>
      <c r="T355" s="2">
        <v>46185</v>
      </c>
      <c r="V355" s="1">
        <v>0.5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</row>
    <row r="356" spans="1:33" x14ac:dyDescent="0.25">
      <c r="A356" s="1">
        <v>531</v>
      </c>
      <c r="B356" s="1" t="s">
        <v>716</v>
      </c>
      <c r="C356" s="1" t="s">
        <v>713</v>
      </c>
      <c r="D356" s="1" t="s">
        <v>108</v>
      </c>
      <c r="E356" s="1" t="s">
        <v>53</v>
      </c>
      <c r="F356" s="10">
        <v>46211</v>
      </c>
      <c r="G356" s="10">
        <v>46211</v>
      </c>
      <c r="H356" s="11">
        <v>0</v>
      </c>
      <c r="J356" s="1">
        <v>530</v>
      </c>
      <c r="L356" s="1" t="s">
        <v>149</v>
      </c>
      <c r="M356" s="1" t="s">
        <v>264</v>
      </c>
      <c r="N356" s="2">
        <v>46188</v>
      </c>
      <c r="P356" s="1" t="s">
        <v>645</v>
      </c>
      <c r="Q356" s="1" t="s">
        <v>146</v>
      </c>
      <c r="R356" s="1" t="s">
        <v>55</v>
      </c>
      <c r="S356" s="2">
        <v>46188</v>
      </c>
      <c r="T356" s="2">
        <v>46188</v>
      </c>
      <c r="V356" s="1">
        <v>0</v>
      </c>
      <c r="W356" s="1">
        <v>0</v>
      </c>
      <c r="X356" s="1">
        <v>0</v>
      </c>
      <c r="Y356" s="1">
        <v>0</v>
      </c>
      <c r="Z356" s="1">
        <v>1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</row>
    <row r="357" spans="1:33" x14ac:dyDescent="0.25">
      <c r="A357" s="1">
        <v>532</v>
      </c>
      <c r="B357" s="1" t="s">
        <v>717</v>
      </c>
      <c r="C357" s="1" t="s">
        <v>647</v>
      </c>
      <c r="D357" s="1" t="s">
        <v>718</v>
      </c>
      <c r="E357" s="1" t="s">
        <v>172</v>
      </c>
      <c r="F357" s="10">
        <v>46197</v>
      </c>
      <c r="G357" s="10">
        <v>46205</v>
      </c>
      <c r="H357" s="11">
        <v>0.5</v>
      </c>
      <c r="L357" s="1" t="s">
        <v>35</v>
      </c>
      <c r="M357" s="1" t="s">
        <v>409</v>
      </c>
      <c r="N357" s="2">
        <v>46188</v>
      </c>
      <c r="P357" s="1" t="s">
        <v>645</v>
      </c>
      <c r="Q357" s="1" t="s">
        <v>178</v>
      </c>
      <c r="R357" s="1" t="s">
        <v>55</v>
      </c>
      <c r="S357" s="2">
        <v>46169</v>
      </c>
      <c r="T357" s="2">
        <v>46188</v>
      </c>
      <c r="V357" s="1">
        <v>0.5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</row>
    <row r="358" spans="1:33" x14ac:dyDescent="0.25">
      <c r="A358" s="1">
        <v>533</v>
      </c>
      <c r="B358" s="1" t="s">
        <v>719</v>
      </c>
      <c r="C358" s="1" t="s">
        <v>720</v>
      </c>
      <c r="D358" s="1" t="s">
        <v>94</v>
      </c>
      <c r="E358" s="1" t="s">
        <v>95</v>
      </c>
      <c r="F358" s="10">
        <v>46197</v>
      </c>
      <c r="G358" s="10">
        <v>46199</v>
      </c>
      <c r="H358" s="11">
        <v>1</v>
      </c>
      <c r="I358" s="10">
        <v>46199</v>
      </c>
      <c r="J358" s="1">
        <v>478</v>
      </c>
      <c r="K358" s="1">
        <v>534</v>
      </c>
      <c r="L358" s="1" t="s">
        <v>59</v>
      </c>
      <c r="M358" s="1" t="s">
        <v>409</v>
      </c>
      <c r="N358" s="2">
        <v>46182</v>
      </c>
      <c r="P358" s="1" t="s">
        <v>645</v>
      </c>
      <c r="Q358" s="1" t="s">
        <v>178</v>
      </c>
      <c r="R358" s="1" t="s">
        <v>55</v>
      </c>
      <c r="S358" s="2">
        <v>46169</v>
      </c>
      <c r="T358" s="2">
        <v>46182</v>
      </c>
      <c r="V358" s="1">
        <v>1</v>
      </c>
      <c r="W358" s="1">
        <v>1</v>
      </c>
      <c r="X358" s="1">
        <v>1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1</v>
      </c>
    </row>
    <row r="359" spans="1:33" x14ac:dyDescent="0.25">
      <c r="A359" s="1">
        <v>534</v>
      </c>
      <c r="B359" s="1" t="s">
        <v>721</v>
      </c>
      <c r="C359" s="1" t="s">
        <v>720</v>
      </c>
      <c r="D359" s="1" t="s">
        <v>98</v>
      </c>
      <c r="E359" s="1" t="s">
        <v>53</v>
      </c>
      <c r="F359" s="10">
        <v>46202</v>
      </c>
      <c r="G359" s="10">
        <v>46202</v>
      </c>
      <c r="H359" s="11">
        <v>0.5</v>
      </c>
      <c r="J359" s="1">
        <v>533</v>
      </c>
      <c r="K359" s="1">
        <v>535</v>
      </c>
      <c r="L359" s="1" t="s">
        <v>35</v>
      </c>
      <c r="M359" s="1" t="s">
        <v>260</v>
      </c>
      <c r="N359" s="2">
        <v>46183</v>
      </c>
      <c r="P359" s="1" t="s">
        <v>645</v>
      </c>
      <c r="Q359" s="1" t="s">
        <v>146</v>
      </c>
      <c r="R359" s="1" t="s">
        <v>55</v>
      </c>
      <c r="S359" s="2">
        <v>46183</v>
      </c>
      <c r="T359" s="2">
        <v>46183</v>
      </c>
      <c r="V359" s="1">
        <v>0.5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1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</row>
    <row r="360" spans="1:33" x14ac:dyDescent="0.25">
      <c r="A360" s="1">
        <v>535</v>
      </c>
      <c r="B360" s="1" t="s">
        <v>722</v>
      </c>
      <c r="C360" s="1" t="s">
        <v>720</v>
      </c>
      <c r="D360" s="1" t="s">
        <v>102</v>
      </c>
      <c r="E360" s="1" t="s">
        <v>121</v>
      </c>
      <c r="F360" s="10">
        <v>46203</v>
      </c>
      <c r="G360" s="10">
        <v>46204</v>
      </c>
      <c r="H360" s="11">
        <v>0</v>
      </c>
      <c r="J360" s="1">
        <v>534</v>
      </c>
      <c r="K360" s="1">
        <v>536</v>
      </c>
      <c r="L360" s="1" t="s">
        <v>35</v>
      </c>
      <c r="M360" s="1" t="s">
        <v>262</v>
      </c>
      <c r="N360" s="2">
        <v>46185</v>
      </c>
      <c r="P360" s="1" t="s">
        <v>645</v>
      </c>
      <c r="Q360" s="1" t="s">
        <v>146</v>
      </c>
      <c r="R360" s="1" t="s">
        <v>55</v>
      </c>
      <c r="S360" s="2">
        <v>46184</v>
      </c>
      <c r="T360" s="2">
        <v>46185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1</v>
      </c>
      <c r="AE360" s="1">
        <v>0</v>
      </c>
      <c r="AF360" s="1">
        <v>0</v>
      </c>
      <c r="AG360" s="1">
        <v>0</v>
      </c>
    </row>
    <row r="361" spans="1:33" x14ac:dyDescent="0.25">
      <c r="A361" s="1">
        <v>536</v>
      </c>
      <c r="B361" s="1" t="s">
        <v>723</v>
      </c>
      <c r="C361" s="1" t="s">
        <v>720</v>
      </c>
      <c r="D361" s="1" t="s">
        <v>108</v>
      </c>
      <c r="E361" s="1" t="s">
        <v>53</v>
      </c>
      <c r="F361" s="10">
        <v>46205</v>
      </c>
      <c r="G361" s="10">
        <v>46205</v>
      </c>
      <c r="H361" s="11">
        <v>0</v>
      </c>
      <c r="J361" s="1">
        <v>535</v>
      </c>
      <c r="L361" s="1" t="s">
        <v>35</v>
      </c>
      <c r="M361" s="1" t="s">
        <v>264</v>
      </c>
      <c r="N361" s="2">
        <v>46188</v>
      </c>
      <c r="P361" s="1" t="s">
        <v>645</v>
      </c>
      <c r="Q361" s="1" t="s">
        <v>146</v>
      </c>
      <c r="R361" s="1" t="s">
        <v>55</v>
      </c>
      <c r="S361" s="2">
        <v>46188</v>
      </c>
      <c r="T361" s="2">
        <v>46188</v>
      </c>
      <c r="V361" s="1">
        <v>0</v>
      </c>
      <c r="W361" s="1">
        <v>0</v>
      </c>
      <c r="X361" s="1">
        <v>0</v>
      </c>
      <c r="Y361" s="1">
        <v>0</v>
      </c>
      <c r="Z361" s="1">
        <v>1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1</v>
      </c>
      <c r="AG361" s="1">
        <v>0</v>
      </c>
    </row>
    <row r="362" spans="1:33" x14ac:dyDescent="0.25">
      <c r="A362" s="1">
        <v>537</v>
      </c>
      <c r="B362" s="1" t="s">
        <v>724</v>
      </c>
      <c r="C362" s="1" t="s">
        <v>647</v>
      </c>
      <c r="D362" s="1" t="s">
        <v>725</v>
      </c>
      <c r="E362" s="1" t="s">
        <v>594</v>
      </c>
      <c r="F362" s="10">
        <v>46192</v>
      </c>
      <c r="G362" s="10">
        <v>46203</v>
      </c>
      <c r="H362" s="11">
        <v>0.56000000000000005</v>
      </c>
      <c r="L362" s="1" t="s">
        <v>35</v>
      </c>
      <c r="M362" s="1" t="s">
        <v>409</v>
      </c>
      <c r="N362" s="2">
        <v>46188</v>
      </c>
      <c r="P362" s="1" t="s">
        <v>645</v>
      </c>
      <c r="Q362" s="1" t="s">
        <v>133</v>
      </c>
      <c r="R362" s="1" t="s">
        <v>55</v>
      </c>
      <c r="S362" s="2">
        <v>46169</v>
      </c>
      <c r="T362" s="2">
        <v>46188</v>
      </c>
      <c r="V362" s="1">
        <v>0.56000000000000005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</row>
    <row r="363" spans="1:33" x14ac:dyDescent="0.25">
      <c r="A363" s="1">
        <v>538</v>
      </c>
      <c r="B363" s="1" t="s">
        <v>726</v>
      </c>
      <c r="C363" s="1" t="s">
        <v>727</v>
      </c>
      <c r="D363" s="1" t="s">
        <v>94</v>
      </c>
      <c r="E363" s="1" t="s">
        <v>525</v>
      </c>
      <c r="F363" s="10">
        <v>46192</v>
      </c>
      <c r="G363" s="10">
        <v>46197</v>
      </c>
      <c r="H363" s="11">
        <v>1</v>
      </c>
      <c r="I363" s="10">
        <v>46197</v>
      </c>
      <c r="J363" s="1">
        <v>478</v>
      </c>
      <c r="K363" s="1">
        <v>539</v>
      </c>
      <c r="L363" s="1" t="s">
        <v>59</v>
      </c>
      <c r="M363" s="1" t="s">
        <v>409</v>
      </c>
      <c r="N363" s="2">
        <v>46182</v>
      </c>
      <c r="P363" s="1" t="s">
        <v>645</v>
      </c>
      <c r="Q363" s="1" t="s">
        <v>133</v>
      </c>
      <c r="R363" s="1" t="s">
        <v>55</v>
      </c>
      <c r="S363" s="2">
        <v>46169</v>
      </c>
      <c r="T363" s="2">
        <v>46182</v>
      </c>
      <c r="V363" s="1">
        <v>1</v>
      </c>
      <c r="W363" s="1">
        <v>1</v>
      </c>
      <c r="X363" s="1">
        <v>1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1</v>
      </c>
    </row>
    <row r="364" spans="1:33" x14ac:dyDescent="0.25">
      <c r="A364" s="1">
        <v>539</v>
      </c>
      <c r="B364" s="1" t="s">
        <v>728</v>
      </c>
      <c r="C364" s="1" t="s">
        <v>727</v>
      </c>
      <c r="D364" s="1" t="s">
        <v>98</v>
      </c>
      <c r="E364" s="1" t="s">
        <v>53</v>
      </c>
      <c r="F364" s="10">
        <v>46198</v>
      </c>
      <c r="G364" s="10">
        <v>46198</v>
      </c>
      <c r="H364" s="11">
        <v>0.5</v>
      </c>
      <c r="J364" s="1">
        <v>538</v>
      </c>
      <c r="K364" s="1">
        <v>540</v>
      </c>
      <c r="L364" s="1" t="s">
        <v>35</v>
      </c>
      <c r="M364" s="1" t="s">
        <v>260</v>
      </c>
      <c r="N364" s="2">
        <v>46183</v>
      </c>
      <c r="P364" s="1" t="s">
        <v>645</v>
      </c>
      <c r="Q364" s="1" t="s">
        <v>178</v>
      </c>
      <c r="R364" s="1" t="s">
        <v>55</v>
      </c>
      <c r="S364" s="2">
        <v>46183</v>
      </c>
      <c r="T364" s="2">
        <v>46183</v>
      </c>
      <c r="V364" s="1">
        <v>0.5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1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</row>
    <row r="365" spans="1:33" x14ac:dyDescent="0.25">
      <c r="A365" s="1">
        <v>540</v>
      </c>
      <c r="B365" s="1" t="s">
        <v>729</v>
      </c>
      <c r="C365" s="1" t="s">
        <v>727</v>
      </c>
      <c r="D365" s="1" t="s">
        <v>102</v>
      </c>
      <c r="E365" s="1" t="s">
        <v>121</v>
      </c>
      <c r="F365" s="10">
        <v>46199</v>
      </c>
      <c r="G365" s="10">
        <v>46202</v>
      </c>
      <c r="H365" s="11">
        <v>0</v>
      </c>
      <c r="J365" s="1">
        <v>539</v>
      </c>
      <c r="K365" s="1">
        <v>541</v>
      </c>
      <c r="L365" s="1" t="s">
        <v>35</v>
      </c>
      <c r="M365" s="1" t="s">
        <v>262</v>
      </c>
      <c r="N365" s="2">
        <v>46185</v>
      </c>
      <c r="P365" s="1" t="s">
        <v>645</v>
      </c>
      <c r="Q365" s="1" t="s">
        <v>178</v>
      </c>
      <c r="R365" s="1" t="s">
        <v>55</v>
      </c>
      <c r="S365" s="2">
        <v>46184</v>
      </c>
      <c r="T365" s="2">
        <v>46185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1</v>
      </c>
      <c r="AE365" s="1">
        <v>0</v>
      </c>
      <c r="AF365" s="1">
        <v>0</v>
      </c>
      <c r="AG365" s="1">
        <v>0</v>
      </c>
    </row>
    <row r="366" spans="1:33" x14ac:dyDescent="0.25">
      <c r="A366" s="1">
        <v>541</v>
      </c>
      <c r="B366" s="1" t="s">
        <v>730</v>
      </c>
      <c r="C366" s="1" t="s">
        <v>727</v>
      </c>
      <c r="D366" s="1" t="s">
        <v>108</v>
      </c>
      <c r="E366" s="1" t="s">
        <v>53</v>
      </c>
      <c r="F366" s="10">
        <v>46203</v>
      </c>
      <c r="G366" s="10">
        <v>46203</v>
      </c>
      <c r="H366" s="11">
        <v>0</v>
      </c>
      <c r="J366" s="1">
        <v>540</v>
      </c>
      <c r="L366" s="1" t="s">
        <v>35</v>
      </c>
      <c r="M366" s="1" t="s">
        <v>264</v>
      </c>
      <c r="N366" s="2">
        <v>46188</v>
      </c>
      <c r="P366" s="1" t="s">
        <v>645</v>
      </c>
      <c r="Q366" s="1" t="s">
        <v>146</v>
      </c>
      <c r="R366" s="1" t="s">
        <v>55</v>
      </c>
      <c r="S366" s="2">
        <v>46188</v>
      </c>
      <c r="T366" s="2">
        <v>46188</v>
      </c>
      <c r="V366" s="1">
        <v>0</v>
      </c>
      <c r="W366" s="1">
        <v>0</v>
      </c>
      <c r="X366" s="1">
        <v>0</v>
      </c>
      <c r="Y366" s="1">
        <v>0</v>
      </c>
      <c r="Z366" s="1">
        <v>1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0</v>
      </c>
    </row>
    <row r="367" spans="1:33" x14ac:dyDescent="0.25">
      <c r="A367" s="1">
        <v>542</v>
      </c>
      <c r="B367" s="1" t="s">
        <v>731</v>
      </c>
      <c r="C367" s="1" t="s">
        <v>647</v>
      </c>
      <c r="D367" s="1" t="s">
        <v>732</v>
      </c>
      <c r="E367" s="1" t="s">
        <v>594</v>
      </c>
      <c r="F367" s="10">
        <v>46204</v>
      </c>
      <c r="G367" s="10">
        <v>46217</v>
      </c>
      <c r="H367" s="11">
        <v>0.25</v>
      </c>
      <c r="L367" s="1" t="s">
        <v>35</v>
      </c>
      <c r="M367" s="1" t="s">
        <v>260</v>
      </c>
      <c r="N367" s="2">
        <v>46191</v>
      </c>
      <c r="P367" s="1" t="s">
        <v>645</v>
      </c>
      <c r="Q367" s="1" t="s">
        <v>133</v>
      </c>
      <c r="R367" s="1" t="s">
        <v>55</v>
      </c>
      <c r="S367" s="2">
        <v>46183</v>
      </c>
      <c r="T367" s="2">
        <v>46191</v>
      </c>
      <c r="V367" s="1">
        <v>0.25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</row>
    <row r="368" spans="1:33" x14ac:dyDescent="0.25">
      <c r="A368" s="1">
        <v>543</v>
      </c>
      <c r="B368" s="1" t="s">
        <v>733</v>
      </c>
      <c r="C368" s="1" t="s">
        <v>734</v>
      </c>
      <c r="D368" s="1" t="s">
        <v>94</v>
      </c>
      <c r="E368" s="1" t="s">
        <v>525</v>
      </c>
      <c r="F368" s="10">
        <v>46204</v>
      </c>
      <c r="G368" s="10">
        <v>46209</v>
      </c>
      <c r="H368" s="11">
        <v>0.5</v>
      </c>
      <c r="K368" s="1" t="s">
        <v>735</v>
      </c>
      <c r="L368" s="1" t="s">
        <v>35</v>
      </c>
      <c r="M368" s="1" t="s">
        <v>260</v>
      </c>
      <c r="N368" s="2">
        <v>46185</v>
      </c>
      <c r="P368" s="1" t="s">
        <v>645</v>
      </c>
      <c r="Q368" s="1" t="s">
        <v>133</v>
      </c>
      <c r="R368" s="1" t="s">
        <v>55</v>
      </c>
      <c r="S368" s="2">
        <v>46183</v>
      </c>
      <c r="T368" s="2">
        <v>46185</v>
      </c>
      <c r="V368" s="1">
        <v>0.5</v>
      </c>
      <c r="W368" s="1">
        <v>1</v>
      </c>
      <c r="X368" s="1">
        <v>0</v>
      </c>
      <c r="Y368" s="1">
        <v>1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</row>
    <row r="369" spans="1:33" x14ac:dyDescent="0.25">
      <c r="A369" s="1">
        <v>544</v>
      </c>
      <c r="B369" s="1" t="s">
        <v>736</v>
      </c>
      <c r="C369" s="1" t="s">
        <v>734</v>
      </c>
      <c r="D369" s="1" t="s">
        <v>98</v>
      </c>
      <c r="E369" s="1" t="s">
        <v>53</v>
      </c>
      <c r="F369" s="10">
        <v>46210</v>
      </c>
      <c r="G369" s="10">
        <v>46210</v>
      </c>
      <c r="H369" s="11">
        <v>0</v>
      </c>
      <c r="J369" s="1">
        <v>543</v>
      </c>
      <c r="K369" s="1">
        <v>545</v>
      </c>
      <c r="L369" s="1" t="s">
        <v>180</v>
      </c>
      <c r="M369" s="1" t="s">
        <v>264</v>
      </c>
      <c r="N369" s="2">
        <v>46188</v>
      </c>
      <c r="P369" s="1" t="s">
        <v>645</v>
      </c>
      <c r="Q369" s="1" t="s">
        <v>178</v>
      </c>
      <c r="R369" s="1" t="s">
        <v>55</v>
      </c>
      <c r="S369" s="2">
        <v>46188</v>
      </c>
      <c r="T369" s="2">
        <v>46188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</row>
    <row r="370" spans="1:33" x14ac:dyDescent="0.25">
      <c r="A370" s="1">
        <v>545</v>
      </c>
      <c r="B370" s="1" t="s">
        <v>737</v>
      </c>
      <c r="C370" s="1" t="s">
        <v>734</v>
      </c>
      <c r="D370" s="1" t="s">
        <v>102</v>
      </c>
      <c r="E370" s="1" t="s">
        <v>121</v>
      </c>
      <c r="F370" s="10">
        <v>46211</v>
      </c>
      <c r="G370" s="10">
        <v>46216</v>
      </c>
      <c r="H370" s="11">
        <v>0</v>
      </c>
      <c r="J370" s="1">
        <v>544</v>
      </c>
      <c r="K370" s="1">
        <v>546</v>
      </c>
      <c r="L370" s="1" t="s">
        <v>149</v>
      </c>
      <c r="M370" s="1" t="s">
        <v>639</v>
      </c>
      <c r="N370" s="2">
        <v>46190</v>
      </c>
      <c r="P370" s="1" t="s">
        <v>645</v>
      </c>
      <c r="Q370" s="1" t="s">
        <v>178</v>
      </c>
      <c r="R370" s="1" t="s">
        <v>55</v>
      </c>
      <c r="S370" s="2">
        <v>46189</v>
      </c>
      <c r="T370" s="2">
        <v>46190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</row>
    <row r="371" spans="1:33" x14ac:dyDescent="0.25">
      <c r="A371" s="1">
        <v>546</v>
      </c>
      <c r="B371" s="1" t="s">
        <v>738</v>
      </c>
      <c r="C371" s="1" t="s">
        <v>734</v>
      </c>
      <c r="D371" s="1" t="s">
        <v>108</v>
      </c>
      <c r="E371" s="1" t="s">
        <v>53</v>
      </c>
      <c r="F371" s="10">
        <v>46217</v>
      </c>
      <c r="G371" s="10">
        <v>46217</v>
      </c>
      <c r="H371" s="11">
        <v>0</v>
      </c>
      <c r="J371" s="1">
        <v>545</v>
      </c>
      <c r="L371" s="1" t="s">
        <v>149</v>
      </c>
      <c r="M371" s="1" t="s">
        <v>323</v>
      </c>
      <c r="N371" s="2">
        <v>46191</v>
      </c>
      <c r="P371" s="1" t="s">
        <v>645</v>
      </c>
      <c r="Q371" s="1" t="s">
        <v>178</v>
      </c>
      <c r="R371" s="1" t="s">
        <v>55</v>
      </c>
      <c r="S371" s="2">
        <v>46191</v>
      </c>
      <c r="T371" s="2">
        <v>46191</v>
      </c>
      <c r="V371" s="1">
        <v>0</v>
      </c>
      <c r="W371" s="1">
        <v>0</v>
      </c>
      <c r="X371" s="1">
        <v>0</v>
      </c>
      <c r="Y371" s="1">
        <v>0</v>
      </c>
      <c r="Z371" s="1">
        <v>1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</row>
    <row r="372" spans="1:33" x14ac:dyDescent="0.25">
      <c r="A372" s="1">
        <v>557</v>
      </c>
      <c r="B372" s="1" t="s">
        <v>739</v>
      </c>
      <c r="C372" s="1" t="s">
        <v>647</v>
      </c>
      <c r="D372" s="1" t="s">
        <v>740</v>
      </c>
      <c r="E372" s="1" t="s">
        <v>172</v>
      </c>
      <c r="F372" s="10">
        <v>46219</v>
      </c>
      <c r="G372" s="10">
        <v>46227</v>
      </c>
      <c r="H372" s="11">
        <v>0</v>
      </c>
      <c r="L372" s="1" t="s">
        <v>149</v>
      </c>
      <c r="M372" s="1" t="s">
        <v>398</v>
      </c>
      <c r="N372" s="2">
        <v>46210</v>
      </c>
      <c r="P372" s="1" t="s">
        <v>645</v>
      </c>
      <c r="Q372" s="1" t="s">
        <v>178</v>
      </c>
      <c r="R372" s="1" t="s">
        <v>39</v>
      </c>
      <c r="S372" s="2">
        <v>46204</v>
      </c>
      <c r="T372" s="2">
        <v>46210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</row>
    <row r="373" spans="1:33" x14ac:dyDescent="0.25">
      <c r="A373" s="1">
        <v>558</v>
      </c>
      <c r="B373" s="1" t="s">
        <v>741</v>
      </c>
      <c r="C373" s="1" t="s">
        <v>742</v>
      </c>
      <c r="D373" s="1" t="s">
        <v>94</v>
      </c>
      <c r="E373" s="1" t="s">
        <v>525</v>
      </c>
      <c r="F373" s="10">
        <v>46219</v>
      </c>
      <c r="G373" s="10">
        <v>46224</v>
      </c>
      <c r="H373" s="11">
        <v>0</v>
      </c>
      <c r="J373" s="1" t="s">
        <v>743</v>
      </c>
      <c r="K373" s="1" t="s">
        <v>744</v>
      </c>
      <c r="L373" s="1" t="s">
        <v>149</v>
      </c>
      <c r="M373" s="1" t="s">
        <v>398</v>
      </c>
      <c r="N373" s="2">
        <v>46204</v>
      </c>
      <c r="P373" s="1" t="s">
        <v>645</v>
      </c>
      <c r="Q373" s="1" t="s">
        <v>178</v>
      </c>
      <c r="R373" s="1" t="s">
        <v>39</v>
      </c>
      <c r="S373" s="2">
        <v>46204</v>
      </c>
      <c r="T373" s="2">
        <v>46204</v>
      </c>
      <c r="V373" s="1">
        <v>0</v>
      </c>
      <c r="W373" s="1">
        <v>1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</row>
    <row r="374" spans="1:33" x14ac:dyDescent="0.25">
      <c r="A374" s="1">
        <v>559</v>
      </c>
      <c r="B374" s="1" t="s">
        <v>745</v>
      </c>
      <c r="C374" s="1" t="s">
        <v>742</v>
      </c>
      <c r="D374" s="1" t="s">
        <v>98</v>
      </c>
      <c r="E374" s="1" t="s">
        <v>53</v>
      </c>
      <c r="F374" s="10">
        <v>46225</v>
      </c>
      <c r="G374" s="10">
        <v>46225</v>
      </c>
      <c r="H374" s="11">
        <v>0</v>
      </c>
      <c r="J374" s="1">
        <v>558</v>
      </c>
      <c r="K374" s="1">
        <v>560</v>
      </c>
      <c r="L374" s="1" t="s">
        <v>149</v>
      </c>
      <c r="M374" s="1" t="s">
        <v>292</v>
      </c>
      <c r="N374" s="2">
        <v>46205</v>
      </c>
      <c r="P374" s="1" t="s">
        <v>645</v>
      </c>
      <c r="Q374" s="1" t="s">
        <v>146</v>
      </c>
      <c r="R374" s="1" t="s">
        <v>39</v>
      </c>
      <c r="S374" s="2">
        <v>46205</v>
      </c>
      <c r="T374" s="2">
        <v>46205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</row>
    <row r="375" spans="1:33" x14ac:dyDescent="0.25">
      <c r="A375" s="1">
        <v>560</v>
      </c>
      <c r="B375" s="1" t="s">
        <v>746</v>
      </c>
      <c r="C375" s="1" t="s">
        <v>742</v>
      </c>
      <c r="D375" s="1" t="s">
        <v>102</v>
      </c>
      <c r="E375" s="1" t="s">
        <v>53</v>
      </c>
      <c r="F375" s="10">
        <v>46226</v>
      </c>
      <c r="G375" s="10">
        <v>46226</v>
      </c>
      <c r="H375" s="11">
        <v>0</v>
      </c>
      <c r="J375" s="1">
        <v>559</v>
      </c>
      <c r="K375" s="1">
        <v>561</v>
      </c>
      <c r="L375" s="1" t="s">
        <v>149</v>
      </c>
      <c r="M375" s="1" t="s">
        <v>191</v>
      </c>
      <c r="N375" s="2">
        <v>46209</v>
      </c>
      <c r="P375" s="1" t="s">
        <v>645</v>
      </c>
      <c r="Q375" s="1" t="s">
        <v>146</v>
      </c>
      <c r="R375" s="1" t="s">
        <v>39</v>
      </c>
      <c r="S375" s="2">
        <v>46206</v>
      </c>
      <c r="T375" s="2">
        <v>46209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</row>
    <row r="376" spans="1:33" x14ac:dyDescent="0.25">
      <c r="A376" s="1">
        <v>561</v>
      </c>
      <c r="B376" s="1" t="s">
        <v>747</v>
      </c>
      <c r="C376" s="1" t="s">
        <v>742</v>
      </c>
      <c r="D376" s="1" t="s">
        <v>108</v>
      </c>
      <c r="E376" s="1" t="s">
        <v>53</v>
      </c>
      <c r="F376" s="10">
        <v>46227</v>
      </c>
      <c r="G376" s="10">
        <v>46227</v>
      </c>
      <c r="H376" s="11">
        <v>0</v>
      </c>
      <c r="J376" s="1">
        <v>560</v>
      </c>
      <c r="L376" s="1" t="s">
        <v>149</v>
      </c>
      <c r="M376" s="1" t="s">
        <v>295</v>
      </c>
      <c r="N376" s="2">
        <v>46210</v>
      </c>
      <c r="P376" s="1" t="s">
        <v>645</v>
      </c>
      <c r="Q376" s="1" t="s">
        <v>151</v>
      </c>
      <c r="R376" s="1" t="s">
        <v>39</v>
      </c>
      <c r="S376" s="2">
        <v>46210</v>
      </c>
      <c r="T376" s="2">
        <v>46210</v>
      </c>
      <c r="V376" s="1">
        <v>0</v>
      </c>
      <c r="W376" s="1">
        <v>0</v>
      </c>
      <c r="X376" s="1">
        <v>0</v>
      </c>
      <c r="Y376" s="1">
        <v>0</v>
      </c>
      <c r="Z376" s="1">
        <v>1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</row>
    <row r="377" spans="1:33" x14ac:dyDescent="0.25">
      <c r="A377" s="1">
        <v>562</v>
      </c>
      <c r="B377" s="1" t="s">
        <v>748</v>
      </c>
      <c r="C377" s="1" t="s">
        <v>647</v>
      </c>
      <c r="D377" s="1" t="s">
        <v>749</v>
      </c>
      <c r="E377" s="1" t="s">
        <v>172</v>
      </c>
      <c r="F377" s="10">
        <v>46210</v>
      </c>
      <c r="G377" s="10">
        <v>46220</v>
      </c>
      <c r="H377" s="11">
        <v>0</v>
      </c>
      <c r="L377" s="1" t="s">
        <v>180</v>
      </c>
      <c r="M377" s="1" t="s">
        <v>323</v>
      </c>
      <c r="N377" s="2">
        <v>46199</v>
      </c>
      <c r="P377" s="1" t="s">
        <v>645</v>
      </c>
      <c r="Q377" s="1" t="s">
        <v>178</v>
      </c>
      <c r="R377" s="1" t="s">
        <v>55</v>
      </c>
      <c r="S377" s="2">
        <v>46191</v>
      </c>
      <c r="T377" s="2">
        <v>46199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</row>
    <row r="378" spans="1:33" x14ac:dyDescent="0.25">
      <c r="A378" s="1">
        <v>563</v>
      </c>
      <c r="B378" s="1" t="s">
        <v>750</v>
      </c>
      <c r="C378" s="1" t="s">
        <v>751</v>
      </c>
      <c r="D378" s="1" t="s">
        <v>94</v>
      </c>
      <c r="E378" s="1" t="s">
        <v>95</v>
      </c>
      <c r="F378" s="10">
        <v>46210</v>
      </c>
      <c r="G378" s="10">
        <v>46216</v>
      </c>
      <c r="H378" s="11">
        <v>0</v>
      </c>
      <c r="K378" s="1">
        <v>564</v>
      </c>
      <c r="L378" s="1" t="s">
        <v>180</v>
      </c>
      <c r="M378" s="1" t="s">
        <v>323</v>
      </c>
      <c r="N378" s="2">
        <v>46195</v>
      </c>
      <c r="P378" s="1" t="s">
        <v>645</v>
      </c>
      <c r="Q378" s="1" t="s">
        <v>178</v>
      </c>
      <c r="R378" s="1" t="s">
        <v>55</v>
      </c>
      <c r="S378" s="2">
        <v>46191</v>
      </c>
      <c r="T378" s="2">
        <v>46195</v>
      </c>
      <c r="V378" s="1">
        <v>0</v>
      </c>
      <c r="W378" s="1">
        <v>1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</row>
    <row r="379" spans="1:33" x14ac:dyDescent="0.25">
      <c r="A379" s="1">
        <v>564</v>
      </c>
      <c r="B379" s="1" t="s">
        <v>752</v>
      </c>
      <c r="C379" s="1" t="s">
        <v>751</v>
      </c>
      <c r="D379" s="1" t="s">
        <v>98</v>
      </c>
      <c r="E379" s="1" t="s">
        <v>53</v>
      </c>
      <c r="F379" s="10">
        <v>46217</v>
      </c>
      <c r="G379" s="10">
        <v>46217</v>
      </c>
      <c r="H379" s="11">
        <v>0</v>
      </c>
      <c r="J379" s="1">
        <v>563</v>
      </c>
      <c r="K379" s="1">
        <v>565</v>
      </c>
      <c r="L379" s="1" t="s">
        <v>149</v>
      </c>
      <c r="M379" s="1" t="s">
        <v>390</v>
      </c>
      <c r="N379" s="2">
        <v>46196</v>
      </c>
      <c r="P379" s="1" t="s">
        <v>645</v>
      </c>
      <c r="Q379" s="1" t="s">
        <v>146</v>
      </c>
      <c r="R379" s="1" t="s">
        <v>55</v>
      </c>
      <c r="S379" s="2">
        <v>46196</v>
      </c>
      <c r="T379" s="2">
        <v>46196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</row>
    <row r="380" spans="1:33" x14ac:dyDescent="0.25">
      <c r="A380" s="1">
        <v>565</v>
      </c>
      <c r="B380" s="1" t="s">
        <v>753</v>
      </c>
      <c r="C380" s="1" t="s">
        <v>751</v>
      </c>
      <c r="D380" s="1" t="s">
        <v>102</v>
      </c>
      <c r="E380" s="1" t="s">
        <v>121</v>
      </c>
      <c r="F380" s="10">
        <v>46218</v>
      </c>
      <c r="G380" s="10">
        <v>46219</v>
      </c>
      <c r="H380" s="11">
        <v>0</v>
      </c>
      <c r="J380" s="1">
        <v>564</v>
      </c>
      <c r="K380" s="1">
        <v>566</v>
      </c>
      <c r="L380" s="1" t="s">
        <v>149</v>
      </c>
      <c r="M380" s="1" t="s">
        <v>754</v>
      </c>
      <c r="N380" s="2">
        <v>46198</v>
      </c>
      <c r="P380" s="1" t="s">
        <v>645</v>
      </c>
      <c r="Q380" s="1" t="s">
        <v>146</v>
      </c>
      <c r="R380" s="1" t="s">
        <v>55</v>
      </c>
      <c r="S380" s="2">
        <v>46197</v>
      </c>
      <c r="T380" s="2">
        <v>46198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</row>
    <row r="381" spans="1:33" x14ac:dyDescent="0.25">
      <c r="A381" s="1">
        <v>566</v>
      </c>
      <c r="B381" s="1" t="s">
        <v>755</v>
      </c>
      <c r="C381" s="1" t="s">
        <v>751</v>
      </c>
      <c r="D381" s="1" t="s">
        <v>108</v>
      </c>
      <c r="E381" s="1" t="s">
        <v>53</v>
      </c>
      <c r="F381" s="10">
        <v>46220</v>
      </c>
      <c r="G381" s="10">
        <v>46220</v>
      </c>
      <c r="H381" s="11">
        <v>0</v>
      </c>
      <c r="J381" s="1">
        <v>565</v>
      </c>
      <c r="L381" s="1" t="s">
        <v>149</v>
      </c>
      <c r="M381" s="1" t="s">
        <v>394</v>
      </c>
      <c r="N381" s="2">
        <v>46199</v>
      </c>
      <c r="P381" s="1" t="s">
        <v>645</v>
      </c>
      <c r="Q381" s="1" t="s">
        <v>151</v>
      </c>
      <c r="R381" s="1" t="s">
        <v>55</v>
      </c>
      <c r="S381" s="2">
        <v>46199</v>
      </c>
      <c r="T381" s="2">
        <v>46199</v>
      </c>
      <c r="V381" s="1">
        <v>0</v>
      </c>
      <c r="W381" s="1">
        <v>0</v>
      </c>
      <c r="X381" s="1">
        <v>0</v>
      </c>
      <c r="Y381" s="1">
        <v>0</v>
      </c>
      <c r="Z381" s="1">
        <v>1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</row>
    <row r="382" spans="1:33" x14ac:dyDescent="0.25">
      <c r="A382" s="1">
        <v>567</v>
      </c>
      <c r="B382" s="1" t="s">
        <v>756</v>
      </c>
      <c r="C382" s="1" t="s">
        <v>647</v>
      </c>
      <c r="D382" s="1" t="s">
        <v>757</v>
      </c>
      <c r="E382" s="1" t="s">
        <v>758</v>
      </c>
      <c r="F382" s="10">
        <v>46190</v>
      </c>
      <c r="G382" s="10">
        <v>46210</v>
      </c>
      <c r="H382" s="11">
        <v>0.87</v>
      </c>
      <c r="L382" s="1" t="s">
        <v>35</v>
      </c>
      <c r="M382" s="1" t="s">
        <v>323</v>
      </c>
      <c r="N382" s="2">
        <v>46210</v>
      </c>
      <c r="P382" s="1" t="s">
        <v>645</v>
      </c>
      <c r="Q382" s="1" t="s">
        <v>133</v>
      </c>
      <c r="R382" s="1" t="s">
        <v>55</v>
      </c>
      <c r="S382" s="2">
        <v>46191</v>
      </c>
      <c r="T382" s="2">
        <v>46210</v>
      </c>
      <c r="V382" s="1">
        <v>0.87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</row>
    <row r="383" spans="1:33" x14ac:dyDescent="0.25">
      <c r="A383" s="1">
        <v>568</v>
      </c>
      <c r="B383" s="1" t="s">
        <v>759</v>
      </c>
      <c r="C383" s="1" t="s">
        <v>760</v>
      </c>
      <c r="D383" s="1" t="s">
        <v>94</v>
      </c>
      <c r="E383" s="1" t="s">
        <v>258</v>
      </c>
      <c r="F383" s="10">
        <v>46190</v>
      </c>
      <c r="G383" s="10">
        <v>46201</v>
      </c>
      <c r="H383" s="11">
        <v>1</v>
      </c>
      <c r="I383" s="10">
        <v>46201</v>
      </c>
      <c r="K383" s="1" t="s">
        <v>761</v>
      </c>
      <c r="L383" s="1" t="s">
        <v>59</v>
      </c>
      <c r="M383" s="1" t="s">
        <v>323</v>
      </c>
      <c r="N383" s="2">
        <v>46204</v>
      </c>
      <c r="P383" s="1" t="s">
        <v>645</v>
      </c>
      <c r="Q383" s="1" t="s">
        <v>133</v>
      </c>
      <c r="R383" s="1" t="s">
        <v>55</v>
      </c>
      <c r="S383" s="2">
        <v>46191</v>
      </c>
      <c r="T383" s="2">
        <v>46204</v>
      </c>
      <c r="V383" s="1">
        <v>1</v>
      </c>
      <c r="W383" s="1">
        <v>1</v>
      </c>
      <c r="X383" s="1">
        <v>1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1</v>
      </c>
    </row>
    <row r="384" spans="1:33" x14ac:dyDescent="0.25">
      <c r="A384" s="1">
        <v>569</v>
      </c>
      <c r="B384" s="1" t="s">
        <v>762</v>
      </c>
      <c r="C384" s="1" t="s">
        <v>760</v>
      </c>
      <c r="D384" s="1" t="s">
        <v>98</v>
      </c>
      <c r="E384" s="1" t="s">
        <v>597</v>
      </c>
      <c r="F384" s="10">
        <v>46202</v>
      </c>
      <c r="G384" s="10">
        <v>46206</v>
      </c>
      <c r="H384" s="11">
        <v>1</v>
      </c>
      <c r="I384" s="10">
        <v>46206</v>
      </c>
      <c r="J384" s="1">
        <v>568</v>
      </c>
      <c r="K384" s="1">
        <v>570</v>
      </c>
      <c r="L384" s="1" t="s">
        <v>59</v>
      </c>
      <c r="M384" s="1" t="s">
        <v>292</v>
      </c>
      <c r="N384" s="2">
        <v>46205</v>
      </c>
      <c r="P384" s="1" t="s">
        <v>645</v>
      </c>
      <c r="Q384" s="1" t="s">
        <v>178</v>
      </c>
      <c r="R384" s="1" t="s">
        <v>55</v>
      </c>
      <c r="S384" s="2">
        <v>46205</v>
      </c>
      <c r="T384" s="2">
        <v>46205</v>
      </c>
      <c r="V384" s="1">
        <v>1</v>
      </c>
      <c r="W384" s="1">
        <v>0</v>
      </c>
      <c r="X384" s="1">
        <v>0</v>
      </c>
      <c r="Y384" s="1">
        <v>0</v>
      </c>
      <c r="Z384" s="1">
        <v>0</v>
      </c>
      <c r="AA384" s="1">
        <v>1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</row>
    <row r="385" spans="1:33" x14ac:dyDescent="0.25">
      <c r="A385" s="1">
        <v>570</v>
      </c>
      <c r="B385" s="1" t="s">
        <v>763</v>
      </c>
      <c r="C385" s="1" t="s">
        <v>760</v>
      </c>
      <c r="D385" s="1" t="s">
        <v>102</v>
      </c>
      <c r="E385" s="1" t="s">
        <v>53</v>
      </c>
      <c r="F385" s="10">
        <v>46209</v>
      </c>
      <c r="G385" s="10">
        <v>46209</v>
      </c>
      <c r="H385" s="11">
        <v>0</v>
      </c>
      <c r="J385" s="1">
        <v>569</v>
      </c>
      <c r="K385" s="1">
        <v>571</v>
      </c>
      <c r="L385" s="1" t="s">
        <v>35</v>
      </c>
      <c r="M385" s="1" t="s">
        <v>191</v>
      </c>
      <c r="N385" s="2">
        <v>46209</v>
      </c>
      <c r="P385" s="1" t="s">
        <v>645</v>
      </c>
      <c r="Q385" s="1" t="s">
        <v>178</v>
      </c>
      <c r="R385" s="1" t="s">
        <v>55</v>
      </c>
      <c r="S385" s="2">
        <v>46206</v>
      </c>
      <c r="T385" s="2">
        <v>46209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1</v>
      </c>
      <c r="AE385" s="1">
        <v>0</v>
      </c>
      <c r="AF385" s="1">
        <v>0</v>
      </c>
      <c r="AG385" s="1">
        <v>0</v>
      </c>
    </row>
    <row r="386" spans="1:33" x14ac:dyDescent="0.25">
      <c r="A386" s="1">
        <v>571</v>
      </c>
      <c r="B386" s="1" t="s">
        <v>764</v>
      </c>
      <c r="C386" s="1" t="s">
        <v>760</v>
      </c>
      <c r="D386" s="1" t="s">
        <v>108</v>
      </c>
      <c r="E386" s="1" t="s">
        <v>53</v>
      </c>
      <c r="F386" s="10">
        <v>46210</v>
      </c>
      <c r="G386" s="10">
        <v>46210</v>
      </c>
      <c r="H386" s="11">
        <v>0</v>
      </c>
      <c r="J386" s="1">
        <v>570</v>
      </c>
      <c r="L386" s="1" t="s">
        <v>180</v>
      </c>
      <c r="M386" s="1" t="s">
        <v>295</v>
      </c>
      <c r="N386" s="2">
        <v>46210</v>
      </c>
      <c r="P386" s="1" t="s">
        <v>645</v>
      </c>
      <c r="Q386" s="1" t="s">
        <v>178</v>
      </c>
      <c r="R386" s="1" t="s">
        <v>55</v>
      </c>
      <c r="S386" s="2">
        <v>46210</v>
      </c>
      <c r="T386" s="2">
        <v>46210</v>
      </c>
      <c r="V386" s="1">
        <v>0</v>
      </c>
      <c r="W386" s="1">
        <v>0</v>
      </c>
      <c r="X386" s="1">
        <v>0</v>
      </c>
      <c r="Y386" s="1">
        <v>0</v>
      </c>
      <c r="Z386" s="1">
        <v>1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</row>
    <row r="387" spans="1:33" x14ac:dyDescent="0.25">
      <c r="A387" s="1">
        <v>572</v>
      </c>
      <c r="B387" s="1" t="s">
        <v>765</v>
      </c>
      <c r="C387" s="1" t="s">
        <v>647</v>
      </c>
      <c r="D387" s="1" t="s">
        <v>766</v>
      </c>
      <c r="E387" s="1" t="s">
        <v>758</v>
      </c>
      <c r="F387" s="10">
        <v>46190</v>
      </c>
      <c r="G387" s="10">
        <v>46210</v>
      </c>
      <c r="H387" s="11">
        <v>0.87</v>
      </c>
      <c r="L387" s="1" t="s">
        <v>35</v>
      </c>
      <c r="M387" s="1" t="s">
        <v>323</v>
      </c>
      <c r="N387" s="2">
        <v>46210</v>
      </c>
      <c r="P387" s="1" t="s">
        <v>645</v>
      </c>
      <c r="Q387" s="1" t="s">
        <v>133</v>
      </c>
      <c r="R387" s="1" t="s">
        <v>55</v>
      </c>
      <c r="S387" s="2">
        <v>46191</v>
      </c>
      <c r="T387" s="2">
        <v>46210</v>
      </c>
      <c r="V387" s="1">
        <v>0.87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</row>
    <row r="388" spans="1:33" x14ac:dyDescent="0.25">
      <c r="A388" s="1">
        <v>573</v>
      </c>
      <c r="B388" s="1" t="s">
        <v>767</v>
      </c>
      <c r="C388" s="1" t="s">
        <v>768</v>
      </c>
      <c r="D388" s="1" t="s">
        <v>94</v>
      </c>
      <c r="E388" s="1" t="s">
        <v>769</v>
      </c>
      <c r="F388" s="10">
        <v>46190</v>
      </c>
      <c r="G388" s="10">
        <v>46198</v>
      </c>
      <c r="H388" s="11">
        <v>1</v>
      </c>
      <c r="I388" s="10">
        <v>46198</v>
      </c>
      <c r="J388" s="1" t="s">
        <v>770</v>
      </c>
      <c r="K388" s="1">
        <v>574</v>
      </c>
      <c r="L388" s="1" t="s">
        <v>59</v>
      </c>
      <c r="M388" s="1" t="s">
        <v>323</v>
      </c>
      <c r="N388" s="2">
        <v>46204</v>
      </c>
      <c r="P388" s="1" t="s">
        <v>645</v>
      </c>
      <c r="Q388" s="1" t="s">
        <v>133</v>
      </c>
      <c r="R388" s="1" t="s">
        <v>55</v>
      </c>
      <c r="S388" s="2">
        <v>46191</v>
      </c>
      <c r="T388" s="2">
        <v>46204</v>
      </c>
      <c r="V388" s="1">
        <v>1</v>
      </c>
      <c r="W388" s="1">
        <v>1</v>
      </c>
      <c r="X388" s="1">
        <v>1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1</v>
      </c>
    </row>
    <row r="389" spans="1:33" x14ac:dyDescent="0.25">
      <c r="A389" s="1">
        <v>574</v>
      </c>
      <c r="B389" s="1" t="s">
        <v>771</v>
      </c>
      <c r="C389" s="1" t="s">
        <v>768</v>
      </c>
      <c r="D389" s="1" t="s">
        <v>98</v>
      </c>
      <c r="E389" s="1" t="s">
        <v>103</v>
      </c>
      <c r="F389" s="10">
        <v>46199</v>
      </c>
      <c r="G389" s="10">
        <v>46206</v>
      </c>
      <c r="H389" s="11">
        <v>1</v>
      </c>
      <c r="I389" s="10">
        <v>46206</v>
      </c>
      <c r="J389" s="1">
        <v>573</v>
      </c>
      <c r="K389" s="1">
        <v>575</v>
      </c>
      <c r="L389" s="1" t="s">
        <v>59</v>
      </c>
      <c r="M389" s="1" t="s">
        <v>292</v>
      </c>
      <c r="N389" s="2">
        <v>46205</v>
      </c>
      <c r="P389" s="1" t="s">
        <v>645</v>
      </c>
      <c r="Q389" s="1" t="s">
        <v>178</v>
      </c>
      <c r="R389" s="1" t="s">
        <v>55</v>
      </c>
      <c r="S389" s="2">
        <v>46205</v>
      </c>
      <c r="T389" s="2">
        <v>46205</v>
      </c>
      <c r="V389" s="1">
        <v>1</v>
      </c>
      <c r="W389" s="1">
        <v>0</v>
      </c>
      <c r="X389" s="1">
        <v>0</v>
      </c>
      <c r="Y389" s="1">
        <v>0</v>
      </c>
      <c r="Z389" s="1">
        <v>0</v>
      </c>
      <c r="AA389" s="1">
        <v>1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</row>
    <row r="390" spans="1:33" x14ac:dyDescent="0.25">
      <c r="A390" s="1">
        <v>575</v>
      </c>
      <c r="B390" s="1" t="s">
        <v>772</v>
      </c>
      <c r="C390" s="1" t="s">
        <v>768</v>
      </c>
      <c r="D390" s="1" t="s">
        <v>102</v>
      </c>
      <c r="E390" s="1" t="s">
        <v>53</v>
      </c>
      <c r="F390" s="10">
        <v>46209</v>
      </c>
      <c r="G390" s="10">
        <v>46209</v>
      </c>
      <c r="H390" s="11">
        <v>0</v>
      </c>
      <c r="J390" s="1">
        <v>574</v>
      </c>
      <c r="K390" s="1">
        <v>576</v>
      </c>
      <c r="L390" s="1" t="s">
        <v>35</v>
      </c>
      <c r="M390" s="1" t="s">
        <v>191</v>
      </c>
      <c r="N390" s="2">
        <v>46209</v>
      </c>
      <c r="P390" s="1" t="s">
        <v>645</v>
      </c>
      <c r="Q390" s="1" t="s">
        <v>178</v>
      </c>
      <c r="R390" s="1" t="s">
        <v>55</v>
      </c>
      <c r="S390" s="2">
        <v>46206</v>
      </c>
      <c r="T390" s="2">
        <v>46209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1</v>
      </c>
      <c r="AE390" s="1">
        <v>0</v>
      </c>
      <c r="AF390" s="1">
        <v>0</v>
      </c>
      <c r="AG390" s="1">
        <v>0</v>
      </c>
    </row>
    <row r="391" spans="1:33" x14ac:dyDescent="0.25">
      <c r="A391" s="1">
        <v>576</v>
      </c>
      <c r="B391" s="1" t="s">
        <v>773</v>
      </c>
      <c r="C391" s="1" t="s">
        <v>768</v>
      </c>
      <c r="D391" s="1" t="s">
        <v>108</v>
      </c>
      <c r="E391" s="1" t="s">
        <v>53</v>
      </c>
      <c r="F391" s="10">
        <v>46210</v>
      </c>
      <c r="G391" s="10">
        <v>46210</v>
      </c>
      <c r="H391" s="11">
        <v>0</v>
      </c>
      <c r="J391" s="1">
        <v>575</v>
      </c>
      <c r="L391" s="1" t="s">
        <v>180</v>
      </c>
      <c r="M391" s="1" t="s">
        <v>295</v>
      </c>
      <c r="N391" s="2">
        <v>46210</v>
      </c>
      <c r="P391" s="1" t="s">
        <v>645</v>
      </c>
      <c r="Q391" s="1" t="s">
        <v>146</v>
      </c>
      <c r="R391" s="1" t="s">
        <v>55</v>
      </c>
      <c r="S391" s="2">
        <v>46210</v>
      </c>
      <c r="T391" s="2">
        <v>46210</v>
      </c>
      <c r="V391" s="1">
        <v>0</v>
      </c>
      <c r="W391" s="1">
        <v>0</v>
      </c>
      <c r="X391" s="1">
        <v>0</v>
      </c>
      <c r="Y391" s="1">
        <v>0</v>
      </c>
      <c r="Z391" s="1">
        <v>1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</row>
    <row r="392" spans="1:33" x14ac:dyDescent="0.25">
      <c r="A392" s="1">
        <v>577</v>
      </c>
      <c r="B392" s="1" t="s">
        <v>774</v>
      </c>
      <c r="C392" s="1" t="s">
        <v>647</v>
      </c>
      <c r="D392" s="1" t="s">
        <v>775</v>
      </c>
      <c r="E392" s="1" t="s">
        <v>758</v>
      </c>
      <c r="F392" s="10">
        <v>46190</v>
      </c>
      <c r="G392" s="10">
        <v>46210</v>
      </c>
      <c r="H392" s="11">
        <v>0.87</v>
      </c>
      <c r="L392" s="1" t="s">
        <v>35</v>
      </c>
      <c r="M392" s="1" t="s">
        <v>323</v>
      </c>
      <c r="N392" s="2">
        <v>46210</v>
      </c>
      <c r="P392" s="1" t="s">
        <v>645</v>
      </c>
      <c r="Q392" s="1" t="s">
        <v>133</v>
      </c>
      <c r="R392" s="1" t="s">
        <v>55</v>
      </c>
      <c r="S392" s="2">
        <v>46191</v>
      </c>
      <c r="T392" s="2">
        <v>46210</v>
      </c>
      <c r="V392" s="1">
        <v>0.87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</row>
    <row r="393" spans="1:33" x14ac:dyDescent="0.25">
      <c r="A393" s="1">
        <v>578</v>
      </c>
      <c r="B393" s="1" t="s">
        <v>776</v>
      </c>
      <c r="C393" s="1" t="s">
        <v>777</v>
      </c>
      <c r="D393" s="1" t="s">
        <v>94</v>
      </c>
      <c r="E393" s="1" t="s">
        <v>769</v>
      </c>
      <c r="F393" s="10">
        <v>46190</v>
      </c>
      <c r="G393" s="10">
        <v>46198</v>
      </c>
      <c r="H393" s="11">
        <v>1</v>
      </c>
      <c r="I393" s="10">
        <v>46198</v>
      </c>
      <c r="J393" s="1" t="s">
        <v>770</v>
      </c>
      <c r="K393" s="1">
        <v>579</v>
      </c>
      <c r="L393" s="1" t="s">
        <v>59</v>
      </c>
      <c r="M393" s="1" t="s">
        <v>323</v>
      </c>
      <c r="N393" s="2">
        <v>46204</v>
      </c>
      <c r="P393" s="1" t="s">
        <v>645</v>
      </c>
      <c r="Q393" s="1" t="s">
        <v>133</v>
      </c>
      <c r="R393" s="1" t="s">
        <v>55</v>
      </c>
      <c r="S393" s="2">
        <v>46191</v>
      </c>
      <c r="T393" s="2">
        <v>46204</v>
      </c>
      <c r="V393" s="1">
        <v>1</v>
      </c>
      <c r="W393" s="1">
        <v>1</v>
      </c>
      <c r="X393" s="1">
        <v>1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1</v>
      </c>
    </row>
    <row r="394" spans="1:33" x14ac:dyDescent="0.25">
      <c r="A394" s="1">
        <v>579</v>
      </c>
      <c r="B394" s="1" t="s">
        <v>778</v>
      </c>
      <c r="C394" s="1" t="s">
        <v>777</v>
      </c>
      <c r="D394" s="1" t="s">
        <v>98</v>
      </c>
      <c r="E394" s="1" t="s">
        <v>103</v>
      </c>
      <c r="F394" s="10">
        <v>46199</v>
      </c>
      <c r="G394" s="10">
        <v>46206</v>
      </c>
      <c r="H394" s="11">
        <v>1</v>
      </c>
      <c r="I394" s="10">
        <v>46206</v>
      </c>
      <c r="J394" s="1">
        <v>578</v>
      </c>
      <c r="K394" s="1">
        <v>580</v>
      </c>
      <c r="L394" s="1" t="s">
        <v>59</v>
      </c>
      <c r="M394" s="1" t="s">
        <v>292</v>
      </c>
      <c r="N394" s="2">
        <v>46205</v>
      </c>
      <c r="P394" s="1" t="s">
        <v>645</v>
      </c>
      <c r="Q394" s="1" t="s">
        <v>178</v>
      </c>
      <c r="R394" s="1" t="s">
        <v>55</v>
      </c>
      <c r="S394" s="2">
        <v>46205</v>
      </c>
      <c r="T394" s="2">
        <v>46205</v>
      </c>
      <c r="V394" s="1">
        <v>1</v>
      </c>
      <c r="W394" s="1">
        <v>0</v>
      </c>
      <c r="X394" s="1">
        <v>0</v>
      </c>
      <c r="Y394" s="1">
        <v>0</v>
      </c>
      <c r="Z394" s="1">
        <v>0</v>
      </c>
      <c r="AA394" s="1">
        <v>1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</row>
    <row r="395" spans="1:33" x14ac:dyDescent="0.25">
      <c r="A395" s="1">
        <v>580</v>
      </c>
      <c r="B395" s="1" t="s">
        <v>779</v>
      </c>
      <c r="C395" s="1" t="s">
        <v>777</v>
      </c>
      <c r="D395" s="1" t="s">
        <v>102</v>
      </c>
      <c r="E395" s="1" t="s">
        <v>53</v>
      </c>
      <c r="F395" s="10">
        <v>46209</v>
      </c>
      <c r="G395" s="10">
        <v>46209</v>
      </c>
      <c r="H395" s="11">
        <v>0</v>
      </c>
      <c r="J395" s="1">
        <v>579</v>
      </c>
      <c r="K395" s="1">
        <v>581</v>
      </c>
      <c r="L395" s="1" t="s">
        <v>35</v>
      </c>
      <c r="M395" s="1" t="s">
        <v>191</v>
      </c>
      <c r="N395" s="2">
        <v>46209</v>
      </c>
      <c r="P395" s="1" t="s">
        <v>645</v>
      </c>
      <c r="Q395" s="1" t="s">
        <v>178</v>
      </c>
      <c r="R395" s="1" t="s">
        <v>55</v>
      </c>
      <c r="S395" s="2">
        <v>46206</v>
      </c>
      <c r="T395" s="2">
        <v>46209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1</v>
      </c>
      <c r="AE395" s="1">
        <v>0</v>
      </c>
      <c r="AF395" s="1">
        <v>0</v>
      </c>
      <c r="AG395" s="1">
        <v>0</v>
      </c>
    </row>
    <row r="396" spans="1:33" x14ac:dyDescent="0.25">
      <c r="A396" s="1">
        <v>581</v>
      </c>
      <c r="B396" s="1" t="s">
        <v>780</v>
      </c>
      <c r="C396" s="1" t="s">
        <v>777</v>
      </c>
      <c r="D396" s="1" t="s">
        <v>108</v>
      </c>
      <c r="E396" s="1" t="s">
        <v>53</v>
      </c>
      <c r="F396" s="10">
        <v>46210</v>
      </c>
      <c r="G396" s="10">
        <v>46210</v>
      </c>
      <c r="H396" s="11">
        <v>0</v>
      </c>
      <c r="J396" s="1">
        <v>580</v>
      </c>
      <c r="L396" s="1" t="s">
        <v>180</v>
      </c>
      <c r="M396" s="1" t="s">
        <v>295</v>
      </c>
      <c r="N396" s="2">
        <v>46210</v>
      </c>
      <c r="P396" s="1" t="s">
        <v>645</v>
      </c>
      <c r="Q396" s="1" t="s">
        <v>146</v>
      </c>
      <c r="R396" s="1" t="s">
        <v>55</v>
      </c>
      <c r="S396" s="2">
        <v>46210</v>
      </c>
      <c r="T396" s="2">
        <v>46210</v>
      </c>
      <c r="V396" s="1">
        <v>0</v>
      </c>
      <c r="W396" s="1">
        <v>0</v>
      </c>
      <c r="X396" s="1">
        <v>0</v>
      </c>
      <c r="Y396" s="1">
        <v>0</v>
      </c>
      <c r="Z396" s="1">
        <v>1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</row>
    <row r="397" spans="1:33" x14ac:dyDescent="0.25">
      <c r="A397" s="1">
        <v>582</v>
      </c>
      <c r="B397" s="1" t="s">
        <v>781</v>
      </c>
      <c r="C397" s="1" t="s">
        <v>647</v>
      </c>
      <c r="D397" s="1" t="s">
        <v>782</v>
      </c>
      <c r="E397" s="1" t="s">
        <v>758</v>
      </c>
      <c r="F397" s="10">
        <v>46190</v>
      </c>
      <c r="G397" s="10">
        <v>46210</v>
      </c>
      <c r="H397" s="11">
        <v>0.87</v>
      </c>
      <c r="L397" s="1" t="s">
        <v>35</v>
      </c>
      <c r="M397" s="1" t="s">
        <v>323</v>
      </c>
      <c r="N397" s="2">
        <v>46210</v>
      </c>
      <c r="P397" s="1" t="s">
        <v>645</v>
      </c>
      <c r="Q397" s="1" t="s">
        <v>133</v>
      </c>
      <c r="R397" s="1" t="s">
        <v>55</v>
      </c>
      <c r="S397" s="2">
        <v>46191</v>
      </c>
      <c r="T397" s="2">
        <v>46210</v>
      </c>
      <c r="V397" s="1">
        <v>0.87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</row>
    <row r="398" spans="1:33" x14ac:dyDescent="0.25">
      <c r="A398" s="1">
        <v>583</v>
      </c>
      <c r="B398" s="1" t="s">
        <v>783</v>
      </c>
      <c r="C398" s="1" t="s">
        <v>784</v>
      </c>
      <c r="D398" s="1" t="s">
        <v>94</v>
      </c>
      <c r="E398" s="1" t="s">
        <v>769</v>
      </c>
      <c r="F398" s="10">
        <v>46190</v>
      </c>
      <c r="G398" s="10">
        <v>46198</v>
      </c>
      <c r="H398" s="11">
        <v>1</v>
      </c>
      <c r="I398" s="10">
        <v>46198</v>
      </c>
      <c r="J398" s="1" t="s">
        <v>770</v>
      </c>
      <c r="K398" s="1">
        <v>584</v>
      </c>
      <c r="L398" s="1" t="s">
        <v>59</v>
      </c>
      <c r="M398" s="1" t="s">
        <v>323</v>
      </c>
      <c r="N398" s="2">
        <v>46204</v>
      </c>
      <c r="P398" s="1" t="s">
        <v>645</v>
      </c>
      <c r="Q398" s="1" t="s">
        <v>133</v>
      </c>
      <c r="R398" s="1" t="s">
        <v>55</v>
      </c>
      <c r="S398" s="2">
        <v>46191</v>
      </c>
      <c r="T398" s="2">
        <v>46204</v>
      </c>
      <c r="V398" s="1">
        <v>1</v>
      </c>
      <c r="W398" s="1">
        <v>1</v>
      </c>
      <c r="X398" s="1">
        <v>1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1</v>
      </c>
    </row>
    <row r="399" spans="1:33" x14ac:dyDescent="0.25">
      <c r="A399" s="1">
        <v>584</v>
      </c>
      <c r="B399" s="1" t="s">
        <v>785</v>
      </c>
      <c r="C399" s="1" t="s">
        <v>784</v>
      </c>
      <c r="D399" s="1" t="s">
        <v>98</v>
      </c>
      <c r="E399" s="1" t="s">
        <v>103</v>
      </c>
      <c r="F399" s="10">
        <v>46199</v>
      </c>
      <c r="G399" s="10">
        <v>46206</v>
      </c>
      <c r="H399" s="11">
        <v>1</v>
      </c>
      <c r="I399" s="10">
        <v>46206</v>
      </c>
      <c r="J399" s="1">
        <v>583</v>
      </c>
      <c r="K399" s="1">
        <v>585</v>
      </c>
      <c r="L399" s="1" t="s">
        <v>59</v>
      </c>
      <c r="M399" s="1" t="s">
        <v>292</v>
      </c>
      <c r="N399" s="2">
        <v>46205</v>
      </c>
      <c r="P399" s="1" t="s">
        <v>645</v>
      </c>
      <c r="Q399" s="1" t="s">
        <v>178</v>
      </c>
      <c r="R399" s="1" t="s">
        <v>55</v>
      </c>
      <c r="S399" s="2">
        <v>46205</v>
      </c>
      <c r="T399" s="2">
        <v>46205</v>
      </c>
      <c r="V399" s="1">
        <v>1</v>
      </c>
      <c r="W399" s="1">
        <v>0</v>
      </c>
      <c r="X399" s="1">
        <v>0</v>
      </c>
      <c r="Y399" s="1">
        <v>0</v>
      </c>
      <c r="Z399" s="1">
        <v>0</v>
      </c>
      <c r="AA399" s="1">
        <v>1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</row>
    <row r="400" spans="1:33" x14ac:dyDescent="0.25">
      <c r="A400" s="1">
        <v>585</v>
      </c>
      <c r="B400" s="1" t="s">
        <v>786</v>
      </c>
      <c r="C400" s="1" t="s">
        <v>784</v>
      </c>
      <c r="D400" s="1" t="s">
        <v>102</v>
      </c>
      <c r="E400" s="1" t="s">
        <v>53</v>
      </c>
      <c r="F400" s="10">
        <v>46209</v>
      </c>
      <c r="G400" s="10">
        <v>46209</v>
      </c>
      <c r="H400" s="11">
        <v>0</v>
      </c>
      <c r="J400" s="1">
        <v>584</v>
      </c>
      <c r="K400" s="1">
        <v>586</v>
      </c>
      <c r="L400" s="1" t="s">
        <v>35</v>
      </c>
      <c r="M400" s="1" t="s">
        <v>191</v>
      </c>
      <c r="N400" s="2">
        <v>46209</v>
      </c>
      <c r="P400" s="1" t="s">
        <v>645</v>
      </c>
      <c r="Q400" s="1" t="s">
        <v>178</v>
      </c>
      <c r="R400" s="1" t="s">
        <v>55</v>
      </c>
      <c r="S400" s="2">
        <v>46206</v>
      </c>
      <c r="T400" s="2">
        <v>46209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1</v>
      </c>
      <c r="AE400" s="1">
        <v>0</v>
      </c>
      <c r="AF400" s="1">
        <v>0</v>
      </c>
      <c r="AG400" s="1">
        <v>0</v>
      </c>
    </row>
    <row r="401" spans="1:33" x14ac:dyDescent="0.25">
      <c r="A401" s="1">
        <v>586</v>
      </c>
      <c r="B401" s="1" t="s">
        <v>787</v>
      </c>
      <c r="C401" s="1" t="s">
        <v>784</v>
      </c>
      <c r="D401" s="1" t="s">
        <v>108</v>
      </c>
      <c r="E401" s="1" t="s">
        <v>53</v>
      </c>
      <c r="F401" s="10">
        <v>46210</v>
      </c>
      <c r="G401" s="10">
        <v>46210</v>
      </c>
      <c r="H401" s="11">
        <v>0</v>
      </c>
      <c r="J401" s="1">
        <v>585</v>
      </c>
      <c r="L401" s="1" t="s">
        <v>180</v>
      </c>
      <c r="M401" s="1" t="s">
        <v>295</v>
      </c>
      <c r="N401" s="2">
        <v>46210</v>
      </c>
      <c r="P401" s="1" t="s">
        <v>645</v>
      </c>
      <c r="Q401" s="1" t="s">
        <v>146</v>
      </c>
      <c r="R401" s="1" t="s">
        <v>55</v>
      </c>
      <c r="S401" s="2">
        <v>46210</v>
      </c>
      <c r="T401" s="2">
        <v>46210</v>
      </c>
      <c r="V401" s="1">
        <v>0</v>
      </c>
      <c r="W401" s="1">
        <v>0</v>
      </c>
      <c r="X401" s="1">
        <v>0</v>
      </c>
      <c r="Y401" s="1">
        <v>0</v>
      </c>
      <c r="Z401" s="1">
        <v>1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</row>
    <row r="402" spans="1:33" x14ac:dyDescent="0.25">
      <c r="A402" s="1">
        <v>587</v>
      </c>
      <c r="B402" s="1" t="s">
        <v>788</v>
      </c>
      <c r="C402" s="1" t="s">
        <v>647</v>
      </c>
      <c r="D402" s="1" t="s">
        <v>789</v>
      </c>
      <c r="E402" s="1" t="s">
        <v>758</v>
      </c>
      <c r="F402" s="10">
        <v>46190</v>
      </c>
      <c r="G402" s="10">
        <v>46210</v>
      </c>
      <c r="H402" s="11">
        <v>0.87</v>
      </c>
      <c r="L402" s="1" t="s">
        <v>35</v>
      </c>
      <c r="M402" s="1" t="s">
        <v>323</v>
      </c>
      <c r="N402" s="2">
        <v>46210</v>
      </c>
      <c r="P402" s="1" t="s">
        <v>645</v>
      </c>
      <c r="Q402" s="1" t="s">
        <v>133</v>
      </c>
      <c r="R402" s="1" t="s">
        <v>55</v>
      </c>
      <c r="S402" s="2">
        <v>46191</v>
      </c>
      <c r="T402" s="2">
        <v>46210</v>
      </c>
      <c r="V402" s="1">
        <v>0.87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</row>
    <row r="403" spans="1:33" x14ac:dyDescent="0.25">
      <c r="A403" s="1">
        <v>588</v>
      </c>
      <c r="B403" s="1" t="s">
        <v>790</v>
      </c>
      <c r="C403" s="1" t="s">
        <v>791</v>
      </c>
      <c r="D403" s="1" t="s">
        <v>94</v>
      </c>
      <c r="E403" s="1" t="s">
        <v>769</v>
      </c>
      <c r="F403" s="10">
        <v>46190</v>
      </c>
      <c r="G403" s="10">
        <v>46198</v>
      </c>
      <c r="H403" s="11">
        <v>1</v>
      </c>
      <c r="I403" s="10">
        <v>46198</v>
      </c>
      <c r="J403" s="1" t="s">
        <v>770</v>
      </c>
      <c r="K403" s="1">
        <v>589</v>
      </c>
      <c r="L403" s="1" t="s">
        <v>59</v>
      </c>
      <c r="M403" s="1" t="s">
        <v>323</v>
      </c>
      <c r="N403" s="2">
        <v>46204</v>
      </c>
      <c r="P403" s="1" t="s">
        <v>645</v>
      </c>
      <c r="Q403" s="1" t="s">
        <v>133</v>
      </c>
      <c r="R403" s="1" t="s">
        <v>55</v>
      </c>
      <c r="S403" s="2">
        <v>46191</v>
      </c>
      <c r="T403" s="2">
        <v>46204</v>
      </c>
      <c r="V403" s="1">
        <v>1</v>
      </c>
      <c r="W403" s="1">
        <v>1</v>
      </c>
      <c r="X403" s="1">
        <v>1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1</v>
      </c>
    </row>
    <row r="404" spans="1:33" x14ac:dyDescent="0.25">
      <c r="A404" s="1">
        <v>589</v>
      </c>
      <c r="B404" s="1" t="s">
        <v>792</v>
      </c>
      <c r="C404" s="1" t="s">
        <v>791</v>
      </c>
      <c r="D404" s="1" t="s">
        <v>98</v>
      </c>
      <c r="E404" s="1" t="s">
        <v>103</v>
      </c>
      <c r="F404" s="10">
        <v>46199</v>
      </c>
      <c r="G404" s="10">
        <v>46206</v>
      </c>
      <c r="H404" s="11">
        <v>1</v>
      </c>
      <c r="I404" s="10">
        <v>46206</v>
      </c>
      <c r="J404" s="1">
        <v>588</v>
      </c>
      <c r="K404" s="1">
        <v>590</v>
      </c>
      <c r="L404" s="1" t="s">
        <v>59</v>
      </c>
      <c r="M404" s="1" t="s">
        <v>292</v>
      </c>
      <c r="N404" s="2">
        <v>46205</v>
      </c>
      <c r="P404" s="1" t="s">
        <v>645</v>
      </c>
      <c r="Q404" s="1" t="s">
        <v>178</v>
      </c>
      <c r="R404" s="1" t="s">
        <v>55</v>
      </c>
      <c r="S404" s="2">
        <v>46205</v>
      </c>
      <c r="T404" s="2">
        <v>46205</v>
      </c>
      <c r="V404" s="1">
        <v>1</v>
      </c>
      <c r="W404" s="1">
        <v>0</v>
      </c>
      <c r="X404" s="1">
        <v>0</v>
      </c>
      <c r="Y404" s="1">
        <v>0</v>
      </c>
      <c r="Z404" s="1">
        <v>0</v>
      </c>
      <c r="AA404" s="1">
        <v>1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</row>
    <row r="405" spans="1:33" x14ac:dyDescent="0.25">
      <c r="A405" s="1">
        <v>590</v>
      </c>
      <c r="B405" s="1" t="s">
        <v>793</v>
      </c>
      <c r="C405" s="1" t="s">
        <v>791</v>
      </c>
      <c r="D405" s="1" t="s">
        <v>102</v>
      </c>
      <c r="E405" s="1" t="s">
        <v>53</v>
      </c>
      <c r="F405" s="10">
        <v>46209</v>
      </c>
      <c r="G405" s="10">
        <v>46209</v>
      </c>
      <c r="H405" s="11">
        <v>0</v>
      </c>
      <c r="J405" s="1">
        <v>589</v>
      </c>
      <c r="K405" s="1">
        <v>591</v>
      </c>
      <c r="L405" s="1" t="s">
        <v>35</v>
      </c>
      <c r="M405" s="1" t="s">
        <v>191</v>
      </c>
      <c r="N405" s="2">
        <v>46209</v>
      </c>
      <c r="P405" s="1" t="s">
        <v>645</v>
      </c>
      <c r="Q405" s="1" t="s">
        <v>178</v>
      </c>
      <c r="R405" s="1" t="s">
        <v>55</v>
      </c>
      <c r="S405" s="2">
        <v>46206</v>
      </c>
      <c r="T405" s="2">
        <v>46209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1</v>
      </c>
      <c r="AE405" s="1">
        <v>0</v>
      </c>
      <c r="AF405" s="1">
        <v>0</v>
      </c>
      <c r="AG405" s="1">
        <v>0</v>
      </c>
    </row>
    <row r="406" spans="1:33" x14ac:dyDescent="0.25">
      <c r="A406" s="1">
        <v>591</v>
      </c>
      <c r="B406" s="1" t="s">
        <v>794</v>
      </c>
      <c r="C406" s="1" t="s">
        <v>791</v>
      </c>
      <c r="D406" s="1" t="s">
        <v>108</v>
      </c>
      <c r="E406" s="1" t="s">
        <v>53</v>
      </c>
      <c r="F406" s="10">
        <v>46210</v>
      </c>
      <c r="G406" s="10">
        <v>46210</v>
      </c>
      <c r="H406" s="11">
        <v>0</v>
      </c>
      <c r="J406" s="1">
        <v>590</v>
      </c>
      <c r="L406" s="1" t="s">
        <v>180</v>
      </c>
      <c r="M406" s="1" t="s">
        <v>295</v>
      </c>
      <c r="N406" s="2">
        <v>46210</v>
      </c>
      <c r="P406" s="1" t="s">
        <v>645</v>
      </c>
      <c r="Q406" s="1" t="s">
        <v>146</v>
      </c>
      <c r="R406" s="1" t="s">
        <v>55</v>
      </c>
      <c r="S406" s="2">
        <v>46210</v>
      </c>
      <c r="T406" s="2">
        <v>46210</v>
      </c>
      <c r="V406" s="1">
        <v>0</v>
      </c>
      <c r="W406" s="1">
        <v>0</v>
      </c>
      <c r="X406" s="1">
        <v>0</v>
      </c>
      <c r="Y406" s="1">
        <v>0</v>
      </c>
      <c r="Z406" s="1">
        <v>1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</row>
    <row r="407" spans="1:33" x14ac:dyDescent="0.25">
      <c r="A407" s="1">
        <v>592</v>
      </c>
      <c r="B407" s="1" t="s">
        <v>795</v>
      </c>
      <c r="C407" s="1" t="s">
        <v>647</v>
      </c>
      <c r="D407" s="1" t="s">
        <v>796</v>
      </c>
      <c r="E407" s="1" t="s">
        <v>758</v>
      </c>
      <c r="F407" s="10">
        <v>46190</v>
      </c>
      <c r="G407" s="10">
        <v>46210</v>
      </c>
      <c r="H407" s="11">
        <v>0.87</v>
      </c>
      <c r="L407" s="1" t="s">
        <v>35</v>
      </c>
      <c r="M407" s="1" t="s">
        <v>323</v>
      </c>
      <c r="N407" s="2">
        <v>46210</v>
      </c>
      <c r="P407" s="1" t="s">
        <v>645</v>
      </c>
      <c r="Q407" s="1" t="s">
        <v>133</v>
      </c>
      <c r="R407" s="1" t="s">
        <v>55</v>
      </c>
      <c r="S407" s="2">
        <v>46191</v>
      </c>
      <c r="T407" s="2">
        <v>46210</v>
      </c>
      <c r="V407" s="1">
        <v>0.87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</row>
    <row r="408" spans="1:33" x14ac:dyDescent="0.25">
      <c r="A408" s="1">
        <v>593</v>
      </c>
      <c r="B408" s="1" t="s">
        <v>797</v>
      </c>
      <c r="C408" s="1" t="s">
        <v>798</v>
      </c>
      <c r="D408" s="1" t="s">
        <v>94</v>
      </c>
      <c r="E408" s="1" t="s">
        <v>769</v>
      </c>
      <c r="F408" s="10">
        <v>46190</v>
      </c>
      <c r="G408" s="10">
        <v>46198</v>
      </c>
      <c r="H408" s="11">
        <v>1</v>
      </c>
      <c r="I408" s="10">
        <v>46198</v>
      </c>
      <c r="J408" s="1" t="s">
        <v>770</v>
      </c>
      <c r="K408" s="1">
        <v>594</v>
      </c>
      <c r="L408" s="1" t="s">
        <v>59</v>
      </c>
      <c r="M408" s="1" t="s">
        <v>323</v>
      </c>
      <c r="N408" s="2">
        <v>46204</v>
      </c>
      <c r="P408" s="1" t="s">
        <v>645</v>
      </c>
      <c r="Q408" s="1" t="s">
        <v>133</v>
      </c>
      <c r="R408" s="1" t="s">
        <v>55</v>
      </c>
      <c r="S408" s="2">
        <v>46191</v>
      </c>
      <c r="T408" s="2">
        <v>46204</v>
      </c>
      <c r="V408" s="1">
        <v>1</v>
      </c>
      <c r="W408" s="1">
        <v>1</v>
      </c>
      <c r="X408" s="1">
        <v>1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1</v>
      </c>
    </row>
    <row r="409" spans="1:33" x14ac:dyDescent="0.25">
      <c r="A409" s="1">
        <v>594</v>
      </c>
      <c r="B409" s="1" t="s">
        <v>799</v>
      </c>
      <c r="C409" s="1" t="s">
        <v>798</v>
      </c>
      <c r="D409" s="1" t="s">
        <v>98</v>
      </c>
      <c r="E409" s="1" t="s">
        <v>103</v>
      </c>
      <c r="F409" s="10">
        <v>46199</v>
      </c>
      <c r="G409" s="10">
        <v>46206</v>
      </c>
      <c r="H409" s="11">
        <v>1</v>
      </c>
      <c r="I409" s="10">
        <v>46206</v>
      </c>
      <c r="J409" s="1">
        <v>593</v>
      </c>
      <c r="K409" s="1">
        <v>595</v>
      </c>
      <c r="L409" s="1" t="s">
        <v>59</v>
      </c>
      <c r="M409" s="1" t="s">
        <v>292</v>
      </c>
      <c r="N409" s="2">
        <v>46205</v>
      </c>
      <c r="P409" s="1" t="s">
        <v>645</v>
      </c>
      <c r="Q409" s="1" t="s">
        <v>178</v>
      </c>
      <c r="R409" s="1" t="s">
        <v>55</v>
      </c>
      <c r="S409" s="2">
        <v>46205</v>
      </c>
      <c r="T409" s="2">
        <v>46205</v>
      </c>
      <c r="V409" s="1">
        <v>1</v>
      </c>
      <c r="W409" s="1">
        <v>0</v>
      </c>
      <c r="X409" s="1">
        <v>0</v>
      </c>
      <c r="Y409" s="1">
        <v>0</v>
      </c>
      <c r="Z409" s="1">
        <v>0</v>
      </c>
      <c r="AA409" s="1">
        <v>1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</row>
    <row r="410" spans="1:33" x14ac:dyDescent="0.25">
      <c r="A410" s="1">
        <v>595</v>
      </c>
      <c r="B410" s="1" t="s">
        <v>800</v>
      </c>
      <c r="C410" s="1" t="s">
        <v>798</v>
      </c>
      <c r="D410" s="1" t="s">
        <v>102</v>
      </c>
      <c r="E410" s="1" t="s">
        <v>53</v>
      </c>
      <c r="F410" s="10">
        <v>46209</v>
      </c>
      <c r="G410" s="10">
        <v>46209</v>
      </c>
      <c r="H410" s="11">
        <v>0</v>
      </c>
      <c r="J410" s="1">
        <v>594</v>
      </c>
      <c r="K410" s="1">
        <v>596</v>
      </c>
      <c r="L410" s="1" t="s">
        <v>35</v>
      </c>
      <c r="M410" s="1" t="s">
        <v>191</v>
      </c>
      <c r="N410" s="2">
        <v>46209</v>
      </c>
      <c r="P410" s="1" t="s">
        <v>645</v>
      </c>
      <c r="Q410" s="1" t="s">
        <v>178</v>
      </c>
      <c r="R410" s="1" t="s">
        <v>55</v>
      </c>
      <c r="S410" s="2">
        <v>46206</v>
      </c>
      <c r="T410" s="2">
        <v>46209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1</v>
      </c>
      <c r="AE410" s="1">
        <v>0</v>
      </c>
      <c r="AF410" s="1">
        <v>0</v>
      </c>
      <c r="AG410" s="1">
        <v>0</v>
      </c>
    </row>
    <row r="411" spans="1:33" x14ac:dyDescent="0.25">
      <c r="A411" s="1">
        <v>596</v>
      </c>
      <c r="B411" s="1" t="s">
        <v>801</v>
      </c>
      <c r="C411" s="1" t="s">
        <v>798</v>
      </c>
      <c r="D411" s="1" t="s">
        <v>108</v>
      </c>
      <c r="E411" s="1" t="s">
        <v>53</v>
      </c>
      <c r="F411" s="10">
        <v>46210</v>
      </c>
      <c r="G411" s="10">
        <v>46210</v>
      </c>
      <c r="H411" s="11">
        <v>0</v>
      </c>
      <c r="J411" s="1">
        <v>595</v>
      </c>
      <c r="L411" s="1" t="s">
        <v>180</v>
      </c>
      <c r="M411" s="1" t="s">
        <v>295</v>
      </c>
      <c r="N411" s="2">
        <v>46210</v>
      </c>
      <c r="P411" s="1" t="s">
        <v>645</v>
      </c>
      <c r="Q411" s="1" t="s">
        <v>146</v>
      </c>
      <c r="R411" s="1" t="s">
        <v>55</v>
      </c>
      <c r="S411" s="2">
        <v>46210</v>
      </c>
      <c r="T411" s="2">
        <v>46210</v>
      </c>
      <c r="V411" s="1">
        <v>0</v>
      </c>
      <c r="W411" s="1">
        <v>0</v>
      </c>
      <c r="X411" s="1">
        <v>0</v>
      </c>
      <c r="Y411" s="1">
        <v>0</v>
      </c>
      <c r="Z411" s="1">
        <v>1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</row>
    <row r="412" spans="1:33" x14ac:dyDescent="0.25">
      <c r="A412" s="1">
        <v>597</v>
      </c>
      <c r="B412" s="1" t="s">
        <v>802</v>
      </c>
      <c r="C412" s="1" t="s">
        <v>647</v>
      </c>
      <c r="D412" s="1" t="s">
        <v>803</v>
      </c>
      <c r="E412" s="1" t="s">
        <v>758</v>
      </c>
      <c r="F412" s="10">
        <v>46190</v>
      </c>
      <c r="G412" s="10">
        <v>46210</v>
      </c>
      <c r="H412" s="11">
        <v>0.87</v>
      </c>
      <c r="L412" s="1" t="s">
        <v>35</v>
      </c>
      <c r="M412" s="1" t="s">
        <v>323</v>
      </c>
      <c r="N412" s="2">
        <v>46210</v>
      </c>
      <c r="P412" s="1" t="s">
        <v>645</v>
      </c>
      <c r="Q412" s="1" t="s">
        <v>133</v>
      </c>
      <c r="R412" s="1" t="s">
        <v>55</v>
      </c>
      <c r="S412" s="2">
        <v>46191</v>
      </c>
      <c r="T412" s="2">
        <v>46210</v>
      </c>
      <c r="V412" s="1">
        <v>0.87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</row>
    <row r="413" spans="1:33" x14ac:dyDescent="0.25">
      <c r="A413" s="1">
        <v>598</v>
      </c>
      <c r="B413" s="1" t="s">
        <v>804</v>
      </c>
      <c r="C413" s="1" t="s">
        <v>805</v>
      </c>
      <c r="D413" s="1" t="s">
        <v>94</v>
      </c>
      <c r="E413" s="1" t="s">
        <v>769</v>
      </c>
      <c r="F413" s="10">
        <v>46190</v>
      </c>
      <c r="G413" s="10">
        <v>46198</v>
      </c>
      <c r="H413" s="11">
        <v>1</v>
      </c>
      <c r="I413" s="10">
        <v>46198</v>
      </c>
      <c r="J413" s="1" t="s">
        <v>770</v>
      </c>
      <c r="K413" s="1">
        <v>599</v>
      </c>
      <c r="L413" s="1" t="s">
        <v>59</v>
      </c>
      <c r="M413" s="1" t="s">
        <v>323</v>
      </c>
      <c r="N413" s="2">
        <v>46204</v>
      </c>
      <c r="P413" s="1" t="s">
        <v>645</v>
      </c>
      <c r="Q413" s="1" t="s">
        <v>133</v>
      </c>
      <c r="R413" s="1" t="s">
        <v>55</v>
      </c>
      <c r="S413" s="2">
        <v>46191</v>
      </c>
      <c r="T413" s="2">
        <v>46204</v>
      </c>
      <c r="V413" s="1">
        <v>1</v>
      </c>
      <c r="W413" s="1">
        <v>1</v>
      </c>
      <c r="X413" s="1">
        <v>1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1</v>
      </c>
    </row>
    <row r="414" spans="1:33" x14ac:dyDescent="0.25">
      <c r="A414" s="1">
        <v>599</v>
      </c>
      <c r="B414" s="1" t="s">
        <v>806</v>
      </c>
      <c r="C414" s="1" t="s">
        <v>805</v>
      </c>
      <c r="D414" s="1" t="s">
        <v>98</v>
      </c>
      <c r="E414" s="1" t="s">
        <v>103</v>
      </c>
      <c r="F414" s="10">
        <v>46199</v>
      </c>
      <c r="G414" s="10">
        <v>46206</v>
      </c>
      <c r="H414" s="11">
        <v>1</v>
      </c>
      <c r="I414" s="10">
        <v>46206</v>
      </c>
      <c r="J414" s="1">
        <v>598</v>
      </c>
      <c r="K414" s="1">
        <v>600</v>
      </c>
      <c r="L414" s="1" t="s">
        <v>59</v>
      </c>
      <c r="M414" s="1" t="s">
        <v>292</v>
      </c>
      <c r="N414" s="2">
        <v>46205</v>
      </c>
      <c r="P414" s="1" t="s">
        <v>645</v>
      </c>
      <c r="Q414" s="1" t="s">
        <v>178</v>
      </c>
      <c r="R414" s="1" t="s">
        <v>55</v>
      </c>
      <c r="S414" s="2">
        <v>46205</v>
      </c>
      <c r="T414" s="2">
        <v>46205</v>
      </c>
      <c r="V414" s="1">
        <v>1</v>
      </c>
      <c r="W414" s="1">
        <v>0</v>
      </c>
      <c r="X414" s="1">
        <v>0</v>
      </c>
      <c r="Y414" s="1">
        <v>0</v>
      </c>
      <c r="Z414" s="1">
        <v>0</v>
      </c>
      <c r="AA414" s="1">
        <v>1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</row>
    <row r="415" spans="1:33" x14ac:dyDescent="0.25">
      <c r="A415" s="1">
        <v>600</v>
      </c>
      <c r="B415" s="1" t="s">
        <v>807</v>
      </c>
      <c r="C415" s="1" t="s">
        <v>805</v>
      </c>
      <c r="D415" s="1" t="s">
        <v>102</v>
      </c>
      <c r="E415" s="1" t="s">
        <v>53</v>
      </c>
      <c r="F415" s="10">
        <v>46209</v>
      </c>
      <c r="G415" s="10">
        <v>46209</v>
      </c>
      <c r="H415" s="11">
        <v>0</v>
      </c>
      <c r="J415" s="1">
        <v>599</v>
      </c>
      <c r="K415" s="1">
        <v>601</v>
      </c>
      <c r="L415" s="1" t="s">
        <v>35</v>
      </c>
      <c r="M415" s="1" t="s">
        <v>191</v>
      </c>
      <c r="N415" s="2">
        <v>46209</v>
      </c>
      <c r="P415" s="1" t="s">
        <v>645</v>
      </c>
      <c r="Q415" s="1" t="s">
        <v>178</v>
      </c>
      <c r="R415" s="1" t="s">
        <v>55</v>
      </c>
      <c r="S415" s="2">
        <v>46206</v>
      </c>
      <c r="T415" s="2">
        <v>46209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1</v>
      </c>
      <c r="AE415" s="1">
        <v>0</v>
      </c>
      <c r="AF415" s="1">
        <v>0</v>
      </c>
      <c r="AG415" s="1">
        <v>0</v>
      </c>
    </row>
    <row r="416" spans="1:33" x14ac:dyDescent="0.25">
      <c r="A416" s="1">
        <v>601</v>
      </c>
      <c r="B416" s="1" t="s">
        <v>808</v>
      </c>
      <c r="C416" s="1" t="s">
        <v>805</v>
      </c>
      <c r="D416" s="1" t="s">
        <v>108</v>
      </c>
      <c r="E416" s="1" t="s">
        <v>53</v>
      </c>
      <c r="F416" s="10">
        <v>46210</v>
      </c>
      <c r="G416" s="10">
        <v>46210</v>
      </c>
      <c r="H416" s="11">
        <v>0</v>
      </c>
      <c r="J416" s="1">
        <v>600</v>
      </c>
      <c r="L416" s="1" t="s">
        <v>180</v>
      </c>
      <c r="M416" s="1" t="s">
        <v>295</v>
      </c>
      <c r="N416" s="2">
        <v>46210</v>
      </c>
      <c r="P416" s="1" t="s">
        <v>645</v>
      </c>
      <c r="Q416" s="1" t="s">
        <v>146</v>
      </c>
      <c r="R416" s="1" t="s">
        <v>55</v>
      </c>
      <c r="S416" s="2">
        <v>46210</v>
      </c>
      <c r="T416" s="2">
        <v>46210</v>
      </c>
      <c r="V416" s="1">
        <v>0</v>
      </c>
      <c r="W416" s="1">
        <v>0</v>
      </c>
      <c r="X416" s="1">
        <v>0</v>
      </c>
      <c r="Y416" s="1">
        <v>0</v>
      </c>
      <c r="Z416" s="1">
        <v>1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</row>
    <row r="417" spans="1:33" x14ac:dyDescent="0.25">
      <c r="A417" s="1">
        <v>602</v>
      </c>
      <c r="B417" s="1" t="s">
        <v>809</v>
      </c>
      <c r="C417" s="1" t="s">
        <v>647</v>
      </c>
      <c r="D417" s="1" t="s">
        <v>810</v>
      </c>
      <c r="E417" s="1" t="s">
        <v>758</v>
      </c>
      <c r="F417" s="10">
        <v>46190</v>
      </c>
      <c r="G417" s="10">
        <v>46210</v>
      </c>
      <c r="H417" s="11">
        <v>0.87</v>
      </c>
      <c r="L417" s="1" t="s">
        <v>35</v>
      </c>
      <c r="M417" s="1" t="s">
        <v>323</v>
      </c>
      <c r="N417" s="2">
        <v>46210</v>
      </c>
      <c r="P417" s="1" t="s">
        <v>645</v>
      </c>
      <c r="Q417" s="1" t="s">
        <v>133</v>
      </c>
      <c r="R417" s="1" t="s">
        <v>55</v>
      </c>
      <c r="S417" s="2">
        <v>46191</v>
      </c>
      <c r="T417" s="2">
        <v>46210</v>
      </c>
      <c r="V417" s="1">
        <v>0.87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</row>
    <row r="418" spans="1:33" x14ac:dyDescent="0.25">
      <c r="A418" s="1">
        <v>603</v>
      </c>
      <c r="B418" s="1" t="s">
        <v>811</v>
      </c>
      <c r="C418" s="1" t="s">
        <v>812</v>
      </c>
      <c r="D418" s="1" t="s">
        <v>94</v>
      </c>
      <c r="E418" s="1" t="s">
        <v>769</v>
      </c>
      <c r="F418" s="10">
        <v>46190</v>
      </c>
      <c r="G418" s="10">
        <v>46198</v>
      </c>
      <c r="H418" s="11">
        <v>1</v>
      </c>
      <c r="I418" s="10">
        <v>46198</v>
      </c>
      <c r="J418" s="1" t="s">
        <v>770</v>
      </c>
      <c r="K418" s="1">
        <v>604</v>
      </c>
      <c r="L418" s="1" t="s">
        <v>59</v>
      </c>
      <c r="M418" s="1" t="s">
        <v>323</v>
      </c>
      <c r="N418" s="2">
        <v>46204</v>
      </c>
      <c r="P418" s="1" t="s">
        <v>645</v>
      </c>
      <c r="Q418" s="1" t="s">
        <v>133</v>
      </c>
      <c r="R418" s="1" t="s">
        <v>55</v>
      </c>
      <c r="S418" s="2">
        <v>46191</v>
      </c>
      <c r="T418" s="2">
        <v>46204</v>
      </c>
      <c r="V418" s="1">
        <v>1</v>
      </c>
      <c r="W418" s="1">
        <v>1</v>
      </c>
      <c r="X418" s="1">
        <v>1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1</v>
      </c>
    </row>
    <row r="419" spans="1:33" x14ac:dyDescent="0.25">
      <c r="A419" s="1">
        <v>604</v>
      </c>
      <c r="B419" s="1" t="s">
        <v>813</v>
      </c>
      <c r="C419" s="1" t="s">
        <v>812</v>
      </c>
      <c r="D419" s="1" t="s">
        <v>98</v>
      </c>
      <c r="E419" s="1" t="s">
        <v>103</v>
      </c>
      <c r="F419" s="10">
        <v>46199</v>
      </c>
      <c r="G419" s="10">
        <v>46206</v>
      </c>
      <c r="H419" s="11">
        <v>1</v>
      </c>
      <c r="I419" s="10">
        <v>46206</v>
      </c>
      <c r="J419" s="1">
        <v>603</v>
      </c>
      <c r="K419" s="1">
        <v>605</v>
      </c>
      <c r="L419" s="1" t="s">
        <v>59</v>
      </c>
      <c r="M419" s="1" t="s">
        <v>292</v>
      </c>
      <c r="N419" s="2">
        <v>46205</v>
      </c>
      <c r="P419" s="1" t="s">
        <v>645</v>
      </c>
      <c r="Q419" s="1" t="s">
        <v>178</v>
      </c>
      <c r="R419" s="1" t="s">
        <v>55</v>
      </c>
      <c r="S419" s="2">
        <v>46205</v>
      </c>
      <c r="T419" s="2">
        <v>46205</v>
      </c>
      <c r="V419" s="1">
        <v>1</v>
      </c>
      <c r="W419" s="1">
        <v>0</v>
      </c>
      <c r="X419" s="1">
        <v>0</v>
      </c>
      <c r="Y419" s="1">
        <v>0</v>
      </c>
      <c r="Z419" s="1">
        <v>0</v>
      </c>
      <c r="AA419" s="1">
        <v>1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</row>
    <row r="420" spans="1:33" x14ac:dyDescent="0.25">
      <c r="A420" s="1">
        <v>605</v>
      </c>
      <c r="B420" s="1" t="s">
        <v>814</v>
      </c>
      <c r="C420" s="1" t="s">
        <v>812</v>
      </c>
      <c r="D420" s="1" t="s">
        <v>102</v>
      </c>
      <c r="E420" s="1" t="s">
        <v>53</v>
      </c>
      <c r="F420" s="10">
        <v>46209</v>
      </c>
      <c r="G420" s="10">
        <v>46209</v>
      </c>
      <c r="H420" s="11">
        <v>0</v>
      </c>
      <c r="J420" s="1">
        <v>604</v>
      </c>
      <c r="K420" s="1">
        <v>606</v>
      </c>
      <c r="L420" s="1" t="s">
        <v>35</v>
      </c>
      <c r="M420" s="1" t="s">
        <v>191</v>
      </c>
      <c r="N420" s="2">
        <v>46209</v>
      </c>
      <c r="P420" s="1" t="s">
        <v>645</v>
      </c>
      <c r="Q420" s="1" t="s">
        <v>178</v>
      </c>
      <c r="R420" s="1" t="s">
        <v>55</v>
      </c>
      <c r="S420" s="2">
        <v>46206</v>
      </c>
      <c r="T420" s="2">
        <v>46209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1</v>
      </c>
      <c r="AE420" s="1">
        <v>0</v>
      </c>
      <c r="AF420" s="1">
        <v>0</v>
      </c>
      <c r="AG420" s="1">
        <v>0</v>
      </c>
    </row>
    <row r="421" spans="1:33" x14ac:dyDescent="0.25">
      <c r="A421" s="1">
        <v>606</v>
      </c>
      <c r="B421" s="1" t="s">
        <v>815</v>
      </c>
      <c r="C421" s="1" t="s">
        <v>812</v>
      </c>
      <c r="D421" s="1" t="s">
        <v>108</v>
      </c>
      <c r="E421" s="1" t="s">
        <v>53</v>
      </c>
      <c r="F421" s="10">
        <v>46210</v>
      </c>
      <c r="G421" s="10">
        <v>46210</v>
      </c>
      <c r="H421" s="11">
        <v>0</v>
      </c>
      <c r="J421" s="1">
        <v>605</v>
      </c>
      <c r="L421" s="1" t="s">
        <v>180</v>
      </c>
      <c r="M421" s="1" t="s">
        <v>295</v>
      </c>
      <c r="N421" s="2">
        <v>46210</v>
      </c>
      <c r="P421" s="1" t="s">
        <v>645</v>
      </c>
      <c r="Q421" s="1" t="s">
        <v>146</v>
      </c>
      <c r="R421" s="1" t="s">
        <v>55</v>
      </c>
      <c r="S421" s="2">
        <v>46210</v>
      </c>
      <c r="T421" s="2">
        <v>46210</v>
      </c>
      <c r="V421" s="1">
        <v>0</v>
      </c>
      <c r="W421" s="1">
        <v>0</v>
      </c>
      <c r="X421" s="1">
        <v>0</v>
      </c>
      <c r="Y421" s="1">
        <v>0</v>
      </c>
      <c r="Z421" s="1">
        <v>1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</row>
    <row r="422" spans="1:33" x14ac:dyDescent="0.25">
      <c r="A422" s="1">
        <v>607</v>
      </c>
      <c r="B422" s="1" t="s">
        <v>816</v>
      </c>
      <c r="C422" s="1" t="s">
        <v>647</v>
      </c>
      <c r="D422" s="1" t="s">
        <v>817</v>
      </c>
      <c r="E422" s="1" t="s">
        <v>758</v>
      </c>
      <c r="F422" s="10">
        <v>46190</v>
      </c>
      <c r="G422" s="10">
        <v>46210</v>
      </c>
      <c r="H422" s="11">
        <v>0.87</v>
      </c>
      <c r="L422" s="1" t="s">
        <v>35</v>
      </c>
      <c r="M422" s="1" t="s">
        <v>323</v>
      </c>
      <c r="N422" s="2">
        <v>46210</v>
      </c>
      <c r="P422" s="1" t="s">
        <v>645</v>
      </c>
      <c r="Q422" s="1" t="s">
        <v>133</v>
      </c>
      <c r="R422" s="1" t="s">
        <v>55</v>
      </c>
      <c r="S422" s="2">
        <v>46191</v>
      </c>
      <c r="T422" s="2">
        <v>46210</v>
      </c>
      <c r="V422" s="1">
        <v>0.87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</row>
    <row r="423" spans="1:33" x14ac:dyDescent="0.25">
      <c r="A423" s="1">
        <v>608</v>
      </c>
      <c r="B423" s="1" t="s">
        <v>818</v>
      </c>
      <c r="C423" s="1" t="s">
        <v>819</v>
      </c>
      <c r="D423" s="1" t="s">
        <v>94</v>
      </c>
      <c r="E423" s="1" t="s">
        <v>769</v>
      </c>
      <c r="F423" s="10">
        <v>46190</v>
      </c>
      <c r="G423" s="10">
        <v>46198</v>
      </c>
      <c r="H423" s="11">
        <v>1</v>
      </c>
      <c r="I423" s="10">
        <v>46198</v>
      </c>
      <c r="J423" s="1" t="s">
        <v>770</v>
      </c>
      <c r="K423" s="1">
        <v>609</v>
      </c>
      <c r="L423" s="1" t="s">
        <v>59</v>
      </c>
      <c r="M423" s="1" t="s">
        <v>323</v>
      </c>
      <c r="N423" s="2">
        <v>46204</v>
      </c>
      <c r="P423" s="1" t="s">
        <v>645</v>
      </c>
      <c r="Q423" s="1" t="s">
        <v>133</v>
      </c>
      <c r="R423" s="1" t="s">
        <v>55</v>
      </c>
      <c r="S423" s="2">
        <v>46191</v>
      </c>
      <c r="T423" s="2">
        <v>46204</v>
      </c>
      <c r="V423" s="1">
        <v>1</v>
      </c>
      <c r="W423" s="1">
        <v>1</v>
      </c>
      <c r="X423" s="1">
        <v>1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1</v>
      </c>
    </row>
    <row r="424" spans="1:33" x14ac:dyDescent="0.25">
      <c r="A424" s="1">
        <v>609</v>
      </c>
      <c r="B424" s="1" t="s">
        <v>820</v>
      </c>
      <c r="C424" s="1" t="s">
        <v>819</v>
      </c>
      <c r="D424" s="1" t="s">
        <v>98</v>
      </c>
      <c r="E424" s="1" t="s">
        <v>103</v>
      </c>
      <c r="F424" s="10">
        <v>46199</v>
      </c>
      <c r="G424" s="10">
        <v>46206</v>
      </c>
      <c r="H424" s="11">
        <v>1</v>
      </c>
      <c r="I424" s="10">
        <v>46206</v>
      </c>
      <c r="J424" s="1">
        <v>608</v>
      </c>
      <c r="K424" s="1">
        <v>610</v>
      </c>
      <c r="L424" s="1" t="s">
        <v>59</v>
      </c>
      <c r="M424" s="1" t="s">
        <v>292</v>
      </c>
      <c r="N424" s="2">
        <v>46205</v>
      </c>
      <c r="P424" s="1" t="s">
        <v>645</v>
      </c>
      <c r="Q424" s="1" t="s">
        <v>178</v>
      </c>
      <c r="R424" s="1" t="s">
        <v>55</v>
      </c>
      <c r="S424" s="2">
        <v>46205</v>
      </c>
      <c r="T424" s="2">
        <v>46205</v>
      </c>
      <c r="V424" s="1">
        <v>1</v>
      </c>
      <c r="W424" s="1">
        <v>0</v>
      </c>
      <c r="X424" s="1">
        <v>0</v>
      </c>
      <c r="Y424" s="1">
        <v>0</v>
      </c>
      <c r="Z424" s="1">
        <v>0</v>
      </c>
      <c r="AA424" s="1">
        <v>1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</row>
    <row r="425" spans="1:33" x14ac:dyDescent="0.25">
      <c r="A425" s="1">
        <v>610</v>
      </c>
      <c r="B425" s="1" t="s">
        <v>821</v>
      </c>
      <c r="C425" s="1" t="s">
        <v>819</v>
      </c>
      <c r="D425" s="1" t="s">
        <v>102</v>
      </c>
      <c r="E425" s="1" t="s">
        <v>53</v>
      </c>
      <c r="F425" s="10">
        <v>46209</v>
      </c>
      <c r="G425" s="10">
        <v>46209</v>
      </c>
      <c r="H425" s="11">
        <v>0</v>
      </c>
      <c r="J425" s="1">
        <v>609</v>
      </c>
      <c r="K425" s="1">
        <v>611</v>
      </c>
      <c r="L425" s="1" t="s">
        <v>35</v>
      </c>
      <c r="M425" s="1" t="s">
        <v>191</v>
      </c>
      <c r="N425" s="2">
        <v>46209</v>
      </c>
      <c r="P425" s="1" t="s">
        <v>645</v>
      </c>
      <c r="Q425" s="1" t="s">
        <v>178</v>
      </c>
      <c r="R425" s="1" t="s">
        <v>55</v>
      </c>
      <c r="S425" s="2">
        <v>46206</v>
      </c>
      <c r="T425" s="2">
        <v>46209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1</v>
      </c>
      <c r="AE425" s="1">
        <v>0</v>
      </c>
      <c r="AF425" s="1">
        <v>0</v>
      </c>
      <c r="AG425" s="1">
        <v>0</v>
      </c>
    </row>
    <row r="426" spans="1:33" x14ac:dyDescent="0.25">
      <c r="A426" s="1">
        <v>611</v>
      </c>
      <c r="B426" s="1" t="s">
        <v>822</v>
      </c>
      <c r="C426" s="1" t="s">
        <v>819</v>
      </c>
      <c r="D426" s="1" t="s">
        <v>108</v>
      </c>
      <c r="E426" s="1" t="s">
        <v>53</v>
      </c>
      <c r="F426" s="10">
        <v>46210</v>
      </c>
      <c r="G426" s="10">
        <v>46210</v>
      </c>
      <c r="H426" s="11">
        <v>0</v>
      </c>
      <c r="J426" s="1">
        <v>610</v>
      </c>
      <c r="L426" s="1" t="s">
        <v>180</v>
      </c>
      <c r="M426" s="1" t="s">
        <v>295</v>
      </c>
      <c r="N426" s="2">
        <v>46210</v>
      </c>
      <c r="P426" s="1" t="s">
        <v>645</v>
      </c>
      <c r="Q426" s="1" t="s">
        <v>178</v>
      </c>
      <c r="R426" s="1" t="s">
        <v>55</v>
      </c>
      <c r="S426" s="2">
        <v>46210</v>
      </c>
      <c r="T426" s="2">
        <v>46210</v>
      </c>
      <c r="V426" s="1">
        <v>0</v>
      </c>
      <c r="W426" s="1">
        <v>0</v>
      </c>
      <c r="X426" s="1">
        <v>0</v>
      </c>
      <c r="Y426" s="1">
        <v>0</v>
      </c>
      <c r="Z426" s="1">
        <v>1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</row>
    <row r="427" spans="1:33" x14ac:dyDescent="0.25">
      <c r="A427" s="1">
        <v>612</v>
      </c>
      <c r="B427" s="1" t="s">
        <v>823</v>
      </c>
      <c r="C427" s="1" t="s">
        <v>647</v>
      </c>
      <c r="D427" s="1" t="s">
        <v>824</v>
      </c>
      <c r="E427" s="1" t="s">
        <v>758</v>
      </c>
      <c r="F427" s="10">
        <v>46190</v>
      </c>
      <c r="G427" s="10">
        <v>46210</v>
      </c>
      <c r="H427" s="11">
        <v>0.87</v>
      </c>
      <c r="L427" s="1" t="s">
        <v>35</v>
      </c>
      <c r="M427" s="1" t="s">
        <v>323</v>
      </c>
      <c r="N427" s="2">
        <v>46210</v>
      </c>
      <c r="P427" s="1" t="s">
        <v>645</v>
      </c>
      <c r="Q427" s="1" t="s">
        <v>133</v>
      </c>
      <c r="R427" s="1" t="s">
        <v>55</v>
      </c>
      <c r="S427" s="2">
        <v>46191</v>
      </c>
      <c r="T427" s="2">
        <v>46210</v>
      </c>
      <c r="V427" s="1">
        <v>0.87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</row>
    <row r="428" spans="1:33" x14ac:dyDescent="0.25">
      <c r="A428" s="1">
        <v>613</v>
      </c>
      <c r="B428" s="1" t="s">
        <v>825</v>
      </c>
      <c r="C428" s="1" t="s">
        <v>826</v>
      </c>
      <c r="D428" s="1" t="s">
        <v>94</v>
      </c>
      <c r="E428" s="1" t="s">
        <v>769</v>
      </c>
      <c r="F428" s="10">
        <v>46190</v>
      </c>
      <c r="G428" s="10">
        <v>46198</v>
      </c>
      <c r="H428" s="11">
        <v>1</v>
      </c>
      <c r="I428" s="10">
        <v>46198</v>
      </c>
      <c r="J428" s="1" t="s">
        <v>770</v>
      </c>
      <c r="K428" s="1">
        <v>614</v>
      </c>
      <c r="L428" s="1" t="s">
        <v>59</v>
      </c>
      <c r="M428" s="1" t="s">
        <v>323</v>
      </c>
      <c r="N428" s="2">
        <v>46204</v>
      </c>
      <c r="P428" s="1" t="s">
        <v>645</v>
      </c>
      <c r="Q428" s="1" t="s">
        <v>133</v>
      </c>
      <c r="R428" s="1" t="s">
        <v>55</v>
      </c>
      <c r="S428" s="2">
        <v>46191</v>
      </c>
      <c r="T428" s="2">
        <v>46204</v>
      </c>
      <c r="V428" s="1">
        <v>1</v>
      </c>
      <c r="W428" s="1">
        <v>1</v>
      </c>
      <c r="X428" s="1">
        <v>1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1</v>
      </c>
    </row>
    <row r="429" spans="1:33" x14ac:dyDescent="0.25">
      <c r="A429" s="1">
        <v>614</v>
      </c>
      <c r="B429" s="1" t="s">
        <v>827</v>
      </c>
      <c r="C429" s="1" t="s">
        <v>826</v>
      </c>
      <c r="D429" s="1" t="s">
        <v>98</v>
      </c>
      <c r="E429" s="1" t="s">
        <v>103</v>
      </c>
      <c r="F429" s="10">
        <v>46199</v>
      </c>
      <c r="G429" s="10">
        <v>46206</v>
      </c>
      <c r="H429" s="11">
        <v>1</v>
      </c>
      <c r="I429" s="10">
        <v>46206</v>
      </c>
      <c r="J429" s="1">
        <v>613</v>
      </c>
      <c r="K429" s="1">
        <v>615</v>
      </c>
      <c r="L429" s="1" t="s">
        <v>59</v>
      </c>
      <c r="M429" s="1" t="s">
        <v>292</v>
      </c>
      <c r="N429" s="2">
        <v>46205</v>
      </c>
      <c r="P429" s="1" t="s">
        <v>645</v>
      </c>
      <c r="Q429" s="1" t="s">
        <v>178</v>
      </c>
      <c r="R429" s="1" t="s">
        <v>55</v>
      </c>
      <c r="S429" s="2">
        <v>46205</v>
      </c>
      <c r="T429" s="2">
        <v>46205</v>
      </c>
      <c r="V429" s="1">
        <v>1</v>
      </c>
      <c r="W429" s="1">
        <v>0</v>
      </c>
      <c r="X429" s="1">
        <v>0</v>
      </c>
      <c r="Y429" s="1">
        <v>0</v>
      </c>
      <c r="Z429" s="1">
        <v>0</v>
      </c>
      <c r="AA429" s="1">
        <v>1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</row>
    <row r="430" spans="1:33" x14ac:dyDescent="0.25">
      <c r="A430" s="1">
        <v>615</v>
      </c>
      <c r="B430" s="1" t="s">
        <v>828</v>
      </c>
      <c r="C430" s="1" t="s">
        <v>826</v>
      </c>
      <c r="D430" s="1" t="s">
        <v>102</v>
      </c>
      <c r="E430" s="1" t="s">
        <v>53</v>
      </c>
      <c r="F430" s="10">
        <v>46209</v>
      </c>
      <c r="G430" s="10">
        <v>46209</v>
      </c>
      <c r="H430" s="11">
        <v>0</v>
      </c>
      <c r="J430" s="1">
        <v>614</v>
      </c>
      <c r="K430" s="1">
        <v>616</v>
      </c>
      <c r="L430" s="1" t="s">
        <v>35</v>
      </c>
      <c r="M430" s="1" t="s">
        <v>191</v>
      </c>
      <c r="N430" s="2">
        <v>46209</v>
      </c>
      <c r="P430" s="1" t="s">
        <v>645</v>
      </c>
      <c r="Q430" s="1" t="s">
        <v>178</v>
      </c>
      <c r="R430" s="1" t="s">
        <v>55</v>
      </c>
      <c r="S430" s="2">
        <v>46206</v>
      </c>
      <c r="T430" s="2">
        <v>46209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1</v>
      </c>
      <c r="AE430" s="1">
        <v>0</v>
      </c>
      <c r="AF430" s="1">
        <v>0</v>
      </c>
      <c r="AG430" s="1">
        <v>0</v>
      </c>
    </row>
    <row r="431" spans="1:33" x14ac:dyDescent="0.25">
      <c r="A431" s="1">
        <v>616</v>
      </c>
      <c r="B431" s="1" t="s">
        <v>829</v>
      </c>
      <c r="C431" s="1" t="s">
        <v>826</v>
      </c>
      <c r="D431" s="1" t="s">
        <v>108</v>
      </c>
      <c r="E431" s="1" t="s">
        <v>53</v>
      </c>
      <c r="F431" s="10">
        <v>46210</v>
      </c>
      <c r="G431" s="10">
        <v>46210</v>
      </c>
      <c r="H431" s="11">
        <v>0</v>
      </c>
      <c r="J431" s="1">
        <v>615</v>
      </c>
      <c r="L431" s="1" t="s">
        <v>180</v>
      </c>
      <c r="M431" s="1" t="s">
        <v>295</v>
      </c>
      <c r="N431" s="2">
        <v>46210</v>
      </c>
      <c r="P431" s="1" t="s">
        <v>645</v>
      </c>
      <c r="Q431" s="1" t="s">
        <v>178</v>
      </c>
      <c r="R431" s="1" t="s">
        <v>55</v>
      </c>
      <c r="S431" s="2">
        <v>46210</v>
      </c>
      <c r="T431" s="2">
        <v>46210</v>
      </c>
      <c r="V431" s="1">
        <v>0</v>
      </c>
      <c r="W431" s="1">
        <v>0</v>
      </c>
      <c r="X431" s="1">
        <v>0</v>
      </c>
      <c r="Y431" s="1">
        <v>0</v>
      </c>
      <c r="Z431" s="1">
        <v>1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</row>
    <row r="432" spans="1:33" x14ac:dyDescent="0.25">
      <c r="A432" s="1">
        <v>617</v>
      </c>
      <c r="B432" s="1" t="s">
        <v>830</v>
      </c>
      <c r="C432" s="1" t="s">
        <v>647</v>
      </c>
      <c r="D432" s="1" t="s">
        <v>831</v>
      </c>
      <c r="E432" s="1" t="s">
        <v>758</v>
      </c>
      <c r="F432" s="10">
        <v>46190</v>
      </c>
      <c r="G432" s="10">
        <v>46210</v>
      </c>
      <c r="H432" s="11">
        <v>0.87</v>
      </c>
      <c r="L432" s="1" t="s">
        <v>35</v>
      </c>
      <c r="M432" s="1" t="s">
        <v>323</v>
      </c>
      <c r="N432" s="2">
        <v>46210</v>
      </c>
      <c r="P432" s="1" t="s">
        <v>645</v>
      </c>
      <c r="Q432" s="1" t="s">
        <v>133</v>
      </c>
      <c r="R432" s="1" t="s">
        <v>55</v>
      </c>
      <c r="S432" s="2">
        <v>46191</v>
      </c>
      <c r="T432" s="2">
        <v>46210</v>
      </c>
      <c r="V432" s="1">
        <v>0.87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</row>
    <row r="433" spans="1:33" x14ac:dyDescent="0.25">
      <c r="A433" s="1">
        <v>618</v>
      </c>
      <c r="B433" s="1" t="s">
        <v>832</v>
      </c>
      <c r="C433" s="1" t="s">
        <v>833</v>
      </c>
      <c r="D433" s="1" t="s">
        <v>94</v>
      </c>
      <c r="E433" s="1" t="s">
        <v>769</v>
      </c>
      <c r="F433" s="10">
        <v>46190</v>
      </c>
      <c r="G433" s="10">
        <v>46198</v>
      </c>
      <c r="H433" s="11">
        <v>1</v>
      </c>
      <c r="I433" s="10">
        <v>46198</v>
      </c>
      <c r="J433" s="1" t="s">
        <v>770</v>
      </c>
      <c r="K433" s="1">
        <v>619</v>
      </c>
      <c r="L433" s="1" t="s">
        <v>59</v>
      </c>
      <c r="M433" s="1" t="s">
        <v>323</v>
      </c>
      <c r="N433" s="2">
        <v>46204</v>
      </c>
      <c r="P433" s="1" t="s">
        <v>645</v>
      </c>
      <c r="Q433" s="1" t="s">
        <v>133</v>
      </c>
      <c r="R433" s="1" t="s">
        <v>55</v>
      </c>
      <c r="S433" s="2">
        <v>46191</v>
      </c>
      <c r="T433" s="2">
        <v>46204</v>
      </c>
      <c r="V433" s="1">
        <v>1</v>
      </c>
      <c r="W433" s="1">
        <v>1</v>
      </c>
      <c r="X433" s="1">
        <v>1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1</v>
      </c>
    </row>
    <row r="434" spans="1:33" x14ac:dyDescent="0.25">
      <c r="A434" s="1">
        <v>619</v>
      </c>
      <c r="B434" s="1" t="s">
        <v>834</v>
      </c>
      <c r="C434" s="1" t="s">
        <v>833</v>
      </c>
      <c r="D434" s="1" t="s">
        <v>98</v>
      </c>
      <c r="E434" s="1" t="s">
        <v>103</v>
      </c>
      <c r="F434" s="10">
        <v>46199</v>
      </c>
      <c r="G434" s="10">
        <v>46206</v>
      </c>
      <c r="H434" s="11">
        <v>1</v>
      </c>
      <c r="I434" s="10">
        <v>46206</v>
      </c>
      <c r="J434" s="1">
        <v>618</v>
      </c>
      <c r="K434" s="1">
        <v>620</v>
      </c>
      <c r="L434" s="1" t="s">
        <v>59</v>
      </c>
      <c r="M434" s="1" t="s">
        <v>292</v>
      </c>
      <c r="N434" s="2">
        <v>46205</v>
      </c>
      <c r="P434" s="1" t="s">
        <v>645</v>
      </c>
      <c r="Q434" s="1" t="s">
        <v>178</v>
      </c>
      <c r="R434" s="1" t="s">
        <v>55</v>
      </c>
      <c r="S434" s="2">
        <v>46205</v>
      </c>
      <c r="T434" s="2">
        <v>46205</v>
      </c>
      <c r="V434" s="1">
        <v>1</v>
      </c>
      <c r="W434" s="1">
        <v>0</v>
      </c>
      <c r="X434" s="1">
        <v>0</v>
      </c>
      <c r="Y434" s="1">
        <v>0</v>
      </c>
      <c r="Z434" s="1">
        <v>0</v>
      </c>
      <c r="AA434" s="1">
        <v>1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</row>
    <row r="435" spans="1:33" x14ac:dyDescent="0.25">
      <c r="A435" s="1">
        <v>620</v>
      </c>
      <c r="B435" s="1" t="s">
        <v>835</v>
      </c>
      <c r="C435" s="1" t="s">
        <v>833</v>
      </c>
      <c r="D435" s="1" t="s">
        <v>102</v>
      </c>
      <c r="E435" s="1" t="s">
        <v>53</v>
      </c>
      <c r="F435" s="10">
        <v>46209</v>
      </c>
      <c r="G435" s="10">
        <v>46209</v>
      </c>
      <c r="H435" s="11">
        <v>0</v>
      </c>
      <c r="J435" s="1">
        <v>619</v>
      </c>
      <c r="K435" s="1">
        <v>621</v>
      </c>
      <c r="L435" s="1" t="s">
        <v>35</v>
      </c>
      <c r="M435" s="1" t="s">
        <v>191</v>
      </c>
      <c r="N435" s="2">
        <v>46209</v>
      </c>
      <c r="P435" s="1" t="s">
        <v>645</v>
      </c>
      <c r="Q435" s="1" t="s">
        <v>178</v>
      </c>
      <c r="R435" s="1" t="s">
        <v>55</v>
      </c>
      <c r="S435" s="2">
        <v>46206</v>
      </c>
      <c r="T435" s="2">
        <v>46209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1</v>
      </c>
      <c r="AE435" s="1">
        <v>0</v>
      </c>
      <c r="AF435" s="1">
        <v>0</v>
      </c>
      <c r="AG435" s="1">
        <v>0</v>
      </c>
    </row>
    <row r="436" spans="1:33" x14ac:dyDescent="0.25">
      <c r="A436" s="1">
        <v>621</v>
      </c>
      <c r="B436" s="1" t="s">
        <v>836</v>
      </c>
      <c r="C436" s="1" t="s">
        <v>833</v>
      </c>
      <c r="D436" s="1" t="s">
        <v>108</v>
      </c>
      <c r="E436" s="1" t="s">
        <v>53</v>
      </c>
      <c r="F436" s="10">
        <v>46210</v>
      </c>
      <c r="G436" s="10">
        <v>46210</v>
      </c>
      <c r="H436" s="11">
        <v>0</v>
      </c>
      <c r="J436" s="1">
        <v>620</v>
      </c>
      <c r="L436" s="1" t="s">
        <v>180</v>
      </c>
      <c r="M436" s="1" t="s">
        <v>295</v>
      </c>
      <c r="N436" s="2">
        <v>46210</v>
      </c>
      <c r="P436" s="1" t="s">
        <v>645</v>
      </c>
      <c r="Q436" s="1" t="s">
        <v>178</v>
      </c>
      <c r="R436" s="1" t="s">
        <v>55</v>
      </c>
      <c r="S436" s="2">
        <v>46210</v>
      </c>
      <c r="T436" s="2">
        <v>46210</v>
      </c>
      <c r="V436" s="1">
        <v>0</v>
      </c>
      <c r="W436" s="1">
        <v>0</v>
      </c>
      <c r="X436" s="1">
        <v>0</v>
      </c>
      <c r="Y436" s="1">
        <v>0</v>
      </c>
      <c r="Z436" s="1">
        <v>1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</row>
    <row r="437" spans="1:33" x14ac:dyDescent="0.25">
      <c r="A437" s="1">
        <v>622</v>
      </c>
      <c r="B437" s="1" t="s">
        <v>837</v>
      </c>
      <c r="C437" s="1" t="s">
        <v>647</v>
      </c>
      <c r="D437" s="1" t="s">
        <v>838</v>
      </c>
      <c r="E437" s="1" t="s">
        <v>758</v>
      </c>
      <c r="F437" s="10">
        <v>46190</v>
      </c>
      <c r="G437" s="10">
        <v>46210</v>
      </c>
      <c r="H437" s="11">
        <v>0.87</v>
      </c>
      <c r="L437" s="1" t="s">
        <v>35</v>
      </c>
      <c r="M437" s="1" t="s">
        <v>323</v>
      </c>
      <c r="N437" s="2">
        <v>46210</v>
      </c>
      <c r="P437" s="1" t="s">
        <v>645</v>
      </c>
      <c r="Q437" s="1" t="s">
        <v>133</v>
      </c>
      <c r="R437" s="1" t="s">
        <v>55</v>
      </c>
      <c r="S437" s="2">
        <v>46191</v>
      </c>
      <c r="T437" s="2">
        <v>46210</v>
      </c>
      <c r="V437" s="1">
        <v>0.87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</row>
    <row r="438" spans="1:33" x14ac:dyDescent="0.25">
      <c r="A438" s="1">
        <v>623</v>
      </c>
      <c r="B438" s="1" t="s">
        <v>839</v>
      </c>
      <c r="C438" s="1" t="s">
        <v>840</v>
      </c>
      <c r="D438" s="1" t="s">
        <v>94</v>
      </c>
      <c r="E438" s="1" t="s">
        <v>769</v>
      </c>
      <c r="F438" s="10">
        <v>46190</v>
      </c>
      <c r="G438" s="10">
        <v>46198</v>
      </c>
      <c r="H438" s="11">
        <v>1</v>
      </c>
      <c r="I438" s="10">
        <v>46198</v>
      </c>
      <c r="J438" s="1" t="s">
        <v>770</v>
      </c>
      <c r="K438" s="1">
        <v>624</v>
      </c>
      <c r="L438" s="1" t="s">
        <v>59</v>
      </c>
      <c r="M438" s="1" t="s">
        <v>323</v>
      </c>
      <c r="N438" s="2">
        <v>46204</v>
      </c>
      <c r="P438" s="1" t="s">
        <v>645</v>
      </c>
      <c r="Q438" s="1" t="s">
        <v>133</v>
      </c>
      <c r="R438" s="1" t="s">
        <v>55</v>
      </c>
      <c r="S438" s="2">
        <v>46191</v>
      </c>
      <c r="T438" s="2">
        <v>46204</v>
      </c>
      <c r="V438" s="1">
        <v>1</v>
      </c>
      <c r="W438" s="1">
        <v>1</v>
      </c>
      <c r="X438" s="1">
        <v>1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1</v>
      </c>
    </row>
    <row r="439" spans="1:33" x14ac:dyDescent="0.25">
      <c r="A439" s="1">
        <v>624</v>
      </c>
      <c r="B439" s="1" t="s">
        <v>841</v>
      </c>
      <c r="C439" s="1" t="s">
        <v>840</v>
      </c>
      <c r="D439" s="1" t="s">
        <v>98</v>
      </c>
      <c r="E439" s="1" t="s">
        <v>103</v>
      </c>
      <c r="F439" s="10">
        <v>46199</v>
      </c>
      <c r="G439" s="10">
        <v>46206</v>
      </c>
      <c r="H439" s="11">
        <v>1</v>
      </c>
      <c r="I439" s="10">
        <v>46206</v>
      </c>
      <c r="J439" s="1">
        <v>623</v>
      </c>
      <c r="K439" s="1">
        <v>625</v>
      </c>
      <c r="L439" s="1" t="s">
        <v>59</v>
      </c>
      <c r="M439" s="1" t="s">
        <v>292</v>
      </c>
      <c r="N439" s="2">
        <v>46205</v>
      </c>
      <c r="P439" s="1" t="s">
        <v>645</v>
      </c>
      <c r="Q439" s="1" t="s">
        <v>178</v>
      </c>
      <c r="R439" s="1" t="s">
        <v>55</v>
      </c>
      <c r="S439" s="2">
        <v>46205</v>
      </c>
      <c r="T439" s="2">
        <v>46205</v>
      </c>
      <c r="V439" s="1">
        <v>1</v>
      </c>
      <c r="W439" s="1">
        <v>0</v>
      </c>
      <c r="X439" s="1">
        <v>0</v>
      </c>
      <c r="Y439" s="1">
        <v>0</v>
      </c>
      <c r="Z439" s="1">
        <v>0</v>
      </c>
      <c r="AA439" s="1">
        <v>1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</row>
    <row r="440" spans="1:33" x14ac:dyDescent="0.25">
      <c r="A440" s="1">
        <v>625</v>
      </c>
      <c r="B440" s="1" t="s">
        <v>842</v>
      </c>
      <c r="C440" s="1" t="s">
        <v>840</v>
      </c>
      <c r="D440" s="1" t="s">
        <v>102</v>
      </c>
      <c r="E440" s="1" t="s">
        <v>53</v>
      </c>
      <c r="F440" s="10">
        <v>46209</v>
      </c>
      <c r="G440" s="10">
        <v>46209</v>
      </c>
      <c r="H440" s="11">
        <v>0</v>
      </c>
      <c r="J440" s="1">
        <v>624</v>
      </c>
      <c r="K440" s="1">
        <v>626</v>
      </c>
      <c r="L440" s="1" t="s">
        <v>35</v>
      </c>
      <c r="M440" s="1" t="s">
        <v>191</v>
      </c>
      <c r="N440" s="2">
        <v>46209</v>
      </c>
      <c r="P440" s="1" t="s">
        <v>645</v>
      </c>
      <c r="Q440" s="1" t="s">
        <v>178</v>
      </c>
      <c r="R440" s="1" t="s">
        <v>55</v>
      </c>
      <c r="S440" s="2">
        <v>46206</v>
      </c>
      <c r="T440" s="2">
        <v>46209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1</v>
      </c>
      <c r="AE440" s="1">
        <v>0</v>
      </c>
      <c r="AF440" s="1">
        <v>0</v>
      </c>
      <c r="AG440" s="1">
        <v>0</v>
      </c>
    </row>
    <row r="441" spans="1:33" x14ac:dyDescent="0.25">
      <c r="A441" s="1">
        <v>626</v>
      </c>
      <c r="B441" s="1" t="s">
        <v>843</v>
      </c>
      <c r="C441" s="1" t="s">
        <v>840</v>
      </c>
      <c r="D441" s="1" t="s">
        <v>108</v>
      </c>
      <c r="E441" s="1" t="s">
        <v>53</v>
      </c>
      <c r="F441" s="10">
        <v>46210</v>
      </c>
      <c r="G441" s="10">
        <v>46210</v>
      </c>
      <c r="H441" s="11">
        <v>0</v>
      </c>
      <c r="J441" s="1">
        <v>625</v>
      </c>
      <c r="L441" s="1" t="s">
        <v>180</v>
      </c>
      <c r="M441" s="1" t="s">
        <v>295</v>
      </c>
      <c r="N441" s="2">
        <v>46210</v>
      </c>
      <c r="P441" s="1" t="s">
        <v>645</v>
      </c>
      <c r="Q441" s="1" t="s">
        <v>178</v>
      </c>
      <c r="R441" s="1" t="s">
        <v>55</v>
      </c>
      <c r="S441" s="2">
        <v>46210</v>
      </c>
      <c r="T441" s="2">
        <v>46210</v>
      </c>
      <c r="V441" s="1">
        <v>0</v>
      </c>
      <c r="W441" s="1">
        <v>0</v>
      </c>
      <c r="X441" s="1">
        <v>0</v>
      </c>
      <c r="Y441" s="1">
        <v>0</v>
      </c>
      <c r="Z441" s="1">
        <v>1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</row>
    <row r="442" spans="1:33" x14ac:dyDescent="0.25">
      <c r="A442" s="1">
        <v>627</v>
      </c>
      <c r="B442" s="1" t="s">
        <v>844</v>
      </c>
      <c r="C442" s="1" t="s">
        <v>647</v>
      </c>
      <c r="D442" s="1" t="s">
        <v>845</v>
      </c>
      <c r="E442" s="1" t="s">
        <v>758</v>
      </c>
      <c r="F442" s="10">
        <v>46190</v>
      </c>
      <c r="G442" s="10">
        <v>46210</v>
      </c>
      <c r="H442" s="11">
        <v>0.87</v>
      </c>
      <c r="L442" s="1" t="s">
        <v>35</v>
      </c>
      <c r="M442" s="1" t="s">
        <v>323</v>
      </c>
      <c r="N442" s="2">
        <v>46210</v>
      </c>
      <c r="P442" s="1" t="s">
        <v>645</v>
      </c>
      <c r="Q442" s="1" t="s">
        <v>133</v>
      </c>
      <c r="R442" s="1" t="s">
        <v>55</v>
      </c>
      <c r="S442" s="2">
        <v>46191</v>
      </c>
      <c r="T442" s="2">
        <v>46210</v>
      </c>
      <c r="V442" s="1">
        <v>0.87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</row>
    <row r="443" spans="1:33" x14ac:dyDescent="0.25">
      <c r="A443" s="1">
        <v>628</v>
      </c>
      <c r="B443" s="1" t="s">
        <v>846</v>
      </c>
      <c r="C443" s="1" t="s">
        <v>847</v>
      </c>
      <c r="D443" s="1" t="s">
        <v>94</v>
      </c>
      <c r="E443" s="1" t="s">
        <v>769</v>
      </c>
      <c r="F443" s="10">
        <v>46190</v>
      </c>
      <c r="G443" s="10">
        <v>46198</v>
      </c>
      <c r="H443" s="11">
        <v>1</v>
      </c>
      <c r="I443" s="10">
        <v>46198</v>
      </c>
      <c r="J443" s="1" t="s">
        <v>770</v>
      </c>
      <c r="K443" s="1">
        <v>629</v>
      </c>
      <c r="L443" s="1" t="s">
        <v>59</v>
      </c>
      <c r="M443" s="1" t="s">
        <v>323</v>
      </c>
      <c r="N443" s="2">
        <v>46204</v>
      </c>
      <c r="P443" s="1" t="s">
        <v>645</v>
      </c>
      <c r="Q443" s="1" t="s">
        <v>133</v>
      </c>
      <c r="R443" s="1" t="s">
        <v>55</v>
      </c>
      <c r="S443" s="2">
        <v>46191</v>
      </c>
      <c r="T443" s="2">
        <v>46204</v>
      </c>
      <c r="V443" s="1">
        <v>1</v>
      </c>
      <c r="W443" s="1">
        <v>1</v>
      </c>
      <c r="X443" s="1">
        <v>1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1</v>
      </c>
    </row>
    <row r="444" spans="1:33" x14ac:dyDescent="0.25">
      <c r="A444" s="1">
        <v>629</v>
      </c>
      <c r="B444" s="1" t="s">
        <v>848</v>
      </c>
      <c r="C444" s="1" t="s">
        <v>847</v>
      </c>
      <c r="D444" s="1" t="s">
        <v>98</v>
      </c>
      <c r="E444" s="1" t="s">
        <v>103</v>
      </c>
      <c r="F444" s="10">
        <v>46199</v>
      </c>
      <c r="G444" s="10">
        <v>46206</v>
      </c>
      <c r="H444" s="11">
        <v>1</v>
      </c>
      <c r="I444" s="10">
        <v>46206</v>
      </c>
      <c r="J444" s="1">
        <v>628</v>
      </c>
      <c r="K444" s="1">
        <v>630</v>
      </c>
      <c r="L444" s="1" t="s">
        <v>59</v>
      </c>
      <c r="M444" s="1" t="s">
        <v>292</v>
      </c>
      <c r="N444" s="2">
        <v>46205</v>
      </c>
      <c r="P444" s="1" t="s">
        <v>645</v>
      </c>
      <c r="Q444" s="1" t="s">
        <v>178</v>
      </c>
      <c r="R444" s="1" t="s">
        <v>55</v>
      </c>
      <c r="S444" s="2">
        <v>46205</v>
      </c>
      <c r="T444" s="2">
        <v>46205</v>
      </c>
      <c r="V444" s="1">
        <v>1</v>
      </c>
      <c r="W444" s="1">
        <v>0</v>
      </c>
      <c r="X444" s="1">
        <v>0</v>
      </c>
      <c r="Y444" s="1">
        <v>0</v>
      </c>
      <c r="Z444" s="1">
        <v>0</v>
      </c>
      <c r="AA444" s="1">
        <v>1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</row>
    <row r="445" spans="1:33" x14ac:dyDescent="0.25">
      <c r="A445" s="1">
        <v>630</v>
      </c>
      <c r="B445" s="1" t="s">
        <v>849</v>
      </c>
      <c r="C445" s="1" t="s">
        <v>847</v>
      </c>
      <c r="D445" s="1" t="s">
        <v>102</v>
      </c>
      <c r="E445" s="1" t="s">
        <v>53</v>
      </c>
      <c r="F445" s="10">
        <v>46209</v>
      </c>
      <c r="G445" s="10">
        <v>46209</v>
      </c>
      <c r="H445" s="11">
        <v>0</v>
      </c>
      <c r="J445" s="1">
        <v>629</v>
      </c>
      <c r="K445" s="1">
        <v>631</v>
      </c>
      <c r="L445" s="1" t="s">
        <v>35</v>
      </c>
      <c r="M445" s="1" t="s">
        <v>191</v>
      </c>
      <c r="N445" s="2">
        <v>46209</v>
      </c>
      <c r="P445" s="1" t="s">
        <v>645</v>
      </c>
      <c r="Q445" s="1" t="s">
        <v>178</v>
      </c>
      <c r="R445" s="1" t="s">
        <v>55</v>
      </c>
      <c r="S445" s="2">
        <v>46206</v>
      </c>
      <c r="T445" s="2">
        <v>46209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1</v>
      </c>
      <c r="AE445" s="1">
        <v>0</v>
      </c>
      <c r="AF445" s="1">
        <v>0</v>
      </c>
      <c r="AG445" s="1">
        <v>0</v>
      </c>
    </row>
    <row r="446" spans="1:33" x14ac:dyDescent="0.25">
      <c r="A446" s="1">
        <v>631</v>
      </c>
      <c r="B446" s="1" t="s">
        <v>850</v>
      </c>
      <c r="C446" s="1" t="s">
        <v>847</v>
      </c>
      <c r="D446" s="1" t="s">
        <v>108</v>
      </c>
      <c r="E446" s="1" t="s">
        <v>53</v>
      </c>
      <c r="F446" s="10">
        <v>46210</v>
      </c>
      <c r="G446" s="10">
        <v>46210</v>
      </c>
      <c r="H446" s="11">
        <v>0</v>
      </c>
      <c r="J446" s="1">
        <v>630</v>
      </c>
      <c r="L446" s="1" t="s">
        <v>180</v>
      </c>
      <c r="M446" s="1" t="s">
        <v>295</v>
      </c>
      <c r="N446" s="2">
        <v>46210</v>
      </c>
      <c r="P446" s="1" t="s">
        <v>645</v>
      </c>
      <c r="Q446" s="1" t="s">
        <v>178</v>
      </c>
      <c r="R446" s="1" t="s">
        <v>55</v>
      </c>
      <c r="S446" s="2">
        <v>46210</v>
      </c>
      <c r="T446" s="2">
        <v>46210</v>
      </c>
      <c r="V446" s="1">
        <v>0</v>
      </c>
      <c r="W446" s="1">
        <v>0</v>
      </c>
      <c r="X446" s="1">
        <v>0</v>
      </c>
      <c r="Y446" s="1">
        <v>0</v>
      </c>
      <c r="Z446" s="1">
        <v>1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</row>
    <row r="447" spans="1:33" x14ac:dyDescent="0.25">
      <c r="A447" s="1">
        <v>632</v>
      </c>
      <c r="B447" s="1" t="s">
        <v>851</v>
      </c>
      <c r="C447" s="1" t="s">
        <v>647</v>
      </c>
      <c r="D447" s="1" t="s">
        <v>852</v>
      </c>
      <c r="E447" s="1" t="s">
        <v>758</v>
      </c>
      <c r="F447" s="10">
        <v>46190</v>
      </c>
      <c r="G447" s="10">
        <v>46210</v>
      </c>
      <c r="H447" s="11">
        <v>0.87</v>
      </c>
      <c r="L447" s="1" t="s">
        <v>35</v>
      </c>
      <c r="M447" s="1" t="s">
        <v>323</v>
      </c>
      <c r="N447" s="2">
        <v>46210</v>
      </c>
      <c r="P447" s="1" t="s">
        <v>645</v>
      </c>
      <c r="Q447" s="1" t="s">
        <v>133</v>
      </c>
      <c r="R447" s="1" t="s">
        <v>55</v>
      </c>
      <c r="S447" s="2">
        <v>46191</v>
      </c>
      <c r="T447" s="2">
        <v>46210</v>
      </c>
      <c r="V447" s="1">
        <v>0.87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</row>
    <row r="448" spans="1:33" x14ac:dyDescent="0.25">
      <c r="A448" s="1">
        <v>633</v>
      </c>
      <c r="B448" s="1" t="s">
        <v>853</v>
      </c>
      <c r="C448" s="1" t="s">
        <v>854</v>
      </c>
      <c r="D448" s="1" t="s">
        <v>94</v>
      </c>
      <c r="E448" s="1" t="s">
        <v>769</v>
      </c>
      <c r="F448" s="10">
        <v>46190</v>
      </c>
      <c r="G448" s="10">
        <v>46198</v>
      </c>
      <c r="H448" s="11">
        <v>1</v>
      </c>
      <c r="I448" s="10">
        <v>46198</v>
      </c>
      <c r="J448" s="1" t="s">
        <v>770</v>
      </c>
      <c r="K448" s="1">
        <v>634</v>
      </c>
      <c r="L448" s="1" t="s">
        <v>59</v>
      </c>
      <c r="M448" s="1" t="s">
        <v>323</v>
      </c>
      <c r="N448" s="2">
        <v>46204</v>
      </c>
      <c r="P448" s="1" t="s">
        <v>645</v>
      </c>
      <c r="Q448" s="1" t="s">
        <v>133</v>
      </c>
      <c r="R448" s="1" t="s">
        <v>55</v>
      </c>
      <c r="S448" s="2">
        <v>46191</v>
      </c>
      <c r="T448" s="2">
        <v>46204</v>
      </c>
      <c r="V448" s="1">
        <v>1</v>
      </c>
      <c r="W448" s="1">
        <v>1</v>
      </c>
      <c r="X448" s="1">
        <v>1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1</v>
      </c>
    </row>
    <row r="449" spans="1:33" x14ac:dyDescent="0.25">
      <c r="A449" s="1">
        <v>634</v>
      </c>
      <c r="B449" s="1" t="s">
        <v>855</v>
      </c>
      <c r="C449" s="1" t="s">
        <v>854</v>
      </c>
      <c r="D449" s="1" t="s">
        <v>98</v>
      </c>
      <c r="E449" s="1" t="s">
        <v>103</v>
      </c>
      <c r="F449" s="10">
        <v>46199</v>
      </c>
      <c r="G449" s="10">
        <v>46206</v>
      </c>
      <c r="H449" s="11">
        <v>1</v>
      </c>
      <c r="I449" s="10">
        <v>46206</v>
      </c>
      <c r="J449" s="1">
        <v>633</v>
      </c>
      <c r="K449" s="1">
        <v>635</v>
      </c>
      <c r="L449" s="1" t="s">
        <v>59</v>
      </c>
      <c r="M449" s="1" t="s">
        <v>292</v>
      </c>
      <c r="N449" s="2">
        <v>46205</v>
      </c>
      <c r="P449" s="1" t="s">
        <v>645</v>
      </c>
      <c r="Q449" s="1" t="s">
        <v>178</v>
      </c>
      <c r="R449" s="1" t="s">
        <v>55</v>
      </c>
      <c r="S449" s="2">
        <v>46205</v>
      </c>
      <c r="T449" s="2">
        <v>46205</v>
      </c>
      <c r="V449" s="1">
        <v>1</v>
      </c>
      <c r="W449" s="1">
        <v>0</v>
      </c>
      <c r="X449" s="1">
        <v>0</v>
      </c>
      <c r="Y449" s="1">
        <v>0</v>
      </c>
      <c r="Z449" s="1">
        <v>0</v>
      </c>
      <c r="AA449" s="1">
        <v>1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</row>
    <row r="450" spans="1:33" x14ac:dyDescent="0.25">
      <c r="A450" s="1">
        <v>635</v>
      </c>
      <c r="B450" s="1" t="s">
        <v>856</v>
      </c>
      <c r="C450" s="1" t="s">
        <v>854</v>
      </c>
      <c r="D450" s="1" t="s">
        <v>102</v>
      </c>
      <c r="E450" s="1" t="s">
        <v>53</v>
      </c>
      <c r="F450" s="10">
        <v>46209</v>
      </c>
      <c r="G450" s="10">
        <v>46209</v>
      </c>
      <c r="H450" s="11">
        <v>0</v>
      </c>
      <c r="J450" s="1">
        <v>634</v>
      </c>
      <c r="K450" s="1">
        <v>636</v>
      </c>
      <c r="L450" s="1" t="s">
        <v>35</v>
      </c>
      <c r="M450" s="1" t="s">
        <v>191</v>
      </c>
      <c r="N450" s="2">
        <v>46209</v>
      </c>
      <c r="P450" s="1" t="s">
        <v>645</v>
      </c>
      <c r="Q450" s="1" t="s">
        <v>178</v>
      </c>
      <c r="R450" s="1" t="s">
        <v>55</v>
      </c>
      <c r="S450" s="2">
        <v>46206</v>
      </c>
      <c r="T450" s="2">
        <v>46209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1</v>
      </c>
      <c r="AE450" s="1">
        <v>0</v>
      </c>
      <c r="AF450" s="1">
        <v>0</v>
      </c>
      <c r="AG450" s="1">
        <v>0</v>
      </c>
    </row>
    <row r="451" spans="1:33" x14ac:dyDescent="0.25">
      <c r="A451" s="1">
        <v>636</v>
      </c>
      <c r="B451" s="1" t="s">
        <v>857</v>
      </c>
      <c r="C451" s="1" t="s">
        <v>854</v>
      </c>
      <c r="D451" s="1" t="s">
        <v>108</v>
      </c>
      <c r="E451" s="1" t="s">
        <v>53</v>
      </c>
      <c r="F451" s="10">
        <v>46210</v>
      </c>
      <c r="G451" s="10">
        <v>46210</v>
      </c>
      <c r="H451" s="11">
        <v>0</v>
      </c>
      <c r="J451" s="1">
        <v>635</v>
      </c>
      <c r="L451" s="1" t="s">
        <v>180</v>
      </c>
      <c r="M451" s="1" t="s">
        <v>295</v>
      </c>
      <c r="N451" s="2">
        <v>46210</v>
      </c>
      <c r="P451" s="1" t="s">
        <v>645</v>
      </c>
      <c r="Q451" s="1" t="s">
        <v>178</v>
      </c>
      <c r="R451" s="1" t="s">
        <v>55</v>
      </c>
      <c r="S451" s="2">
        <v>46210</v>
      </c>
      <c r="T451" s="2">
        <v>46210</v>
      </c>
      <c r="V451" s="1">
        <v>0</v>
      </c>
      <c r="W451" s="1">
        <v>0</v>
      </c>
      <c r="X451" s="1">
        <v>0</v>
      </c>
      <c r="Y451" s="1">
        <v>0</v>
      </c>
      <c r="Z451" s="1">
        <v>1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</row>
    <row r="452" spans="1:33" x14ac:dyDescent="0.25">
      <c r="A452" s="1">
        <v>637</v>
      </c>
      <c r="B452" s="1" t="s">
        <v>858</v>
      </c>
      <c r="C452" s="1" t="s">
        <v>647</v>
      </c>
      <c r="D452" s="1" t="s">
        <v>859</v>
      </c>
      <c r="E452" s="1" t="s">
        <v>758</v>
      </c>
      <c r="F452" s="10">
        <v>46190</v>
      </c>
      <c r="G452" s="10">
        <v>46210</v>
      </c>
      <c r="H452" s="11">
        <v>0.87</v>
      </c>
      <c r="L452" s="1" t="s">
        <v>35</v>
      </c>
      <c r="M452" s="1" t="s">
        <v>323</v>
      </c>
      <c r="N452" s="2">
        <v>46210</v>
      </c>
      <c r="P452" s="1" t="s">
        <v>645</v>
      </c>
      <c r="Q452" s="1" t="s">
        <v>133</v>
      </c>
      <c r="R452" s="1" t="s">
        <v>55</v>
      </c>
      <c r="S452" s="2">
        <v>46191</v>
      </c>
      <c r="T452" s="2">
        <v>46210</v>
      </c>
      <c r="V452" s="1">
        <v>0.87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</row>
    <row r="453" spans="1:33" x14ac:dyDescent="0.25">
      <c r="A453" s="1">
        <v>638</v>
      </c>
      <c r="B453" s="1" t="s">
        <v>860</v>
      </c>
      <c r="C453" s="1" t="s">
        <v>861</v>
      </c>
      <c r="D453" s="1" t="s">
        <v>94</v>
      </c>
      <c r="E453" s="1" t="s">
        <v>769</v>
      </c>
      <c r="F453" s="10">
        <v>46190</v>
      </c>
      <c r="G453" s="10">
        <v>46198</v>
      </c>
      <c r="H453" s="11">
        <v>1</v>
      </c>
      <c r="I453" s="10">
        <v>46198</v>
      </c>
      <c r="J453" s="1" t="s">
        <v>770</v>
      </c>
      <c r="K453" s="1">
        <v>639</v>
      </c>
      <c r="L453" s="1" t="s">
        <v>59</v>
      </c>
      <c r="M453" s="1" t="s">
        <v>323</v>
      </c>
      <c r="N453" s="2">
        <v>46204</v>
      </c>
      <c r="P453" s="1" t="s">
        <v>645</v>
      </c>
      <c r="Q453" s="1" t="s">
        <v>133</v>
      </c>
      <c r="R453" s="1" t="s">
        <v>55</v>
      </c>
      <c r="S453" s="2">
        <v>46191</v>
      </c>
      <c r="T453" s="2">
        <v>46204</v>
      </c>
      <c r="V453" s="1">
        <v>1</v>
      </c>
      <c r="W453" s="1">
        <v>1</v>
      </c>
      <c r="X453" s="1">
        <v>1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1</v>
      </c>
    </row>
    <row r="454" spans="1:33" x14ac:dyDescent="0.25">
      <c r="A454" s="1">
        <v>639</v>
      </c>
      <c r="B454" s="1" t="s">
        <v>862</v>
      </c>
      <c r="C454" s="1" t="s">
        <v>861</v>
      </c>
      <c r="D454" s="1" t="s">
        <v>98</v>
      </c>
      <c r="E454" s="1" t="s">
        <v>103</v>
      </c>
      <c r="F454" s="10">
        <v>46199</v>
      </c>
      <c r="G454" s="10">
        <v>46206</v>
      </c>
      <c r="H454" s="11">
        <v>1</v>
      </c>
      <c r="I454" s="10">
        <v>46206</v>
      </c>
      <c r="J454" s="1">
        <v>638</v>
      </c>
      <c r="K454" s="1">
        <v>640</v>
      </c>
      <c r="L454" s="1" t="s">
        <v>59</v>
      </c>
      <c r="M454" s="1" t="s">
        <v>292</v>
      </c>
      <c r="N454" s="2">
        <v>46205</v>
      </c>
      <c r="P454" s="1" t="s">
        <v>645</v>
      </c>
      <c r="Q454" s="1" t="s">
        <v>178</v>
      </c>
      <c r="R454" s="1" t="s">
        <v>55</v>
      </c>
      <c r="S454" s="2">
        <v>46205</v>
      </c>
      <c r="T454" s="2">
        <v>46205</v>
      </c>
      <c r="V454" s="1">
        <v>1</v>
      </c>
      <c r="W454" s="1">
        <v>0</v>
      </c>
      <c r="X454" s="1">
        <v>0</v>
      </c>
      <c r="Y454" s="1">
        <v>0</v>
      </c>
      <c r="Z454" s="1">
        <v>0</v>
      </c>
      <c r="AA454" s="1">
        <v>1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</row>
    <row r="455" spans="1:33" x14ac:dyDescent="0.25">
      <c r="A455" s="1">
        <v>640</v>
      </c>
      <c r="B455" s="1" t="s">
        <v>863</v>
      </c>
      <c r="C455" s="1" t="s">
        <v>861</v>
      </c>
      <c r="D455" s="1" t="s">
        <v>102</v>
      </c>
      <c r="E455" s="1" t="s">
        <v>53</v>
      </c>
      <c r="F455" s="10">
        <v>46209</v>
      </c>
      <c r="G455" s="10">
        <v>46209</v>
      </c>
      <c r="H455" s="11">
        <v>0</v>
      </c>
      <c r="J455" s="1">
        <v>639</v>
      </c>
      <c r="K455" s="1">
        <v>641</v>
      </c>
      <c r="L455" s="1" t="s">
        <v>35</v>
      </c>
      <c r="M455" s="1" t="s">
        <v>191</v>
      </c>
      <c r="N455" s="2">
        <v>46209</v>
      </c>
      <c r="P455" s="1" t="s">
        <v>645</v>
      </c>
      <c r="Q455" s="1" t="s">
        <v>178</v>
      </c>
      <c r="R455" s="1" t="s">
        <v>55</v>
      </c>
      <c r="S455" s="2">
        <v>46206</v>
      </c>
      <c r="T455" s="2">
        <v>46209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1</v>
      </c>
      <c r="AE455" s="1">
        <v>0</v>
      </c>
      <c r="AF455" s="1">
        <v>0</v>
      </c>
      <c r="AG455" s="1">
        <v>0</v>
      </c>
    </row>
    <row r="456" spans="1:33" x14ac:dyDescent="0.25">
      <c r="A456" s="1">
        <v>641</v>
      </c>
      <c r="B456" s="1" t="s">
        <v>864</v>
      </c>
      <c r="C456" s="1" t="s">
        <v>861</v>
      </c>
      <c r="D456" s="1" t="s">
        <v>108</v>
      </c>
      <c r="E456" s="1" t="s">
        <v>53</v>
      </c>
      <c r="F456" s="10">
        <v>46210</v>
      </c>
      <c r="G456" s="10">
        <v>46210</v>
      </c>
      <c r="H456" s="11">
        <v>0</v>
      </c>
      <c r="J456" s="1">
        <v>640</v>
      </c>
      <c r="L456" s="1" t="s">
        <v>180</v>
      </c>
      <c r="M456" s="1" t="s">
        <v>295</v>
      </c>
      <c r="N456" s="2">
        <v>46210</v>
      </c>
      <c r="P456" s="1" t="s">
        <v>645</v>
      </c>
      <c r="Q456" s="1" t="s">
        <v>178</v>
      </c>
      <c r="R456" s="1" t="s">
        <v>55</v>
      </c>
      <c r="S456" s="2">
        <v>46210</v>
      </c>
      <c r="T456" s="2">
        <v>46210</v>
      </c>
      <c r="V456" s="1">
        <v>0</v>
      </c>
      <c r="W456" s="1">
        <v>0</v>
      </c>
      <c r="X456" s="1">
        <v>0</v>
      </c>
      <c r="Y456" s="1">
        <v>0</v>
      </c>
      <c r="Z456" s="1">
        <v>1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</row>
    <row r="457" spans="1:33" x14ac:dyDescent="0.25">
      <c r="A457" s="1">
        <v>642</v>
      </c>
      <c r="B457" s="1" t="s">
        <v>865</v>
      </c>
      <c r="C457" s="1" t="s">
        <v>647</v>
      </c>
      <c r="D457" s="1" t="s">
        <v>866</v>
      </c>
      <c r="E457" s="1" t="s">
        <v>758</v>
      </c>
      <c r="F457" s="10">
        <v>46190</v>
      </c>
      <c r="G457" s="10">
        <v>46210</v>
      </c>
      <c r="H457" s="11">
        <v>0.87</v>
      </c>
      <c r="L457" s="1" t="s">
        <v>35</v>
      </c>
      <c r="M457" s="1" t="s">
        <v>323</v>
      </c>
      <c r="N457" s="2">
        <v>46210</v>
      </c>
      <c r="P457" s="1" t="s">
        <v>645</v>
      </c>
      <c r="Q457" s="1" t="s">
        <v>133</v>
      </c>
      <c r="R457" s="1" t="s">
        <v>55</v>
      </c>
      <c r="S457" s="2">
        <v>46191</v>
      </c>
      <c r="T457" s="2">
        <v>46210</v>
      </c>
      <c r="V457" s="1">
        <v>0.87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</row>
    <row r="458" spans="1:33" x14ac:dyDescent="0.25">
      <c r="A458" s="1">
        <v>643</v>
      </c>
      <c r="B458" s="1" t="s">
        <v>867</v>
      </c>
      <c r="C458" s="1" t="s">
        <v>868</v>
      </c>
      <c r="D458" s="1" t="s">
        <v>94</v>
      </c>
      <c r="E458" s="1" t="s">
        <v>769</v>
      </c>
      <c r="F458" s="10">
        <v>46190</v>
      </c>
      <c r="G458" s="10">
        <v>46198</v>
      </c>
      <c r="H458" s="11">
        <v>1</v>
      </c>
      <c r="I458" s="10">
        <v>46198</v>
      </c>
      <c r="J458" s="1" t="s">
        <v>770</v>
      </c>
      <c r="K458" s="1">
        <v>644</v>
      </c>
      <c r="L458" s="1" t="s">
        <v>59</v>
      </c>
      <c r="M458" s="1" t="s">
        <v>323</v>
      </c>
      <c r="N458" s="2">
        <v>46204</v>
      </c>
      <c r="P458" s="1" t="s">
        <v>645</v>
      </c>
      <c r="Q458" s="1" t="s">
        <v>133</v>
      </c>
      <c r="R458" s="1" t="s">
        <v>55</v>
      </c>
      <c r="S458" s="2">
        <v>46191</v>
      </c>
      <c r="T458" s="2">
        <v>46204</v>
      </c>
      <c r="V458" s="1">
        <v>1</v>
      </c>
      <c r="W458" s="1">
        <v>1</v>
      </c>
      <c r="X458" s="1">
        <v>1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1</v>
      </c>
    </row>
    <row r="459" spans="1:33" x14ac:dyDescent="0.25">
      <c r="A459" s="1">
        <v>644</v>
      </c>
      <c r="B459" s="1" t="s">
        <v>869</v>
      </c>
      <c r="C459" s="1" t="s">
        <v>868</v>
      </c>
      <c r="D459" s="1" t="s">
        <v>98</v>
      </c>
      <c r="E459" s="1" t="s">
        <v>103</v>
      </c>
      <c r="F459" s="10">
        <v>46199</v>
      </c>
      <c r="G459" s="10">
        <v>46206</v>
      </c>
      <c r="H459" s="11">
        <v>1</v>
      </c>
      <c r="I459" s="10">
        <v>46206</v>
      </c>
      <c r="J459" s="1">
        <v>643</v>
      </c>
      <c r="K459" s="1">
        <v>645</v>
      </c>
      <c r="L459" s="1" t="s">
        <v>59</v>
      </c>
      <c r="M459" s="1" t="s">
        <v>292</v>
      </c>
      <c r="N459" s="2">
        <v>46205</v>
      </c>
      <c r="P459" s="1" t="s">
        <v>645</v>
      </c>
      <c r="Q459" s="1" t="s">
        <v>178</v>
      </c>
      <c r="R459" s="1" t="s">
        <v>55</v>
      </c>
      <c r="S459" s="2">
        <v>46205</v>
      </c>
      <c r="T459" s="2">
        <v>46205</v>
      </c>
      <c r="V459" s="1">
        <v>1</v>
      </c>
      <c r="W459" s="1">
        <v>0</v>
      </c>
      <c r="X459" s="1">
        <v>0</v>
      </c>
      <c r="Y459" s="1">
        <v>0</v>
      </c>
      <c r="Z459" s="1">
        <v>0</v>
      </c>
      <c r="AA459" s="1">
        <v>1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</row>
    <row r="460" spans="1:33" x14ac:dyDescent="0.25">
      <c r="A460" s="1">
        <v>645</v>
      </c>
      <c r="B460" s="1" t="s">
        <v>870</v>
      </c>
      <c r="C460" s="1" t="s">
        <v>868</v>
      </c>
      <c r="D460" s="1" t="s">
        <v>102</v>
      </c>
      <c r="E460" s="1" t="s">
        <v>53</v>
      </c>
      <c r="F460" s="10">
        <v>46209</v>
      </c>
      <c r="G460" s="10">
        <v>46209</v>
      </c>
      <c r="H460" s="11">
        <v>0</v>
      </c>
      <c r="J460" s="1">
        <v>644</v>
      </c>
      <c r="K460" s="1">
        <v>646</v>
      </c>
      <c r="L460" s="1" t="s">
        <v>35</v>
      </c>
      <c r="M460" s="1" t="s">
        <v>191</v>
      </c>
      <c r="N460" s="2">
        <v>46209</v>
      </c>
      <c r="P460" s="1" t="s">
        <v>645</v>
      </c>
      <c r="Q460" s="1" t="s">
        <v>178</v>
      </c>
      <c r="R460" s="1" t="s">
        <v>55</v>
      </c>
      <c r="S460" s="2">
        <v>46206</v>
      </c>
      <c r="T460" s="2">
        <v>46209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1</v>
      </c>
      <c r="AE460" s="1">
        <v>0</v>
      </c>
      <c r="AF460" s="1">
        <v>0</v>
      </c>
      <c r="AG460" s="1">
        <v>0</v>
      </c>
    </row>
    <row r="461" spans="1:33" x14ac:dyDescent="0.25">
      <c r="A461" s="1">
        <v>646</v>
      </c>
      <c r="B461" s="1" t="s">
        <v>871</v>
      </c>
      <c r="C461" s="1" t="s">
        <v>868</v>
      </c>
      <c r="D461" s="1" t="s">
        <v>108</v>
      </c>
      <c r="E461" s="1" t="s">
        <v>53</v>
      </c>
      <c r="F461" s="10">
        <v>46210</v>
      </c>
      <c r="G461" s="10">
        <v>46210</v>
      </c>
      <c r="H461" s="11">
        <v>0</v>
      </c>
      <c r="J461" s="1">
        <v>645</v>
      </c>
      <c r="L461" s="1" t="s">
        <v>180</v>
      </c>
      <c r="M461" s="1" t="s">
        <v>295</v>
      </c>
      <c r="N461" s="2">
        <v>46210</v>
      </c>
      <c r="P461" s="1" t="s">
        <v>645</v>
      </c>
      <c r="Q461" s="1" t="s">
        <v>178</v>
      </c>
      <c r="R461" s="1" t="s">
        <v>55</v>
      </c>
      <c r="S461" s="2">
        <v>46210</v>
      </c>
      <c r="T461" s="2">
        <v>46210</v>
      </c>
      <c r="V461" s="1">
        <v>0</v>
      </c>
      <c r="W461" s="1">
        <v>0</v>
      </c>
      <c r="X461" s="1">
        <v>0</v>
      </c>
      <c r="Y461" s="1">
        <v>0</v>
      </c>
      <c r="Z461" s="1">
        <v>1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</row>
    <row r="462" spans="1:33" x14ac:dyDescent="0.25">
      <c r="A462" s="1">
        <v>647</v>
      </c>
      <c r="B462" s="1" t="s">
        <v>872</v>
      </c>
      <c r="C462" s="1" t="s">
        <v>647</v>
      </c>
      <c r="D462" s="1" t="s">
        <v>873</v>
      </c>
      <c r="E462" s="1" t="s">
        <v>758</v>
      </c>
      <c r="F462" s="10">
        <v>46190</v>
      </c>
      <c r="G462" s="10">
        <v>46210</v>
      </c>
      <c r="H462" s="11">
        <v>0.87</v>
      </c>
      <c r="L462" s="1" t="s">
        <v>35</v>
      </c>
      <c r="M462" s="1" t="s">
        <v>323</v>
      </c>
      <c r="N462" s="2">
        <v>46210</v>
      </c>
      <c r="P462" s="1" t="s">
        <v>645</v>
      </c>
      <c r="Q462" s="1" t="s">
        <v>133</v>
      </c>
      <c r="R462" s="1" t="s">
        <v>55</v>
      </c>
      <c r="S462" s="2">
        <v>46191</v>
      </c>
      <c r="T462" s="2">
        <v>46210</v>
      </c>
      <c r="U462" s="1" t="s">
        <v>288</v>
      </c>
      <c r="V462" s="1">
        <v>0.87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</row>
    <row r="463" spans="1:33" x14ac:dyDescent="0.25">
      <c r="A463" s="1">
        <v>648</v>
      </c>
      <c r="B463" s="1" t="s">
        <v>874</v>
      </c>
      <c r="C463" s="1" t="s">
        <v>875</v>
      </c>
      <c r="D463" s="1" t="s">
        <v>94</v>
      </c>
      <c r="E463" s="1" t="s">
        <v>769</v>
      </c>
      <c r="F463" s="10">
        <v>46190</v>
      </c>
      <c r="G463" s="10">
        <v>46198</v>
      </c>
      <c r="H463" s="11">
        <v>1</v>
      </c>
      <c r="I463" s="10">
        <v>46198</v>
      </c>
      <c r="J463" s="1" t="s">
        <v>770</v>
      </c>
      <c r="K463" s="1">
        <v>649</v>
      </c>
      <c r="L463" s="1" t="s">
        <v>59</v>
      </c>
      <c r="M463" s="1" t="s">
        <v>264</v>
      </c>
      <c r="N463" s="2">
        <v>46196</v>
      </c>
      <c r="P463" s="1" t="s">
        <v>645</v>
      </c>
      <c r="Q463" s="1" t="s">
        <v>133</v>
      </c>
      <c r="R463" s="1" t="s">
        <v>55</v>
      </c>
      <c r="S463" s="2">
        <v>46188</v>
      </c>
      <c r="T463" s="2">
        <v>46196</v>
      </c>
      <c r="V463" s="1">
        <v>1</v>
      </c>
      <c r="W463" s="1">
        <v>1</v>
      </c>
      <c r="X463" s="1">
        <v>1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1</v>
      </c>
    </row>
    <row r="464" spans="1:33" x14ac:dyDescent="0.25">
      <c r="A464" s="1">
        <v>649</v>
      </c>
      <c r="B464" s="1" t="s">
        <v>876</v>
      </c>
      <c r="C464" s="1" t="s">
        <v>875</v>
      </c>
      <c r="D464" s="1" t="s">
        <v>98</v>
      </c>
      <c r="E464" s="1" t="s">
        <v>103</v>
      </c>
      <c r="F464" s="10">
        <v>46199</v>
      </c>
      <c r="G464" s="10">
        <v>46206</v>
      </c>
      <c r="H464" s="11">
        <v>1</v>
      </c>
      <c r="I464" s="10">
        <v>46206</v>
      </c>
      <c r="J464" s="1">
        <v>648</v>
      </c>
      <c r="K464" s="1">
        <v>650</v>
      </c>
      <c r="L464" s="1" t="s">
        <v>59</v>
      </c>
      <c r="M464" s="1" t="s">
        <v>754</v>
      </c>
      <c r="N464" s="2">
        <v>46197</v>
      </c>
      <c r="P464" s="1" t="s">
        <v>645</v>
      </c>
      <c r="Q464" s="1" t="s">
        <v>178</v>
      </c>
      <c r="R464" s="1" t="s">
        <v>55</v>
      </c>
      <c r="S464" s="2">
        <v>46197</v>
      </c>
      <c r="T464" s="2">
        <v>46197</v>
      </c>
      <c r="V464" s="1">
        <v>1</v>
      </c>
      <c r="W464" s="1">
        <v>0</v>
      </c>
      <c r="X464" s="1">
        <v>0</v>
      </c>
      <c r="Y464" s="1">
        <v>0</v>
      </c>
      <c r="Z464" s="1">
        <v>0</v>
      </c>
      <c r="AA464" s="1">
        <v>1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</row>
    <row r="465" spans="1:33" x14ac:dyDescent="0.25">
      <c r="A465" s="1">
        <v>650</v>
      </c>
      <c r="B465" s="1" t="s">
        <v>877</v>
      </c>
      <c r="C465" s="1" t="s">
        <v>875</v>
      </c>
      <c r="D465" s="1" t="s">
        <v>102</v>
      </c>
      <c r="E465" s="1" t="s">
        <v>53</v>
      </c>
      <c r="F465" s="10">
        <v>46209</v>
      </c>
      <c r="G465" s="10">
        <v>46209</v>
      </c>
      <c r="H465" s="11">
        <v>0</v>
      </c>
      <c r="J465" s="1">
        <v>649</v>
      </c>
      <c r="K465" s="1">
        <v>651</v>
      </c>
      <c r="L465" s="1" t="s">
        <v>35</v>
      </c>
      <c r="M465" s="1" t="s">
        <v>502</v>
      </c>
      <c r="N465" s="2">
        <v>46198</v>
      </c>
      <c r="P465" s="1" t="s">
        <v>645</v>
      </c>
      <c r="Q465" s="1" t="s">
        <v>178</v>
      </c>
      <c r="R465" s="1" t="s">
        <v>55</v>
      </c>
      <c r="S465" s="2">
        <v>46198</v>
      </c>
      <c r="T465" s="2">
        <v>46198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1</v>
      </c>
      <c r="AE465" s="1">
        <v>0</v>
      </c>
      <c r="AF465" s="1">
        <v>0</v>
      </c>
      <c r="AG465" s="1">
        <v>0</v>
      </c>
    </row>
    <row r="466" spans="1:33" x14ac:dyDescent="0.25">
      <c r="A466" s="1">
        <v>651</v>
      </c>
      <c r="B466" s="1" t="s">
        <v>878</v>
      </c>
      <c r="C466" s="1" t="s">
        <v>875</v>
      </c>
      <c r="D466" s="1" t="s">
        <v>108</v>
      </c>
      <c r="E466" s="1" t="s">
        <v>53</v>
      </c>
      <c r="F466" s="10">
        <v>46210</v>
      </c>
      <c r="G466" s="10">
        <v>46210</v>
      </c>
      <c r="H466" s="11">
        <v>0</v>
      </c>
      <c r="J466" s="1">
        <v>650</v>
      </c>
      <c r="L466" s="1" t="s">
        <v>180</v>
      </c>
      <c r="M466" s="1" t="s">
        <v>394</v>
      </c>
      <c r="N466" s="2">
        <v>46199</v>
      </c>
      <c r="P466" s="1" t="s">
        <v>645</v>
      </c>
      <c r="Q466" s="1" t="s">
        <v>178</v>
      </c>
      <c r="R466" s="1" t="s">
        <v>55</v>
      </c>
      <c r="S466" s="2">
        <v>46199</v>
      </c>
      <c r="T466" s="2">
        <v>46199</v>
      </c>
      <c r="V466" s="1">
        <v>0</v>
      </c>
      <c r="W466" s="1">
        <v>0</v>
      </c>
      <c r="X466" s="1">
        <v>0</v>
      </c>
      <c r="Y466" s="1">
        <v>0</v>
      </c>
      <c r="Z466" s="1">
        <v>1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</row>
    <row r="467" spans="1:33" x14ac:dyDescent="0.25">
      <c r="A467" s="1">
        <v>652</v>
      </c>
      <c r="B467" s="1" t="s">
        <v>879</v>
      </c>
      <c r="C467" s="1" t="s">
        <v>647</v>
      </c>
      <c r="D467" s="1" t="s">
        <v>880</v>
      </c>
      <c r="E467" s="1" t="s">
        <v>758</v>
      </c>
      <c r="F467" s="10">
        <v>46190</v>
      </c>
      <c r="G467" s="10">
        <v>46210</v>
      </c>
      <c r="H467" s="11">
        <v>0.87</v>
      </c>
      <c r="L467" s="1" t="s">
        <v>35</v>
      </c>
      <c r="M467" s="1" t="s">
        <v>323</v>
      </c>
      <c r="N467" s="2">
        <v>46210</v>
      </c>
      <c r="P467" s="1" t="s">
        <v>645</v>
      </c>
      <c r="Q467" s="1" t="s">
        <v>133</v>
      </c>
      <c r="R467" s="1" t="s">
        <v>55</v>
      </c>
      <c r="S467" s="2">
        <v>46191</v>
      </c>
      <c r="T467" s="2">
        <v>46210</v>
      </c>
      <c r="U467" s="1" t="s">
        <v>288</v>
      </c>
      <c r="V467" s="1">
        <v>0.87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</row>
    <row r="468" spans="1:33" x14ac:dyDescent="0.25">
      <c r="A468" s="1">
        <v>653</v>
      </c>
      <c r="B468" s="1" t="s">
        <v>881</v>
      </c>
      <c r="C468" s="1" t="s">
        <v>882</v>
      </c>
      <c r="D468" s="1" t="s">
        <v>94</v>
      </c>
      <c r="E468" s="1" t="s">
        <v>769</v>
      </c>
      <c r="F468" s="10">
        <v>46190</v>
      </c>
      <c r="G468" s="10">
        <v>46198</v>
      </c>
      <c r="H468" s="11">
        <v>1</v>
      </c>
      <c r="I468" s="10">
        <v>46198</v>
      </c>
      <c r="J468" s="1" t="s">
        <v>770</v>
      </c>
      <c r="K468" s="1">
        <v>654</v>
      </c>
      <c r="L468" s="1" t="s">
        <v>59</v>
      </c>
      <c r="M468" s="1" t="s">
        <v>264</v>
      </c>
      <c r="N468" s="2">
        <v>46196</v>
      </c>
      <c r="P468" s="1" t="s">
        <v>645</v>
      </c>
      <c r="Q468" s="1" t="s">
        <v>133</v>
      </c>
      <c r="R468" s="1" t="s">
        <v>55</v>
      </c>
      <c r="S468" s="2">
        <v>46188</v>
      </c>
      <c r="T468" s="2">
        <v>46196</v>
      </c>
      <c r="V468" s="1">
        <v>1</v>
      </c>
      <c r="W468" s="1">
        <v>1</v>
      </c>
      <c r="X468" s="1">
        <v>1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1</v>
      </c>
    </row>
    <row r="469" spans="1:33" x14ac:dyDescent="0.25">
      <c r="A469" s="1">
        <v>654</v>
      </c>
      <c r="B469" s="1" t="s">
        <v>883</v>
      </c>
      <c r="C469" s="1" t="s">
        <v>882</v>
      </c>
      <c r="D469" s="1" t="s">
        <v>98</v>
      </c>
      <c r="E469" s="1" t="s">
        <v>103</v>
      </c>
      <c r="F469" s="10">
        <v>46199</v>
      </c>
      <c r="G469" s="10">
        <v>46206</v>
      </c>
      <c r="H469" s="11">
        <v>1</v>
      </c>
      <c r="I469" s="10">
        <v>46206</v>
      </c>
      <c r="J469" s="1">
        <v>653</v>
      </c>
      <c r="K469" s="1">
        <v>655</v>
      </c>
      <c r="L469" s="1" t="s">
        <v>59</v>
      </c>
      <c r="M469" s="1" t="s">
        <v>754</v>
      </c>
      <c r="N469" s="2">
        <v>46197</v>
      </c>
      <c r="P469" s="1" t="s">
        <v>645</v>
      </c>
      <c r="Q469" s="1" t="s">
        <v>178</v>
      </c>
      <c r="R469" s="1" t="s">
        <v>55</v>
      </c>
      <c r="S469" s="2">
        <v>46197</v>
      </c>
      <c r="T469" s="2">
        <v>46197</v>
      </c>
      <c r="V469" s="1">
        <v>1</v>
      </c>
      <c r="W469" s="1">
        <v>0</v>
      </c>
      <c r="X469" s="1">
        <v>0</v>
      </c>
      <c r="Y469" s="1">
        <v>0</v>
      </c>
      <c r="Z469" s="1">
        <v>0</v>
      </c>
      <c r="AA469" s="1">
        <v>1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</row>
    <row r="470" spans="1:33" x14ac:dyDescent="0.25">
      <c r="A470" s="1">
        <v>655</v>
      </c>
      <c r="B470" s="1" t="s">
        <v>884</v>
      </c>
      <c r="C470" s="1" t="s">
        <v>882</v>
      </c>
      <c r="D470" s="1" t="s">
        <v>102</v>
      </c>
      <c r="E470" s="1" t="s">
        <v>53</v>
      </c>
      <c r="F470" s="10">
        <v>46209</v>
      </c>
      <c r="G470" s="10">
        <v>46209</v>
      </c>
      <c r="H470" s="11">
        <v>0</v>
      </c>
      <c r="J470" s="1">
        <v>654</v>
      </c>
      <c r="K470" s="1">
        <v>656</v>
      </c>
      <c r="L470" s="1" t="s">
        <v>35</v>
      </c>
      <c r="M470" s="1" t="s">
        <v>502</v>
      </c>
      <c r="N470" s="2">
        <v>46198</v>
      </c>
      <c r="P470" s="1" t="s">
        <v>645</v>
      </c>
      <c r="Q470" s="1" t="s">
        <v>178</v>
      </c>
      <c r="R470" s="1" t="s">
        <v>55</v>
      </c>
      <c r="S470" s="2">
        <v>46198</v>
      </c>
      <c r="T470" s="2">
        <v>46198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1</v>
      </c>
      <c r="AE470" s="1">
        <v>0</v>
      </c>
      <c r="AF470" s="1">
        <v>0</v>
      </c>
      <c r="AG470" s="1">
        <v>0</v>
      </c>
    </row>
    <row r="471" spans="1:33" x14ac:dyDescent="0.25">
      <c r="A471" s="1">
        <v>656</v>
      </c>
      <c r="B471" s="1" t="s">
        <v>885</v>
      </c>
      <c r="C471" s="1" t="s">
        <v>882</v>
      </c>
      <c r="D471" s="1" t="s">
        <v>108</v>
      </c>
      <c r="E471" s="1" t="s">
        <v>53</v>
      </c>
      <c r="F471" s="10">
        <v>46210</v>
      </c>
      <c r="G471" s="10">
        <v>46210</v>
      </c>
      <c r="H471" s="11">
        <v>0</v>
      </c>
      <c r="J471" s="1">
        <v>655</v>
      </c>
      <c r="L471" s="1" t="s">
        <v>180</v>
      </c>
      <c r="M471" s="1" t="s">
        <v>394</v>
      </c>
      <c r="N471" s="2">
        <v>46199</v>
      </c>
      <c r="P471" s="1" t="s">
        <v>645</v>
      </c>
      <c r="Q471" s="1" t="s">
        <v>178</v>
      </c>
      <c r="R471" s="1" t="s">
        <v>55</v>
      </c>
      <c r="S471" s="2">
        <v>46199</v>
      </c>
      <c r="T471" s="2">
        <v>46199</v>
      </c>
      <c r="V471" s="1">
        <v>0</v>
      </c>
      <c r="W471" s="1">
        <v>0</v>
      </c>
      <c r="X471" s="1">
        <v>0</v>
      </c>
      <c r="Y471" s="1">
        <v>0</v>
      </c>
      <c r="Z471" s="1">
        <v>1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</row>
    <row r="472" spans="1:33" x14ac:dyDescent="0.25">
      <c r="A472" s="1">
        <v>657</v>
      </c>
      <c r="B472" s="1" t="s">
        <v>886</v>
      </c>
      <c r="C472" s="1" t="s">
        <v>647</v>
      </c>
      <c r="D472" s="1" t="s">
        <v>887</v>
      </c>
      <c r="E472" s="1" t="s">
        <v>758</v>
      </c>
      <c r="F472" s="10">
        <v>46190</v>
      </c>
      <c r="G472" s="10">
        <v>46210</v>
      </c>
      <c r="H472" s="11">
        <v>0.87</v>
      </c>
      <c r="L472" s="1" t="s">
        <v>35</v>
      </c>
      <c r="M472" s="1" t="s">
        <v>323</v>
      </c>
      <c r="N472" s="2">
        <v>46210</v>
      </c>
      <c r="P472" s="1" t="s">
        <v>645</v>
      </c>
      <c r="Q472" s="1" t="s">
        <v>133</v>
      </c>
      <c r="R472" s="1" t="s">
        <v>55</v>
      </c>
      <c r="S472" s="2">
        <v>46191</v>
      </c>
      <c r="T472" s="2">
        <v>46210</v>
      </c>
      <c r="U472" s="1" t="s">
        <v>288</v>
      </c>
      <c r="V472" s="1">
        <v>0.87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</row>
    <row r="473" spans="1:33" x14ac:dyDescent="0.25">
      <c r="A473" s="1">
        <v>658</v>
      </c>
      <c r="B473" s="1" t="s">
        <v>888</v>
      </c>
      <c r="C473" s="1" t="s">
        <v>889</v>
      </c>
      <c r="D473" s="1" t="s">
        <v>94</v>
      </c>
      <c r="E473" s="1" t="s">
        <v>769</v>
      </c>
      <c r="F473" s="10">
        <v>46190</v>
      </c>
      <c r="G473" s="10">
        <v>46198</v>
      </c>
      <c r="H473" s="11">
        <v>1</v>
      </c>
      <c r="I473" s="10">
        <v>46198</v>
      </c>
      <c r="J473" s="1" t="s">
        <v>770</v>
      </c>
      <c r="K473" s="1">
        <v>659</v>
      </c>
      <c r="L473" s="1" t="s">
        <v>59</v>
      </c>
      <c r="M473" s="1" t="s">
        <v>264</v>
      </c>
      <c r="N473" s="2">
        <v>46196</v>
      </c>
      <c r="P473" s="1" t="s">
        <v>645</v>
      </c>
      <c r="Q473" s="1" t="s">
        <v>133</v>
      </c>
      <c r="R473" s="1" t="s">
        <v>55</v>
      </c>
      <c r="S473" s="2">
        <v>46188</v>
      </c>
      <c r="T473" s="2">
        <v>46196</v>
      </c>
      <c r="V473" s="1">
        <v>1</v>
      </c>
      <c r="W473" s="1">
        <v>1</v>
      </c>
      <c r="X473" s="1">
        <v>1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1</v>
      </c>
    </row>
    <row r="474" spans="1:33" x14ac:dyDescent="0.25">
      <c r="A474" s="1">
        <v>659</v>
      </c>
      <c r="B474" s="1" t="s">
        <v>890</v>
      </c>
      <c r="C474" s="1" t="s">
        <v>889</v>
      </c>
      <c r="D474" s="1" t="s">
        <v>98</v>
      </c>
      <c r="E474" s="1" t="s">
        <v>103</v>
      </c>
      <c r="F474" s="10">
        <v>46199</v>
      </c>
      <c r="G474" s="10">
        <v>46206</v>
      </c>
      <c r="H474" s="11">
        <v>1</v>
      </c>
      <c r="I474" s="10">
        <v>46206</v>
      </c>
      <c r="J474" s="1">
        <v>658</v>
      </c>
      <c r="K474" s="1">
        <v>660</v>
      </c>
      <c r="L474" s="1" t="s">
        <v>59</v>
      </c>
      <c r="M474" s="1" t="s">
        <v>754</v>
      </c>
      <c r="N474" s="2">
        <v>46197</v>
      </c>
      <c r="P474" s="1" t="s">
        <v>645</v>
      </c>
      <c r="Q474" s="1" t="s">
        <v>178</v>
      </c>
      <c r="R474" s="1" t="s">
        <v>55</v>
      </c>
      <c r="S474" s="2">
        <v>46197</v>
      </c>
      <c r="T474" s="2">
        <v>46197</v>
      </c>
      <c r="V474" s="1">
        <v>1</v>
      </c>
      <c r="W474" s="1">
        <v>0</v>
      </c>
      <c r="X474" s="1">
        <v>0</v>
      </c>
      <c r="Y474" s="1">
        <v>0</v>
      </c>
      <c r="Z474" s="1">
        <v>0</v>
      </c>
      <c r="AA474" s="1">
        <v>1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</row>
    <row r="475" spans="1:33" x14ac:dyDescent="0.25">
      <c r="A475" s="1">
        <v>660</v>
      </c>
      <c r="B475" s="1" t="s">
        <v>891</v>
      </c>
      <c r="C475" s="1" t="s">
        <v>889</v>
      </c>
      <c r="D475" s="1" t="s">
        <v>102</v>
      </c>
      <c r="E475" s="1" t="s">
        <v>53</v>
      </c>
      <c r="F475" s="10">
        <v>46209</v>
      </c>
      <c r="G475" s="10">
        <v>46209</v>
      </c>
      <c r="H475" s="11">
        <v>0</v>
      </c>
      <c r="J475" s="1">
        <v>659</v>
      </c>
      <c r="K475" s="1">
        <v>661</v>
      </c>
      <c r="L475" s="1" t="s">
        <v>35</v>
      </c>
      <c r="M475" s="1" t="s">
        <v>502</v>
      </c>
      <c r="N475" s="2">
        <v>46198</v>
      </c>
      <c r="P475" s="1" t="s">
        <v>645</v>
      </c>
      <c r="Q475" s="1" t="s">
        <v>178</v>
      </c>
      <c r="R475" s="1" t="s">
        <v>55</v>
      </c>
      <c r="S475" s="2">
        <v>46198</v>
      </c>
      <c r="T475" s="2">
        <v>46198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1</v>
      </c>
      <c r="AE475" s="1">
        <v>0</v>
      </c>
      <c r="AF475" s="1">
        <v>0</v>
      </c>
      <c r="AG475" s="1">
        <v>0</v>
      </c>
    </row>
    <row r="476" spans="1:33" x14ac:dyDescent="0.25">
      <c r="A476" s="1">
        <v>661</v>
      </c>
      <c r="B476" s="1" t="s">
        <v>892</v>
      </c>
      <c r="C476" s="1" t="s">
        <v>889</v>
      </c>
      <c r="D476" s="1" t="s">
        <v>108</v>
      </c>
      <c r="E476" s="1" t="s">
        <v>53</v>
      </c>
      <c r="F476" s="10">
        <v>46210</v>
      </c>
      <c r="G476" s="10">
        <v>46210</v>
      </c>
      <c r="H476" s="11">
        <v>0</v>
      </c>
      <c r="J476" s="1">
        <v>660</v>
      </c>
      <c r="L476" s="1" t="s">
        <v>180</v>
      </c>
      <c r="M476" s="1" t="s">
        <v>394</v>
      </c>
      <c r="N476" s="2">
        <v>46199</v>
      </c>
      <c r="P476" s="1" t="s">
        <v>645</v>
      </c>
      <c r="Q476" s="1" t="s">
        <v>178</v>
      </c>
      <c r="R476" s="1" t="s">
        <v>55</v>
      </c>
      <c r="S476" s="2">
        <v>46199</v>
      </c>
      <c r="T476" s="2">
        <v>46199</v>
      </c>
      <c r="V476" s="1">
        <v>0</v>
      </c>
      <c r="W476" s="1">
        <v>0</v>
      </c>
      <c r="X476" s="1">
        <v>0</v>
      </c>
      <c r="Y476" s="1">
        <v>0</v>
      </c>
      <c r="Z476" s="1">
        <v>1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</row>
    <row r="477" spans="1:33" x14ac:dyDescent="0.25">
      <c r="A477" s="1">
        <v>662</v>
      </c>
      <c r="B477" s="1" t="s">
        <v>893</v>
      </c>
      <c r="C477" s="1" t="s">
        <v>647</v>
      </c>
      <c r="D477" s="1" t="s">
        <v>894</v>
      </c>
      <c r="E477" s="1" t="s">
        <v>758</v>
      </c>
      <c r="F477" s="10">
        <v>46190</v>
      </c>
      <c r="G477" s="10">
        <v>46210</v>
      </c>
      <c r="H477" s="11">
        <v>0.87</v>
      </c>
      <c r="L477" s="1" t="s">
        <v>35</v>
      </c>
      <c r="M477" s="1" t="s">
        <v>323</v>
      </c>
      <c r="N477" s="2">
        <v>46210</v>
      </c>
      <c r="P477" s="1" t="s">
        <v>645</v>
      </c>
      <c r="Q477" s="1" t="s">
        <v>133</v>
      </c>
      <c r="R477" s="1" t="s">
        <v>55</v>
      </c>
      <c r="S477" s="2">
        <v>46191</v>
      </c>
      <c r="T477" s="2">
        <v>46210</v>
      </c>
      <c r="U477" s="1" t="s">
        <v>288</v>
      </c>
      <c r="V477" s="1">
        <v>0.87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</row>
    <row r="478" spans="1:33" x14ac:dyDescent="0.25">
      <c r="A478" s="1">
        <v>663</v>
      </c>
      <c r="B478" s="1" t="s">
        <v>895</v>
      </c>
      <c r="C478" s="1" t="s">
        <v>896</v>
      </c>
      <c r="D478" s="1" t="s">
        <v>94</v>
      </c>
      <c r="E478" s="1" t="s">
        <v>769</v>
      </c>
      <c r="F478" s="10">
        <v>46190</v>
      </c>
      <c r="G478" s="10">
        <v>46198</v>
      </c>
      <c r="H478" s="11">
        <v>1</v>
      </c>
      <c r="I478" s="10">
        <v>46198</v>
      </c>
      <c r="J478" s="1" t="s">
        <v>770</v>
      </c>
      <c r="K478" s="1">
        <v>664</v>
      </c>
      <c r="L478" s="1" t="s">
        <v>59</v>
      </c>
      <c r="M478" s="1" t="s">
        <v>264</v>
      </c>
      <c r="N478" s="2">
        <v>46196</v>
      </c>
      <c r="P478" s="1" t="s">
        <v>645</v>
      </c>
      <c r="Q478" s="1" t="s">
        <v>133</v>
      </c>
      <c r="R478" s="1" t="s">
        <v>55</v>
      </c>
      <c r="S478" s="2">
        <v>46188</v>
      </c>
      <c r="T478" s="2">
        <v>46196</v>
      </c>
      <c r="V478" s="1">
        <v>1</v>
      </c>
      <c r="W478" s="1">
        <v>1</v>
      </c>
      <c r="X478" s="1">
        <v>1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1</v>
      </c>
    </row>
    <row r="479" spans="1:33" x14ac:dyDescent="0.25">
      <c r="A479" s="1">
        <v>664</v>
      </c>
      <c r="B479" s="1" t="s">
        <v>897</v>
      </c>
      <c r="C479" s="1" t="s">
        <v>896</v>
      </c>
      <c r="D479" s="1" t="s">
        <v>98</v>
      </c>
      <c r="E479" s="1" t="s">
        <v>103</v>
      </c>
      <c r="F479" s="10">
        <v>46199</v>
      </c>
      <c r="G479" s="10">
        <v>46206</v>
      </c>
      <c r="H479" s="11">
        <v>1</v>
      </c>
      <c r="I479" s="10">
        <v>46206</v>
      </c>
      <c r="J479" s="1">
        <v>663</v>
      </c>
      <c r="K479" s="1">
        <v>665</v>
      </c>
      <c r="L479" s="1" t="s">
        <v>59</v>
      </c>
      <c r="M479" s="1" t="s">
        <v>754</v>
      </c>
      <c r="N479" s="2">
        <v>46197</v>
      </c>
      <c r="P479" s="1" t="s">
        <v>645</v>
      </c>
      <c r="Q479" s="1" t="s">
        <v>178</v>
      </c>
      <c r="R479" s="1" t="s">
        <v>55</v>
      </c>
      <c r="S479" s="2">
        <v>46197</v>
      </c>
      <c r="T479" s="2">
        <v>46197</v>
      </c>
      <c r="V479" s="1">
        <v>1</v>
      </c>
      <c r="W479" s="1">
        <v>0</v>
      </c>
      <c r="X479" s="1">
        <v>0</v>
      </c>
      <c r="Y479" s="1">
        <v>0</v>
      </c>
      <c r="Z479" s="1">
        <v>0</v>
      </c>
      <c r="AA479" s="1">
        <v>1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</row>
    <row r="480" spans="1:33" x14ac:dyDescent="0.25">
      <c r="A480" s="1">
        <v>665</v>
      </c>
      <c r="B480" s="1" t="s">
        <v>898</v>
      </c>
      <c r="C480" s="1" t="s">
        <v>896</v>
      </c>
      <c r="D480" s="1" t="s">
        <v>102</v>
      </c>
      <c r="E480" s="1" t="s">
        <v>53</v>
      </c>
      <c r="F480" s="10">
        <v>46209</v>
      </c>
      <c r="G480" s="10">
        <v>46209</v>
      </c>
      <c r="H480" s="11">
        <v>0</v>
      </c>
      <c r="J480" s="1">
        <v>664</v>
      </c>
      <c r="K480" s="1">
        <v>666</v>
      </c>
      <c r="L480" s="1" t="s">
        <v>35</v>
      </c>
      <c r="M480" s="1" t="s">
        <v>502</v>
      </c>
      <c r="N480" s="2">
        <v>46198</v>
      </c>
      <c r="P480" s="1" t="s">
        <v>645</v>
      </c>
      <c r="Q480" s="1" t="s">
        <v>178</v>
      </c>
      <c r="R480" s="1" t="s">
        <v>55</v>
      </c>
      <c r="S480" s="2">
        <v>46198</v>
      </c>
      <c r="T480" s="2">
        <v>46198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1</v>
      </c>
      <c r="AE480" s="1">
        <v>0</v>
      </c>
      <c r="AF480" s="1">
        <v>0</v>
      </c>
      <c r="AG480" s="1">
        <v>0</v>
      </c>
    </row>
    <row r="481" spans="1:33" x14ac:dyDescent="0.25">
      <c r="A481" s="1">
        <v>666</v>
      </c>
      <c r="B481" s="1" t="s">
        <v>899</v>
      </c>
      <c r="C481" s="1" t="s">
        <v>896</v>
      </c>
      <c r="D481" s="1" t="s">
        <v>108</v>
      </c>
      <c r="E481" s="1" t="s">
        <v>53</v>
      </c>
      <c r="F481" s="10">
        <v>46210</v>
      </c>
      <c r="G481" s="10">
        <v>46210</v>
      </c>
      <c r="H481" s="11">
        <v>0</v>
      </c>
      <c r="J481" s="1">
        <v>665</v>
      </c>
      <c r="L481" s="1" t="s">
        <v>180</v>
      </c>
      <c r="M481" s="1" t="s">
        <v>394</v>
      </c>
      <c r="N481" s="2">
        <v>46199</v>
      </c>
      <c r="P481" s="1" t="s">
        <v>645</v>
      </c>
      <c r="Q481" s="1" t="s">
        <v>178</v>
      </c>
      <c r="R481" s="1" t="s">
        <v>55</v>
      </c>
      <c r="S481" s="2">
        <v>46199</v>
      </c>
      <c r="T481" s="2">
        <v>46199</v>
      </c>
      <c r="V481" s="1">
        <v>0</v>
      </c>
      <c r="W481" s="1">
        <v>0</v>
      </c>
      <c r="X481" s="1">
        <v>0</v>
      </c>
      <c r="Y481" s="1">
        <v>0</v>
      </c>
      <c r="Z481" s="1">
        <v>1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</row>
    <row r="482" spans="1:33" x14ac:dyDescent="0.25">
      <c r="A482" s="1">
        <v>667</v>
      </c>
      <c r="B482" s="1" t="s">
        <v>900</v>
      </c>
      <c r="C482" s="1" t="s">
        <v>647</v>
      </c>
      <c r="D482" s="1" t="s">
        <v>901</v>
      </c>
      <c r="E482" s="1" t="s">
        <v>758</v>
      </c>
      <c r="F482" s="10">
        <v>46190</v>
      </c>
      <c r="G482" s="10">
        <v>46210</v>
      </c>
      <c r="H482" s="11">
        <v>0.87</v>
      </c>
      <c r="L482" s="1" t="s">
        <v>35</v>
      </c>
      <c r="M482" s="1" t="s">
        <v>323</v>
      </c>
      <c r="N482" s="2">
        <v>46210</v>
      </c>
      <c r="P482" s="1" t="s">
        <v>645</v>
      </c>
      <c r="Q482" s="1" t="s">
        <v>133</v>
      </c>
      <c r="R482" s="1" t="s">
        <v>55</v>
      </c>
      <c r="S482" s="2">
        <v>46191</v>
      </c>
      <c r="T482" s="2">
        <v>46210</v>
      </c>
      <c r="U482" s="1" t="s">
        <v>288</v>
      </c>
      <c r="V482" s="1">
        <v>0.87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</row>
    <row r="483" spans="1:33" x14ac:dyDescent="0.25">
      <c r="A483" s="1">
        <v>668</v>
      </c>
      <c r="B483" s="1" t="s">
        <v>902</v>
      </c>
      <c r="C483" s="1" t="s">
        <v>903</v>
      </c>
      <c r="D483" s="1" t="s">
        <v>94</v>
      </c>
      <c r="E483" s="1" t="s">
        <v>769</v>
      </c>
      <c r="F483" s="10">
        <v>46190</v>
      </c>
      <c r="G483" s="10">
        <v>46198</v>
      </c>
      <c r="H483" s="11">
        <v>1</v>
      </c>
      <c r="I483" s="10">
        <v>46198</v>
      </c>
      <c r="J483" s="1" t="s">
        <v>770</v>
      </c>
      <c r="K483" s="1">
        <v>669</v>
      </c>
      <c r="L483" s="1" t="s">
        <v>59</v>
      </c>
      <c r="M483" s="1" t="s">
        <v>264</v>
      </c>
      <c r="N483" s="2">
        <v>46196</v>
      </c>
      <c r="P483" s="1" t="s">
        <v>645</v>
      </c>
      <c r="Q483" s="1" t="s">
        <v>133</v>
      </c>
      <c r="R483" s="1" t="s">
        <v>55</v>
      </c>
      <c r="S483" s="2">
        <v>46188</v>
      </c>
      <c r="T483" s="2">
        <v>46196</v>
      </c>
      <c r="V483" s="1">
        <v>1</v>
      </c>
      <c r="W483" s="1">
        <v>1</v>
      </c>
      <c r="X483" s="1">
        <v>1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1</v>
      </c>
    </row>
    <row r="484" spans="1:33" x14ac:dyDescent="0.25">
      <c r="A484" s="1">
        <v>669</v>
      </c>
      <c r="B484" s="1" t="s">
        <v>904</v>
      </c>
      <c r="C484" s="1" t="s">
        <v>903</v>
      </c>
      <c r="D484" s="1" t="s">
        <v>98</v>
      </c>
      <c r="E484" s="1" t="s">
        <v>103</v>
      </c>
      <c r="F484" s="10">
        <v>46199</v>
      </c>
      <c r="G484" s="10">
        <v>46206</v>
      </c>
      <c r="H484" s="11">
        <v>1</v>
      </c>
      <c r="I484" s="10">
        <v>46206</v>
      </c>
      <c r="J484" s="1">
        <v>668</v>
      </c>
      <c r="K484" s="1">
        <v>670</v>
      </c>
      <c r="L484" s="1" t="s">
        <v>59</v>
      </c>
      <c r="M484" s="1" t="s">
        <v>754</v>
      </c>
      <c r="N484" s="2">
        <v>46197</v>
      </c>
      <c r="P484" s="1" t="s">
        <v>645</v>
      </c>
      <c r="Q484" s="1" t="s">
        <v>178</v>
      </c>
      <c r="R484" s="1" t="s">
        <v>55</v>
      </c>
      <c r="S484" s="2">
        <v>46197</v>
      </c>
      <c r="T484" s="2">
        <v>46197</v>
      </c>
      <c r="V484" s="1">
        <v>1</v>
      </c>
      <c r="W484" s="1">
        <v>0</v>
      </c>
      <c r="X484" s="1">
        <v>0</v>
      </c>
      <c r="Y484" s="1">
        <v>0</v>
      </c>
      <c r="Z484" s="1">
        <v>0</v>
      </c>
      <c r="AA484" s="1">
        <v>1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</row>
    <row r="485" spans="1:33" x14ac:dyDescent="0.25">
      <c r="A485" s="1">
        <v>670</v>
      </c>
      <c r="B485" s="1" t="s">
        <v>905</v>
      </c>
      <c r="C485" s="1" t="s">
        <v>903</v>
      </c>
      <c r="D485" s="1" t="s">
        <v>102</v>
      </c>
      <c r="E485" s="1" t="s">
        <v>53</v>
      </c>
      <c r="F485" s="10">
        <v>46209</v>
      </c>
      <c r="G485" s="10">
        <v>46209</v>
      </c>
      <c r="H485" s="11">
        <v>0</v>
      </c>
      <c r="J485" s="1">
        <v>669</v>
      </c>
      <c r="K485" s="1">
        <v>671</v>
      </c>
      <c r="L485" s="1" t="s">
        <v>35</v>
      </c>
      <c r="M485" s="1" t="s">
        <v>502</v>
      </c>
      <c r="N485" s="2">
        <v>46198</v>
      </c>
      <c r="P485" s="1" t="s">
        <v>645</v>
      </c>
      <c r="Q485" s="1" t="s">
        <v>178</v>
      </c>
      <c r="R485" s="1" t="s">
        <v>55</v>
      </c>
      <c r="S485" s="2">
        <v>46198</v>
      </c>
      <c r="T485" s="2">
        <v>46198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1</v>
      </c>
      <c r="AE485" s="1">
        <v>0</v>
      </c>
      <c r="AF485" s="1">
        <v>0</v>
      </c>
      <c r="AG485" s="1">
        <v>0</v>
      </c>
    </row>
    <row r="486" spans="1:33" x14ac:dyDescent="0.25">
      <c r="A486" s="1">
        <v>671</v>
      </c>
      <c r="B486" s="1" t="s">
        <v>906</v>
      </c>
      <c r="C486" s="1" t="s">
        <v>903</v>
      </c>
      <c r="D486" s="1" t="s">
        <v>108</v>
      </c>
      <c r="E486" s="1" t="s">
        <v>53</v>
      </c>
      <c r="F486" s="10">
        <v>46210</v>
      </c>
      <c r="G486" s="10">
        <v>46210</v>
      </c>
      <c r="H486" s="11">
        <v>0</v>
      </c>
      <c r="J486" s="1">
        <v>670</v>
      </c>
      <c r="L486" s="1" t="s">
        <v>180</v>
      </c>
      <c r="M486" s="1" t="s">
        <v>394</v>
      </c>
      <c r="N486" s="2">
        <v>46199</v>
      </c>
      <c r="P486" s="1" t="s">
        <v>645</v>
      </c>
      <c r="Q486" s="1" t="s">
        <v>178</v>
      </c>
      <c r="R486" s="1" t="s">
        <v>55</v>
      </c>
      <c r="S486" s="2">
        <v>46199</v>
      </c>
      <c r="T486" s="2">
        <v>46199</v>
      </c>
      <c r="V486" s="1">
        <v>0</v>
      </c>
      <c r="W486" s="1">
        <v>0</v>
      </c>
      <c r="X486" s="1">
        <v>0</v>
      </c>
      <c r="Y486" s="1">
        <v>0</v>
      </c>
      <c r="Z486" s="1">
        <v>1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</row>
    <row r="487" spans="1:33" x14ac:dyDescent="0.25">
      <c r="A487" s="1">
        <v>672</v>
      </c>
      <c r="B487" s="1" t="s">
        <v>907</v>
      </c>
      <c r="C487" s="1" t="s">
        <v>647</v>
      </c>
      <c r="D487" s="1" t="s">
        <v>908</v>
      </c>
      <c r="E487" s="1" t="s">
        <v>758</v>
      </c>
      <c r="F487" s="10">
        <v>46190</v>
      </c>
      <c r="G487" s="10">
        <v>46210</v>
      </c>
      <c r="H487" s="11">
        <v>0.87</v>
      </c>
      <c r="L487" s="1" t="s">
        <v>35</v>
      </c>
      <c r="M487" s="1" t="s">
        <v>323</v>
      </c>
      <c r="N487" s="2">
        <v>46210</v>
      </c>
      <c r="P487" s="1" t="s">
        <v>645</v>
      </c>
      <c r="Q487" s="1" t="s">
        <v>133</v>
      </c>
      <c r="R487" s="1" t="s">
        <v>55</v>
      </c>
      <c r="S487" s="2">
        <v>46191</v>
      </c>
      <c r="T487" s="2">
        <v>46210</v>
      </c>
      <c r="U487" s="1" t="s">
        <v>288</v>
      </c>
      <c r="V487" s="1">
        <v>0.87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</row>
    <row r="488" spans="1:33" x14ac:dyDescent="0.25">
      <c r="A488" s="1">
        <v>673</v>
      </c>
      <c r="B488" s="1" t="s">
        <v>909</v>
      </c>
      <c r="C488" s="1" t="s">
        <v>910</v>
      </c>
      <c r="D488" s="1" t="s">
        <v>94</v>
      </c>
      <c r="E488" s="1" t="s">
        <v>769</v>
      </c>
      <c r="F488" s="10">
        <v>46190</v>
      </c>
      <c r="G488" s="10">
        <v>46198</v>
      </c>
      <c r="H488" s="11">
        <v>1</v>
      </c>
      <c r="I488" s="10">
        <v>46198</v>
      </c>
      <c r="J488" s="1" t="s">
        <v>770</v>
      </c>
      <c r="K488" s="1">
        <v>674</v>
      </c>
      <c r="L488" s="1" t="s">
        <v>59</v>
      </c>
      <c r="M488" s="1" t="s">
        <v>264</v>
      </c>
      <c r="N488" s="2">
        <v>46196</v>
      </c>
      <c r="P488" s="1" t="s">
        <v>645</v>
      </c>
      <c r="Q488" s="1" t="s">
        <v>133</v>
      </c>
      <c r="R488" s="1" t="s">
        <v>55</v>
      </c>
      <c r="S488" s="2">
        <v>46188</v>
      </c>
      <c r="T488" s="2">
        <v>46196</v>
      </c>
      <c r="V488" s="1">
        <v>1</v>
      </c>
      <c r="W488" s="1">
        <v>1</v>
      </c>
      <c r="X488" s="1">
        <v>1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1</v>
      </c>
    </row>
    <row r="489" spans="1:33" x14ac:dyDescent="0.25">
      <c r="A489" s="1">
        <v>674</v>
      </c>
      <c r="B489" s="1" t="s">
        <v>911</v>
      </c>
      <c r="C489" s="1" t="s">
        <v>910</v>
      </c>
      <c r="D489" s="1" t="s">
        <v>98</v>
      </c>
      <c r="E489" s="1" t="s">
        <v>103</v>
      </c>
      <c r="F489" s="10">
        <v>46199</v>
      </c>
      <c r="G489" s="10">
        <v>46206</v>
      </c>
      <c r="H489" s="11">
        <v>1</v>
      </c>
      <c r="I489" s="10">
        <v>46206</v>
      </c>
      <c r="J489" s="1">
        <v>673</v>
      </c>
      <c r="K489" s="1">
        <v>675</v>
      </c>
      <c r="L489" s="1" t="s">
        <v>59</v>
      </c>
      <c r="M489" s="1" t="s">
        <v>754</v>
      </c>
      <c r="N489" s="2">
        <v>46197</v>
      </c>
      <c r="P489" s="1" t="s">
        <v>645</v>
      </c>
      <c r="Q489" s="1" t="s">
        <v>178</v>
      </c>
      <c r="R489" s="1" t="s">
        <v>55</v>
      </c>
      <c r="S489" s="2">
        <v>46197</v>
      </c>
      <c r="T489" s="2">
        <v>46197</v>
      </c>
      <c r="V489" s="1">
        <v>1</v>
      </c>
      <c r="W489" s="1">
        <v>0</v>
      </c>
      <c r="X489" s="1">
        <v>0</v>
      </c>
      <c r="Y489" s="1">
        <v>0</v>
      </c>
      <c r="Z489" s="1">
        <v>0</v>
      </c>
      <c r="AA489" s="1">
        <v>1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</row>
    <row r="490" spans="1:33" x14ac:dyDescent="0.25">
      <c r="A490" s="1">
        <v>675</v>
      </c>
      <c r="B490" s="1" t="s">
        <v>912</v>
      </c>
      <c r="C490" s="1" t="s">
        <v>910</v>
      </c>
      <c r="D490" s="1" t="s">
        <v>102</v>
      </c>
      <c r="E490" s="1" t="s">
        <v>53</v>
      </c>
      <c r="F490" s="10">
        <v>46209</v>
      </c>
      <c r="G490" s="10">
        <v>46209</v>
      </c>
      <c r="H490" s="11">
        <v>0</v>
      </c>
      <c r="J490" s="1">
        <v>674</v>
      </c>
      <c r="K490" s="1">
        <v>676</v>
      </c>
      <c r="L490" s="1" t="s">
        <v>35</v>
      </c>
      <c r="M490" s="1" t="s">
        <v>502</v>
      </c>
      <c r="N490" s="2">
        <v>46198</v>
      </c>
      <c r="P490" s="1" t="s">
        <v>645</v>
      </c>
      <c r="Q490" s="1" t="s">
        <v>178</v>
      </c>
      <c r="R490" s="1" t="s">
        <v>55</v>
      </c>
      <c r="S490" s="2">
        <v>46198</v>
      </c>
      <c r="T490" s="2">
        <v>46198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1</v>
      </c>
      <c r="AE490" s="1">
        <v>0</v>
      </c>
      <c r="AF490" s="1">
        <v>0</v>
      </c>
      <c r="AG490" s="1">
        <v>0</v>
      </c>
    </row>
    <row r="491" spans="1:33" x14ac:dyDescent="0.25">
      <c r="A491" s="1">
        <v>676</v>
      </c>
      <c r="B491" s="1" t="s">
        <v>913</v>
      </c>
      <c r="C491" s="1" t="s">
        <v>910</v>
      </c>
      <c r="D491" s="1" t="s">
        <v>108</v>
      </c>
      <c r="E491" s="1" t="s">
        <v>53</v>
      </c>
      <c r="F491" s="10">
        <v>46210</v>
      </c>
      <c r="G491" s="10">
        <v>46210</v>
      </c>
      <c r="H491" s="11">
        <v>0</v>
      </c>
      <c r="J491" s="1">
        <v>675</v>
      </c>
      <c r="L491" s="1" t="s">
        <v>180</v>
      </c>
      <c r="M491" s="1" t="s">
        <v>394</v>
      </c>
      <c r="N491" s="2">
        <v>46199</v>
      </c>
      <c r="P491" s="1" t="s">
        <v>645</v>
      </c>
      <c r="Q491" s="1" t="s">
        <v>178</v>
      </c>
      <c r="R491" s="1" t="s">
        <v>55</v>
      </c>
      <c r="S491" s="2">
        <v>46199</v>
      </c>
      <c r="T491" s="2">
        <v>46199</v>
      </c>
      <c r="V491" s="1">
        <v>0</v>
      </c>
      <c r="W491" s="1">
        <v>0</v>
      </c>
      <c r="X491" s="1">
        <v>0</v>
      </c>
      <c r="Y491" s="1">
        <v>0</v>
      </c>
      <c r="Z491" s="1">
        <v>1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</row>
    <row r="492" spans="1:33" x14ac:dyDescent="0.25">
      <c r="A492" s="1">
        <v>677</v>
      </c>
      <c r="B492" s="1" t="s">
        <v>914</v>
      </c>
      <c r="C492" s="1" t="s">
        <v>647</v>
      </c>
      <c r="D492" s="1" t="s">
        <v>915</v>
      </c>
      <c r="E492" s="1" t="s">
        <v>758</v>
      </c>
      <c r="F492" s="10">
        <v>46190</v>
      </c>
      <c r="G492" s="10">
        <v>46210</v>
      </c>
      <c r="H492" s="11">
        <v>0.87</v>
      </c>
      <c r="L492" s="1" t="s">
        <v>35</v>
      </c>
      <c r="M492" s="1" t="s">
        <v>323</v>
      </c>
      <c r="N492" s="2">
        <v>46210</v>
      </c>
      <c r="P492" s="1" t="s">
        <v>645</v>
      </c>
      <c r="Q492" s="1" t="s">
        <v>133</v>
      </c>
      <c r="R492" s="1" t="s">
        <v>55</v>
      </c>
      <c r="S492" s="2">
        <v>46191</v>
      </c>
      <c r="T492" s="2">
        <v>46210</v>
      </c>
      <c r="U492" s="1" t="s">
        <v>288</v>
      </c>
      <c r="V492" s="1">
        <v>0.87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</row>
    <row r="493" spans="1:33" x14ac:dyDescent="0.25">
      <c r="A493" s="1">
        <v>678</v>
      </c>
      <c r="B493" s="1" t="s">
        <v>916</v>
      </c>
      <c r="C493" s="1" t="s">
        <v>917</v>
      </c>
      <c r="D493" s="1" t="s">
        <v>94</v>
      </c>
      <c r="E493" s="1" t="s">
        <v>769</v>
      </c>
      <c r="F493" s="10">
        <v>46190</v>
      </c>
      <c r="G493" s="10">
        <v>46198</v>
      </c>
      <c r="H493" s="11">
        <v>1</v>
      </c>
      <c r="I493" s="10">
        <v>46198</v>
      </c>
      <c r="J493" s="1" t="s">
        <v>770</v>
      </c>
      <c r="K493" s="1">
        <v>679</v>
      </c>
      <c r="L493" s="1" t="s">
        <v>59</v>
      </c>
      <c r="M493" s="1" t="s">
        <v>918</v>
      </c>
      <c r="N493" s="2">
        <v>46202</v>
      </c>
      <c r="P493" s="1" t="s">
        <v>645</v>
      </c>
      <c r="Q493" s="1" t="s">
        <v>133</v>
      </c>
      <c r="R493" s="1" t="s">
        <v>55</v>
      </c>
      <c r="S493" s="2">
        <v>46192</v>
      </c>
      <c r="T493" s="2">
        <v>46202</v>
      </c>
      <c r="V493" s="1">
        <v>1</v>
      </c>
      <c r="W493" s="1">
        <v>1</v>
      </c>
      <c r="X493" s="1">
        <v>1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1</v>
      </c>
    </row>
    <row r="494" spans="1:33" x14ac:dyDescent="0.25">
      <c r="A494" s="1">
        <v>679</v>
      </c>
      <c r="B494" s="1" t="s">
        <v>919</v>
      </c>
      <c r="C494" s="1" t="s">
        <v>917</v>
      </c>
      <c r="D494" s="1" t="s">
        <v>98</v>
      </c>
      <c r="E494" s="1" t="s">
        <v>103</v>
      </c>
      <c r="F494" s="10">
        <v>46199</v>
      </c>
      <c r="G494" s="10">
        <v>46206</v>
      </c>
      <c r="H494" s="11">
        <v>1</v>
      </c>
      <c r="I494" s="10">
        <v>46206</v>
      </c>
      <c r="J494" s="1">
        <v>678</v>
      </c>
      <c r="K494" s="1">
        <v>680</v>
      </c>
      <c r="L494" s="1" t="s">
        <v>59</v>
      </c>
      <c r="M494" s="1" t="s">
        <v>754</v>
      </c>
      <c r="N494" s="2">
        <v>46203</v>
      </c>
      <c r="P494" s="1" t="s">
        <v>645</v>
      </c>
      <c r="Q494" s="1" t="s">
        <v>178</v>
      </c>
      <c r="R494" s="1" t="s">
        <v>55</v>
      </c>
      <c r="S494" s="2">
        <v>46197</v>
      </c>
      <c r="T494" s="2">
        <v>46203</v>
      </c>
      <c r="V494" s="1">
        <v>1</v>
      </c>
      <c r="W494" s="1">
        <v>0</v>
      </c>
      <c r="X494" s="1">
        <v>0</v>
      </c>
      <c r="Y494" s="1">
        <v>0</v>
      </c>
      <c r="Z494" s="1">
        <v>0</v>
      </c>
      <c r="AA494" s="1">
        <v>1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</row>
    <row r="495" spans="1:33" x14ac:dyDescent="0.25">
      <c r="A495" s="1">
        <v>680</v>
      </c>
      <c r="B495" s="1" t="s">
        <v>920</v>
      </c>
      <c r="C495" s="1" t="s">
        <v>917</v>
      </c>
      <c r="D495" s="1" t="s">
        <v>102</v>
      </c>
      <c r="E495" s="1" t="s">
        <v>53</v>
      </c>
      <c r="F495" s="10">
        <v>46209</v>
      </c>
      <c r="G495" s="10">
        <v>46209</v>
      </c>
      <c r="H495" s="11">
        <v>0</v>
      </c>
      <c r="J495" s="1">
        <v>679</v>
      </c>
      <c r="K495" s="1">
        <v>681</v>
      </c>
      <c r="L495" s="1" t="s">
        <v>35</v>
      </c>
      <c r="M495" s="1" t="s">
        <v>505</v>
      </c>
      <c r="N495" s="2">
        <v>46204</v>
      </c>
      <c r="P495" s="1" t="s">
        <v>645</v>
      </c>
      <c r="Q495" s="1" t="s">
        <v>178</v>
      </c>
      <c r="R495" s="1" t="s">
        <v>55</v>
      </c>
      <c r="S495" s="2">
        <v>46203</v>
      </c>
      <c r="T495" s="2">
        <v>46204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1</v>
      </c>
      <c r="AE495" s="1">
        <v>0</v>
      </c>
      <c r="AF495" s="1">
        <v>0</v>
      </c>
      <c r="AG495" s="1">
        <v>0</v>
      </c>
    </row>
    <row r="496" spans="1:33" x14ac:dyDescent="0.25">
      <c r="A496" s="1">
        <v>681</v>
      </c>
      <c r="B496" s="1" t="s">
        <v>921</v>
      </c>
      <c r="C496" s="1" t="s">
        <v>917</v>
      </c>
      <c r="D496" s="1" t="s">
        <v>108</v>
      </c>
      <c r="E496" s="1" t="s">
        <v>53</v>
      </c>
      <c r="F496" s="10">
        <v>46210</v>
      </c>
      <c r="G496" s="10">
        <v>46210</v>
      </c>
      <c r="H496" s="11">
        <v>0</v>
      </c>
      <c r="J496" s="1">
        <v>680</v>
      </c>
      <c r="L496" s="1" t="s">
        <v>180</v>
      </c>
      <c r="M496" s="1" t="s">
        <v>398</v>
      </c>
      <c r="N496" s="2">
        <v>46205</v>
      </c>
      <c r="P496" s="1" t="s">
        <v>645</v>
      </c>
      <c r="Q496" s="1" t="s">
        <v>178</v>
      </c>
      <c r="R496" s="1" t="s">
        <v>55</v>
      </c>
      <c r="S496" s="2">
        <v>46204</v>
      </c>
      <c r="T496" s="2">
        <v>46205</v>
      </c>
      <c r="V496" s="1">
        <v>0</v>
      </c>
      <c r="W496" s="1">
        <v>0</v>
      </c>
      <c r="X496" s="1">
        <v>0</v>
      </c>
      <c r="Y496" s="1">
        <v>0</v>
      </c>
      <c r="Z496" s="1">
        <v>1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</row>
    <row r="497" spans="1:33" x14ac:dyDescent="0.25">
      <c r="A497" s="1">
        <v>682</v>
      </c>
      <c r="B497" s="1" t="s">
        <v>922</v>
      </c>
      <c r="C497" s="1" t="s">
        <v>647</v>
      </c>
      <c r="D497" s="1" t="s">
        <v>923</v>
      </c>
      <c r="E497" s="1" t="s">
        <v>758</v>
      </c>
      <c r="F497" s="10">
        <v>46190</v>
      </c>
      <c r="G497" s="10">
        <v>46210</v>
      </c>
      <c r="H497" s="11">
        <v>0.87</v>
      </c>
      <c r="L497" s="1" t="s">
        <v>35</v>
      </c>
      <c r="M497" s="1" t="s">
        <v>323</v>
      </c>
      <c r="N497" s="2">
        <v>46210</v>
      </c>
      <c r="P497" s="1" t="s">
        <v>645</v>
      </c>
      <c r="Q497" s="1" t="s">
        <v>133</v>
      </c>
      <c r="R497" s="1" t="s">
        <v>55</v>
      </c>
      <c r="S497" s="2">
        <v>46191</v>
      </c>
      <c r="T497" s="2">
        <v>46210</v>
      </c>
      <c r="U497" s="1" t="s">
        <v>288</v>
      </c>
      <c r="V497" s="1">
        <v>0.87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</row>
    <row r="498" spans="1:33" x14ac:dyDescent="0.25">
      <c r="A498" s="1">
        <v>683</v>
      </c>
      <c r="B498" s="1" t="s">
        <v>924</v>
      </c>
      <c r="C498" s="1" t="s">
        <v>925</v>
      </c>
      <c r="D498" s="1" t="s">
        <v>94</v>
      </c>
      <c r="E498" s="1" t="s">
        <v>769</v>
      </c>
      <c r="F498" s="10">
        <v>46190</v>
      </c>
      <c r="G498" s="10">
        <v>46198</v>
      </c>
      <c r="H498" s="11">
        <v>1</v>
      </c>
      <c r="I498" s="10">
        <v>46198</v>
      </c>
      <c r="J498" s="1" t="s">
        <v>770</v>
      </c>
      <c r="K498" s="1">
        <v>684</v>
      </c>
      <c r="L498" s="1" t="s">
        <v>59</v>
      </c>
      <c r="M498" s="1" t="s">
        <v>918</v>
      </c>
      <c r="N498" s="2">
        <v>46202</v>
      </c>
      <c r="P498" s="1" t="s">
        <v>645</v>
      </c>
      <c r="Q498" s="1" t="s">
        <v>133</v>
      </c>
      <c r="R498" s="1" t="s">
        <v>55</v>
      </c>
      <c r="S498" s="2">
        <v>46192</v>
      </c>
      <c r="T498" s="2">
        <v>46202</v>
      </c>
      <c r="V498" s="1">
        <v>1</v>
      </c>
      <c r="W498" s="1">
        <v>1</v>
      </c>
      <c r="X498" s="1">
        <v>1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1</v>
      </c>
    </row>
    <row r="499" spans="1:33" x14ac:dyDescent="0.25">
      <c r="A499" s="1">
        <v>684</v>
      </c>
      <c r="B499" s="1" t="s">
        <v>926</v>
      </c>
      <c r="C499" s="1" t="s">
        <v>925</v>
      </c>
      <c r="D499" s="1" t="s">
        <v>98</v>
      </c>
      <c r="E499" s="1" t="s">
        <v>103</v>
      </c>
      <c r="F499" s="10">
        <v>46199</v>
      </c>
      <c r="G499" s="10">
        <v>46206</v>
      </c>
      <c r="H499" s="11">
        <v>1</v>
      </c>
      <c r="I499" s="10">
        <v>46206</v>
      </c>
      <c r="J499" s="1">
        <v>683</v>
      </c>
      <c r="K499" s="1">
        <v>685</v>
      </c>
      <c r="L499" s="1" t="s">
        <v>59</v>
      </c>
      <c r="M499" s="1" t="s">
        <v>754</v>
      </c>
      <c r="N499" s="2">
        <v>46203</v>
      </c>
      <c r="P499" s="1" t="s">
        <v>645</v>
      </c>
      <c r="Q499" s="1" t="s">
        <v>178</v>
      </c>
      <c r="R499" s="1" t="s">
        <v>55</v>
      </c>
      <c r="S499" s="2">
        <v>46197</v>
      </c>
      <c r="T499" s="2">
        <v>46203</v>
      </c>
      <c r="V499" s="1">
        <v>1</v>
      </c>
      <c r="W499" s="1">
        <v>0</v>
      </c>
      <c r="X499" s="1">
        <v>0</v>
      </c>
      <c r="Y499" s="1">
        <v>0</v>
      </c>
      <c r="Z499" s="1">
        <v>0</v>
      </c>
      <c r="AA499" s="1">
        <v>1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</row>
    <row r="500" spans="1:33" x14ac:dyDescent="0.25">
      <c r="A500" s="1">
        <v>685</v>
      </c>
      <c r="B500" s="1" t="s">
        <v>927</v>
      </c>
      <c r="C500" s="1" t="s">
        <v>925</v>
      </c>
      <c r="D500" s="1" t="s">
        <v>102</v>
      </c>
      <c r="E500" s="1" t="s">
        <v>53</v>
      </c>
      <c r="F500" s="10">
        <v>46209</v>
      </c>
      <c r="G500" s="10">
        <v>46209</v>
      </c>
      <c r="H500" s="11">
        <v>0</v>
      </c>
      <c r="J500" s="1">
        <v>684</v>
      </c>
      <c r="K500" s="1">
        <v>686</v>
      </c>
      <c r="L500" s="1" t="s">
        <v>35</v>
      </c>
      <c r="M500" s="1" t="s">
        <v>505</v>
      </c>
      <c r="N500" s="2">
        <v>46204</v>
      </c>
      <c r="P500" s="1" t="s">
        <v>645</v>
      </c>
      <c r="Q500" s="1" t="s">
        <v>178</v>
      </c>
      <c r="R500" s="1" t="s">
        <v>55</v>
      </c>
      <c r="S500" s="2">
        <v>46203</v>
      </c>
      <c r="T500" s="2">
        <v>46204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1</v>
      </c>
      <c r="AE500" s="1">
        <v>0</v>
      </c>
      <c r="AF500" s="1">
        <v>0</v>
      </c>
      <c r="AG500" s="1">
        <v>0</v>
      </c>
    </row>
    <row r="501" spans="1:33" x14ac:dyDescent="0.25">
      <c r="A501" s="1">
        <v>686</v>
      </c>
      <c r="B501" s="1" t="s">
        <v>928</v>
      </c>
      <c r="C501" s="1" t="s">
        <v>925</v>
      </c>
      <c r="D501" s="1" t="s">
        <v>108</v>
      </c>
      <c r="E501" s="1" t="s">
        <v>53</v>
      </c>
      <c r="F501" s="10">
        <v>46210</v>
      </c>
      <c r="G501" s="10">
        <v>46210</v>
      </c>
      <c r="H501" s="11">
        <v>0</v>
      </c>
      <c r="J501" s="1">
        <v>685</v>
      </c>
      <c r="L501" s="1" t="s">
        <v>180</v>
      </c>
      <c r="M501" s="1" t="s">
        <v>398</v>
      </c>
      <c r="N501" s="2">
        <v>46205</v>
      </c>
      <c r="P501" s="1" t="s">
        <v>645</v>
      </c>
      <c r="Q501" s="1" t="s">
        <v>178</v>
      </c>
      <c r="R501" s="1" t="s">
        <v>55</v>
      </c>
      <c r="S501" s="2">
        <v>46204</v>
      </c>
      <c r="T501" s="2">
        <v>46205</v>
      </c>
      <c r="V501" s="1">
        <v>0</v>
      </c>
      <c r="W501" s="1">
        <v>0</v>
      </c>
      <c r="X501" s="1">
        <v>0</v>
      </c>
      <c r="Y501" s="1">
        <v>0</v>
      </c>
      <c r="Z501" s="1">
        <v>1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</row>
    <row r="502" spans="1:33" x14ac:dyDescent="0.25">
      <c r="A502" s="1">
        <v>687</v>
      </c>
      <c r="B502" s="1" t="s">
        <v>929</v>
      </c>
      <c r="C502" s="1" t="s">
        <v>647</v>
      </c>
      <c r="D502" s="1" t="s">
        <v>930</v>
      </c>
      <c r="E502" s="1" t="s">
        <v>758</v>
      </c>
      <c r="F502" s="10">
        <v>46190</v>
      </c>
      <c r="G502" s="10">
        <v>46210</v>
      </c>
      <c r="H502" s="11">
        <v>0.8</v>
      </c>
      <c r="L502" s="1" t="s">
        <v>35</v>
      </c>
      <c r="M502" s="1" t="s">
        <v>323</v>
      </c>
      <c r="N502" s="2">
        <v>46210</v>
      </c>
      <c r="P502" s="1" t="s">
        <v>645</v>
      </c>
      <c r="Q502" s="1" t="s">
        <v>133</v>
      </c>
      <c r="R502" s="1" t="s">
        <v>55</v>
      </c>
      <c r="S502" s="2">
        <v>46191</v>
      </c>
      <c r="T502" s="2">
        <v>46210</v>
      </c>
      <c r="U502" s="1" t="s">
        <v>288</v>
      </c>
      <c r="V502" s="1">
        <v>0.8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</row>
    <row r="503" spans="1:33" x14ac:dyDescent="0.25">
      <c r="A503" s="1">
        <v>688</v>
      </c>
      <c r="B503" s="1" t="s">
        <v>931</v>
      </c>
      <c r="C503" s="1" t="s">
        <v>932</v>
      </c>
      <c r="D503" s="1" t="s">
        <v>94</v>
      </c>
      <c r="E503" s="1" t="s">
        <v>769</v>
      </c>
      <c r="F503" s="10">
        <v>46190</v>
      </c>
      <c r="G503" s="10">
        <v>46198</v>
      </c>
      <c r="H503" s="11">
        <v>1</v>
      </c>
      <c r="I503" s="10">
        <v>46198</v>
      </c>
      <c r="J503" s="1" t="s">
        <v>770</v>
      </c>
      <c r="K503" s="1">
        <v>689</v>
      </c>
      <c r="L503" s="1" t="s">
        <v>59</v>
      </c>
      <c r="M503" s="1" t="s">
        <v>918</v>
      </c>
      <c r="N503" s="2">
        <v>46202</v>
      </c>
      <c r="P503" s="1" t="s">
        <v>645</v>
      </c>
      <c r="Q503" s="1" t="s">
        <v>133</v>
      </c>
      <c r="R503" s="1" t="s">
        <v>55</v>
      </c>
      <c r="S503" s="2">
        <v>46192</v>
      </c>
      <c r="T503" s="2">
        <v>46202</v>
      </c>
      <c r="V503" s="1">
        <v>1</v>
      </c>
      <c r="W503" s="1">
        <v>1</v>
      </c>
      <c r="X503" s="1">
        <v>1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1</v>
      </c>
    </row>
    <row r="504" spans="1:33" x14ac:dyDescent="0.25">
      <c r="A504" s="1">
        <v>689</v>
      </c>
      <c r="B504" s="1" t="s">
        <v>933</v>
      </c>
      <c r="C504" s="1" t="s">
        <v>932</v>
      </c>
      <c r="D504" s="1" t="s">
        <v>98</v>
      </c>
      <c r="E504" s="1" t="s">
        <v>53</v>
      </c>
      <c r="F504" s="10">
        <v>46199</v>
      </c>
      <c r="G504" s="10">
        <v>46199</v>
      </c>
      <c r="H504" s="11">
        <v>1</v>
      </c>
      <c r="I504" s="10">
        <v>46199</v>
      </c>
      <c r="J504" s="1">
        <v>688</v>
      </c>
      <c r="K504" s="1">
        <v>690</v>
      </c>
      <c r="L504" s="1" t="s">
        <v>59</v>
      </c>
      <c r="M504" s="1" t="s">
        <v>754</v>
      </c>
      <c r="N504" s="2">
        <v>46203</v>
      </c>
      <c r="P504" s="1" t="s">
        <v>645</v>
      </c>
      <c r="Q504" s="1" t="s">
        <v>178</v>
      </c>
      <c r="R504" s="1" t="s">
        <v>55</v>
      </c>
      <c r="S504" s="2">
        <v>46197</v>
      </c>
      <c r="T504" s="2">
        <v>46203</v>
      </c>
      <c r="V504" s="1">
        <v>1</v>
      </c>
      <c r="W504" s="1">
        <v>0</v>
      </c>
      <c r="X504" s="1">
        <v>0</v>
      </c>
      <c r="Y504" s="1">
        <v>0</v>
      </c>
      <c r="Z504" s="1">
        <v>0</v>
      </c>
      <c r="AA504" s="1">
        <v>1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</row>
    <row r="505" spans="1:33" x14ac:dyDescent="0.25">
      <c r="A505" s="1">
        <v>690</v>
      </c>
      <c r="B505" s="1" t="s">
        <v>934</v>
      </c>
      <c r="C505" s="1" t="s">
        <v>932</v>
      </c>
      <c r="D505" s="1" t="s">
        <v>102</v>
      </c>
      <c r="E505" s="1" t="s">
        <v>53</v>
      </c>
      <c r="F505" s="10">
        <v>46209</v>
      </c>
      <c r="G505" s="10">
        <v>46209</v>
      </c>
      <c r="H505" s="11">
        <v>0</v>
      </c>
      <c r="J505" s="1">
        <v>689</v>
      </c>
      <c r="K505" s="1">
        <v>691</v>
      </c>
      <c r="L505" s="1" t="s">
        <v>35</v>
      </c>
      <c r="M505" s="1" t="s">
        <v>505</v>
      </c>
      <c r="N505" s="2">
        <v>46204</v>
      </c>
      <c r="P505" s="1" t="s">
        <v>645</v>
      </c>
      <c r="Q505" s="1" t="s">
        <v>178</v>
      </c>
      <c r="R505" s="1" t="s">
        <v>55</v>
      </c>
      <c r="S505" s="2">
        <v>46203</v>
      </c>
      <c r="T505" s="2">
        <v>46204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1</v>
      </c>
      <c r="AE505" s="1">
        <v>0</v>
      </c>
      <c r="AF505" s="1">
        <v>0</v>
      </c>
      <c r="AG505" s="1">
        <v>0</v>
      </c>
    </row>
    <row r="506" spans="1:33" x14ac:dyDescent="0.25">
      <c r="A506" s="1">
        <v>691</v>
      </c>
      <c r="B506" s="1" t="s">
        <v>935</v>
      </c>
      <c r="C506" s="1" t="s">
        <v>932</v>
      </c>
      <c r="D506" s="1" t="s">
        <v>108</v>
      </c>
      <c r="E506" s="1" t="s">
        <v>53</v>
      </c>
      <c r="F506" s="10">
        <v>46210</v>
      </c>
      <c r="G506" s="10">
        <v>46210</v>
      </c>
      <c r="H506" s="11">
        <v>0</v>
      </c>
      <c r="J506" s="1">
        <v>690</v>
      </c>
      <c r="L506" s="1" t="s">
        <v>180</v>
      </c>
      <c r="M506" s="1" t="s">
        <v>398</v>
      </c>
      <c r="N506" s="2">
        <v>46205</v>
      </c>
      <c r="P506" s="1" t="s">
        <v>645</v>
      </c>
      <c r="Q506" s="1" t="s">
        <v>178</v>
      </c>
      <c r="R506" s="1" t="s">
        <v>55</v>
      </c>
      <c r="S506" s="2">
        <v>46204</v>
      </c>
      <c r="T506" s="2">
        <v>46205</v>
      </c>
      <c r="V506" s="1">
        <v>0</v>
      </c>
      <c r="W506" s="1">
        <v>0</v>
      </c>
      <c r="X506" s="1">
        <v>0</v>
      </c>
      <c r="Y506" s="1">
        <v>0</v>
      </c>
      <c r="Z506" s="1">
        <v>1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</row>
    <row r="507" spans="1:33" x14ac:dyDescent="0.25">
      <c r="A507" s="1">
        <v>692</v>
      </c>
      <c r="B507" s="1" t="s">
        <v>936</v>
      </c>
      <c r="C507" s="1" t="s">
        <v>647</v>
      </c>
      <c r="D507" s="1" t="s">
        <v>937</v>
      </c>
      <c r="E507" s="1" t="s">
        <v>594</v>
      </c>
      <c r="F507" s="10">
        <v>46206</v>
      </c>
      <c r="G507" s="10">
        <v>46219</v>
      </c>
      <c r="H507" s="11">
        <v>0.25</v>
      </c>
      <c r="L507" s="1" t="s">
        <v>180</v>
      </c>
      <c r="M507" s="1" t="s">
        <v>394</v>
      </c>
      <c r="N507" s="2">
        <v>46209</v>
      </c>
      <c r="P507" s="1" t="s">
        <v>645</v>
      </c>
      <c r="Q507" s="1" t="s">
        <v>133</v>
      </c>
      <c r="R507" s="1" t="s">
        <v>55</v>
      </c>
      <c r="S507" s="2">
        <v>46199</v>
      </c>
      <c r="T507" s="2">
        <v>46209</v>
      </c>
      <c r="U507" s="1" t="s">
        <v>288</v>
      </c>
      <c r="V507" s="1">
        <v>0.25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</row>
    <row r="508" spans="1:33" x14ac:dyDescent="0.25">
      <c r="A508" s="1">
        <v>693</v>
      </c>
      <c r="B508" s="1" t="s">
        <v>938</v>
      </c>
      <c r="C508" s="1" t="s">
        <v>939</v>
      </c>
      <c r="D508" s="1" t="s">
        <v>94</v>
      </c>
      <c r="E508" s="1" t="s">
        <v>525</v>
      </c>
      <c r="F508" s="10">
        <v>46206</v>
      </c>
      <c r="G508" s="10">
        <v>46211</v>
      </c>
      <c r="H508" s="11">
        <v>0.5</v>
      </c>
      <c r="J508" s="1" t="s">
        <v>940</v>
      </c>
      <c r="K508" s="1" t="s">
        <v>941</v>
      </c>
      <c r="L508" s="1" t="s">
        <v>180</v>
      </c>
      <c r="M508" s="1" t="s">
        <v>394</v>
      </c>
      <c r="N508" s="2">
        <v>46203</v>
      </c>
      <c r="P508" s="1" t="s">
        <v>645</v>
      </c>
      <c r="Q508" s="1" t="s">
        <v>133</v>
      </c>
      <c r="R508" s="1" t="s">
        <v>55</v>
      </c>
      <c r="S508" s="2">
        <v>46199</v>
      </c>
      <c r="T508" s="2">
        <v>46203</v>
      </c>
      <c r="V508" s="1">
        <v>0.5</v>
      </c>
      <c r="W508" s="1">
        <v>1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</row>
    <row r="509" spans="1:33" x14ac:dyDescent="0.25">
      <c r="A509" s="1">
        <v>694</v>
      </c>
      <c r="B509" s="1" t="s">
        <v>942</v>
      </c>
      <c r="C509" s="1" t="s">
        <v>939</v>
      </c>
      <c r="D509" s="1" t="s">
        <v>98</v>
      </c>
      <c r="E509" s="1" t="s">
        <v>53</v>
      </c>
      <c r="F509" s="10">
        <v>46216</v>
      </c>
      <c r="G509" s="10">
        <v>46216</v>
      </c>
      <c r="H509" s="11">
        <v>0</v>
      </c>
      <c r="J509" s="1">
        <v>693</v>
      </c>
      <c r="K509" s="1">
        <v>695</v>
      </c>
      <c r="L509" s="1" t="s">
        <v>149</v>
      </c>
      <c r="M509" s="1" t="s">
        <v>398</v>
      </c>
      <c r="N509" s="2">
        <v>46204</v>
      </c>
      <c r="P509" s="1" t="s">
        <v>645</v>
      </c>
      <c r="Q509" s="1" t="s">
        <v>178</v>
      </c>
      <c r="R509" s="1" t="s">
        <v>55</v>
      </c>
      <c r="S509" s="2">
        <v>46204</v>
      </c>
      <c r="T509" s="2">
        <v>46204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</row>
    <row r="510" spans="1:33" x14ac:dyDescent="0.25">
      <c r="A510" s="1">
        <v>695</v>
      </c>
      <c r="B510" s="1" t="s">
        <v>943</v>
      </c>
      <c r="C510" s="1" t="s">
        <v>939</v>
      </c>
      <c r="D510" s="1" t="s">
        <v>102</v>
      </c>
      <c r="E510" s="1" t="s">
        <v>121</v>
      </c>
      <c r="F510" s="10">
        <v>46217</v>
      </c>
      <c r="G510" s="10">
        <v>46218</v>
      </c>
      <c r="H510" s="11">
        <v>0</v>
      </c>
      <c r="J510" s="1">
        <v>694</v>
      </c>
      <c r="K510" s="1">
        <v>696</v>
      </c>
      <c r="L510" s="1" t="s">
        <v>149</v>
      </c>
      <c r="M510" s="1" t="s">
        <v>292</v>
      </c>
      <c r="N510" s="2">
        <v>46206</v>
      </c>
      <c r="P510" s="1" t="s">
        <v>645</v>
      </c>
      <c r="Q510" s="1" t="s">
        <v>178</v>
      </c>
      <c r="R510" s="1" t="s">
        <v>55</v>
      </c>
      <c r="S510" s="2">
        <v>46205</v>
      </c>
      <c r="T510" s="2">
        <v>46206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</row>
    <row r="511" spans="1:33" x14ac:dyDescent="0.25">
      <c r="A511" s="1">
        <v>696</v>
      </c>
      <c r="B511" s="1" t="s">
        <v>944</v>
      </c>
      <c r="C511" s="1" t="s">
        <v>939</v>
      </c>
      <c r="D511" s="1" t="s">
        <v>108</v>
      </c>
      <c r="E511" s="1" t="s">
        <v>53</v>
      </c>
      <c r="F511" s="10">
        <v>46219</v>
      </c>
      <c r="G511" s="10">
        <v>46219</v>
      </c>
      <c r="H511" s="11">
        <v>0</v>
      </c>
      <c r="J511" s="1">
        <v>695</v>
      </c>
      <c r="L511" s="1" t="s">
        <v>149</v>
      </c>
      <c r="M511" s="1" t="s">
        <v>193</v>
      </c>
      <c r="N511" s="2">
        <v>46209</v>
      </c>
      <c r="P511" s="1" t="s">
        <v>645</v>
      </c>
      <c r="Q511" s="1" t="s">
        <v>146</v>
      </c>
      <c r="R511" s="1" t="s">
        <v>55</v>
      </c>
      <c r="S511" s="2">
        <v>46209</v>
      </c>
      <c r="T511" s="2">
        <v>46209</v>
      </c>
      <c r="V511" s="1">
        <v>0</v>
      </c>
      <c r="W511" s="1">
        <v>0</v>
      </c>
      <c r="X511" s="1">
        <v>0</v>
      </c>
      <c r="Y511" s="1">
        <v>0</v>
      </c>
      <c r="Z511" s="1">
        <v>1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</row>
    <row r="512" spans="1:33" x14ac:dyDescent="0.25">
      <c r="A512" s="1">
        <v>697</v>
      </c>
      <c r="B512" s="1" t="s">
        <v>945</v>
      </c>
      <c r="C512" s="1" t="s">
        <v>647</v>
      </c>
      <c r="D512" s="1" t="s">
        <v>946</v>
      </c>
      <c r="E512" s="1" t="s">
        <v>594</v>
      </c>
      <c r="F512" s="10">
        <v>46205</v>
      </c>
      <c r="G512" s="10">
        <v>46218</v>
      </c>
      <c r="H512" s="11">
        <v>0.5</v>
      </c>
      <c r="L512" s="1" t="s">
        <v>180</v>
      </c>
      <c r="M512" s="1" t="s">
        <v>394</v>
      </c>
      <c r="N512" s="2">
        <v>46209</v>
      </c>
      <c r="P512" s="1" t="s">
        <v>645</v>
      </c>
      <c r="Q512" s="1" t="s">
        <v>133</v>
      </c>
      <c r="R512" s="1" t="s">
        <v>55</v>
      </c>
      <c r="S512" s="2">
        <v>46199</v>
      </c>
      <c r="T512" s="2">
        <v>46209</v>
      </c>
      <c r="U512" s="1" t="s">
        <v>288</v>
      </c>
      <c r="V512" s="1">
        <v>0.5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</row>
    <row r="513" spans="1:33" x14ac:dyDescent="0.25">
      <c r="A513" s="1">
        <v>698</v>
      </c>
      <c r="B513" s="1" t="s">
        <v>947</v>
      </c>
      <c r="C513" s="1" t="s">
        <v>948</v>
      </c>
      <c r="D513" s="1" t="s">
        <v>94</v>
      </c>
      <c r="E513" s="1" t="s">
        <v>525</v>
      </c>
      <c r="F513" s="10">
        <v>46205</v>
      </c>
      <c r="G513" s="10">
        <v>46210</v>
      </c>
      <c r="H513" s="11">
        <v>1</v>
      </c>
      <c r="I513" s="10">
        <v>46210</v>
      </c>
      <c r="J513" s="1" t="s">
        <v>940</v>
      </c>
      <c r="K513" s="1" t="s">
        <v>949</v>
      </c>
      <c r="L513" s="1" t="s">
        <v>59</v>
      </c>
      <c r="M513" s="1" t="s">
        <v>394</v>
      </c>
      <c r="N513" s="2">
        <v>46203</v>
      </c>
      <c r="P513" s="1" t="s">
        <v>645</v>
      </c>
      <c r="Q513" s="1" t="s">
        <v>133</v>
      </c>
      <c r="R513" s="1" t="s">
        <v>55</v>
      </c>
      <c r="S513" s="2">
        <v>46199</v>
      </c>
      <c r="T513" s="2">
        <v>46203</v>
      </c>
      <c r="V513" s="1">
        <v>1</v>
      </c>
      <c r="W513" s="1">
        <v>1</v>
      </c>
      <c r="X513" s="1">
        <v>1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1</v>
      </c>
    </row>
    <row r="514" spans="1:33" x14ac:dyDescent="0.25">
      <c r="A514" s="1">
        <v>699</v>
      </c>
      <c r="B514" s="1" t="s">
        <v>950</v>
      </c>
      <c r="C514" s="1" t="s">
        <v>948</v>
      </c>
      <c r="D514" s="1" t="s">
        <v>98</v>
      </c>
      <c r="E514" s="1" t="s">
        <v>53</v>
      </c>
      <c r="F514" s="10">
        <v>46211</v>
      </c>
      <c r="G514" s="10">
        <v>46211</v>
      </c>
      <c r="H514" s="11">
        <v>0</v>
      </c>
      <c r="J514" s="1">
        <v>698</v>
      </c>
      <c r="K514" s="1">
        <v>700</v>
      </c>
      <c r="L514" s="1" t="s">
        <v>149</v>
      </c>
      <c r="M514" s="1" t="s">
        <v>398</v>
      </c>
      <c r="N514" s="2">
        <v>46204</v>
      </c>
      <c r="P514" s="1" t="s">
        <v>645</v>
      </c>
      <c r="Q514" s="1" t="s">
        <v>178</v>
      </c>
      <c r="R514" s="1" t="s">
        <v>55</v>
      </c>
      <c r="S514" s="2">
        <v>46204</v>
      </c>
      <c r="T514" s="2">
        <v>46204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</row>
    <row r="515" spans="1:33" x14ac:dyDescent="0.25">
      <c r="A515" s="1">
        <v>700</v>
      </c>
      <c r="B515" s="1" t="s">
        <v>951</v>
      </c>
      <c r="C515" s="1" t="s">
        <v>948</v>
      </c>
      <c r="D515" s="1" t="s">
        <v>102</v>
      </c>
      <c r="E515" s="1" t="s">
        <v>121</v>
      </c>
      <c r="F515" s="10">
        <v>46216</v>
      </c>
      <c r="G515" s="10">
        <v>46217</v>
      </c>
      <c r="H515" s="11">
        <v>0</v>
      </c>
      <c r="J515" s="1">
        <v>699</v>
      </c>
      <c r="K515" s="1">
        <v>701</v>
      </c>
      <c r="L515" s="1" t="s">
        <v>149</v>
      </c>
      <c r="M515" s="1" t="s">
        <v>292</v>
      </c>
      <c r="N515" s="2">
        <v>46206</v>
      </c>
      <c r="P515" s="1" t="s">
        <v>645</v>
      </c>
      <c r="Q515" s="1" t="s">
        <v>178</v>
      </c>
      <c r="R515" s="1" t="s">
        <v>55</v>
      </c>
      <c r="S515" s="2">
        <v>46205</v>
      </c>
      <c r="T515" s="2">
        <v>46206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</row>
    <row r="516" spans="1:33" x14ac:dyDescent="0.25">
      <c r="A516" s="1">
        <v>701</v>
      </c>
      <c r="B516" s="1" t="s">
        <v>952</v>
      </c>
      <c r="C516" s="1" t="s">
        <v>948</v>
      </c>
      <c r="D516" s="1" t="s">
        <v>108</v>
      </c>
      <c r="E516" s="1" t="s">
        <v>53</v>
      </c>
      <c r="F516" s="10">
        <v>46218</v>
      </c>
      <c r="G516" s="10">
        <v>46218</v>
      </c>
      <c r="H516" s="11">
        <v>0</v>
      </c>
      <c r="J516" s="1">
        <v>700</v>
      </c>
      <c r="L516" s="1" t="s">
        <v>149</v>
      </c>
      <c r="M516" s="1" t="s">
        <v>193</v>
      </c>
      <c r="N516" s="2">
        <v>46209</v>
      </c>
      <c r="P516" s="1" t="s">
        <v>645</v>
      </c>
      <c r="Q516" s="1" t="s">
        <v>146</v>
      </c>
      <c r="R516" s="1" t="s">
        <v>55</v>
      </c>
      <c r="S516" s="2">
        <v>46209</v>
      </c>
      <c r="T516" s="2">
        <v>46209</v>
      </c>
      <c r="V516" s="1">
        <v>0</v>
      </c>
      <c r="W516" s="1">
        <v>0</v>
      </c>
      <c r="X516" s="1">
        <v>0</v>
      </c>
      <c r="Y516" s="1">
        <v>0</v>
      </c>
      <c r="Z516" s="1">
        <v>1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</row>
    <row r="517" spans="1:33" x14ac:dyDescent="0.25">
      <c r="A517" s="1">
        <v>702</v>
      </c>
      <c r="B517" s="1" t="s">
        <v>953</v>
      </c>
      <c r="C517" s="1" t="s">
        <v>647</v>
      </c>
      <c r="D517" s="1" t="s">
        <v>954</v>
      </c>
      <c r="E517" s="1" t="s">
        <v>649</v>
      </c>
      <c r="F517" s="10">
        <v>46204</v>
      </c>
      <c r="G517" s="10">
        <v>46218</v>
      </c>
      <c r="H517" s="11">
        <v>0.56000000000000005</v>
      </c>
      <c r="L517" s="1" t="s">
        <v>180</v>
      </c>
      <c r="M517" s="1" t="s">
        <v>394</v>
      </c>
      <c r="N517" s="2">
        <v>46209</v>
      </c>
      <c r="P517" s="1" t="s">
        <v>645</v>
      </c>
      <c r="Q517" s="1" t="s">
        <v>133</v>
      </c>
      <c r="R517" s="1" t="s">
        <v>55</v>
      </c>
      <c r="S517" s="2">
        <v>46199</v>
      </c>
      <c r="T517" s="2">
        <v>46209</v>
      </c>
      <c r="V517" s="1">
        <v>0.56000000000000005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</row>
    <row r="518" spans="1:33" x14ac:dyDescent="0.25">
      <c r="A518" s="1">
        <v>703</v>
      </c>
      <c r="B518" s="1" t="s">
        <v>955</v>
      </c>
      <c r="C518" s="1" t="s">
        <v>956</v>
      </c>
      <c r="D518" s="1" t="s">
        <v>94</v>
      </c>
      <c r="E518" s="1" t="s">
        <v>597</v>
      </c>
      <c r="F518" s="10">
        <v>46204</v>
      </c>
      <c r="G518" s="10">
        <v>46210</v>
      </c>
      <c r="H518" s="11">
        <v>1</v>
      </c>
      <c r="I518" s="10">
        <v>46210</v>
      </c>
      <c r="J518" s="1" t="s">
        <v>940</v>
      </c>
      <c r="K518" s="1" t="s">
        <v>957</v>
      </c>
      <c r="L518" s="1" t="s">
        <v>59</v>
      </c>
      <c r="M518" s="1" t="s">
        <v>394</v>
      </c>
      <c r="N518" s="2">
        <v>46203</v>
      </c>
      <c r="P518" s="1" t="s">
        <v>645</v>
      </c>
      <c r="Q518" s="1" t="s">
        <v>133</v>
      </c>
      <c r="R518" s="1" t="s">
        <v>55</v>
      </c>
      <c r="S518" s="2">
        <v>46199</v>
      </c>
      <c r="T518" s="2">
        <v>46203</v>
      </c>
      <c r="V518" s="1">
        <v>1</v>
      </c>
      <c r="W518" s="1">
        <v>1</v>
      </c>
      <c r="X518" s="1">
        <v>1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1</v>
      </c>
    </row>
    <row r="519" spans="1:33" x14ac:dyDescent="0.25">
      <c r="A519" s="1">
        <v>704</v>
      </c>
      <c r="B519" s="1" t="s">
        <v>958</v>
      </c>
      <c r="C519" s="1" t="s">
        <v>956</v>
      </c>
      <c r="D519" s="1" t="s">
        <v>98</v>
      </c>
      <c r="E519" s="1" t="s">
        <v>53</v>
      </c>
      <c r="F519" s="10">
        <v>46211</v>
      </c>
      <c r="G519" s="10">
        <v>46211</v>
      </c>
      <c r="H519" s="11">
        <v>0</v>
      </c>
      <c r="J519" s="1">
        <v>703</v>
      </c>
      <c r="K519" s="1">
        <v>705</v>
      </c>
      <c r="L519" s="1" t="s">
        <v>149</v>
      </c>
      <c r="M519" s="1" t="s">
        <v>398</v>
      </c>
      <c r="N519" s="2">
        <v>46204</v>
      </c>
      <c r="P519" s="1" t="s">
        <v>645</v>
      </c>
      <c r="Q519" s="1" t="s">
        <v>178</v>
      </c>
      <c r="R519" s="1" t="s">
        <v>55</v>
      </c>
      <c r="S519" s="2">
        <v>46204</v>
      </c>
      <c r="T519" s="2">
        <v>46204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</row>
    <row r="520" spans="1:33" x14ac:dyDescent="0.25">
      <c r="A520" s="1">
        <v>705</v>
      </c>
      <c r="B520" s="1" t="s">
        <v>959</v>
      </c>
      <c r="C520" s="1" t="s">
        <v>956</v>
      </c>
      <c r="D520" s="1" t="s">
        <v>102</v>
      </c>
      <c r="E520" s="1" t="s">
        <v>121</v>
      </c>
      <c r="F520" s="10">
        <v>46216</v>
      </c>
      <c r="G520" s="10">
        <v>46217</v>
      </c>
      <c r="H520" s="11">
        <v>0</v>
      </c>
      <c r="J520" s="1">
        <v>704</v>
      </c>
      <c r="K520" s="1">
        <v>706</v>
      </c>
      <c r="L520" s="1" t="s">
        <v>149</v>
      </c>
      <c r="M520" s="1" t="s">
        <v>292</v>
      </c>
      <c r="N520" s="2">
        <v>46206</v>
      </c>
      <c r="P520" s="1" t="s">
        <v>645</v>
      </c>
      <c r="Q520" s="1" t="s">
        <v>178</v>
      </c>
      <c r="R520" s="1" t="s">
        <v>55</v>
      </c>
      <c r="S520" s="2">
        <v>46205</v>
      </c>
      <c r="T520" s="2">
        <v>46206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</row>
    <row r="521" spans="1:33" x14ac:dyDescent="0.25">
      <c r="A521" s="1">
        <v>706</v>
      </c>
      <c r="B521" s="1" t="s">
        <v>960</v>
      </c>
      <c r="C521" s="1" t="s">
        <v>956</v>
      </c>
      <c r="D521" s="1" t="s">
        <v>108</v>
      </c>
      <c r="E521" s="1" t="s">
        <v>53</v>
      </c>
      <c r="F521" s="10">
        <v>46218</v>
      </c>
      <c r="G521" s="10">
        <v>46218</v>
      </c>
      <c r="H521" s="11">
        <v>0</v>
      </c>
      <c r="J521" s="1">
        <v>705</v>
      </c>
      <c r="L521" s="1" t="s">
        <v>149</v>
      </c>
      <c r="M521" s="1" t="s">
        <v>193</v>
      </c>
      <c r="N521" s="2">
        <v>46209</v>
      </c>
      <c r="P521" s="1" t="s">
        <v>645</v>
      </c>
      <c r="Q521" s="1" t="s">
        <v>178</v>
      </c>
      <c r="R521" s="1" t="s">
        <v>55</v>
      </c>
      <c r="S521" s="2">
        <v>46209</v>
      </c>
      <c r="T521" s="2">
        <v>46209</v>
      </c>
      <c r="V521" s="1">
        <v>0</v>
      </c>
      <c r="W521" s="1">
        <v>0</v>
      </c>
      <c r="X521" s="1">
        <v>0</v>
      </c>
      <c r="Y521" s="1">
        <v>0</v>
      </c>
      <c r="Z521" s="1">
        <v>1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</row>
    <row r="522" spans="1:33" x14ac:dyDescent="0.25">
      <c r="A522" s="1">
        <v>707</v>
      </c>
      <c r="B522" s="1" t="s">
        <v>961</v>
      </c>
      <c r="C522" s="1" t="s">
        <v>73</v>
      </c>
      <c r="D522" s="1" t="s">
        <v>962</v>
      </c>
      <c r="E522" s="1" t="s">
        <v>963</v>
      </c>
      <c r="F522" s="10">
        <v>46202</v>
      </c>
      <c r="G522" s="10">
        <v>46227</v>
      </c>
      <c r="H522" s="11">
        <v>0.04</v>
      </c>
      <c r="L522" s="1" t="s">
        <v>180</v>
      </c>
      <c r="M522" s="1" t="s">
        <v>187</v>
      </c>
      <c r="N522" s="2">
        <v>46211</v>
      </c>
      <c r="P522" s="1" t="s">
        <v>964</v>
      </c>
      <c r="Q522" s="1" t="s">
        <v>178</v>
      </c>
      <c r="R522" s="1" t="s">
        <v>55</v>
      </c>
      <c r="S522" s="2">
        <v>46195</v>
      </c>
      <c r="T522" s="2">
        <v>46211</v>
      </c>
      <c r="V522" s="1">
        <v>0.04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</row>
    <row r="523" spans="1:33" x14ac:dyDescent="0.25">
      <c r="A523" s="1">
        <v>708</v>
      </c>
      <c r="B523" s="1" t="s">
        <v>965</v>
      </c>
      <c r="C523" s="1" t="s">
        <v>966</v>
      </c>
      <c r="D523" s="1" t="s">
        <v>967</v>
      </c>
      <c r="E523" s="1" t="s">
        <v>968</v>
      </c>
      <c r="F523" s="10">
        <v>46202</v>
      </c>
      <c r="G523" s="10">
        <v>46225</v>
      </c>
      <c r="H523" s="11">
        <v>0.06</v>
      </c>
      <c r="L523" s="1" t="s">
        <v>180</v>
      </c>
      <c r="M523" s="1" t="s">
        <v>187</v>
      </c>
      <c r="N523" s="2">
        <v>46210</v>
      </c>
      <c r="P523" s="1" t="s">
        <v>964</v>
      </c>
      <c r="Q523" s="1" t="s">
        <v>178</v>
      </c>
      <c r="R523" s="1" t="s">
        <v>55</v>
      </c>
      <c r="S523" s="2">
        <v>46195</v>
      </c>
      <c r="T523" s="2">
        <v>46210</v>
      </c>
      <c r="V523" s="1">
        <v>0.06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</row>
    <row r="524" spans="1:33" x14ac:dyDescent="0.25">
      <c r="A524" s="1">
        <v>709</v>
      </c>
      <c r="B524" s="1" t="s">
        <v>969</v>
      </c>
      <c r="C524" s="1" t="s">
        <v>970</v>
      </c>
      <c r="D524" s="1" t="s">
        <v>94</v>
      </c>
      <c r="E524" s="1" t="s">
        <v>597</v>
      </c>
      <c r="F524" s="10">
        <v>46202</v>
      </c>
      <c r="G524" s="10">
        <v>46220</v>
      </c>
      <c r="H524" s="11">
        <v>0.1</v>
      </c>
      <c r="J524" s="1">
        <v>346</v>
      </c>
      <c r="K524" s="1" t="s">
        <v>971</v>
      </c>
      <c r="L524" s="1" t="s">
        <v>180</v>
      </c>
      <c r="M524" s="1" t="s">
        <v>187</v>
      </c>
      <c r="N524" s="2">
        <v>46204</v>
      </c>
      <c r="P524" s="1" t="s">
        <v>964</v>
      </c>
      <c r="Q524" s="1" t="s">
        <v>178</v>
      </c>
      <c r="R524" s="1" t="s">
        <v>55</v>
      </c>
      <c r="S524" s="2">
        <v>46195</v>
      </c>
      <c r="T524" s="2">
        <v>46204</v>
      </c>
      <c r="V524" s="1">
        <v>0.1</v>
      </c>
      <c r="W524" s="1">
        <v>1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</row>
    <row r="525" spans="1:33" x14ac:dyDescent="0.25">
      <c r="A525" s="1">
        <v>710</v>
      </c>
      <c r="B525" s="1" t="s">
        <v>972</v>
      </c>
      <c r="C525" s="1" t="s">
        <v>970</v>
      </c>
      <c r="D525" s="1" t="s">
        <v>98</v>
      </c>
      <c r="E525" s="1" t="s">
        <v>53</v>
      </c>
      <c r="F525" s="10">
        <v>46220</v>
      </c>
      <c r="G525" s="10">
        <v>46223</v>
      </c>
      <c r="H525" s="11">
        <v>0</v>
      </c>
      <c r="J525" s="1">
        <v>709</v>
      </c>
      <c r="K525" s="1">
        <v>711</v>
      </c>
      <c r="L525" s="1" t="s">
        <v>149</v>
      </c>
      <c r="M525" s="1" t="s">
        <v>292</v>
      </c>
      <c r="N525" s="2">
        <v>46205</v>
      </c>
      <c r="P525" s="1" t="s">
        <v>964</v>
      </c>
      <c r="Q525" s="1" t="s">
        <v>146</v>
      </c>
      <c r="R525" s="1" t="s">
        <v>55</v>
      </c>
      <c r="S525" s="2">
        <v>46205</v>
      </c>
      <c r="T525" s="2">
        <v>46205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</row>
    <row r="526" spans="1:33" x14ac:dyDescent="0.25">
      <c r="A526" s="1">
        <v>711</v>
      </c>
      <c r="B526" s="1" t="s">
        <v>973</v>
      </c>
      <c r="C526" s="1" t="s">
        <v>970</v>
      </c>
      <c r="D526" s="1" t="s">
        <v>102</v>
      </c>
      <c r="E526" s="1" t="s">
        <v>53</v>
      </c>
      <c r="F526" s="10">
        <v>46223</v>
      </c>
      <c r="G526" s="10">
        <v>46224</v>
      </c>
      <c r="H526" s="11">
        <v>0</v>
      </c>
      <c r="J526" s="1">
        <v>710</v>
      </c>
      <c r="K526" s="1">
        <v>712</v>
      </c>
      <c r="L526" s="1" t="s">
        <v>149</v>
      </c>
      <c r="M526" s="1" t="s">
        <v>191</v>
      </c>
      <c r="N526" s="2">
        <v>46209</v>
      </c>
      <c r="P526" s="1" t="s">
        <v>964</v>
      </c>
      <c r="Q526" s="1" t="s">
        <v>146</v>
      </c>
      <c r="R526" s="1" t="s">
        <v>55</v>
      </c>
      <c r="S526" s="2">
        <v>46206</v>
      </c>
      <c r="T526" s="2">
        <v>46209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</row>
    <row r="527" spans="1:33" x14ac:dyDescent="0.25">
      <c r="A527" s="1">
        <v>712</v>
      </c>
      <c r="B527" s="1" t="s">
        <v>974</v>
      </c>
      <c r="C527" s="1" t="s">
        <v>970</v>
      </c>
      <c r="D527" s="1" t="s">
        <v>108</v>
      </c>
      <c r="E527" s="1" t="s">
        <v>53</v>
      </c>
      <c r="F527" s="10">
        <v>46224</v>
      </c>
      <c r="G527" s="10">
        <v>46225</v>
      </c>
      <c r="H527" s="11">
        <v>0</v>
      </c>
      <c r="J527" s="1">
        <v>711</v>
      </c>
      <c r="L527" s="1" t="s">
        <v>149</v>
      </c>
      <c r="M527" s="1" t="s">
        <v>295</v>
      </c>
      <c r="N527" s="2">
        <v>46210</v>
      </c>
      <c r="P527" s="1" t="s">
        <v>964</v>
      </c>
      <c r="Q527" s="1" t="s">
        <v>146</v>
      </c>
      <c r="R527" s="1" t="s">
        <v>55</v>
      </c>
      <c r="S527" s="2">
        <v>46210</v>
      </c>
      <c r="T527" s="2">
        <v>46210</v>
      </c>
      <c r="V527" s="1">
        <v>0</v>
      </c>
      <c r="W527" s="1">
        <v>0</v>
      </c>
      <c r="X527" s="1">
        <v>0</v>
      </c>
      <c r="Y527" s="1">
        <v>0</v>
      </c>
      <c r="Z527" s="1">
        <v>1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</row>
    <row r="528" spans="1:33" x14ac:dyDescent="0.25">
      <c r="A528" s="1">
        <v>713</v>
      </c>
      <c r="B528" s="1" t="s">
        <v>975</v>
      </c>
      <c r="C528" s="1" t="s">
        <v>966</v>
      </c>
      <c r="D528" s="1" t="s">
        <v>976</v>
      </c>
      <c r="E528" s="1" t="s">
        <v>977</v>
      </c>
      <c r="F528" s="10">
        <v>46220</v>
      </c>
      <c r="G528" s="10">
        <v>46227</v>
      </c>
      <c r="H528" s="11">
        <v>0</v>
      </c>
      <c r="L528" s="1" t="s">
        <v>149</v>
      </c>
      <c r="M528" s="1" t="s">
        <v>292</v>
      </c>
      <c r="N528" s="2">
        <v>46211</v>
      </c>
      <c r="P528" s="1" t="s">
        <v>964</v>
      </c>
      <c r="Q528" s="1" t="s">
        <v>146</v>
      </c>
      <c r="R528" s="1" t="s">
        <v>55</v>
      </c>
      <c r="S528" s="2">
        <v>46205</v>
      </c>
      <c r="T528" s="2">
        <v>46211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</row>
    <row r="529" spans="1:33" x14ac:dyDescent="0.25">
      <c r="A529" s="1">
        <v>714</v>
      </c>
      <c r="B529" s="1" t="s">
        <v>978</v>
      </c>
      <c r="C529" s="1" t="s">
        <v>979</v>
      </c>
      <c r="D529" s="1" t="s">
        <v>94</v>
      </c>
      <c r="E529" s="1" t="s">
        <v>53</v>
      </c>
      <c r="F529" s="10">
        <v>46220</v>
      </c>
      <c r="G529" s="10">
        <v>46223</v>
      </c>
      <c r="H529" s="11">
        <v>0</v>
      </c>
      <c r="J529" s="1">
        <v>709</v>
      </c>
      <c r="K529" s="1">
        <v>715</v>
      </c>
      <c r="L529" s="1" t="s">
        <v>149</v>
      </c>
      <c r="M529" s="1" t="s">
        <v>292</v>
      </c>
      <c r="N529" s="2">
        <v>46205</v>
      </c>
      <c r="P529" s="1" t="s">
        <v>964</v>
      </c>
      <c r="Q529" s="1" t="s">
        <v>146</v>
      </c>
      <c r="R529" s="1" t="s">
        <v>55</v>
      </c>
      <c r="S529" s="2">
        <v>46205</v>
      </c>
      <c r="T529" s="2">
        <v>46205</v>
      </c>
      <c r="V529" s="1">
        <v>0</v>
      </c>
      <c r="W529" s="1">
        <v>1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</row>
    <row r="530" spans="1:33" x14ac:dyDescent="0.25">
      <c r="A530" s="1">
        <v>715</v>
      </c>
      <c r="B530" s="1" t="s">
        <v>980</v>
      </c>
      <c r="C530" s="1" t="s">
        <v>979</v>
      </c>
      <c r="D530" s="1" t="s">
        <v>98</v>
      </c>
      <c r="E530" s="1" t="s">
        <v>53</v>
      </c>
      <c r="F530" s="10">
        <v>46223</v>
      </c>
      <c r="G530" s="10">
        <v>46224</v>
      </c>
      <c r="H530" s="11">
        <v>0</v>
      </c>
      <c r="J530" s="1">
        <v>714</v>
      </c>
      <c r="K530" s="1">
        <v>716</v>
      </c>
      <c r="L530" s="1" t="s">
        <v>149</v>
      </c>
      <c r="M530" s="1" t="s">
        <v>191</v>
      </c>
      <c r="N530" s="2">
        <v>46206</v>
      </c>
      <c r="P530" s="1" t="s">
        <v>964</v>
      </c>
      <c r="Q530" s="1" t="s">
        <v>146</v>
      </c>
      <c r="R530" s="1" t="s">
        <v>55</v>
      </c>
      <c r="S530" s="2">
        <v>46206</v>
      </c>
      <c r="T530" s="2">
        <v>46206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</row>
    <row r="531" spans="1:33" x14ac:dyDescent="0.25">
      <c r="A531" s="1">
        <v>716</v>
      </c>
      <c r="B531" s="1" t="s">
        <v>981</v>
      </c>
      <c r="C531" s="1" t="s">
        <v>979</v>
      </c>
      <c r="D531" s="1" t="s">
        <v>102</v>
      </c>
      <c r="E531" s="1" t="s">
        <v>121</v>
      </c>
      <c r="F531" s="10">
        <v>46224</v>
      </c>
      <c r="G531" s="10">
        <v>46226</v>
      </c>
      <c r="H531" s="11">
        <v>0</v>
      </c>
      <c r="J531" s="1">
        <v>715</v>
      </c>
      <c r="K531" s="1">
        <v>717</v>
      </c>
      <c r="L531" s="1" t="s">
        <v>149</v>
      </c>
      <c r="M531" s="1" t="s">
        <v>193</v>
      </c>
      <c r="N531" s="2">
        <v>46210</v>
      </c>
      <c r="P531" s="1" t="s">
        <v>964</v>
      </c>
      <c r="Q531" s="1" t="s">
        <v>146</v>
      </c>
      <c r="R531" s="1" t="s">
        <v>55</v>
      </c>
      <c r="S531" s="2">
        <v>46209</v>
      </c>
      <c r="T531" s="2">
        <v>46210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</row>
    <row r="532" spans="1:33" x14ac:dyDescent="0.25">
      <c r="A532" s="1">
        <v>717</v>
      </c>
      <c r="B532" s="1" t="s">
        <v>982</v>
      </c>
      <c r="C532" s="1" t="s">
        <v>979</v>
      </c>
      <c r="D532" s="1" t="s">
        <v>108</v>
      </c>
      <c r="E532" s="1" t="s">
        <v>53</v>
      </c>
      <c r="F532" s="10">
        <v>46226</v>
      </c>
      <c r="G532" s="10">
        <v>46227</v>
      </c>
      <c r="H532" s="11">
        <v>0</v>
      </c>
      <c r="J532" s="1">
        <v>716</v>
      </c>
      <c r="L532" s="1" t="s">
        <v>149</v>
      </c>
      <c r="M532" s="1" t="s">
        <v>195</v>
      </c>
      <c r="N532" s="2">
        <v>46211</v>
      </c>
      <c r="P532" s="1" t="s">
        <v>964</v>
      </c>
      <c r="Q532" s="1" t="s">
        <v>151</v>
      </c>
      <c r="R532" s="1" t="s">
        <v>55</v>
      </c>
      <c r="S532" s="2">
        <v>46211</v>
      </c>
      <c r="T532" s="2">
        <v>46211</v>
      </c>
      <c r="V532" s="1">
        <v>0</v>
      </c>
      <c r="W532" s="1">
        <v>0</v>
      </c>
      <c r="X532" s="1">
        <v>0</v>
      </c>
      <c r="Y532" s="1">
        <v>0</v>
      </c>
      <c r="Z532" s="1">
        <v>1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</row>
    <row r="533" spans="1:33" x14ac:dyDescent="0.25">
      <c r="A533" s="1">
        <v>30</v>
      </c>
      <c r="B533" s="1" t="s">
        <v>983</v>
      </c>
      <c r="C533" s="1" t="s">
        <v>73</v>
      </c>
      <c r="D533" s="1" t="s">
        <v>984</v>
      </c>
      <c r="E533" s="1" t="s">
        <v>985</v>
      </c>
      <c r="F533" s="10">
        <v>46139</v>
      </c>
      <c r="G533" s="10">
        <v>46211</v>
      </c>
      <c r="H533" s="11">
        <v>0.16</v>
      </c>
      <c r="L533" s="1" t="s">
        <v>180</v>
      </c>
      <c r="M533" s="1" t="s">
        <v>36</v>
      </c>
      <c r="N533" s="2">
        <v>46211</v>
      </c>
      <c r="P533" s="1" t="s">
        <v>986</v>
      </c>
      <c r="Q533" s="1" t="s">
        <v>987</v>
      </c>
      <c r="R533" s="1" t="s">
        <v>55</v>
      </c>
      <c r="S533" s="2">
        <v>46139</v>
      </c>
      <c r="T533" s="2">
        <v>46211</v>
      </c>
      <c r="U533" s="1" t="s">
        <v>988</v>
      </c>
      <c r="V533" s="1">
        <v>0.16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</row>
    <row r="534" spans="1:33" x14ac:dyDescent="0.25">
      <c r="A534" s="1">
        <v>31</v>
      </c>
      <c r="B534" s="1" t="s">
        <v>989</v>
      </c>
      <c r="C534" s="1" t="s">
        <v>990</v>
      </c>
      <c r="D534" s="1" t="s">
        <v>991</v>
      </c>
      <c r="E534" s="1" t="s">
        <v>769</v>
      </c>
      <c r="F534" s="10">
        <v>46170</v>
      </c>
      <c r="G534" s="10">
        <v>46178</v>
      </c>
      <c r="H534" s="11">
        <v>0</v>
      </c>
      <c r="L534" s="1" t="s">
        <v>180</v>
      </c>
      <c r="M534" s="1" t="s">
        <v>150</v>
      </c>
      <c r="N534" s="2">
        <v>46175</v>
      </c>
      <c r="P534" s="1" t="s">
        <v>986</v>
      </c>
      <c r="Q534" s="1" t="s">
        <v>987</v>
      </c>
      <c r="R534" s="1" t="s">
        <v>55</v>
      </c>
      <c r="S534" s="2">
        <v>46167</v>
      </c>
      <c r="T534" s="2">
        <v>46175</v>
      </c>
      <c r="U534" s="1" t="s">
        <v>988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</row>
    <row r="535" spans="1:33" x14ac:dyDescent="0.25">
      <c r="A535" s="1">
        <v>36</v>
      </c>
      <c r="B535" s="1" t="s">
        <v>992</v>
      </c>
      <c r="C535" s="1" t="s">
        <v>990</v>
      </c>
      <c r="D535" s="1" t="s">
        <v>993</v>
      </c>
      <c r="E535" s="1" t="s">
        <v>769</v>
      </c>
      <c r="F535" s="10">
        <v>46189</v>
      </c>
      <c r="G535" s="10">
        <v>46197</v>
      </c>
      <c r="H535" s="11">
        <v>0</v>
      </c>
      <c r="L535" s="1" t="s">
        <v>149</v>
      </c>
      <c r="M535" s="1" t="s">
        <v>262</v>
      </c>
      <c r="N535" s="2">
        <v>46192</v>
      </c>
      <c r="P535" s="1" t="s">
        <v>986</v>
      </c>
      <c r="Q535" s="1" t="s">
        <v>987</v>
      </c>
      <c r="R535" s="1" t="s">
        <v>55</v>
      </c>
      <c r="S535" s="2">
        <v>46184</v>
      </c>
      <c r="T535" s="2">
        <v>46192</v>
      </c>
      <c r="U535" s="1" t="s">
        <v>988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</row>
    <row r="536" spans="1:33" x14ac:dyDescent="0.25">
      <c r="A536" s="1">
        <v>41</v>
      </c>
      <c r="B536" s="1" t="s">
        <v>994</v>
      </c>
      <c r="C536" s="1" t="s">
        <v>990</v>
      </c>
      <c r="D536" s="1" t="s">
        <v>995</v>
      </c>
      <c r="E536" s="1" t="s">
        <v>525</v>
      </c>
      <c r="F536" s="10">
        <v>46205</v>
      </c>
      <c r="G536" s="10">
        <v>46211</v>
      </c>
      <c r="H536" s="11">
        <v>0</v>
      </c>
      <c r="L536" s="1" t="s">
        <v>149</v>
      </c>
      <c r="M536" s="1" t="s">
        <v>505</v>
      </c>
      <c r="N536" s="2">
        <v>46211</v>
      </c>
      <c r="P536" s="1" t="s">
        <v>986</v>
      </c>
      <c r="Q536" s="1" t="s">
        <v>987</v>
      </c>
      <c r="R536" s="1" t="s">
        <v>55</v>
      </c>
      <c r="S536" s="2">
        <v>46203</v>
      </c>
      <c r="T536" s="2">
        <v>46211</v>
      </c>
      <c r="U536" s="1" t="s">
        <v>988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</row>
    <row r="537" spans="1:33" x14ac:dyDescent="0.25">
      <c r="A537" s="1">
        <v>46</v>
      </c>
      <c r="B537" s="1" t="s">
        <v>996</v>
      </c>
      <c r="C537" s="1" t="s">
        <v>990</v>
      </c>
      <c r="D537" s="1" t="s">
        <v>997</v>
      </c>
      <c r="E537" s="1" t="s">
        <v>998</v>
      </c>
      <c r="F537" s="10">
        <v>46139</v>
      </c>
      <c r="G537" s="10">
        <v>46189</v>
      </c>
      <c r="H537" s="11">
        <v>0.56999999999999995</v>
      </c>
      <c r="L537" s="1" t="s">
        <v>180</v>
      </c>
      <c r="M537" s="1" t="s">
        <v>36</v>
      </c>
      <c r="N537" s="2">
        <v>46189</v>
      </c>
      <c r="P537" s="1" t="s">
        <v>986</v>
      </c>
      <c r="Q537" s="1" t="s">
        <v>987</v>
      </c>
      <c r="R537" s="1" t="s">
        <v>55</v>
      </c>
      <c r="S537" s="2">
        <v>46139</v>
      </c>
      <c r="T537" s="2">
        <v>46189</v>
      </c>
      <c r="U537" s="1" t="s">
        <v>988</v>
      </c>
      <c r="V537" s="1">
        <v>0.56999999999999995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</row>
    <row r="538" spans="1:33" x14ac:dyDescent="0.25">
      <c r="A538" s="1">
        <v>194</v>
      </c>
      <c r="B538" s="1" t="s">
        <v>999</v>
      </c>
      <c r="C538" s="1" t="s">
        <v>379</v>
      </c>
      <c r="D538" s="1" t="s">
        <v>1000</v>
      </c>
      <c r="E538" s="1" t="s">
        <v>769</v>
      </c>
      <c r="F538" s="10">
        <v>46204</v>
      </c>
      <c r="G538" s="10">
        <v>46212</v>
      </c>
      <c r="H538" s="11">
        <v>0</v>
      </c>
      <c r="L538" s="1" t="s">
        <v>149</v>
      </c>
      <c r="M538" s="1" t="s">
        <v>505</v>
      </c>
      <c r="N538" s="2">
        <v>46211</v>
      </c>
      <c r="P538" s="1" t="s">
        <v>377</v>
      </c>
      <c r="Q538" s="1" t="s">
        <v>987</v>
      </c>
      <c r="R538" s="1" t="s">
        <v>39</v>
      </c>
      <c r="S538" s="2">
        <v>46203</v>
      </c>
      <c r="T538" s="2">
        <v>46211</v>
      </c>
      <c r="U538" s="1" t="s">
        <v>988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</row>
    <row r="539" spans="1:33" x14ac:dyDescent="0.25">
      <c r="A539" s="1">
        <v>199</v>
      </c>
      <c r="B539" s="1" t="s">
        <v>1001</v>
      </c>
      <c r="C539" s="1" t="s">
        <v>379</v>
      </c>
      <c r="D539" s="1" t="s">
        <v>1002</v>
      </c>
      <c r="E539" s="1" t="s">
        <v>769</v>
      </c>
      <c r="F539" s="10">
        <v>46197</v>
      </c>
      <c r="G539" s="10">
        <v>46205</v>
      </c>
      <c r="H539" s="11">
        <v>0</v>
      </c>
      <c r="L539" s="1" t="s">
        <v>149</v>
      </c>
      <c r="M539" s="1" t="s">
        <v>390</v>
      </c>
      <c r="N539" s="2">
        <v>46204</v>
      </c>
      <c r="P539" s="1" t="s">
        <v>377</v>
      </c>
      <c r="Q539" s="1" t="s">
        <v>987</v>
      </c>
      <c r="R539" s="1" t="s">
        <v>39</v>
      </c>
      <c r="S539" s="2">
        <v>46196</v>
      </c>
      <c r="T539" s="2">
        <v>46204</v>
      </c>
      <c r="U539" s="1" t="s">
        <v>988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</row>
    <row r="540" spans="1:33" x14ac:dyDescent="0.25">
      <c r="A540" s="1">
        <v>204</v>
      </c>
      <c r="B540" s="1" t="s">
        <v>1003</v>
      </c>
      <c r="C540" s="1" t="s">
        <v>379</v>
      </c>
      <c r="D540" s="1" t="s">
        <v>1004</v>
      </c>
      <c r="E540" s="1" t="s">
        <v>769</v>
      </c>
      <c r="F540" s="10">
        <v>46197</v>
      </c>
      <c r="G540" s="10">
        <v>46205</v>
      </c>
      <c r="H540" s="11">
        <v>0</v>
      </c>
      <c r="L540" s="1" t="s">
        <v>149</v>
      </c>
      <c r="M540" s="1" t="s">
        <v>390</v>
      </c>
      <c r="N540" s="2">
        <v>46204</v>
      </c>
      <c r="P540" s="1" t="s">
        <v>377</v>
      </c>
      <c r="Q540" s="1" t="s">
        <v>987</v>
      </c>
      <c r="R540" s="1" t="s">
        <v>55</v>
      </c>
      <c r="S540" s="2">
        <v>46196</v>
      </c>
      <c r="T540" s="2">
        <v>46204</v>
      </c>
      <c r="U540" s="1" t="s">
        <v>988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</row>
    <row r="541" spans="1:33" x14ac:dyDescent="0.25">
      <c r="A541" s="1">
        <v>214</v>
      </c>
      <c r="B541" s="1" t="s">
        <v>1005</v>
      </c>
      <c r="C541" s="1" t="s">
        <v>379</v>
      </c>
      <c r="D541" s="1" t="s">
        <v>1006</v>
      </c>
      <c r="E541" s="1" t="s">
        <v>769</v>
      </c>
      <c r="F541" s="10">
        <v>46192</v>
      </c>
      <c r="G541" s="10">
        <v>46202</v>
      </c>
      <c r="H541" s="11">
        <v>0</v>
      </c>
      <c r="L541" s="1" t="s">
        <v>149</v>
      </c>
      <c r="M541" s="1" t="s">
        <v>323</v>
      </c>
      <c r="N541" s="2">
        <v>46199</v>
      </c>
      <c r="P541" s="1" t="s">
        <v>377</v>
      </c>
      <c r="Q541" s="1" t="s">
        <v>987</v>
      </c>
      <c r="R541" s="1" t="s">
        <v>39</v>
      </c>
      <c r="S541" s="2">
        <v>46191</v>
      </c>
      <c r="T541" s="2">
        <v>46199</v>
      </c>
      <c r="U541" s="1" t="s">
        <v>988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</row>
    <row r="542" spans="1:33" x14ac:dyDescent="0.25">
      <c r="A542" s="1">
        <v>224</v>
      </c>
      <c r="B542" s="1" t="s">
        <v>1007</v>
      </c>
      <c r="C542" s="1" t="s">
        <v>379</v>
      </c>
      <c r="D542" s="1" t="s">
        <v>1008</v>
      </c>
      <c r="E542" s="1" t="s">
        <v>103</v>
      </c>
      <c r="F542" s="10">
        <v>46176</v>
      </c>
      <c r="G542" s="10">
        <v>46183</v>
      </c>
      <c r="H542" s="11">
        <v>0</v>
      </c>
      <c r="L542" s="1" t="s">
        <v>149</v>
      </c>
      <c r="M542" s="1" t="s">
        <v>142</v>
      </c>
      <c r="N542" s="2">
        <v>46169</v>
      </c>
      <c r="P542" s="1" t="s">
        <v>377</v>
      </c>
      <c r="Q542" s="1" t="s">
        <v>987</v>
      </c>
      <c r="R542" s="1" t="s">
        <v>55</v>
      </c>
      <c r="S542" s="2">
        <v>46162</v>
      </c>
      <c r="T542" s="2">
        <v>46169</v>
      </c>
      <c r="U542" s="1" t="s">
        <v>988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</row>
    <row r="543" spans="1:33" x14ac:dyDescent="0.25">
      <c r="A543" s="1">
        <v>264</v>
      </c>
      <c r="B543" s="1" t="s">
        <v>441</v>
      </c>
      <c r="C543" s="1" t="s">
        <v>379</v>
      </c>
      <c r="D543" s="1" t="s">
        <v>1009</v>
      </c>
      <c r="E543" s="1" t="s">
        <v>1010</v>
      </c>
      <c r="F543" s="10">
        <v>46171</v>
      </c>
      <c r="G543" s="10">
        <v>46190</v>
      </c>
      <c r="H543" s="11">
        <v>0</v>
      </c>
      <c r="L543" s="1" t="s">
        <v>149</v>
      </c>
      <c r="M543" s="1" t="s">
        <v>173</v>
      </c>
      <c r="N543" s="2">
        <v>46189</v>
      </c>
      <c r="P543" s="1" t="s">
        <v>377</v>
      </c>
      <c r="Q543" s="1" t="s">
        <v>987</v>
      </c>
      <c r="R543" s="1" t="s">
        <v>55</v>
      </c>
      <c r="S543" s="2">
        <v>46170</v>
      </c>
      <c r="T543" s="2">
        <v>46189</v>
      </c>
      <c r="U543" s="1" t="s">
        <v>988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</row>
    <row r="544" spans="1:33" x14ac:dyDescent="0.25">
      <c r="A544" s="1">
        <v>285</v>
      </c>
      <c r="B544" s="1" t="s">
        <v>1011</v>
      </c>
      <c r="C544" s="1" t="s">
        <v>491</v>
      </c>
      <c r="D544" s="1" t="s">
        <v>1012</v>
      </c>
      <c r="E544" s="1" t="s">
        <v>103</v>
      </c>
      <c r="F544" s="10">
        <v>46199</v>
      </c>
      <c r="G544" s="10">
        <v>46206</v>
      </c>
      <c r="H544" s="11">
        <v>0</v>
      </c>
      <c r="L544" s="1" t="s">
        <v>149</v>
      </c>
      <c r="M544" s="1" t="s">
        <v>394</v>
      </c>
      <c r="N544" s="2">
        <v>46206</v>
      </c>
      <c r="P544" s="1" t="s">
        <v>489</v>
      </c>
      <c r="Q544" s="1" t="s">
        <v>987</v>
      </c>
      <c r="R544" s="1" t="s">
        <v>55</v>
      </c>
      <c r="S544" s="2">
        <v>46199</v>
      </c>
      <c r="T544" s="2">
        <v>46206</v>
      </c>
      <c r="U544" s="1" t="s">
        <v>988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</row>
    <row r="545" spans="1:33" x14ac:dyDescent="0.25">
      <c r="A545" s="1">
        <v>356</v>
      </c>
      <c r="B545" s="1" t="s">
        <v>1013</v>
      </c>
      <c r="C545" s="1" t="s">
        <v>607</v>
      </c>
      <c r="D545" s="1" t="s">
        <v>1014</v>
      </c>
      <c r="E545" s="1" t="s">
        <v>1015</v>
      </c>
      <c r="F545" s="10">
        <v>46188</v>
      </c>
      <c r="G545" s="10">
        <v>46202</v>
      </c>
      <c r="H545" s="11">
        <v>0</v>
      </c>
      <c r="L545" s="1" t="s">
        <v>149</v>
      </c>
      <c r="M545" s="1" t="s">
        <v>264</v>
      </c>
      <c r="N545" s="2">
        <v>46202</v>
      </c>
      <c r="P545" s="1" t="s">
        <v>605</v>
      </c>
      <c r="Q545" s="1" t="s">
        <v>987</v>
      </c>
      <c r="R545" s="1" t="s">
        <v>55</v>
      </c>
      <c r="S545" s="2">
        <v>46188</v>
      </c>
      <c r="T545" s="2">
        <v>46202</v>
      </c>
      <c r="U545" s="1" t="s">
        <v>988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</row>
    <row r="546" spans="1:33" x14ac:dyDescent="0.25">
      <c r="A546" s="1">
        <v>366</v>
      </c>
      <c r="B546" s="1" t="s">
        <v>1016</v>
      </c>
      <c r="C546" s="1" t="s">
        <v>607</v>
      </c>
      <c r="D546" s="1" t="s">
        <v>1017</v>
      </c>
      <c r="E546" s="1" t="s">
        <v>769</v>
      </c>
      <c r="F546" s="10">
        <v>46195</v>
      </c>
      <c r="G546" s="10">
        <v>46203</v>
      </c>
      <c r="H546" s="11">
        <v>0</v>
      </c>
      <c r="L546" s="1" t="s">
        <v>149</v>
      </c>
      <c r="M546" s="1" t="s">
        <v>264</v>
      </c>
      <c r="N546" s="2">
        <v>46196</v>
      </c>
      <c r="P546" s="1" t="s">
        <v>605</v>
      </c>
      <c r="Q546" s="1" t="s">
        <v>987</v>
      </c>
      <c r="R546" s="1" t="s">
        <v>55</v>
      </c>
      <c r="S546" s="2">
        <v>46188</v>
      </c>
      <c r="T546" s="2">
        <v>46196</v>
      </c>
      <c r="U546" s="1" t="s">
        <v>988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</row>
    <row r="547" spans="1:33" x14ac:dyDescent="0.25">
      <c r="A547" s="1">
        <v>376</v>
      </c>
      <c r="B547" s="1" t="s">
        <v>1018</v>
      </c>
      <c r="C547" s="1" t="s">
        <v>607</v>
      </c>
      <c r="D547" s="1" t="s">
        <v>1019</v>
      </c>
      <c r="E547" s="1" t="s">
        <v>103</v>
      </c>
      <c r="F547" s="10">
        <v>46203</v>
      </c>
      <c r="G547" s="10">
        <v>46210</v>
      </c>
      <c r="H547" s="11">
        <v>0</v>
      </c>
      <c r="L547" s="1" t="s">
        <v>149</v>
      </c>
      <c r="M547" s="1" t="s">
        <v>505</v>
      </c>
      <c r="N547" s="2">
        <v>46210</v>
      </c>
      <c r="P547" s="1" t="s">
        <v>605</v>
      </c>
      <c r="Q547" s="1" t="s">
        <v>987</v>
      </c>
      <c r="R547" s="1" t="s">
        <v>55</v>
      </c>
      <c r="S547" s="2">
        <v>46203</v>
      </c>
      <c r="T547" s="2">
        <v>46210</v>
      </c>
      <c r="U547" s="1" t="s">
        <v>988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</row>
    <row r="548" spans="1:33" x14ac:dyDescent="0.25">
      <c r="A548" s="1">
        <v>381</v>
      </c>
      <c r="B548" s="1" t="s">
        <v>1020</v>
      </c>
      <c r="C548" s="1" t="s">
        <v>607</v>
      </c>
      <c r="D548" s="1" t="s">
        <v>1021</v>
      </c>
      <c r="E548" s="1" t="s">
        <v>597</v>
      </c>
      <c r="F548" s="10">
        <v>46205</v>
      </c>
      <c r="G548" s="10">
        <v>46211</v>
      </c>
      <c r="H548" s="11">
        <v>0</v>
      </c>
      <c r="L548" s="1" t="s">
        <v>149</v>
      </c>
      <c r="M548" s="1" t="s">
        <v>292</v>
      </c>
      <c r="N548" s="2">
        <v>46211</v>
      </c>
      <c r="P548" s="1" t="s">
        <v>605</v>
      </c>
      <c r="Q548" s="1" t="s">
        <v>987</v>
      </c>
      <c r="R548" s="1" t="s">
        <v>55</v>
      </c>
      <c r="S548" s="2">
        <v>46205</v>
      </c>
      <c r="T548" s="2">
        <v>46211</v>
      </c>
      <c r="U548" s="1" t="s">
        <v>988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</row>
    <row r="549" spans="1:33" x14ac:dyDescent="0.25">
      <c r="A549" s="1">
        <v>396</v>
      </c>
      <c r="B549" s="1" t="s">
        <v>1022</v>
      </c>
      <c r="C549" s="1" t="s">
        <v>607</v>
      </c>
      <c r="D549" s="1" t="s">
        <v>1023</v>
      </c>
      <c r="E549" s="1" t="s">
        <v>769</v>
      </c>
      <c r="F549" s="10">
        <v>46197</v>
      </c>
      <c r="G549" s="10">
        <v>46205</v>
      </c>
      <c r="H549" s="11">
        <v>0</v>
      </c>
      <c r="L549" s="1" t="s">
        <v>149</v>
      </c>
      <c r="M549" s="1" t="s">
        <v>754</v>
      </c>
      <c r="N549" s="2">
        <v>46205</v>
      </c>
      <c r="P549" s="1" t="s">
        <v>605</v>
      </c>
      <c r="Q549" s="1" t="s">
        <v>987</v>
      </c>
      <c r="R549" s="1" t="s">
        <v>55</v>
      </c>
      <c r="S549" s="2">
        <v>46197</v>
      </c>
      <c r="T549" s="2">
        <v>46205</v>
      </c>
      <c r="U549" s="1" t="s">
        <v>988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</row>
    <row r="550" spans="1:33" x14ac:dyDescent="0.25">
      <c r="A550" s="1">
        <v>401</v>
      </c>
      <c r="B550" s="1" t="s">
        <v>1024</v>
      </c>
      <c r="C550" s="1" t="s">
        <v>607</v>
      </c>
      <c r="D550" s="1" t="s">
        <v>1025</v>
      </c>
      <c r="E550" s="1" t="s">
        <v>769</v>
      </c>
      <c r="F550" s="10">
        <v>46178</v>
      </c>
      <c r="G550" s="10">
        <v>46188</v>
      </c>
      <c r="H550" s="11">
        <v>0</v>
      </c>
      <c r="L550" s="1" t="s">
        <v>149</v>
      </c>
      <c r="M550" s="1" t="s">
        <v>255</v>
      </c>
      <c r="N550" s="2">
        <v>46181</v>
      </c>
      <c r="P550" s="1" t="s">
        <v>605</v>
      </c>
      <c r="Q550" s="1" t="s">
        <v>987</v>
      </c>
      <c r="R550" s="1" t="s">
        <v>55</v>
      </c>
      <c r="S550" s="2">
        <v>46171</v>
      </c>
      <c r="T550" s="2">
        <v>46181</v>
      </c>
      <c r="U550" s="1" t="s">
        <v>988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</row>
    <row r="551" spans="1:33" x14ac:dyDescent="0.25">
      <c r="A551" s="1">
        <v>406</v>
      </c>
      <c r="B551" s="1" t="s">
        <v>1026</v>
      </c>
      <c r="C551" s="1" t="s">
        <v>607</v>
      </c>
      <c r="D551" s="1" t="s">
        <v>1027</v>
      </c>
      <c r="E551" s="1" t="s">
        <v>258</v>
      </c>
      <c r="F551" s="10">
        <v>46197</v>
      </c>
      <c r="G551" s="10">
        <v>46206</v>
      </c>
      <c r="H551" s="11">
        <v>0</v>
      </c>
      <c r="L551" s="1" t="s">
        <v>149</v>
      </c>
      <c r="M551" s="1" t="s">
        <v>754</v>
      </c>
      <c r="N551" s="2">
        <v>46206</v>
      </c>
      <c r="P551" s="1" t="s">
        <v>605</v>
      </c>
      <c r="Q551" s="1" t="s">
        <v>987</v>
      </c>
      <c r="R551" s="1" t="s">
        <v>55</v>
      </c>
      <c r="S551" s="2">
        <v>46197</v>
      </c>
      <c r="T551" s="2">
        <v>46206</v>
      </c>
      <c r="U551" s="1" t="s">
        <v>988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</row>
    <row r="552" spans="1:33" x14ac:dyDescent="0.25">
      <c r="A552" s="1">
        <v>411</v>
      </c>
      <c r="B552" s="1" t="s">
        <v>1028</v>
      </c>
      <c r="C552" s="1" t="s">
        <v>607</v>
      </c>
      <c r="D552" s="1" t="s">
        <v>1029</v>
      </c>
      <c r="E552" s="1" t="s">
        <v>769</v>
      </c>
      <c r="F552" s="10">
        <v>46183</v>
      </c>
      <c r="G552" s="10">
        <v>46191</v>
      </c>
      <c r="H552" s="11">
        <v>0</v>
      </c>
      <c r="L552" s="1" t="s">
        <v>149</v>
      </c>
      <c r="M552" s="1" t="s">
        <v>181</v>
      </c>
      <c r="N552" s="2">
        <v>46184</v>
      </c>
      <c r="P552" s="1" t="s">
        <v>605</v>
      </c>
      <c r="Q552" s="1" t="s">
        <v>987</v>
      </c>
      <c r="R552" s="1" t="s">
        <v>55</v>
      </c>
      <c r="S552" s="2">
        <v>46176</v>
      </c>
      <c r="T552" s="2">
        <v>46184</v>
      </c>
      <c r="U552" s="1" t="s">
        <v>988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</row>
    <row r="553" spans="1:33" x14ac:dyDescent="0.25">
      <c r="A553" s="1">
        <v>432</v>
      </c>
      <c r="B553" s="1" t="s">
        <v>663</v>
      </c>
      <c r="C553" s="1" t="s">
        <v>647</v>
      </c>
      <c r="D553" s="1" t="s">
        <v>1030</v>
      </c>
      <c r="E553" s="1" t="s">
        <v>103</v>
      </c>
      <c r="F553" s="10">
        <v>46195</v>
      </c>
      <c r="G553" s="10">
        <v>46202</v>
      </c>
      <c r="H553" s="11">
        <v>0</v>
      </c>
      <c r="L553" s="1" t="s">
        <v>149</v>
      </c>
      <c r="M553" s="1" t="s">
        <v>264</v>
      </c>
      <c r="N553" s="2">
        <v>46196</v>
      </c>
      <c r="P553" s="1" t="s">
        <v>645</v>
      </c>
      <c r="Q553" s="1" t="s">
        <v>987</v>
      </c>
      <c r="R553" s="1" t="s">
        <v>55</v>
      </c>
      <c r="S553" s="2">
        <v>46188</v>
      </c>
      <c r="T553" s="2">
        <v>46196</v>
      </c>
      <c r="U553" s="1" t="s">
        <v>988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</row>
    <row r="554" spans="1:33" x14ac:dyDescent="0.25">
      <c r="A554" s="1">
        <v>437</v>
      </c>
      <c r="B554" s="1" t="s">
        <v>1031</v>
      </c>
      <c r="C554" s="1" t="s">
        <v>647</v>
      </c>
      <c r="D554" s="1" t="s">
        <v>1032</v>
      </c>
      <c r="E554" s="1" t="s">
        <v>103</v>
      </c>
      <c r="F554" s="10">
        <v>46202</v>
      </c>
      <c r="G554" s="10">
        <v>46209</v>
      </c>
      <c r="H554" s="11">
        <v>0</v>
      </c>
      <c r="L554" s="1" t="s">
        <v>149</v>
      </c>
      <c r="M554" s="1" t="s">
        <v>390</v>
      </c>
      <c r="N554" s="2">
        <v>46204</v>
      </c>
      <c r="P554" s="1" t="s">
        <v>645</v>
      </c>
      <c r="Q554" s="1" t="s">
        <v>987</v>
      </c>
      <c r="R554" s="1" t="s">
        <v>55</v>
      </c>
      <c r="S554" s="2">
        <v>46196</v>
      </c>
      <c r="T554" s="2">
        <v>46204</v>
      </c>
      <c r="U554" s="1" t="s">
        <v>988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</row>
    <row r="555" spans="1:33" x14ac:dyDescent="0.25">
      <c r="A555" s="1">
        <v>487</v>
      </c>
      <c r="B555" s="1" t="s">
        <v>731</v>
      </c>
      <c r="C555" s="1" t="s">
        <v>647</v>
      </c>
      <c r="D555" s="1" t="s">
        <v>1033</v>
      </c>
      <c r="E555" s="1" t="s">
        <v>103</v>
      </c>
      <c r="F555" s="10">
        <v>46202</v>
      </c>
      <c r="G555" s="10">
        <v>46209</v>
      </c>
      <c r="H555" s="11">
        <v>0</v>
      </c>
      <c r="L555" s="1" t="s">
        <v>149</v>
      </c>
      <c r="M555" s="1" t="s">
        <v>390</v>
      </c>
      <c r="N555" s="2">
        <v>46204</v>
      </c>
      <c r="P555" s="1" t="s">
        <v>645</v>
      </c>
      <c r="Q555" s="1" t="s">
        <v>987</v>
      </c>
      <c r="R555" s="1" t="s">
        <v>55</v>
      </c>
      <c r="S555" s="2">
        <v>46196</v>
      </c>
      <c r="T555" s="2">
        <v>46204</v>
      </c>
      <c r="U555" s="1" t="s">
        <v>988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</row>
    <row r="556" spans="1:33" x14ac:dyDescent="0.25">
      <c r="A556" s="1">
        <v>492</v>
      </c>
      <c r="B556" s="1" t="s">
        <v>1034</v>
      </c>
      <c r="C556" s="1" t="s">
        <v>647</v>
      </c>
      <c r="D556" s="1" t="s">
        <v>1035</v>
      </c>
      <c r="E556" s="1" t="s">
        <v>103</v>
      </c>
      <c r="F556" s="10">
        <v>46202</v>
      </c>
      <c r="G556" s="10">
        <v>46209</v>
      </c>
      <c r="H556" s="11">
        <v>0</v>
      </c>
      <c r="L556" s="1" t="s">
        <v>149</v>
      </c>
      <c r="M556" s="1" t="s">
        <v>390</v>
      </c>
      <c r="N556" s="2">
        <v>46204</v>
      </c>
      <c r="P556" s="1" t="s">
        <v>645</v>
      </c>
      <c r="Q556" s="1" t="s">
        <v>987</v>
      </c>
      <c r="R556" s="1" t="s">
        <v>55</v>
      </c>
      <c r="S556" s="2">
        <v>46196</v>
      </c>
      <c r="T556" s="2">
        <v>46204</v>
      </c>
      <c r="U556" s="1" t="s">
        <v>988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{C38B9913-6019-4B98-81F7-5DFFCD9A7B52}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8B9913-6019-4B98-81F7-5DFFCD9A7B5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zoomScale="70" zoomScaleNormal="70" workbookViewId="0">
      <selection activeCell="F39" sqref="F39"/>
    </sheetView>
  </sheetViews>
  <sheetFormatPr defaultRowHeight="15" x14ac:dyDescent="0.25"/>
  <cols>
    <col min="1" max="1" width="32.140625" style="1" bestFit="1" customWidth="1"/>
    <col min="2" max="2" width="27" style="1" bestFit="1" customWidth="1"/>
    <col min="3" max="3" width="29.42578125" style="1" bestFit="1" customWidth="1"/>
    <col min="4" max="4" width="26.140625" style="1" bestFit="1" customWidth="1"/>
    <col min="5" max="5" width="32.7109375" style="1" bestFit="1" customWidth="1"/>
    <col min="6" max="6" width="40.5703125" style="1" bestFit="1" customWidth="1"/>
    <col min="7" max="7" width="24" style="1" bestFit="1" customWidth="1"/>
    <col min="8" max="8" width="9.5703125" style="1" bestFit="1" customWidth="1"/>
    <col min="9" max="16384" width="9.140625" style="1"/>
  </cols>
  <sheetData>
    <row r="1" spans="1:8" x14ac:dyDescent="0.25">
      <c r="A1" s="1" t="s">
        <v>1036</v>
      </c>
      <c r="B1" s="1">
        <v>102</v>
      </c>
    </row>
    <row r="2" spans="1:8" x14ac:dyDescent="0.25">
      <c r="A2" s="1" t="s">
        <v>1037</v>
      </c>
      <c r="B2" s="3">
        <v>0.59595959595959591</v>
      </c>
    </row>
    <row r="3" spans="1:8" x14ac:dyDescent="0.25">
      <c r="A3" s="1" t="s">
        <v>15</v>
      </c>
      <c r="B3" s="1" t="s">
        <v>22</v>
      </c>
      <c r="C3" s="1" t="s">
        <v>23</v>
      </c>
      <c r="D3" s="1" t="s">
        <v>1038</v>
      </c>
      <c r="E3" s="1" t="s">
        <v>26</v>
      </c>
      <c r="F3" s="1" t="s">
        <v>28</v>
      </c>
      <c r="G3" s="1" t="s">
        <v>30</v>
      </c>
      <c r="H3" s="1" t="s">
        <v>1039</v>
      </c>
    </row>
    <row r="4" spans="1:8" x14ac:dyDescent="0.25">
      <c r="A4" s="1" t="s">
        <v>645</v>
      </c>
      <c r="B4" s="1">
        <v>42</v>
      </c>
      <c r="C4" s="1">
        <v>37</v>
      </c>
      <c r="D4" s="3">
        <v>0.88095238095238093</v>
      </c>
      <c r="E4" s="1">
        <v>29</v>
      </c>
      <c r="F4" s="1">
        <v>0</v>
      </c>
      <c r="G4" s="1">
        <v>0</v>
      </c>
      <c r="H4" s="3">
        <v>0</v>
      </c>
    </row>
    <row r="5" spans="1:8" x14ac:dyDescent="0.25">
      <c r="A5" s="1" t="s">
        <v>964</v>
      </c>
      <c r="B5" s="1">
        <v>2</v>
      </c>
      <c r="C5" s="1">
        <v>0</v>
      </c>
      <c r="D5" s="3">
        <v>0</v>
      </c>
      <c r="E5" s="1">
        <v>0</v>
      </c>
      <c r="F5" s="1">
        <v>0</v>
      </c>
      <c r="G5" s="1">
        <v>0</v>
      </c>
      <c r="H5" s="3">
        <v>0</v>
      </c>
    </row>
    <row r="6" spans="1:8" x14ac:dyDescent="0.25">
      <c r="A6" s="1" t="s">
        <v>986</v>
      </c>
      <c r="B6" s="1">
        <v>0</v>
      </c>
      <c r="C6" s="1">
        <v>0</v>
      </c>
      <c r="D6" s="3">
        <v>0</v>
      </c>
      <c r="E6" s="1">
        <v>0</v>
      </c>
      <c r="F6" s="1">
        <v>0</v>
      </c>
      <c r="G6" s="1">
        <v>0</v>
      </c>
      <c r="H6" s="3">
        <v>0</v>
      </c>
    </row>
    <row r="7" spans="1:8" x14ac:dyDescent="0.25">
      <c r="A7" s="1" t="s">
        <v>605</v>
      </c>
      <c r="B7" s="1">
        <v>3</v>
      </c>
      <c r="C7" s="1">
        <v>3</v>
      </c>
      <c r="D7" s="3">
        <v>1</v>
      </c>
      <c r="E7" s="1">
        <v>2</v>
      </c>
      <c r="F7" s="1">
        <v>0</v>
      </c>
      <c r="G7" s="1">
        <v>0</v>
      </c>
      <c r="H7" s="3">
        <v>0</v>
      </c>
    </row>
    <row r="8" spans="1:8" x14ac:dyDescent="0.25">
      <c r="A8" s="1" t="s">
        <v>489</v>
      </c>
      <c r="B8" s="1">
        <v>14</v>
      </c>
      <c r="C8" s="1">
        <v>0</v>
      </c>
      <c r="D8" s="3">
        <v>0</v>
      </c>
      <c r="E8" s="1">
        <v>0</v>
      </c>
      <c r="F8" s="1">
        <v>0</v>
      </c>
      <c r="G8" s="1">
        <v>0</v>
      </c>
      <c r="H8" s="3">
        <v>0</v>
      </c>
    </row>
    <row r="9" spans="1:8" x14ac:dyDescent="0.25">
      <c r="A9" s="1" t="s">
        <v>37</v>
      </c>
      <c r="B9" s="1">
        <v>0</v>
      </c>
      <c r="C9" s="1">
        <v>0</v>
      </c>
      <c r="D9" s="3">
        <v>0</v>
      </c>
      <c r="E9" s="1">
        <v>0</v>
      </c>
      <c r="F9" s="1">
        <v>0</v>
      </c>
      <c r="G9" s="1">
        <v>0</v>
      </c>
      <c r="H9" s="3">
        <v>0</v>
      </c>
    </row>
    <row r="10" spans="1:8" x14ac:dyDescent="0.25">
      <c r="A10" s="1" t="s">
        <v>49</v>
      </c>
      <c r="B10" s="1">
        <v>0</v>
      </c>
      <c r="C10" s="1">
        <v>0</v>
      </c>
      <c r="D10" s="3">
        <v>0</v>
      </c>
      <c r="E10" s="1">
        <v>0</v>
      </c>
      <c r="F10" s="1">
        <v>0</v>
      </c>
      <c r="G10" s="1">
        <v>0</v>
      </c>
      <c r="H10" s="3">
        <v>0</v>
      </c>
    </row>
    <row r="11" spans="1:8" x14ac:dyDescent="0.25">
      <c r="A11" s="1" t="s">
        <v>155</v>
      </c>
      <c r="B11" s="1">
        <v>25</v>
      </c>
      <c r="C11" s="1">
        <v>14</v>
      </c>
      <c r="D11" s="3">
        <v>0.56000000000000005</v>
      </c>
      <c r="E11" s="1">
        <v>4</v>
      </c>
      <c r="F11" s="1">
        <v>1</v>
      </c>
      <c r="G11" s="1">
        <v>1</v>
      </c>
      <c r="H11" s="3">
        <v>0.04</v>
      </c>
    </row>
    <row r="12" spans="1:8" x14ac:dyDescent="0.25">
      <c r="A12" s="1" t="s">
        <v>81</v>
      </c>
      <c r="B12" s="1">
        <v>0</v>
      </c>
      <c r="C12" s="1">
        <v>0</v>
      </c>
      <c r="D12" s="3">
        <v>0</v>
      </c>
      <c r="E12" s="1">
        <v>0</v>
      </c>
      <c r="F12" s="1">
        <v>0</v>
      </c>
      <c r="G12" s="1">
        <v>0</v>
      </c>
      <c r="H12" s="3">
        <v>0</v>
      </c>
    </row>
    <row r="13" spans="1:8" x14ac:dyDescent="0.25">
      <c r="A13" s="1" t="s">
        <v>88</v>
      </c>
      <c r="B13" s="1">
        <v>2</v>
      </c>
      <c r="C13" s="1">
        <v>2</v>
      </c>
      <c r="D13" s="3">
        <v>1</v>
      </c>
      <c r="E13" s="1">
        <v>2</v>
      </c>
      <c r="F13" s="1">
        <v>2</v>
      </c>
      <c r="G13" s="1">
        <v>2</v>
      </c>
      <c r="H13" s="3">
        <v>1</v>
      </c>
    </row>
    <row r="14" spans="1:8" x14ac:dyDescent="0.25">
      <c r="A14" s="1" t="s">
        <v>132</v>
      </c>
      <c r="B14" s="1">
        <v>1</v>
      </c>
      <c r="C14" s="1">
        <v>1</v>
      </c>
      <c r="D14" s="3">
        <v>1</v>
      </c>
      <c r="E14" s="1">
        <v>1</v>
      </c>
      <c r="F14" s="1">
        <v>0</v>
      </c>
      <c r="G14" s="1">
        <v>0</v>
      </c>
      <c r="H14" s="3">
        <v>0</v>
      </c>
    </row>
    <row r="15" spans="1:8" x14ac:dyDescent="0.25">
      <c r="A15" s="1" t="s">
        <v>377</v>
      </c>
      <c r="B15" s="1">
        <v>13</v>
      </c>
      <c r="C15" s="1">
        <v>2</v>
      </c>
      <c r="D15" s="3">
        <v>0.15384615384615391</v>
      </c>
      <c r="E15" s="1">
        <v>0</v>
      </c>
      <c r="F15" s="1">
        <v>0</v>
      </c>
      <c r="G15" s="1">
        <v>0</v>
      </c>
      <c r="H15" s="3">
        <v>0</v>
      </c>
    </row>
    <row r="16" spans="1:8" x14ac:dyDescent="0.25">
      <c r="A16" s="1" t="s">
        <v>1055</v>
      </c>
      <c r="B16" s="1">
        <f>SUBTOTAL(109,Tabela3[Emissão inicial total])</f>
        <v>102</v>
      </c>
      <c r="C16" s="1">
        <f>SUBTOTAL(109,Tabela3[Emissão inicial concluída])</f>
        <v>59</v>
      </c>
      <c r="D16" s="3"/>
      <c r="E16" s="1">
        <f>SUBTOTAL(109,Tabela3[Avaliação do cliente concluída])</f>
        <v>38</v>
      </c>
      <c r="F16" s="1">
        <f>SUBTOTAL(109,Tabela3[Atendimento de comentário concluído])</f>
        <v>3</v>
      </c>
      <c r="G16" s="1">
        <f>SUBTOTAL(109,Tabela3[Aprovação concluída])</f>
        <v>3</v>
      </c>
      <c r="H16" s="3"/>
    </row>
    <row r="21" spans="1:5" x14ac:dyDescent="0.25">
      <c r="A21" s="1" t="s">
        <v>15</v>
      </c>
      <c r="B21" s="1" t="s">
        <v>24</v>
      </c>
      <c r="C21" s="1" t="s">
        <v>27</v>
      </c>
      <c r="D21" s="1" t="s">
        <v>29</v>
      </c>
      <c r="E21" s="1" t="s">
        <v>31</v>
      </c>
    </row>
    <row r="22" spans="1:5" x14ac:dyDescent="0.25">
      <c r="A22" s="1" t="s">
        <v>645</v>
      </c>
      <c r="B22" s="1">
        <v>1</v>
      </c>
      <c r="C22" s="1">
        <v>5</v>
      </c>
      <c r="D22" s="1">
        <v>31</v>
      </c>
      <c r="E22" s="1">
        <v>6</v>
      </c>
    </row>
    <row r="23" spans="1:5" x14ac:dyDescent="0.25">
      <c r="A23" s="1" t="s">
        <v>964</v>
      </c>
      <c r="B23" s="1">
        <v>0</v>
      </c>
      <c r="C23" s="1">
        <v>0</v>
      </c>
      <c r="D23" s="1">
        <v>0</v>
      </c>
      <c r="E23" s="1">
        <v>0</v>
      </c>
    </row>
    <row r="24" spans="1:5" x14ac:dyDescent="0.25">
      <c r="A24" s="1" t="s">
        <v>986</v>
      </c>
      <c r="B24" s="1">
        <v>0</v>
      </c>
      <c r="C24" s="1">
        <v>0</v>
      </c>
      <c r="D24" s="1">
        <v>0</v>
      </c>
      <c r="E24" s="1">
        <v>0</v>
      </c>
    </row>
    <row r="25" spans="1:5" x14ac:dyDescent="0.25">
      <c r="A25" s="1" t="s">
        <v>605</v>
      </c>
      <c r="B25" s="1">
        <v>0</v>
      </c>
      <c r="C25" s="1">
        <v>1</v>
      </c>
      <c r="D25" s="1">
        <v>2</v>
      </c>
      <c r="E25" s="1">
        <v>1</v>
      </c>
    </row>
    <row r="26" spans="1:5" x14ac:dyDescent="0.25">
      <c r="A26" s="1" t="s">
        <v>489</v>
      </c>
      <c r="B26" s="1">
        <v>1</v>
      </c>
      <c r="C26" s="1">
        <v>0</v>
      </c>
      <c r="D26" s="1">
        <v>0</v>
      </c>
      <c r="E26" s="1">
        <v>0</v>
      </c>
    </row>
    <row r="27" spans="1:5" x14ac:dyDescent="0.25">
      <c r="A27" s="1" t="s">
        <v>37</v>
      </c>
      <c r="B27" s="1">
        <v>0</v>
      </c>
      <c r="C27" s="1">
        <v>0</v>
      </c>
      <c r="D27" s="1">
        <v>0</v>
      </c>
      <c r="E27" s="1">
        <v>0</v>
      </c>
    </row>
    <row r="28" spans="1:5" x14ac:dyDescent="0.25">
      <c r="A28" s="1" t="s">
        <v>49</v>
      </c>
      <c r="B28" s="1">
        <v>0</v>
      </c>
      <c r="C28" s="1">
        <v>0</v>
      </c>
      <c r="D28" s="1">
        <v>0</v>
      </c>
      <c r="E28" s="1">
        <v>0</v>
      </c>
    </row>
    <row r="29" spans="1:5" x14ac:dyDescent="0.25">
      <c r="A29" s="1" t="s">
        <v>155</v>
      </c>
      <c r="B29" s="1">
        <v>3</v>
      </c>
      <c r="C29" s="1">
        <v>12</v>
      </c>
      <c r="D29" s="1">
        <v>12</v>
      </c>
      <c r="E29" s="1">
        <v>6</v>
      </c>
    </row>
    <row r="30" spans="1:5" x14ac:dyDescent="0.25">
      <c r="A30" s="1" t="s">
        <v>81</v>
      </c>
      <c r="B30" s="1">
        <v>0</v>
      </c>
      <c r="C30" s="1">
        <v>0</v>
      </c>
      <c r="D30" s="1">
        <v>0</v>
      </c>
      <c r="E30" s="1">
        <v>0</v>
      </c>
    </row>
    <row r="31" spans="1:5" x14ac:dyDescent="0.25">
      <c r="A31" s="1" t="s">
        <v>88</v>
      </c>
      <c r="B31" s="1">
        <v>0</v>
      </c>
      <c r="C31" s="1">
        <v>0</v>
      </c>
      <c r="D31" s="1">
        <v>0</v>
      </c>
      <c r="E31" s="1">
        <v>0</v>
      </c>
    </row>
    <row r="32" spans="1:5" x14ac:dyDescent="0.25">
      <c r="A32" s="1" t="s">
        <v>132</v>
      </c>
      <c r="B32" s="1">
        <v>0</v>
      </c>
      <c r="C32" s="1">
        <v>0</v>
      </c>
      <c r="D32" s="1">
        <v>1</v>
      </c>
      <c r="E32" s="1">
        <v>0</v>
      </c>
    </row>
    <row r="33" spans="1:5" x14ac:dyDescent="0.25">
      <c r="A33" s="1" t="s">
        <v>377</v>
      </c>
      <c r="B33" s="1">
        <v>0</v>
      </c>
      <c r="C33" s="1">
        <v>1</v>
      </c>
      <c r="D33" s="1">
        <v>1</v>
      </c>
      <c r="E33" s="1">
        <v>1</v>
      </c>
    </row>
    <row r="34" spans="1:5" x14ac:dyDescent="0.25">
      <c r="A34" s="1" t="s">
        <v>1055</v>
      </c>
      <c r="B34" s="1">
        <f>SUBTOTAL(109,Tabela4[Emissão Inicial Atrasada])</f>
        <v>5</v>
      </c>
      <c r="C34" s="1">
        <f>SUBTOTAL(109,Tabela4[Avaliação Cliente Atrasada])</f>
        <v>19</v>
      </c>
      <c r="D34" s="1">
        <f>SUBTOTAL(109,Tabela4[Atendimento Atrasado])</f>
        <v>47</v>
      </c>
      <c r="E34" s="1">
        <f>SUBTOTAL(109,Tabela4[Aprovação Atrasada])</f>
        <v>14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4"/>
  <sheetViews>
    <sheetView topLeftCell="A7" zoomScale="55" zoomScaleNormal="55" workbookViewId="0">
      <selection activeCell="AD18" sqref="AD18"/>
    </sheetView>
  </sheetViews>
  <sheetFormatPr defaultColWidth="13.7109375" defaultRowHeight="15" x14ac:dyDescent="0.25"/>
  <cols>
    <col min="1" max="1" width="13.7109375" style="5"/>
    <col min="2" max="9" width="13.7109375" style="4"/>
    <col min="10" max="11" width="13.7109375" style="6"/>
    <col min="12" max="12" width="13.7109375" style="4"/>
    <col min="13" max="14" width="13.7109375" style="6"/>
    <col min="15" max="16384" width="13.7109375" style="4"/>
  </cols>
  <sheetData>
    <row r="1" spans="1:15" ht="45" x14ac:dyDescent="0.25">
      <c r="A1" s="5" t="s">
        <v>1040</v>
      </c>
      <c r="B1" s="4" t="s">
        <v>1041</v>
      </c>
      <c r="C1" s="4" t="s">
        <v>1042</v>
      </c>
      <c r="D1" s="4" t="s">
        <v>1043</v>
      </c>
      <c r="E1" s="4" t="s">
        <v>1044</v>
      </c>
      <c r="F1" s="4" t="s">
        <v>1045</v>
      </c>
      <c r="G1" s="4" t="s">
        <v>1046</v>
      </c>
      <c r="H1" s="4" t="s">
        <v>1047</v>
      </c>
      <c r="I1" s="4" t="s">
        <v>1048</v>
      </c>
      <c r="J1" s="6" t="s">
        <v>1049</v>
      </c>
      <c r="K1" s="6" t="s">
        <v>1050</v>
      </c>
      <c r="L1" s="4" t="s">
        <v>1051</v>
      </c>
      <c r="M1" s="6" t="s">
        <v>1052</v>
      </c>
      <c r="N1" s="6" t="s">
        <v>1053</v>
      </c>
      <c r="O1" s="4" t="s">
        <v>1054</v>
      </c>
    </row>
    <row r="2" spans="1:15" x14ac:dyDescent="0.25">
      <c r="A2" s="5">
        <v>46101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6">
        <v>0</v>
      </c>
      <c r="K2" s="6">
        <v>0</v>
      </c>
      <c r="L2" s="4">
        <v>0</v>
      </c>
      <c r="M2" s="6">
        <v>0</v>
      </c>
      <c r="N2" s="6">
        <v>0</v>
      </c>
      <c r="O2" s="4">
        <v>0</v>
      </c>
    </row>
    <row r="3" spans="1:15" x14ac:dyDescent="0.25">
      <c r="A3" s="5">
        <v>46102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6">
        <v>0</v>
      </c>
      <c r="K3" s="6">
        <v>0</v>
      </c>
      <c r="L3" s="4">
        <v>0</v>
      </c>
      <c r="M3" s="6">
        <v>0</v>
      </c>
      <c r="N3" s="6">
        <v>0</v>
      </c>
      <c r="O3" s="4">
        <v>0</v>
      </c>
    </row>
    <row r="4" spans="1:15" x14ac:dyDescent="0.25">
      <c r="A4" s="5">
        <v>46103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6">
        <v>0</v>
      </c>
      <c r="K4" s="6">
        <v>0</v>
      </c>
      <c r="L4" s="4">
        <v>0</v>
      </c>
      <c r="M4" s="6">
        <v>0</v>
      </c>
      <c r="N4" s="6">
        <v>0</v>
      </c>
      <c r="O4" s="4">
        <v>0</v>
      </c>
    </row>
    <row r="5" spans="1:15" x14ac:dyDescent="0.25">
      <c r="A5" s="5">
        <v>46104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6">
        <v>0</v>
      </c>
      <c r="K5" s="6">
        <v>0</v>
      </c>
      <c r="L5" s="4">
        <v>0</v>
      </c>
      <c r="M5" s="6">
        <v>0</v>
      </c>
      <c r="N5" s="6">
        <v>0</v>
      </c>
      <c r="O5" s="4">
        <v>0</v>
      </c>
    </row>
    <row r="6" spans="1:15" x14ac:dyDescent="0.25">
      <c r="A6" s="5">
        <v>46105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6">
        <v>0</v>
      </c>
      <c r="K6" s="6">
        <v>0</v>
      </c>
      <c r="L6" s="4">
        <v>0</v>
      </c>
      <c r="M6" s="6">
        <v>0</v>
      </c>
      <c r="N6" s="6">
        <v>0</v>
      </c>
      <c r="O6" s="4">
        <v>0</v>
      </c>
    </row>
    <row r="7" spans="1:15" x14ac:dyDescent="0.25">
      <c r="A7" s="5">
        <v>46106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6">
        <v>0</v>
      </c>
      <c r="K7" s="6">
        <v>0</v>
      </c>
      <c r="L7" s="4">
        <v>0</v>
      </c>
      <c r="M7" s="6">
        <v>0</v>
      </c>
      <c r="N7" s="6">
        <v>0</v>
      </c>
      <c r="O7" s="4">
        <v>0</v>
      </c>
    </row>
    <row r="8" spans="1:15" x14ac:dyDescent="0.25">
      <c r="A8" s="5">
        <v>46107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6">
        <v>0</v>
      </c>
      <c r="K8" s="6">
        <v>0</v>
      </c>
      <c r="L8" s="4">
        <v>0</v>
      </c>
      <c r="M8" s="6">
        <v>0</v>
      </c>
      <c r="N8" s="6">
        <v>0</v>
      </c>
      <c r="O8" s="4">
        <v>0</v>
      </c>
    </row>
    <row r="9" spans="1:15" x14ac:dyDescent="0.25">
      <c r="A9" s="5">
        <v>46108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6">
        <v>0</v>
      </c>
      <c r="K9" s="6">
        <v>0</v>
      </c>
      <c r="L9" s="4">
        <v>0</v>
      </c>
      <c r="M9" s="6">
        <v>0</v>
      </c>
      <c r="N9" s="6">
        <v>0</v>
      </c>
      <c r="O9" s="4">
        <v>0</v>
      </c>
    </row>
    <row r="10" spans="1:15" x14ac:dyDescent="0.25">
      <c r="A10" s="5">
        <v>46109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6">
        <v>0</v>
      </c>
      <c r="K10" s="6">
        <v>0</v>
      </c>
      <c r="L10" s="4">
        <v>0</v>
      </c>
      <c r="M10" s="6">
        <v>0</v>
      </c>
      <c r="N10" s="6">
        <v>0</v>
      </c>
      <c r="O10" s="4">
        <v>0</v>
      </c>
    </row>
    <row r="11" spans="1:15" x14ac:dyDescent="0.25">
      <c r="A11" s="5">
        <v>46110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6">
        <v>0</v>
      </c>
      <c r="K11" s="6">
        <v>0</v>
      </c>
      <c r="L11" s="4">
        <v>0</v>
      </c>
      <c r="M11" s="6">
        <v>0</v>
      </c>
      <c r="N11" s="6">
        <v>0</v>
      </c>
      <c r="O11" s="4">
        <v>0</v>
      </c>
    </row>
    <row r="12" spans="1:15" x14ac:dyDescent="0.25">
      <c r="A12" s="5">
        <v>46111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6">
        <v>0</v>
      </c>
      <c r="K12" s="6">
        <v>0</v>
      </c>
      <c r="L12" s="4">
        <v>0</v>
      </c>
      <c r="M12" s="6">
        <v>0</v>
      </c>
      <c r="N12" s="6">
        <v>0</v>
      </c>
      <c r="O12" s="4">
        <v>0</v>
      </c>
    </row>
    <row r="13" spans="1:15" x14ac:dyDescent="0.25">
      <c r="A13" s="5">
        <v>46112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6">
        <v>0</v>
      </c>
      <c r="K13" s="6">
        <v>0</v>
      </c>
      <c r="L13" s="4">
        <v>0</v>
      </c>
      <c r="M13" s="6">
        <v>0</v>
      </c>
      <c r="N13" s="6">
        <v>0</v>
      </c>
      <c r="O13" s="4">
        <v>0</v>
      </c>
    </row>
    <row r="14" spans="1:15" x14ac:dyDescent="0.25">
      <c r="A14" s="5">
        <v>46113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6">
        <v>0</v>
      </c>
      <c r="K14" s="6">
        <v>0</v>
      </c>
      <c r="L14" s="4">
        <v>0</v>
      </c>
      <c r="M14" s="6">
        <v>0</v>
      </c>
      <c r="N14" s="6">
        <v>0</v>
      </c>
      <c r="O14" s="4">
        <v>0</v>
      </c>
    </row>
    <row r="15" spans="1:15" x14ac:dyDescent="0.25">
      <c r="A15" s="5">
        <v>46114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6">
        <v>0</v>
      </c>
      <c r="K15" s="6">
        <v>0</v>
      </c>
      <c r="L15" s="4">
        <v>0</v>
      </c>
      <c r="M15" s="6">
        <v>0</v>
      </c>
      <c r="N15" s="6">
        <v>0</v>
      </c>
      <c r="O15" s="4">
        <v>0</v>
      </c>
    </row>
    <row r="16" spans="1:15" x14ac:dyDescent="0.25">
      <c r="A16" s="5">
        <v>46115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6">
        <v>0</v>
      </c>
      <c r="K16" s="6">
        <v>0</v>
      </c>
      <c r="L16" s="4">
        <v>0</v>
      </c>
      <c r="M16" s="6">
        <v>0</v>
      </c>
      <c r="N16" s="6">
        <v>0</v>
      </c>
      <c r="O16" s="4">
        <v>0</v>
      </c>
    </row>
    <row r="17" spans="1:15" x14ac:dyDescent="0.25">
      <c r="A17" s="5">
        <v>46116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6">
        <v>0</v>
      </c>
      <c r="K17" s="6">
        <v>0</v>
      </c>
      <c r="L17" s="4">
        <v>0</v>
      </c>
      <c r="M17" s="6">
        <v>0</v>
      </c>
      <c r="N17" s="6">
        <v>0</v>
      </c>
      <c r="O17" s="4">
        <v>0</v>
      </c>
    </row>
    <row r="18" spans="1:15" x14ac:dyDescent="0.25">
      <c r="A18" s="5">
        <v>46117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6">
        <v>0</v>
      </c>
      <c r="K18" s="6">
        <v>0</v>
      </c>
      <c r="L18" s="4">
        <v>0</v>
      </c>
      <c r="M18" s="6">
        <v>0</v>
      </c>
      <c r="N18" s="6">
        <v>0</v>
      </c>
      <c r="O18" s="4">
        <v>0</v>
      </c>
    </row>
    <row r="19" spans="1:15" x14ac:dyDescent="0.25">
      <c r="A19" s="5">
        <v>46118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6">
        <v>0</v>
      </c>
      <c r="K19" s="6">
        <v>0</v>
      </c>
      <c r="L19" s="4">
        <v>0</v>
      </c>
      <c r="M19" s="6">
        <v>0</v>
      </c>
      <c r="N19" s="6">
        <v>0</v>
      </c>
      <c r="O19" s="4">
        <v>0</v>
      </c>
    </row>
    <row r="20" spans="1:15" x14ac:dyDescent="0.25">
      <c r="A20" s="5">
        <v>46119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6">
        <v>0</v>
      </c>
      <c r="K20" s="6">
        <v>0</v>
      </c>
      <c r="L20" s="4">
        <v>0</v>
      </c>
      <c r="M20" s="6">
        <v>0</v>
      </c>
      <c r="N20" s="6">
        <v>0</v>
      </c>
      <c r="O20" s="4">
        <v>0</v>
      </c>
    </row>
    <row r="21" spans="1:15" x14ac:dyDescent="0.25">
      <c r="A21" s="5">
        <v>46120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6">
        <v>0</v>
      </c>
      <c r="K21" s="6">
        <v>0</v>
      </c>
      <c r="L21" s="4">
        <v>0</v>
      </c>
      <c r="M21" s="6">
        <v>0</v>
      </c>
      <c r="N21" s="6">
        <v>0</v>
      </c>
      <c r="O21" s="4">
        <v>0</v>
      </c>
    </row>
    <row r="22" spans="1:15" x14ac:dyDescent="0.25">
      <c r="A22" s="5">
        <v>46121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6">
        <v>0</v>
      </c>
      <c r="K22" s="6">
        <v>0</v>
      </c>
      <c r="L22" s="4">
        <v>0</v>
      </c>
      <c r="M22" s="6">
        <v>0</v>
      </c>
      <c r="N22" s="6">
        <v>0</v>
      </c>
      <c r="O22" s="4">
        <v>0</v>
      </c>
    </row>
    <row r="23" spans="1:15" x14ac:dyDescent="0.25">
      <c r="A23" s="5">
        <v>46122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6">
        <v>0</v>
      </c>
      <c r="K23" s="6">
        <v>0</v>
      </c>
      <c r="L23" s="4">
        <v>0</v>
      </c>
      <c r="M23" s="6">
        <v>0</v>
      </c>
      <c r="N23" s="6">
        <v>0</v>
      </c>
      <c r="O23" s="4">
        <v>0</v>
      </c>
    </row>
    <row r="24" spans="1:15" x14ac:dyDescent="0.25">
      <c r="A24" s="5">
        <v>46123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6">
        <v>0</v>
      </c>
      <c r="K24" s="6">
        <v>0</v>
      </c>
      <c r="L24" s="4">
        <v>0</v>
      </c>
      <c r="M24" s="6">
        <v>0</v>
      </c>
      <c r="N24" s="6">
        <v>0</v>
      </c>
      <c r="O24" s="4">
        <v>0</v>
      </c>
    </row>
    <row r="25" spans="1:15" x14ac:dyDescent="0.25">
      <c r="A25" s="5">
        <v>46124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6">
        <v>0</v>
      </c>
      <c r="K25" s="6">
        <v>0</v>
      </c>
      <c r="L25" s="4">
        <v>0</v>
      </c>
      <c r="M25" s="6">
        <v>0</v>
      </c>
      <c r="N25" s="6">
        <v>0</v>
      </c>
      <c r="O25" s="4">
        <v>0</v>
      </c>
    </row>
    <row r="26" spans="1:15" x14ac:dyDescent="0.25">
      <c r="A26" s="5">
        <v>46125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6">
        <v>0</v>
      </c>
      <c r="K26" s="6">
        <v>0</v>
      </c>
      <c r="L26" s="4">
        <v>0</v>
      </c>
      <c r="M26" s="6">
        <v>0</v>
      </c>
      <c r="N26" s="6">
        <v>0</v>
      </c>
      <c r="O26" s="4">
        <v>0</v>
      </c>
    </row>
    <row r="27" spans="1:15" x14ac:dyDescent="0.25">
      <c r="A27" s="5">
        <v>46126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6">
        <v>0</v>
      </c>
      <c r="K27" s="6">
        <v>0</v>
      </c>
      <c r="L27" s="4">
        <v>0</v>
      </c>
      <c r="M27" s="6">
        <v>0</v>
      </c>
      <c r="N27" s="6">
        <v>0</v>
      </c>
      <c r="O27" s="4">
        <v>0</v>
      </c>
    </row>
    <row r="28" spans="1:15" x14ac:dyDescent="0.25">
      <c r="A28" s="5">
        <v>46127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6">
        <v>0</v>
      </c>
      <c r="K28" s="6">
        <v>0</v>
      </c>
      <c r="L28" s="4">
        <v>0</v>
      </c>
      <c r="M28" s="6">
        <v>0</v>
      </c>
      <c r="N28" s="6">
        <v>0</v>
      </c>
      <c r="O28" s="4">
        <v>0</v>
      </c>
    </row>
    <row r="29" spans="1:15" x14ac:dyDescent="0.25">
      <c r="A29" s="5">
        <v>46128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6">
        <v>0</v>
      </c>
      <c r="K29" s="6">
        <v>0</v>
      </c>
      <c r="L29" s="4">
        <v>0</v>
      </c>
      <c r="M29" s="6">
        <v>0</v>
      </c>
      <c r="N29" s="6">
        <v>0</v>
      </c>
      <c r="O29" s="4">
        <v>0</v>
      </c>
    </row>
    <row r="30" spans="1:15" x14ac:dyDescent="0.25">
      <c r="A30" s="5">
        <v>46129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6">
        <v>0</v>
      </c>
      <c r="K30" s="6">
        <v>0</v>
      </c>
      <c r="L30" s="4">
        <v>0</v>
      </c>
      <c r="M30" s="6">
        <v>0</v>
      </c>
      <c r="N30" s="6">
        <v>0</v>
      </c>
      <c r="O30" s="4">
        <v>0</v>
      </c>
    </row>
    <row r="31" spans="1:15" x14ac:dyDescent="0.25">
      <c r="A31" s="5">
        <v>46130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6">
        <v>0</v>
      </c>
      <c r="K31" s="6">
        <v>0</v>
      </c>
      <c r="L31" s="4">
        <v>0</v>
      </c>
      <c r="M31" s="6">
        <v>0</v>
      </c>
      <c r="N31" s="6">
        <v>0</v>
      </c>
      <c r="O31" s="4">
        <v>0</v>
      </c>
    </row>
    <row r="32" spans="1:15" x14ac:dyDescent="0.25">
      <c r="A32" s="5">
        <v>46131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6">
        <v>0</v>
      </c>
      <c r="K32" s="6">
        <v>0</v>
      </c>
      <c r="L32" s="4">
        <v>0</v>
      </c>
      <c r="M32" s="6">
        <v>0</v>
      </c>
      <c r="N32" s="6">
        <v>0</v>
      </c>
      <c r="O32" s="4">
        <v>0</v>
      </c>
    </row>
    <row r="33" spans="1:15" x14ac:dyDescent="0.25">
      <c r="A33" s="5">
        <v>46132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6">
        <v>0</v>
      </c>
      <c r="K33" s="6">
        <v>0</v>
      </c>
      <c r="L33" s="4">
        <v>0</v>
      </c>
      <c r="M33" s="6">
        <v>0</v>
      </c>
      <c r="N33" s="6">
        <v>0</v>
      </c>
      <c r="O33" s="4">
        <v>0</v>
      </c>
    </row>
    <row r="34" spans="1:15" x14ac:dyDescent="0.25">
      <c r="A34" s="5">
        <v>46133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6">
        <v>0</v>
      </c>
      <c r="K34" s="6">
        <v>0</v>
      </c>
      <c r="L34" s="4">
        <v>0</v>
      </c>
      <c r="M34" s="6">
        <v>0</v>
      </c>
      <c r="N34" s="6">
        <v>0</v>
      </c>
      <c r="O34" s="4">
        <v>0</v>
      </c>
    </row>
    <row r="35" spans="1:15" x14ac:dyDescent="0.25">
      <c r="A35" s="5">
        <v>46134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6">
        <v>0</v>
      </c>
      <c r="K35" s="6">
        <v>0</v>
      </c>
      <c r="L35" s="4">
        <v>0</v>
      </c>
      <c r="M35" s="6">
        <v>0</v>
      </c>
      <c r="N35" s="6">
        <v>0</v>
      </c>
      <c r="O35" s="4">
        <v>0</v>
      </c>
    </row>
    <row r="36" spans="1:15" x14ac:dyDescent="0.25">
      <c r="A36" s="5">
        <v>46135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6">
        <v>0</v>
      </c>
      <c r="K36" s="6">
        <v>0</v>
      </c>
      <c r="L36" s="4">
        <v>0</v>
      </c>
      <c r="M36" s="6">
        <v>0</v>
      </c>
      <c r="N36" s="6">
        <v>0</v>
      </c>
      <c r="O36" s="4">
        <v>0</v>
      </c>
    </row>
    <row r="37" spans="1:15" x14ac:dyDescent="0.25">
      <c r="A37" s="5">
        <v>46136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6">
        <v>0</v>
      </c>
      <c r="K37" s="6">
        <v>0</v>
      </c>
      <c r="L37" s="4">
        <v>0</v>
      </c>
      <c r="M37" s="6">
        <v>0</v>
      </c>
      <c r="N37" s="6">
        <v>0</v>
      </c>
      <c r="O37" s="4">
        <v>0</v>
      </c>
    </row>
    <row r="38" spans="1:15" x14ac:dyDescent="0.25">
      <c r="A38" s="5">
        <v>46137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6">
        <v>0</v>
      </c>
      <c r="K38" s="6">
        <v>0</v>
      </c>
      <c r="L38" s="4">
        <v>0</v>
      </c>
      <c r="M38" s="6">
        <v>0</v>
      </c>
      <c r="N38" s="6">
        <v>0</v>
      </c>
      <c r="O38" s="4">
        <v>0</v>
      </c>
    </row>
    <row r="39" spans="1:15" x14ac:dyDescent="0.25">
      <c r="A39" s="5">
        <v>46138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6">
        <v>0</v>
      </c>
      <c r="K39" s="6">
        <v>0</v>
      </c>
      <c r="L39" s="4">
        <v>0</v>
      </c>
      <c r="M39" s="6">
        <v>0</v>
      </c>
      <c r="N39" s="6">
        <v>0</v>
      </c>
      <c r="O39" s="4">
        <v>0</v>
      </c>
    </row>
    <row r="40" spans="1:15" x14ac:dyDescent="0.25">
      <c r="A40" s="5">
        <v>46139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6">
        <v>0</v>
      </c>
      <c r="K40" s="6">
        <v>0</v>
      </c>
      <c r="L40" s="4">
        <v>0</v>
      </c>
      <c r="M40" s="6">
        <v>0</v>
      </c>
      <c r="N40" s="6">
        <v>0</v>
      </c>
      <c r="O40" s="4">
        <v>0</v>
      </c>
    </row>
    <row r="41" spans="1:15" x14ac:dyDescent="0.25">
      <c r="A41" s="5">
        <v>46140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6">
        <v>0</v>
      </c>
      <c r="K41" s="6">
        <v>0</v>
      </c>
      <c r="L41" s="4">
        <v>0</v>
      </c>
      <c r="M41" s="6">
        <v>0</v>
      </c>
      <c r="N41" s="6">
        <v>0</v>
      </c>
      <c r="O41" s="4">
        <v>0</v>
      </c>
    </row>
    <row r="42" spans="1:15" x14ac:dyDescent="0.25">
      <c r="A42" s="5">
        <v>46141</v>
      </c>
      <c r="B42" s="4">
        <v>1</v>
      </c>
      <c r="C42" s="4">
        <v>1</v>
      </c>
      <c r="D42" s="4">
        <v>1</v>
      </c>
      <c r="E42" s="4">
        <v>1</v>
      </c>
      <c r="F42" s="4">
        <v>0</v>
      </c>
      <c r="G42" s="4">
        <v>0</v>
      </c>
      <c r="H42" s="4">
        <v>0</v>
      </c>
      <c r="I42" s="4">
        <v>0</v>
      </c>
      <c r="J42" s="6">
        <v>9.8039215686274508E-3</v>
      </c>
      <c r="K42" s="6">
        <v>9.8039215686274508E-3</v>
      </c>
      <c r="L42" s="4">
        <v>0</v>
      </c>
      <c r="M42" s="6">
        <v>0</v>
      </c>
      <c r="N42" s="6">
        <v>0</v>
      </c>
      <c r="O42" s="4">
        <v>0</v>
      </c>
    </row>
    <row r="43" spans="1:15" x14ac:dyDescent="0.25">
      <c r="A43" s="5">
        <v>46142</v>
      </c>
      <c r="B43" s="4">
        <v>0</v>
      </c>
      <c r="C43" s="4">
        <v>1</v>
      </c>
      <c r="D43" s="4">
        <v>0</v>
      </c>
      <c r="E43" s="4">
        <v>1</v>
      </c>
      <c r="F43" s="4">
        <v>0</v>
      </c>
      <c r="G43" s="4">
        <v>0</v>
      </c>
      <c r="H43" s="4">
        <v>0</v>
      </c>
      <c r="I43" s="4">
        <v>0</v>
      </c>
      <c r="J43" s="6">
        <v>9.8039215686274508E-3</v>
      </c>
      <c r="K43" s="6">
        <v>9.8039215686274508E-3</v>
      </c>
      <c r="L43" s="4">
        <v>0</v>
      </c>
      <c r="M43" s="6">
        <v>0</v>
      </c>
      <c r="N43" s="6">
        <v>0</v>
      </c>
      <c r="O43" s="4">
        <v>0</v>
      </c>
    </row>
    <row r="44" spans="1:15" x14ac:dyDescent="0.25">
      <c r="A44" s="5">
        <v>46143</v>
      </c>
      <c r="B44" s="4">
        <v>0</v>
      </c>
      <c r="C44" s="4">
        <v>1</v>
      </c>
      <c r="D44" s="4">
        <v>0</v>
      </c>
      <c r="E44" s="4">
        <v>1</v>
      </c>
      <c r="F44" s="4">
        <v>0</v>
      </c>
      <c r="G44" s="4">
        <v>0</v>
      </c>
      <c r="H44" s="4">
        <v>0</v>
      </c>
      <c r="I44" s="4">
        <v>0</v>
      </c>
      <c r="J44" s="6">
        <v>9.8039215686274508E-3</v>
      </c>
      <c r="K44" s="6">
        <v>9.8039215686274508E-3</v>
      </c>
      <c r="L44" s="4">
        <v>0</v>
      </c>
      <c r="M44" s="6">
        <v>0</v>
      </c>
      <c r="N44" s="6">
        <v>0</v>
      </c>
      <c r="O44" s="4">
        <v>0</v>
      </c>
    </row>
    <row r="45" spans="1:15" x14ac:dyDescent="0.25">
      <c r="A45" s="5">
        <v>46144</v>
      </c>
      <c r="B45" s="4">
        <v>0</v>
      </c>
      <c r="C45" s="4">
        <v>1</v>
      </c>
      <c r="D45" s="4">
        <v>0</v>
      </c>
      <c r="E45" s="4">
        <v>1</v>
      </c>
      <c r="F45" s="4">
        <v>0</v>
      </c>
      <c r="G45" s="4">
        <v>0</v>
      </c>
      <c r="H45" s="4">
        <v>0</v>
      </c>
      <c r="I45" s="4">
        <v>0</v>
      </c>
      <c r="J45" s="6">
        <v>9.8039215686274508E-3</v>
      </c>
      <c r="K45" s="6">
        <v>9.8039215686274508E-3</v>
      </c>
      <c r="L45" s="4">
        <v>0</v>
      </c>
      <c r="M45" s="6">
        <v>0</v>
      </c>
      <c r="N45" s="6">
        <v>0</v>
      </c>
      <c r="O45" s="4">
        <v>0</v>
      </c>
    </row>
    <row r="46" spans="1:15" x14ac:dyDescent="0.25">
      <c r="A46" s="5">
        <v>46145</v>
      </c>
      <c r="B46" s="4">
        <v>0</v>
      </c>
      <c r="C46" s="4">
        <v>1</v>
      </c>
      <c r="D46" s="4">
        <v>0</v>
      </c>
      <c r="E46" s="4">
        <v>1</v>
      </c>
      <c r="F46" s="4">
        <v>0</v>
      </c>
      <c r="G46" s="4">
        <v>0</v>
      </c>
      <c r="H46" s="4">
        <v>0</v>
      </c>
      <c r="I46" s="4">
        <v>0</v>
      </c>
      <c r="J46" s="6">
        <v>9.8039215686274508E-3</v>
      </c>
      <c r="K46" s="6">
        <v>9.8039215686274508E-3</v>
      </c>
      <c r="L46" s="4">
        <v>0</v>
      </c>
      <c r="M46" s="6">
        <v>0</v>
      </c>
      <c r="N46" s="6">
        <v>0</v>
      </c>
      <c r="O46" s="4">
        <v>0</v>
      </c>
    </row>
    <row r="47" spans="1:15" x14ac:dyDescent="0.25">
      <c r="A47" s="5">
        <v>46146</v>
      </c>
      <c r="B47" s="4">
        <v>1</v>
      </c>
      <c r="C47" s="4">
        <v>2</v>
      </c>
      <c r="D47" s="4">
        <v>1</v>
      </c>
      <c r="E47" s="4">
        <v>2</v>
      </c>
      <c r="F47" s="4">
        <v>0</v>
      </c>
      <c r="G47" s="4">
        <v>0</v>
      </c>
      <c r="H47" s="4">
        <v>0</v>
      </c>
      <c r="I47" s="4">
        <v>0</v>
      </c>
      <c r="J47" s="6">
        <v>1.9607843137254902E-2</v>
      </c>
      <c r="K47" s="6">
        <v>1.9607843137254902E-2</v>
      </c>
      <c r="L47" s="4">
        <v>0</v>
      </c>
      <c r="M47" s="6">
        <v>0</v>
      </c>
      <c r="N47" s="6">
        <v>0</v>
      </c>
      <c r="O47" s="4">
        <v>0</v>
      </c>
    </row>
    <row r="48" spans="1:15" x14ac:dyDescent="0.25">
      <c r="A48" s="5">
        <v>46147</v>
      </c>
      <c r="B48" s="4">
        <v>0</v>
      </c>
      <c r="C48" s="4">
        <v>2</v>
      </c>
      <c r="D48" s="4">
        <v>0</v>
      </c>
      <c r="E48" s="4">
        <v>2</v>
      </c>
      <c r="F48" s="4">
        <v>0</v>
      </c>
      <c r="G48" s="4">
        <v>0</v>
      </c>
      <c r="H48" s="4">
        <v>0</v>
      </c>
      <c r="I48" s="4">
        <v>0</v>
      </c>
      <c r="J48" s="6">
        <v>1.9607843137254902E-2</v>
      </c>
      <c r="K48" s="6">
        <v>1.9607843137254902E-2</v>
      </c>
      <c r="L48" s="4">
        <v>0</v>
      </c>
      <c r="M48" s="6">
        <v>0</v>
      </c>
      <c r="N48" s="6">
        <v>0</v>
      </c>
      <c r="O48" s="4">
        <v>0</v>
      </c>
    </row>
    <row r="49" spans="1:15" x14ac:dyDescent="0.25">
      <c r="A49" s="5">
        <v>46148</v>
      </c>
      <c r="B49" s="4">
        <v>0</v>
      </c>
      <c r="C49" s="4">
        <v>2</v>
      </c>
      <c r="D49" s="4">
        <v>0</v>
      </c>
      <c r="E49" s="4">
        <v>2</v>
      </c>
      <c r="F49" s="4">
        <v>0</v>
      </c>
      <c r="G49" s="4">
        <v>0</v>
      </c>
      <c r="H49" s="4">
        <v>0</v>
      </c>
      <c r="I49" s="4">
        <v>0</v>
      </c>
      <c r="J49" s="6">
        <v>1.9607843137254902E-2</v>
      </c>
      <c r="K49" s="6">
        <v>1.9607843137254902E-2</v>
      </c>
      <c r="L49" s="4">
        <v>0</v>
      </c>
      <c r="M49" s="6">
        <v>0</v>
      </c>
      <c r="N49" s="6">
        <v>0</v>
      </c>
      <c r="O49" s="4">
        <v>0</v>
      </c>
    </row>
    <row r="50" spans="1:15" x14ac:dyDescent="0.25">
      <c r="A50" s="5">
        <v>46149</v>
      </c>
      <c r="B50" s="4">
        <v>0</v>
      </c>
      <c r="C50" s="4">
        <v>2</v>
      </c>
      <c r="D50" s="4">
        <v>0</v>
      </c>
      <c r="E50" s="4">
        <v>2</v>
      </c>
      <c r="F50" s="4">
        <v>0</v>
      </c>
      <c r="G50" s="4">
        <v>0</v>
      </c>
      <c r="H50" s="4">
        <v>0</v>
      </c>
      <c r="I50" s="4">
        <v>0</v>
      </c>
      <c r="J50" s="6">
        <v>1.9607843137254902E-2</v>
      </c>
      <c r="K50" s="6">
        <v>1.9607843137254902E-2</v>
      </c>
      <c r="L50" s="4">
        <v>0</v>
      </c>
      <c r="M50" s="6">
        <v>0</v>
      </c>
      <c r="N50" s="6">
        <v>0</v>
      </c>
      <c r="O50" s="4">
        <v>0</v>
      </c>
    </row>
    <row r="51" spans="1:15" x14ac:dyDescent="0.25">
      <c r="A51" s="5">
        <v>46150</v>
      </c>
      <c r="B51" s="4">
        <v>0</v>
      </c>
      <c r="C51" s="4">
        <v>2</v>
      </c>
      <c r="D51" s="4">
        <v>0</v>
      </c>
      <c r="E51" s="4">
        <v>2</v>
      </c>
      <c r="F51" s="4">
        <v>0</v>
      </c>
      <c r="G51" s="4">
        <v>0</v>
      </c>
      <c r="H51" s="4">
        <v>0</v>
      </c>
      <c r="I51" s="4">
        <v>0</v>
      </c>
      <c r="J51" s="6">
        <v>1.9607843137254902E-2</v>
      </c>
      <c r="K51" s="6">
        <v>1.9607843137254902E-2</v>
      </c>
      <c r="L51" s="4">
        <v>0</v>
      </c>
      <c r="M51" s="6">
        <v>0</v>
      </c>
      <c r="N51" s="6">
        <v>0</v>
      </c>
      <c r="O51" s="4">
        <v>0</v>
      </c>
    </row>
    <row r="52" spans="1:15" x14ac:dyDescent="0.25">
      <c r="A52" s="5">
        <v>46151</v>
      </c>
      <c r="B52" s="4">
        <v>0</v>
      </c>
      <c r="C52" s="4">
        <v>2</v>
      </c>
      <c r="D52" s="4">
        <v>0</v>
      </c>
      <c r="E52" s="4">
        <v>2</v>
      </c>
      <c r="F52" s="4">
        <v>0</v>
      </c>
      <c r="G52" s="4">
        <v>0</v>
      </c>
      <c r="H52" s="4">
        <v>0</v>
      </c>
      <c r="I52" s="4">
        <v>0</v>
      </c>
      <c r="J52" s="6">
        <v>1.9607843137254902E-2</v>
      </c>
      <c r="K52" s="6">
        <v>1.9607843137254902E-2</v>
      </c>
      <c r="L52" s="4">
        <v>0</v>
      </c>
      <c r="M52" s="6">
        <v>0</v>
      </c>
      <c r="N52" s="6">
        <v>0</v>
      </c>
      <c r="O52" s="4">
        <v>0</v>
      </c>
    </row>
    <row r="53" spans="1:15" x14ac:dyDescent="0.25">
      <c r="A53" s="5">
        <v>46152</v>
      </c>
      <c r="B53" s="4">
        <v>0</v>
      </c>
      <c r="C53" s="4">
        <v>2</v>
      </c>
      <c r="D53" s="4">
        <v>0</v>
      </c>
      <c r="E53" s="4">
        <v>2</v>
      </c>
      <c r="F53" s="4">
        <v>0</v>
      </c>
      <c r="G53" s="4">
        <v>0</v>
      </c>
      <c r="H53" s="4">
        <v>0</v>
      </c>
      <c r="I53" s="4">
        <v>0</v>
      </c>
      <c r="J53" s="6">
        <v>1.9607843137254902E-2</v>
      </c>
      <c r="K53" s="6">
        <v>1.9607843137254902E-2</v>
      </c>
      <c r="L53" s="4">
        <v>0</v>
      </c>
      <c r="M53" s="6">
        <v>0</v>
      </c>
      <c r="N53" s="6">
        <v>0</v>
      </c>
      <c r="O53" s="4">
        <v>0</v>
      </c>
    </row>
    <row r="54" spans="1:15" x14ac:dyDescent="0.25">
      <c r="A54" s="5">
        <v>46153</v>
      </c>
      <c r="B54" s="4">
        <v>0</v>
      </c>
      <c r="C54" s="4">
        <v>2</v>
      </c>
      <c r="D54" s="4">
        <v>0</v>
      </c>
      <c r="E54" s="4">
        <v>2</v>
      </c>
      <c r="F54" s="4">
        <v>0</v>
      </c>
      <c r="G54" s="4">
        <v>0</v>
      </c>
      <c r="H54" s="4">
        <v>0</v>
      </c>
      <c r="I54" s="4">
        <v>0</v>
      </c>
      <c r="J54" s="6">
        <v>1.9607843137254902E-2</v>
      </c>
      <c r="K54" s="6">
        <v>1.9607843137254902E-2</v>
      </c>
      <c r="L54" s="4">
        <v>0</v>
      </c>
      <c r="M54" s="6">
        <v>0</v>
      </c>
      <c r="N54" s="6">
        <v>0</v>
      </c>
      <c r="O54" s="4">
        <v>0</v>
      </c>
    </row>
    <row r="55" spans="1:15" x14ac:dyDescent="0.25">
      <c r="A55" s="5">
        <v>46154</v>
      </c>
      <c r="B55" s="4">
        <v>0</v>
      </c>
      <c r="C55" s="4">
        <v>2</v>
      </c>
      <c r="D55" s="4">
        <v>0</v>
      </c>
      <c r="E55" s="4">
        <v>2</v>
      </c>
      <c r="F55" s="4">
        <v>0</v>
      </c>
      <c r="G55" s="4">
        <v>0</v>
      </c>
      <c r="H55" s="4">
        <v>0</v>
      </c>
      <c r="I55" s="4">
        <v>0</v>
      </c>
      <c r="J55" s="6">
        <v>1.9607843137254902E-2</v>
      </c>
      <c r="K55" s="6">
        <v>1.9607843137254902E-2</v>
      </c>
      <c r="L55" s="4">
        <v>0</v>
      </c>
      <c r="M55" s="6">
        <v>0</v>
      </c>
      <c r="N55" s="6">
        <v>0</v>
      </c>
      <c r="O55" s="4">
        <v>0</v>
      </c>
    </row>
    <row r="56" spans="1:15" x14ac:dyDescent="0.25">
      <c r="A56" s="5">
        <v>46155</v>
      </c>
      <c r="B56" s="4">
        <v>0</v>
      </c>
      <c r="C56" s="4">
        <v>2</v>
      </c>
      <c r="D56" s="4">
        <v>0</v>
      </c>
      <c r="E56" s="4">
        <v>2</v>
      </c>
      <c r="F56" s="4">
        <v>0</v>
      </c>
      <c r="G56" s="4">
        <v>0</v>
      </c>
      <c r="H56" s="4">
        <v>0</v>
      </c>
      <c r="I56" s="4">
        <v>0</v>
      </c>
      <c r="J56" s="6">
        <v>1.9607843137254902E-2</v>
      </c>
      <c r="K56" s="6">
        <v>1.9607843137254902E-2</v>
      </c>
      <c r="L56" s="4">
        <v>0</v>
      </c>
      <c r="M56" s="6">
        <v>0</v>
      </c>
      <c r="N56" s="6">
        <v>0</v>
      </c>
      <c r="O56" s="4">
        <v>0</v>
      </c>
    </row>
    <row r="57" spans="1:15" x14ac:dyDescent="0.25">
      <c r="A57" s="5">
        <v>46156</v>
      </c>
      <c r="B57" s="4">
        <v>0</v>
      </c>
      <c r="C57" s="4">
        <v>2</v>
      </c>
      <c r="D57" s="4">
        <v>0</v>
      </c>
      <c r="E57" s="4">
        <v>2</v>
      </c>
      <c r="F57" s="4">
        <v>0</v>
      </c>
      <c r="G57" s="4">
        <v>0</v>
      </c>
      <c r="H57" s="4">
        <v>0</v>
      </c>
      <c r="I57" s="4">
        <v>0</v>
      </c>
      <c r="J57" s="6">
        <v>1.9607843137254902E-2</v>
      </c>
      <c r="K57" s="6">
        <v>1.9607843137254902E-2</v>
      </c>
      <c r="L57" s="4">
        <v>0</v>
      </c>
      <c r="M57" s="6">
        <v>0</v>
      </c>
      <c r="N57" s="6">
        <v>0</v>
      </c>
      <c r="O57" s="4">
        <v>0</v>
      </c>
    </row>
    <row r="58" spans="1:15" x14ac:dyDescent="0.25">
      <c r="A58" s="5">
        <v>46157</v>
      </c>
      <c r="B58" s="4">
        <v>0</v>
      </c>
      <c r="C58" s="4">
        <v>2</v>
      </c>
      <c r="D58" s="4">
        <v>0</v>
      </c>
      <c r="E58" s="4">
        <v>2</v>
      </c>
      <c r="F58" s="4">
        <v>0</v>
      </c>
      <c r="G58" s="4">
        <v>0</v>
      </c>
      <c r="H58" s="4">
        <v>0</v>
      </c>
      <c r="I58" s="4">
        <v>0</v>
      </c>
      <c r="J58" s="6">
        <v>1.9607843137254902E-2</v>
      </c>
      <c r="K58" s="6">
        <v>1.9607843137254902E-2</v>
      </c>
      <c r="L58" s="4">
        <v>0</v>
      </c>
      <c r="M58" s="6">
        <v>0</v>
      </c>
      <c r="N58" s="6">
        <v>0</v>
      </c>
      <c r="O58" s="4">
        <v>0</v>
      </c>
    </row>
    <row r="59" spans="1:15" x14ac:dyDescent="0.25">
      <c r="A59" s="5">
        <v>46158</v>
      </c>
      <c r="B59" s="4">
        <v>0</v>
      </c>
      <c r="C59" s="4">
        <v>2</v>
      </c>
      <c r="D59" s="4">
        <v>0</v>
      </c>
      <c r="E59" s="4">
        <v>2</v>
      </c>
      <c r="F59" s="4">
        <v>0</v>
      </c>
      <c r="G59" s="4">
        <v>0</v>
      </c>
      <c r="H59" s="4">
        <v>0</v>
      </c>
      <c r="I59" s="4">
        <v>0</v>
      </c>
      <c r="J59" s="6">
        <v>1.9607843137254902E-2</v>
      </c>
      <c r="K59" s="6">
        <v>1.9607843137254902E-2</v>
      </c>
      <c r="L59" s="4">
        <v>0</v>
      </c>
      <c r="M59" s="6">
        <v>0</v>
      </c>
      <c r="N59" s="6">
        <v>0</v>
      </c>
      <c r="O59" s="4">
        <v>0</v>
      </c>
    </row>
    <row r="60" spans="1:15" x14ac:dyDescent="0.25">
      <c r="A60" s="5">
        <v>46159</v>
      </c>
      <c r="B60" s="4">
        <v>0</v>
      </c>
      <c r="C60" s="4">
        <v>2</v>
      </c>
      <c r="D60" s="4">
        <v>0</v>
      </c>
      <c r="E60" s="4">
        <v>2</v>
      </c>
      <c r="F60" s="4">
        <v>0</v>
      </c>
      <c r="G60" s="4">
        <v>0</v>
      </c>
      <c r="H60" s="4">
        <v>0</v>
      </c>
      <c r="I60" s="4">
        <v>0</v>
      </c>
      <c r="J60" s="6">
        <v>1.9607843137254902E-2</v>
      </c>
      <c r="K60" s="6">
        <v>1.9607843137254902E-2</v>
      </c>
      <c r="L60" s="4">
        <v>0</v>
      </c>
      <c r="M60" s="6">
        <v>0</v>
      </c>
      <c r="N60" s="6">
        <v>0</v>
      </c>
      <c r="O60" s="4">
        <v>0</v>
      </c>
    </row>
    <row r="61" spans="1:15" x14ac:dyDescent="0.25">
      <c r="A61" s="5">
        <v>46160</v>
      </c>
      <c r="B61" s="4">
        <v>0</v>
      </c>
      <c r="C61" s="4">
        <v>2</v>
      </c>
      <c r="D61" s="4">
        <v>0</v>
      </c>
      <c r="E61" s="4">
        <v>2</v>
      </c>
      <c r="F61" s="4">
        <v>0</v>
      </c>
      <c r="G61" s="4">
        <v>0</v>
      </c>
      <c r="H61" s="4">
        <v>0</v>
      </c>
      <c r="I61" s="4">
        <v>0</v>
      </c>
      <c r="J61" s="6">
        <v>1.9607843137254902E-2</v>
      </c>
      <c r="K61" s="6">
        <v>1.9607843137254902E-2</v>
      </c>
      <c r="L61" s="4">
        <v>0</v>
      </c>
      <c r="M61" s="6">
        <v>0</v>
      </c>
      <c r="N61" s="6">
        <v>0</v>
      </c>
      <c r="O61" s="4">
        <v>0</v>
      </c>
    </row>
    <row r="62" spans="1:15" x14ac:dyDescent="0.25">
      <c r="A62" s="5">
        <v>46161</v>
      </c>
      <c r="B62" s="4">
        <v>1</v>
      </c>
      <c r="C62" s="4">
        <v>3</v>
      </c>
      <c r="D62" s="4">
        <v>0</v>
      </c>
      <c r="E62" s="4">
        <v>2</v>
      </c>
      <c r="F62" s="4">
        <v>2</v>
      </c>
      <c r="G62" s="4">
        <v>0</v>
      </c>
      <c r="H62" s="4">
        <v>2</v>
      </c>
      <c r="I62" s="4">
        <v>0</v>
      </c>
      <c r="J62" s="6">
        <v>2.9411764705882349E-2</v>
      </c>
      <c r="K62" s="6">
        <v>1.9607843137254902E-2</v>
      </c>
      <c r="L62" s="4">
        <v>-1</v>
      </c>
      <c r="M62" s="6">
        <v>1.9607843137254902E-2</v>
      </c>
      <c r="N62" s="6">
        <v>0</v>
      </c>
      <c r="O62" s="4">
        <v>-1</v>
      </c>
    </row>
    <row r="63" spans="1:15" x14ac:dyDescent="0.25">
      <c r="A63" s="5">
        <v>46162</v>
      </c>
      <c r="B63" s="4">
        <v>1</v>
      </c>
      <c r="C63" s="4">
        <v>4</v>
      </c>
      <c r="D63" s="4">
        <v>0</v>
      </c>
      <c r="E63" s="4">
        <v>2</v>
      </c>
      <c r="F63" s="4">
        <v>0</v>
      </c>
      <c r="G63" s="4">
        <v>0</v>
      </c>
      <c r="H63" s="4">
        <v>2</v>
      </c>
      <c r="I63" s="4">
        <v>0</v>
      </c>
      <c r="J63" s="6">
        <v>3.9215686274509803E-2</v>
      </c>
      <c r="K63" s="6">
        <v>1.9607843137254902E-2</v>
      </c>
      <c r="L63" s="4">
        <v>-1</v>
      </c>
      <c r="M63" s="6">
        <v>1.9607843137254902E-2</v>
      </c>
      <c r="N63" s="6">
        <v>0</v>
      </c>
      <c r="O63" s="4">
        <v>-1</v>
      </c>
    </row>
    <row r="64" spans="1:15" x14ac:dyDescent="0.25">
      <c r="A64" s="5">
        <v>46163</v>
      </c>
      <c r="B64" s="4">
        <v>4</v>
      </c>
      <c r="C64" s="4">
        <v>8</v>
      </c>
      <c r="D64" s="4">
        <v>0</v>
      </c>
      <c r="E64" s="4">
        <v>2</v>
      </c>
      <c r="F64" s="4">
        <v>0</v>
      </c>
      <c r="G64" s="4">
        <v>0</v>
      </c>
      <c r="H64" s="4">
        <v>2</v>
      </c>
      <c r="I64" s="4">
        <v>0</v>
      </c>
      <c r="J64" s="6">
        <v>7.8431372549019607E-2</v>
      </c>
      <c r="K64" s="6">
        <v>1.9607843137254902E-2</v>
      </c>
      <c r="L64" s="4">
        <v>-1</v>
      </c>
      <c r="M64" s="6">
        <v>1.9607843137254902E-2</v>
      </c>
      <c r="N64" s="6">
        <v>0</v>
      </c>
      <c r="O64" s="4">
        <v>-1</v>
      </c>
    </row>
    <row r="65" spans="1:15" x14ac:dyDescent="0.25">
      <c r="A65" s="5">
        <v>46164</v>
      </c>
      <c r="B65" s="4">
        <v>0</v>
      </c>
      <c r="C65" s="4">
        <v>8</v>
      </c>
      <c r="D65" s="4">
        <v>0</v>
      </c>
      <c r="E65" s="4">
        <v>2</v>
      </c>
      <c r="F65" s="4">
        <v>0</v>
      </c>
      <c r="G65" s="4">
        <v>0</v>
      </c>
      <c r="H65" s="4">
        <v>2</v>
      </c>
      <c r="I65" s="4">
        <v>0</v>
      </c>
      <c r="J65" s="6">
        <v>7.8431372549019607E-2</v>
      </c>
      <c r="K65" s="6">
        <v>1.9607843137254902E-2</v>
      </c>
      <c r="L65" s="4">
        <v>-1</v>
      </c>
      <c r="M65" s="6">
        <v>1.9607843137254902E-2</v>
      </c>
      <c r="N65" s="6">
        <v>0</v>
      </c>
      <c r="O65" s="4">
        <v>-1</v>
      </c>
    </row>
    <row r="66" spans="1:15" x14ac:dyDescent="0.25">
      <c r="A66" s="5">
        <v>46165</v>
      </c>
      <c r="B66" s="4">
        <v>0</v>
      </c>
      <c r="C66" s="4">
        <v>8</v>
      </c>
      <c r="D66" s="4">
        <v>0</v>
      </c>
      <c r="E66" s="4">
        <v>2</v>
      </c>
      <c r="F66" s="4">
        <v>0</v>
      </c>
      <c r="G66" s="4">
        <v>0</v>
      </c>
      <c r="H66" s="4">
        <v>2</v>
      </c>
      <c r="I66" s="4">
        <v>0</v>
      </c>
      <c r="J66" s="6">
        <v>7.8431372549019607E-2</v>
      </c>
      <c r="K66" s="6">
        <v>1.9607843137254902E-2</v>
      </c>
      <c r="L66" s="4">
        <v>-1</v>
      </c>
      <c r="M66" s="6">
        <v>1.9607843137254902E-2</v>
      </c>
      <c r="N66" s="6">
        <v>0</v>
      </c>
      <c r="O66" s="4">
        <v>-1</v>
      </c>
    </row>
    <row r="67" spans="1:15" x14ac:dyDescent="0.25">
      <c r="A67" s="5">
        <v>46166</v>
      </c>
      <c r="B67" s="4">
        <v>0</v>
      </c>
      <c r="C67" s="4">
        <v>8</v>
      </c>
      <c r="D67" s="4">
        <v>0</v>
      </c>
      <c r="E67" s="4">
        <v>2</v>
      </c>
      <c r="F67" s="4">
        <v>0</v>
      </c>
      <c r="G67" s="4">
        <v>0</v>
      </c>
      <c r="H67" s="4">
        <v>2</v>
      </c>
      <c r="I67" s="4">
        <v>0</v>
      </c>
      <c r="J67" s="6">
        <v>7.8431372549019607E-2</v>
      </c>
      <c r="K67" s="6">
        <v>1.9607843137254902E-2</v>
      </c>
      <c r="L67" s="4">
        <v>-1</v>
      </c>
      <c r="M67" s="6">
        <v>1.9607843137254902E-2</v>
      </c>
      <c r="N67" s="6">
        <v>0</v>
      </c>
      <c r="O67" s="4">
        <v>-1</v>
      </c>
    </row>
    <row r="68" spans="1:15" x14ac:dyDescent="0.25">
      <c r="A68" s="5">
        <v>46167</v>
      </c>
      <c r="B68" s="4">
        <v>1</v>
      </c>
      <c r="C68" s="4">
        <v>9</v>
      </c>
      <c r="D68" s="4">
        <v>0</v>
      </c>
      <c r="E68" s="4">
        <v>2</v>
      </c>
      <c r="F68" s="4">
        <v>1</v>
      </c>
      <c r="G68" s="4">
        <v>0</v>
      </c>
      <c r="H68" s="4">
        <v>3</v>
      </c>
      <c r="I68" s="4">
        <v>0</v>
      </c>
      <c r="J68" s="6">
        <v>8.8235294117647065E-2</v>
      </c>
      <c r="K68" s="6">
        <v>1.9607843137254902E-2</v>
      </c>
      <c r="L68" s="4">
        <v>-1</v>
      </c>
      <c r="M68" s="6">
        <v>2.9411764705882349E-2</v>
      </c>
      <c r="N68" s="6">
        <v>0</v>
      </c>
      <c r="O68" s="4">
        <v>-1</v>
      </c>
    </row>
    <row r="69" spans="1:15" x14ac:dyDescent="0.25">
      <c r="A69" s="5">
        <v>46168</v>
      </c>
      <c r="B69" s="4">
        <v>2</v>
      </c>
      <c r="C69" s="4">
        <v>11</v>
      </c>
      <c r="D69" s="4">
        <v>1</v>
      </c>
      <c r="E69" s="4">
        <v>3</v>
      </c>
      <c r="F69" s="4">
        <v>1</v>
      </c>
      <c r="G69" s="4">
        <v>0</v>
      </c>
      <c r="H69" s="4">
        <v>4</v>
      </c>
      <c r="I69" s="4">
        <v>0</v>
      </c>
      <c r="J69" s="6">
        <v>0.10784313725490199</v>
      </c>
      <c r="K69" s="6">
        <v>2.9411764705882349E-2</v>
      </c>
      <c r="L69" s="4">
        <v>-1</v>
      </c>
      <c r="M69" s="6">
        <v>3.9215686274509803E-2</v>
      </c>
      <c r="N69" s="6">
        <v>0</v>
      </c>
      <c r="O69" s="4">
        <v>-1</v>
      </c>
    </row>
    <row r="70" spans="1:15" x14ac:dyDescent="0.25">
      <c r="A70" s="5">
        <v>46169</v>
      </c>
      <c r="B70" s="4">
        <v>0</v>
      </c>
      <c r="C70" s="4">
        <v>11</v>
      </c>
      <c r="D70" s="4">
        <v>0</v>
      </c>
      <c r="E70" s="4">
        <v>3</v>
      </c>
      <c r="F70" s="4">
        <v>4</v>
      </c>
      <c r="G70" s="4">
        <v>0</v>
      </c>
      <c r="H70" s="4">
        <v>8</v>
      </c>
      <c r="I70" s="4">
        <v>0</v>
      </c>
      <c r="J70" s="6">
        <v>0.10784313725490199</v>
      </c>
      <c r="K70" s="6">
        <v>2.9411764705882349E-2</v>
      </c>
      <c r="L70" s="4">
        <v>-1</v>
      </c>
      <c r="M70" s="6">
        <v>7.8431372549019607E-2</v>
      </c>
      <c r="N70" s="6">
        <v>0</v>
      </c>
      <c r="O70" s="4">
        <v>-1</v>
      </c>
    </row>
    <row r="71" spans="1:15" x14ac:dyDescent="0.25">
      <c r="A71" s="5">
        <v>46170</v>
      </c>
      <c r="B71" s="4">
        <v>1</v>
      </c>
      <c r="C71" s="4">
        <v>12</v>
      </c>
      <c r="D71" s="4">
        <v>0</v>
      </c>
      <c r="E71" s="4">
        <v>3</v>
      </c>
      <c r="F71" s="4">
        <v>0</v>
      </c>
      <c r="G71" s="4">
        <v>1</v>
      </c>
      <c r="H71" s="4">
        <v>8</v>
      </c>
      <c r="I71" s="4">
        <v>1</v>
      </c>
      <c r="J71" s="6">
        <v>0.1176470588235294</v>
      </c>
      <c r="K71" s="6">
        <v>2.9411764705882349E-2</v>
      </c>
      <c r="L71" s="4">
        <v>-1</v>
      </c>
      <c r="M71" s="6">
        <v>7.8431372549019607E-2</v>
      </c>
      <c r="N71" s="6">
        <v>9.8039215686274508E-3</v>
      </c>
      <c r="O71" s="4">
        <v>-1</v>
      </c>
    </row>
    <row r="72" spans="1:15" x14ac:dyDescent="0.25">
      <c r="A72" s="5">
        <v>46171</v>
      </c>
      <c r="B72" s="4">
        <v>0</v>
      </c>
      <c r="C72" s="4">
        <v>12</v>
      </c>
      <c r="D72" s="4">
        <v>0</v>
      </c>
      <c r="E72" s="4">
        <v>3</v>
      </c>
      <c r="F72" s="4">
        <v>1</v>
      </c>
      <c r="G72" s="4">
        <v>0</v>
      </c>
      <c r="H72" s="4">
        <v>9</v>
      </c>
      <c r="I72" s="4">
        <v>1</v>
      </c>
      <c r="J72" s="6">
        <v>0.1176470588235294</v>
      </c>
      <c r="K72" s="6">
        <v>2.9411764705882349E-2</v>
      </c>
      <c r="L72" s="4">
        <v>-1</v>
      </c>
      <c r="M72" s="6">
        <v>8.8235294117647065E-2</v>
      </c>
      <c r="N72" s="6">
        <v>9.8039215686274508E-3</v>
      </c>
      <c r="O72" s="4">
        <v>-1</v>
      </c>
    </row>
    <row r="73" spans="1:15" x14ac:dyDescent="0.25">
      <c r="A73" s="5">
        <v>46172</v>
      </c>
      <c r="B73" s="4">
        <v>0</v>
      </c>
      <c r="C73" s="4">
        <v>12</v>
      </c>
      <c r="D73" s="4">
        <v>0</v>
      </c>
      <c r="E73" s="4">
        <v>3</v>
      </c>
      <c r="F73" s="4">
        <v>0</v>
      </c>
      <c r="G73" s="4">
        <v>0</v>
      </c>
      <c r="H73" s="4">
        <v>9</v>
      </c>
      <c r="I73" s="4">
        <v>1</v>
      </c>
      <c r="J73" s="6">
        <v>0.1176470588235294</v>
      </c>
      <c r="K73" s="6">
        <v>2.9411764705882349E-2</v>
      </c>
      <c r="L73" s="4">
        <v>-1</v>
      </c>
      <c r="M73" s="6">
        <v>8.8235294117647065E-2</v>
      </c>
      <c r="N73" s="6">
        <v>9.8039215686274508E-3</v>
      </c>
      <c r="O73" s="4">
        <v>-1</v>
      </c>
    </row>
    <row r="74" spans="1:15" x14ac:dyDescent="0.25">
      <c r="A74" s="5">
        <v>46173</v>
      </c>
      <c r="B74" s="4">
        <v>0</v>
      </c>
      <c r="C74" s="4">
        <v>12</v>
      </c>
      <c r="D74" s="4">
        <v>0</v>
      </c>
      <c r="E74" s="4">
        <v>3</v>
      </c>
      <c r="F74" s="4">
        <v>0</v>
      </c>
      <c r="G74" s="4">
        <v>0</v>
      </c>
      <c r="H74" s="4">
        <v>9</v>
      </c>
      <c r="I74" s="4">
        <v>1</v>
      </c>
      <c r="J74" s="6">
        <v>0.1176470588235294</v>
      </c>
      <c r="K74" s="6">
        <v>2.9411764705882349E-2</v>
      </c>
      <c r="L74" s="4">
        <v>-1</v>
      </c>
      <c r="M74" s="6">
        <v>8.8235294117647065E-2</v>
      </c>
      <c r="N74" s="6">
        <v>9.8039215686274508E-3</v>
      </c>
      <c r="O74" s="4">
        <v>-1</v>
      </c>
    </row>
    <row r="75" spans="1:15" x14ac:dyDescent="0.25">
      <c r="A75" s="5">
        <v>46174</v>
      </c>
      <c r="B75" s="4">
        <v>2</v>
      </c>
      <c r="C75" s="4">
        <v>14</v>
      </c>
      <c r="D75" s="4">
        <v>1</v>
      </c>
      <c r="E75" s="4">
        <v>4</v>
      </c>
      <c r="F75" s="4">
        <v>1</v>
      </c>
      <c r="G75" s="4">
        <v>1</v>
      </c>
      <c r="H75" s="4">
        <v>10</v>
      </c>
      <c r="I75" s="4">
        <v>2</v>
      </c>
      <c r="J75" s="6">
        <v>0.1372549019607843</v>
      </c>
      <c r="K75" s="6">
        <v>3.9215686274509803E-2</v>
      </c>
      <c r="L75" s="4">
        <v>-1</v>
      </c>
      <c r="M75" s="6">
        <v>9.8039215686274508E-2</v>
      </c>
      <c r="N75" s="6">
        <v>1.9607843137254902E-2</v>
      </c>
      <c r="O75" s="4">
        <v>-1</v>
      </c>
    </row>
    <row r="76" spans="1:15" x14ac:dyDescent="0.25">
      <c r="A76" s="5">
        <v>46175</v>
      </c>
      <c r="B76" s="4">
        <v>0</v>
      </c>
      <c r="C76" s="4">
        <v>14</v>
      </c>
      <c r="D76" s="4">
        <v>1</v>
      </c>
      <c r="E76" s="4">
        <v>5</v>
      </c>
      <c r="F76" s="4">
        <v>0</v>
      </c>
      <c r="G76" s="4">
        <v>0</v>
      </c>
      <c r="H76" s="4">
        <v>10</v>
      </c>
      <c r="I76" s="4">
        <v>2</v>
      </c>
      <c r="J76" s="6">
        <v>0.1372549019607843</v>
      </c>
      <c r="K76" s="6">
        <v>4.9019607843137247E-2</v>
      </c>
      <c r="L76" s="4">
        <v>-1</v>
      </c>
      <c r="M76" s="6">
        <v>9.8039215686274508E-2</v>
      </c>
      <c r="N76" s="6">
        <v>1.9607843137254902E-2</v>
      </c>
      <c r="O76" s="4">
        <v>-1</v>
      </c>
    </row>
    <row r="77" spans="1:15" x14ac:dyDescent="0.25">
      <c r="A77" s="5">
        <v>46176</v>
      </c>
      <c r="B77" s="4">
        <v>0</v>
      </c>
      <c r="C77" s="4">
        <v>14</v>
      </c>
      <c r="D77" s="4">
        <v>0</v>
      </c>
      <c r="E77" s="4">
        <v>5</v>
      </c>
      <c r="F77" s="4">
        <v>2</v>
      </c>
      <c r="G77" s="4">
        <v>0</v>
      </c>
      <c r="H77" s="4">
        <v>12</v>
      </c>
      <c r="I77" s="4">
        <v>2</v>
      </c>
      <c r="J77" s="6">
        <v>0.1372549019607843</v>
      </c>
      <c r="K77" s="6">
        <v>4.9019607843137247E-2</v>
      </c>
      <c r="L77" s="4">
        <v>-1</v>
      </c>
      <c r="M77" s="6">
        <v>0.1176470588235294</v>
      </c>
      <c r="N77" s="6">
        <v>1.9607843137254902E-2</v>
      </c>
      <c r="O77" s="4">
        <v>-1</v>
      </c>
    </row>
    <row r="78" spans="1:15" x14ac:dyDescent="0.25">
      <c r="A78" s="5">
        <v>46177</v>
      </c>
      <c r="B78" s="4">
        <v>7</v>
      </c>
      <c r="C78" s="4">
        <v>21</v>
      </c>
      <c r="D78" s="4">
        <v>0</v>
      </c>
      <c r="E78" s="4">
        <v>5</v>
      </c>
      <c r="F78" s="4">
        <v>0</v>
      </c>
      <c r="G78" s="4">
        <v>0</v>
      </c>
      <c r="H78" s="4">
        <v>12</v>
      </c>
      <c r="I78" s="4">
        <v>2</v>
      </c>
      <c r="J78" s="6">
        <v>0.20588235294117649</v>
      </c>
      <c r="K78" s="6">
        <v>4.9019607843137247E-2</v>
      </c>
      <c r="L78" s="4">
        <v>-1</v>
      </c>
      <c r="M78" s="6">
        <v>0.1176470588235294</v>
      </c>
      <c r="N78" s="6">
        <v>1.9607843137254902E-2</v>
      </c>
      <c r="O78" s="4">
        <v>-1</v>
      </c>
    </row>
    <row r="79" spans="1:15" x14ac:dyDescent="0.25">
      <c r="A79" s="5">
        <v>46178</v>
      </c>
      <c r="B79" s="4">
        <v>0</v>
      </c>
      <c r="C79" s="4">
        <v>21</v>
      </c>
      <c r="D79" s="4">
        <v>0</v>
      </c>
      <c r="E79" s="4">
        <v>5</v>
      </c>
      <c r="F79" s="4">
        <v>2</v>
      </c>
      <c r="G79" s="4">
        <v>0</v>
      </c>
      <c r="H79" s="4">
        <v>14</v>
      </c>
      <c r="I79" s="4">
        <v>2</v>
      </c>
      <c r="J79" s="6">
        <v>0.20588235294117649</v>
      </c>
      <c r="K79" s="6">
        <v>4.9019607843137247E-2</v>
      </c>
      <c r="L79" s="4">
        <v>-1</v>
      </c>
      <c r="M79" s="6">
        <v>0.1372549019607843</v>
      </c>
      <c r="N79" s="6">
        <v>1.9607843137254902E-2</v>
      </c>
      <c r="O79" s="4">
        <v>-1</v>
      </c>
    </row>
    <row r="80" spans="1:15" x14ac:dyDescent="0.25">
      <c r="A80" s="5">
        <v>46179</v>
      </c>
      <c r="B80" s="4">
        <v>0</v>
      </c>
      <c r="C80" s="4">
        <v>21</v>
      </c>
      <c r="D80" s="4">
        <v>0</v>
      </c>
      <c r="E80" s="4">
        <v>5</v>
      </c>
      <c r="F80" s="4">
        <v>0</v>
      </c>
      <c r="G80" s="4">
        <v>0</v>
      </c>
      <c r="H80" s="4">
        <v>14</v>
      </c>
      <c r="I80" s="4">
        <v>2</v>
      </c>
      <c r="J80" s="6">
        <v>0.20588235294117649</v>
      </c>
      <c r="K80" s="6">
        <v>4.9019607843137247E-2</v>
      </c>
      <c r="L80" s="4">
        <v>-1</v>
      </c>
      <c r="M80" s="6">
        <v>0.1372549019607843</v>
      </c>
      <c r="N80" s="6">
        <v>1.9607843137254902E-2</v>
      </c>
      <c r="O80" s="4">
        <v>-1</v>
      </c>
    </row>
    <row r="81" spans="1:15" x14ac:dyDescent="0.25">
      <c r="A81" s="5">
        <v>46180</v>
      </c>
      <c r="B81" s="4">
        <v>0</v>
      </c>
      <c r="C81" s="4">
        <v>21</v>
      </c>
      <c r="D81" s="4">
        <v>0</v>
      </c>
      <c r="E81" s="4">
        <v>5</v>
      </c>
      <c r="F81" s="4">
        <v>0</v>
      </c>
      <c r="G81" s="4">
        <v>0</v>
      </c>
      <c r="H81" s="4">
        <v>14</v>
      </c>
      <c r="I81" s="4">
        <v>2</v>
      </c>
      <c r="J81" s="6">
        <v>0.20588235294117649</v>
      </c>
      <c r="K81" s="6">
        <v>4.9019607843137247E-2</v>
      </c>
      <c r="L81" s="4">
        <v>-1</v>
      </c>
      <c r="M81" s="6">
        <v>0.1372549019607843</v>
      </c>
      <c r="N81" s="6">
        <v>1.9607843137254902E-2</v>
      </c>
      <c r="O81" s="4">
        <v>-1</v>
      </c>
    </row>
    <row r="82" spans="1:15" x14ac:dyDescent="0.25">
      <c r="A82" s="5">
        <v>46181</v>
      </c>
      <c r="B82" s="4">
        <v>0</v>
      </c>
      <c r="C82" s="4">
        <v>21</v>
      </c>
      <c r="D82" s="4">
        <v>1</v>
      </c>
      <c r="E82" s="4">
        <v>6</v>
      </c>
      <c r="F82" s="4">
        <v>0</v>
      </c>
      <c r="G82" s="4">
        <v>0</v>
      </c>
      <c r="H82" s="4">
        <v>14</v>
      </c>
      <c r="I82" s="4">
        <v>2</v>
      </c>
      <c r="J82" s="6">
        <v>0.20588235294117649</v>
      </c>
      <c r="K82" s="6">
        <v>5.8823529411764712E-2</v>
      </c>
      <c r="L82" s="4">
        <v>-1</v>
      </c>
      <c r="M82" s="6">
        <v>0.1372549019607843</v>
      </c>
      <c r="N82" s="6">
        <v>1.9607843137254902E-2</v>
      </c>
      <c r="O82" s="4">
        <v>-1</v>
      </c>
    </row>
    <row r="83" spans="1:15" x14ac:dyDescent="0.25">
      <c r="A83" s="5">
        <v>46182</v>
      </c>
      <c r="B83" s="4">
        <v>8</v>
      </c>
      <c r="C83" s="4">
        <v>29</v>
      </c>
      <c r="D83" s="4">
        <v>0</v>
      </c>
      <c r="E83" s="4">
        <v>6</v>
      </c>
      <c r="F83" s="4">
        <v>0</v>
      </c>
      <c r="G83" s="4">
        <v>0</v>
      </c>
      <c r="H83" s="4">
        <v>14</v>
      </c>
      <c r="I83" s="4">
        <v>2</v>
      </c>
      <c r="J83" s="6">
        <v>0.28431372549019612</v>
      </c>
      <c r="K83" s="6">
        <v>5.8823529411764712E-2</v>
      </c>
      <c r="L83" s="4">
        <v>-1</v>
      </c>
      <c r="M83" s="6">
        <v>0.1372549019607843</v>
      </c>
      <c r="N83" s="6">
        <v>1.9607843137254902E-2</v>
      </c>
      <c r="O83" s="4">
        <v>-1</v>
      </c>
    </row>
    <row r="84" spans="1:15" x14ac:dyDescent="0.25">
      <c r="A84" s="5">
        <v>46183</v>
      </c>
      <c r="B84" s="4">
        <v>0</v>
      </c>
      <c r="C84" s="4">
        <v>29</v>
      </c>
      <c r="D84" s="4">
        <v>0</v>
      </c>
      <c r="E84" s="4">
        <v>6</v>
      </c>
      <c r="F84" s="4">
        <v>7</v>
      </c>
      <c r="G84" s="4">
        <v>0</v>
      </c>
      <c r="H84" s="4">
        <v>21</v>
      </c>
      <c r="I84" s="4">
        <v>2</v>
      </c>
      <c r="J84" s="6">
        <v>0.28431372549019612</v>
      </c>
      <c r="K84" s="6">
        <v>5.8823529411764712E-2</v>
      </c>
      <c r="L84" s="4">
        <v>-1</v>
      </c>
      <c r="M84" s="6">
        <v>0.20588235294117649</v>
      </c>
      <c r="N84" s="6">
        <v>1.9607843137254902E-2</v>
      </c>
      <c r="O84" s="4">
        <v>-1</v>
      </c>
    </row>
    <row r="85" spans="1:15" x14ac:dyDescent="0.25">
      <c r="A85" s="5">
        <v>46184</v>
      </c>
      <c r="B85" s="4">
        <v>1</v>
      </c>
      <c r="C85" s="4">
        <v>30</v>
      </c>
      <c r="D85" s="4">
        <v>0</v>
      </c>
      <c r="E85" s="4">
        <v>6</v>
      </c>
      <c r="F85" s="4">
        <v>0</v>
      </c>
      <c r="G85" s="4">
        <v>0</v>
      </c>
      <c r="H85" s="4">
        <v>21</v>
      </c>
      <c r="I85" s="4">
        <v>2</v>
      </c>
      <c r="J85" s="6">
        <v>0.29411764705882348</v>
      </c>
      <c r="K85" s="6">
        <v>5.8823529411764712E-2</v>
      </c>
      <c r="L85" s="4">
        <v>-1</v>
      </c>
      <c r="M85" s="6">
        <v>0.20588235294117649</v>
      </c>
      <c r="N85" s="6">
        <v>1.9607843137254902E-2</v>
      </c>
      <c r="O85" s="4">
        <v>-1</v>
      </c>
    </row>
    <row r="86" spans="1:15" x14ac:dyDescent="0.25">
      <c r="A86" s="5">
        <v>46185</v>
      </c>
      <c r="B86" s="4">
        <v>2</v>
      </c>
      <c r="C86" s="4">
        <v>32</v>
      </c>
      <c r="D86" s="4">
        <v>3</v>
      </c>
      <c r="E86" s="4">
        <v>9</v>
      </c>
      <c r="F86" s="4">
        <v>0</v>
      </c>
      <c r="G86" s="4">
        <v>0</v>
      </c>
      <c r="H86" s="4">
        <v>21</v>
      </c>
      <c r="I86" s="4">
        <v>2</v>
      </c>
      <c r="J86" s="6">
        <v>0.31372549019607843</v>
      </c>
      <c r="K86" s="6">
        <v>8.8235294117647065E-2</v>
      </c>
      <c r="L86" s="4">
        <v>-1</v>
      </c>
      <c r="M86" s="6">
        <v>0.20588235294117649</v>
      </c>
      <c r="N86" s="6">
        <v>1.9607843137254902E-2</v>
      </c>
      <c r="O86" s="4">
        <v>-1</v>
      </c>
    </row>
    <row r="87" spans="1:15" x14ac:dyDescent="0.25">
      <c r="A87" s="5">
        <v>46186</v>
      </c>
      <c r="B87" s="4">
        <v>0</v>
      </c>
      <c r="C87" s="4">
        <v>32</v>
      </c>
      <c r="D87" s="4">
        <v>0</v>
      </c>
      <c r="E87" s="4">
        <v>9</v>
      </c>
      <c r="F87" s="4">
        <v>0</v>
      </c>
      <c r="G87" s="4">
        <v>0</v>
      </c>
      <c r="H87" s="4">
        <v>21</v>
      </c>
      <c r="I87" s="4">
        <v>2</v>
      </c>
      <c r="J87" s="6">
        <v>0.31372549019607843</v>
      </c>
      <c r="K87" s="6">
        <v>8.8235294117647065E-2</v>
      </c>
      <c r="L87" s="4">
        <v>-1</v>
      </c>
      <c r="M87" s="6">
        <v>0.20588235294117649</v>
      </c>
      <c r="N87" s="6">
        <v>1.9607843137254902E-2</v>
      </c>
      <c r="O87" s="4">
        <v>-1</v>
      </c>
    </row>
    <row r="88" spans="1:15" x14ac:dyDescent="0.25">
      <c r="A88" s="5">
        <v>46187</v>
      </c>
      <c r="B88" s="4">
        <v>0</v>
      </c>
      <c r="C88" s="4">
        <v>32</v>
      </c>
      <c r="D88" s="4">
        <v>0</v>
      </c>
      <c r="E88" s="4">
        <v>9</v>
      </c>
      <c r="F88" s="4">
        <v>0</v>
      </c>
      <c r="G88" s="4">
        <v>0</v>
      </c>
      <c r="H88" s="4">
        <v>21</v>
      </c>
      <c r="I88" s="4">
        <v>2</v>
      </c>
      <c r="J88" s="6">
        <v>0.31372549019607843</v>
      </c>
      <c r="K88" s="6">
        <v>8.8235294117647065E-2</v>
      </c>
      <c r="L88" s="4">
        <v>-1</v>
      </c>
      <c r="M88" s="6">
        <v>0.20588235294117649</v>
      </c>
      <c r="N88" s="6">
        <v>1.9607843137254902E-2</v>
      </c>
      <c r="O88" s="4">
        <v>-1</v>
      </c>
    </row>
    <row r="89" spans="1:15" x14ac:dyDescent="0.25">
      <c r="A89" s="5">
        <v>46188</v>
      </c>
      <c r="B89" s="4">
        <v>0</v>
      </c>
      <c r="C89" s="4">
        <v>32</v>
      </c>
      <c r="D89" s="4">
        <v>0</v>
      </c>
      <c r="E89" s="4">
        <v>9</v>
      </c>
      <c r="F89" s="4">
        <v>8</v>
      </c>
      <c r="G89" s="4">
        <v>0</v>
      </c>
      <c r="H89" s="4">
        <v>29</v>
      </c>
      <c r="I89" s="4">
        <v>2</v>
      </c>
      <c r="J89" s="6">
        <v>0.31372549019607843</v>
      </c>
      <c r="K89" s="6">
        <v>8.8235294117647065E-2</v>
      </c>
      <c r="L89" s="4">
        <v>-1</v>
      </c>
      <c r="M89" s="6">
        <v>0.28431372549019612</v>
      </c>
      <c r="N89" s="6">
        <v>1.9607843137254902E-2</v>
      </c>
      <c r="O89" s="4">
        <v>-1</v>
      </c>
    </row>
    <row r="90" spans="1:15" x14ac:dyDescent="0.25">
      <c r="A90" s="5">
        <v>46189</v>
      </c>
      <c r="B90" s="4">
        <v>6</v>
      </c>
      <c r="C90" s="4">
        <v>38</v>
      </c>
      <c r="D90" s="4">
        <v>3</v>
      </c>
      <c r="E90" s="4">
        <v>12</v>
      </c>
      <c r="F90" s="4">
        <v>0</v>
      </c>
      <c r="G90" s="4">
        <v>0</v>
      </c>
      <c r="H90" s="4">
        <v>29</v>
      </c>
      <c r="I90" s="4">
        <v>2</v>
      </c>
      <c r="J90" s="6">
        <v>0.37254901960784309</v>
      </c>
      <c r="K90" s="6">
        <v>0.1176470588235294</v>
      </c>
      <c r="L90" s="4">
        <v>-1</v>
      </c>
      <c r="M90" s="6">
        <v>0.28431372549019612</v>
      </c>
      <c r="N90" s="6">
        <v>1.9607843137254902E-2</v>
      </c>
      <c r="O90" s="4">
        <v>-1</v>
      </c>
    </row>
    <row r="91" spans="1:15" x14ac:dyDescent="0.25">
      <c r="A91" s="5">
        <v>46190</v>
      </c>
      <c r="B91" s="4">
        <v>0</v>
      </c>
      <c r="C91" s="4">
        <v>38</v>
      </c>
      <c r="D91" s="4">
        <v>0</v>
      </c>
      <c r="E91" s="4">
        <v>12</v>
      </c>
      <c r="F91" s="4">
        <v>1</v>
      </c>
      <c r="G91" s="4">
        <v>0</v>
      </c>
      <c r="H91" s="4">
        <v>30</v>
      </c>
      <c r="I91" s="4">
        <v>2</v>
      </c>
      <c r="J91" s="6">
        <v>0.37254901960784309</v>
      </c>
      <c r="K91" s="6">
        <v>0.1176470588235294</v>
      </c>
      <c r="L91" s="4">
        <v>-1</v>
      </c>
      <c r="M91" s="6">
        <v>0.29411764705882348</v>
      </c>
      <c r="N91" s="6">
        <v>1.9607843137254902E-2</v>
      </c>
      <c r="O91" s="4">
        <v>-1</v>
      </c>
    </row>
    <row r="92" spans="1:15" x14ac:dyDescent="0.25">
      <c r="A92" s="5">
        <v>46191</v>
      </c>
      <c r="B92" s="4">
        <v>0</v>
      </c>
      <c r="C92" s="4">
        <v>38</v>
      </c>
      <c r="D92" s="4">
        <v>3</v>
      </c>
      <c r="E92" s="4">
        <v>15</v>
      </c>
      <c r="F92" s="4">
        <v>2</v>
      </c>
      <c r="G92" s="4">
        <v>0</v>
      </c>
      <c r="H92" s="4">
        <v>32</v>
      </c>
      <c r="I92" s="4">
        <v>2</v>
      </c>
      <c r="J92" s="6">
        <v>0.37254901960784309</v>
      </c>
      <c r="K92" s="6">
        <v>0.1470588235294118</v>
      </c>
      <c r="L92" s="4">
        <v>-1</v>
      </c>
      <c r="M92" s="6">
        <v>0.31372549019607843</v>
      </c>
      <c r="N92" s="6">
        <v>1.9607843137254902E-2</v>
      </c>
      <c r="O92" s="4">
        <v>-1</v>
      </c>
    </row>
    <row r="93" spans="1:15" x14ac:dyDescent="0.25">
      <c r="A93" s="5">
        <v>46192</v>
      </c>
      <c r="B93" s="4">
        <v>2</v>
      </c>
      <c r="C93" s="4">
        <v>40</v>
      </c>
      <c r="D93" s="4">
        <v>1</v>
      </c>
      <c r="E93" s="4">
        <v>16</v>
      </c>
      <c r="F93" s="4">
        <v>0</v>
      </c>
      <c r="G93" s="4">
        <v>1</v>
      </c>
      <c r="H93" s="4">
        <v>32</v>
      </c>
      <c r="I93" s="4">
        <v>3</v>
      </c>
      <c r="J93" s="6">
        <v>0.39215686274509798</v>
      </c>
      <c r="K93" s="6">
        <v>0.15686274509803921</v>
      </c>
      <c r="L93" s="4">
        <v>-1</v>
      </c>
      <c r="M93" s="6">
        <v>0.31372549019607843</v>
      </c>
      <c r="N93" s="6">
        <v>2.9411764705882349E-2</v>
      </c>
      <c r="O93" s="4">
        <v>-1</v>
      </c>
    </row>
    <row r="94" spans="1:15" x14ac:dyDescent="0.25">
      <c r="A94" s="5">
        <v>46193</v>
      </c>
      <c r="B94" s="4">
        <v>0</v>
      </c>
      <c r="C94" s="4">
        <v>40</v>
      </c>
      <c r="D94" s="4">
        <v>0</v>
      </c>
      <c r="E94" s="4">
        <v>16</v>
      </c>
      <c r="F94" s="4">
        <v>0</v>
      </c>
      <c r="G94" s="4">
        <v>0</v>
      </c>
      <c r="H94" s="4">
        <v>32</v>
      </c>
      <c r="I94" s="4">
        <v>3</v>
      </c>
      <c r="J94" s="6">
        <v>0.39215686274509798</v>
      </c>
      <c r="K94" s="6">
        <v>0.15686274509803921</v>
      </c>
      <c r="L94" s="4">
        <v>-1</v>
      </c>
      <c r="M94" s="6">
        <v>0.31372549019607843</v>
      </c>
      <c r="N94" s="6">
        <v>2.9411764705882349E-2</v>
      </c>
      <c r="O94" s="4">
        <v>-1</v>
      </c>
    </row>
    <row r="95" spans="1:15" x14ac:dyDescent="0.25">
      <c r="A95" s="5">
        <v>46194</v>
      </c>
      <c r="B95" s="4">
        <v>0</v>
      </c>
      <c r="C95" s="4">
        <v>40</v>
      </c>
      <c r="D95" s="4">
        <v>0</v>
      </c>
      <c r="E95" s="4">
        <v>16</v>
      </c>
      <c r="F95" s="4">
        <v>0</v>
      </c>
      <c r="G95" s="4">
        <v>0</v>
      </c>
      <c r="H95" s="4">
        <v>32</v>
      </c>
      <c r="I95" s="4">
        <v>3</v>
      </c>
      <c r="J95" s="6">
        <v>0.39215686274509798</v>
      </c>
      <c r="K95" s="6">
        <v>0.15686274509803921</v>
      </c>
      <c r="L95" s="4">
        <v>-1</v>
      </c>
      <c r="M95" s="6">
        <v>0.31372549019607843</v>
      </c>
      <c r="N95" s="6">
        <v>2.9411764705882349E-2</v>
      </c>
      <c r="O95" s="4">
        <v>-1</v>
      </c>
    </row>
    <row r="96" spans="1:15" x14ac:dyDescent="0.25">
      <c r="A96" s="5">
        <v>46195</v>
      </c>
      <c r="B96" s="4">
        <v>1</v>
      </c>
      <c r="C96" s="4">
        <v>41</v>
      </c>
      <c r="D96" s="4">
        <v>0</v>
      </c>
      <c r="E96" s="4">
        <v>16</v>
      </c>
      <c r="F96" s="4">
        <v>6</v>
      </c>
      <c r="G96" s="4">
        <v>0</v>
      </c>
      <c r="H96" s="4">
        <v>38</v>
      </c>
      <c r="I96" s="4">
        <v>3</v>
      </c>
      <c r="J96" s="6">
        <v>0.40196078431372551</v>
      </c>
      <c r="K96" s="6">
        <v>0.15686274509803921</v>
      </c>
      <c r="L96" s="4">
        <v>-1</v>
      </c>
      <c r="M96" s="6">
        <v>0.37254901960784309</v>
      </c>
      <c r="N96" s="6">
        <v>2.9411764705882349E-2</v>
      </c>
      <c r="O96" s="4">
        <v>-1</v>
      </c>
    </row>
    <row r="97" spans="1:15" x14ac:dyDescent="0.25">
      <c r="A97" s="5">
        <v>46196</v>
      </c>
      <c r="B97" s="4">
        <v>6</v>
      </c>
      <c r="C97" s="4">
        <v>47</v>
      </c>
      <c r="D97" s="4">
        <v>0</v>
      </c>
      <c r="E97" s="4">
        <v>16</v>
      </c>
      <c r="F97" s="4">
        <v>0</v>
      </c>
      <c r="G97" s="4">
        <v>0</v>
      </c>
      <c r="H97" s="4">
        <v>38</v>
      </c>
      <c r="I97" s="4">
        <v>3</v>
      </c>
      <c r="J97" s="6">
        <v>0.46078431372549022</v>
      </c>
      <c r="K97" s="6">
        <v>0.15686274509803921</v>
      </c>
      <c r="L97" s="4">
        <v>-1</v>
      </c>
      <c r="M97" s="6">
        <v>0.37254901960784309</v>
      </c>
      <c r="N97" s="6">
        <v>2.9411764705882349E-2</v>
      </c>
      <c r="O97" s="4">
        <v>-1</v>
      </c>
    </row>
    <row r="98" spans="1:15" x14ac:dyDescent="0.25">
      <c r="A98" s="5">
        <v>46197</v>
      </c>
      <c r="B98" s="4">
        <v>0</v>
      </c>
      <c r="C98" s="4">
        <v>47</v>
      </c>
      <c r="D98" s="4">
        <v>2</v>
      </c>
      <c r="E98" s="4">
        <v>18</v>
      </c>
      <c r="F98" s="4">
        <v>0</v>
      </c>
      <c r="G98" s="4">
        <v>0</v>
      </c>
      <c r="H98" s="4">
        <v>38</v>
      </c>
      <c r="I98" s="4">
        <v>3</v>
      </c>
      <c r="J98" s="6">
        <v>0.46078431372549022</v>
      </c>
      <c r="K98" s="6">
        <v>0.1764705882352941</v>
      </c>
      <c r="L98" s="4">
        <v>-1</v>
      </c>
      <c r="M98" s="6">
        <v>0.37254901960784309</v>
      </c>
      <c r="N98" s="6">
        <v>2.9411764705882349E-2</v>
      </c>
      <c r="O98" s="4">
        <v>-1</v>
      </c>
    </row>
    <row r="99" spans="1:15" x14ac:dyDescent="0.25">
      <c r="A99" s="5">
        <v>46198</v>
      </c>
      <c r="B99" s="4">
        <v>2</v>
      </c>
      <c r="C99" s="4">
        <v>49</v>
      </c>
      <c r="D99" s="4">
        <v>25</v>
      </c>
      <c r="E99" s="4">
        <v>43</v>
      </c>
      <c r="F99" s="4">
        <v>2</v>
      </c>
      <c r="G99" s="4">
        <v>0</v>
      </c>
      <c r="H99" s="4">
        <v>40</v>
      </c>
      <c r="I99" s="4">
        <v>3</v>
      </c>
      <c r="J99" s="6">
        <v>0.48039215686274511</v>
      </c>
      <c r="K99" s="6">
        <v>0.42156862745098039</v>
      </c>
      <c r="L99" s="4">
        <v>-1</v>
      </c>
      <c r="M99" s="6">
        <v>0.39215686274509798</v>
      </c>
      <c r="N99" s="6">
        <v>2.9411764705882349E-2</v>
      </c>
      <c r="O99" s="4">
        <v>-1</v>
      </c>
    </row>
    <row r="100" spans="1:15" x14ac:dyDescent="0.25">
      <c r="A100" s="5">
        <v>46199</v>
      </c>
      <c r="B100" s="4">
        <v>0</v>
      </c>
      <c r="C100" s="4">
        <v>49</v>
      </c>
      <c r="D100" s="4">
        <v>1</v>
      </c>
      <c r="E100" s="4">
        <v>44</v>
      </c>
      <c r="F100" s="4">
        <v>7</v>
      </c>
      <c r="G100" s="4">
        <v>0</v>
      </c>
      <c r="H100" s="4">
        <v>47</v>
      </c>
      <c r="I100" s="4">
        <v>3</v>
      </c>
      <c r="J100" s="6">
        <v>0.48039215686274511</v>
      </c>
      <c r="K100" s="6">
        <v>0.43137254901960792</v>
      </c>
      <c r="L100" s="4">
        <v>-1</v>
      </c>
      <c r="M100" s="6">
        <v>0.46078431372549022</v>
      </c>
      <c r="N100" s="6">
        <v>2.9411764705882349E-2</v>
      </c>
      <c r="O100" s="4">
        <v>-1</v>
      </c>
    </row>
    <row r="101" spans="1:15" x14ac:dyDescent="0.25">
      <c r="A101" s="5">
        <v>46200</v>
      </c>
      <c r="B101" s="4">
        <v>0</v>
      </c>
      <c r="C101" s="4">
        <v>49</v>
      </c>
      <c r="D101" s="4">
        <v>0</v>
      </c>
      <c r="E101" s="4">
        <v>44</v>
      </c>
      <c r="F101" s="4">
        <v>0</v>
      </c>
      <c r="G101" s="4">
        <v>0</v>
      </c>
      <c r="H101" s="4">
        <v>47</v>
      </c>
      <c r="I101" s="4">
        <v>3</v>
      </c>
      <c r="J101" s="6">
        <v>0.48039215686274511</v>
      </c>
      <c r="K101" s="6">
        <v>0.43137254901960792</v>
      </c>
      <c r="L101" s="4">
        <v>-1</v>
      </c>
      <c r="M101" s="6">
        <v>0.46078431372549022</v>
      </c>
      <c r="N101" s="6">
        <v>2.9411764705882349E-2</v>
      </c>
      <c r="O101" s="4">
        <v>-1</v>
      </c>
    </row>
    <row r="102" spans="1:15" x14ac:dyDescent="0.25">
      <c r="A102" s="5">
        <v>46201</v>
      </c>
      <c r="B102" s="4">
        <v>0</v>
      </c>
      <c r="C102" s="4">
        <v>49</v>
      </c>
      <c r="D102" s="4">
        <v>1</v>
      </c>
      <c r="E102" s="4">
        <v>45</v>
      </c>
      <c r="F102" s="4">
        <v>0</v>
      </c>
      <c r="G102" s="4">
        <v>0</v>
      </c>
      <c r="H102" s="4">
        <v>47</v>
      </c>
      <c r="I102" s="4">
        <v>3</v>
      </c>
      <c r="J102" s="6">
        <v>0.48039215686274511</v>
      </c>
      <c r="K102" s="6">
        <v>0.44117647058823528</v>
      </c>
      <c r="L102" s="4">
        <v>-1</v>
      </c>
      <c r="M102" s="6">
        <v>0.46078431372549022</v>
      </c>
      <c r="N102" s="6">
        <v>2.9411764705882349E-2</v>
      </c>
      <c r="O102" s="4">
        <v>-1</v>
      </c>
    </row>
    <row r="103" spans="1:15" x14ac:dyDescent="0.25">
      <c r="A103" s="5">
        <v>46202</v>
      </c>
      <c r="B103" s="4">
        <v>3</v>
      </c>
      <c r="C103" s="4">
        <v>52</v>
      </c>
      <c r="D103" s="4">
        <v>0</v>
      </c>
      <c r="E103" s="4">
        <v>45</v>
      </c>
      <c r="F103" s="4">
        <v>0</v>
      </c>
      <c r="G103" s="4">
        <v>0</v>
      </c>
      <c r="H103" s="4">
        <v>47</v>
      </c>
      <c r="I103" s="4">
        <v>3</v>
      </c>
      <c r="J103" s="6">
        <v>0.50980392156862742</v>
      </c>
      <c r="K103" s="6">
        <v>0.44117647058823528</v>
      </c>
      <c r="L103" s="4">
        <v>-1</v>
      </c>
      <c r="M103" s="6">
        <v>0.46078431372549022</v>
      </c>
      <c r="N103" s="6">
        <v>2.9411764705882349E-2</v>
      </c>
      <c r="O103" s="4">
        <v>-1</v>
      </c>
    </row>
    <row r="104" spans="1:15" x14ac:dyDescent="0.25">
      <c r="A104" s="5">
        <v>46203</v>
      </c>
      <c r="B104" s="4">
        <v>3</v>
      </c>
      <c r="C104" s="4">
        <v>55</v>
      </c>
      <c r="D104" s="4">
        <v>0</v>
      </c>
      <c r="E104" s="4">
        <v>45</v>
      </c>
      <c r="F104" s="4">
        <v>0</v>
      </c>
      <c r="G104" s="4">
        <v>0</v>
      </c>
      <c r="H104" s="4">
        <v>47</v>
      </c>
      <c r="I104" s="4">
        <v>3</v>
      </c>
      <c r="J104" s="6">
        <v>0.53921568627450978</v>
      </c>
      <c r="K104" s="6">
        <v>0.44117647058823528</v>
      </c>
      <c r="L104" s="4">
        <v>-1</v>
      </c>
      <c r="M104" s="6">
        <v>0.46078431372549022</v>
      </c>
      <c r="N104" s="6">
        <v>2.9411764705882349E-2</v>
      </c>
      <c r="O104" s="4">
        <v>-1</v>
      </c>
    </row>
    <row r="105" spans="1:15" x14ac:dyDescent="0.25">
      <c r="A105" s="5">
        <v>46204</v>
      </c>
      <c r="B105" s="4">
        <v>22</v>
      </c>
      <c r="C105" s="4">
        <v>77</v>
      </c>
      <c r="D105" s="4">
        <v>6</v>
      </c>
      <c r="E105" s="4">
        <v>51</v>
      </c>
      <c r="F105" s="4">
        <v>2</v>
      </c>
      <c r="G105" s="4">
        <v>0</v>
      </c>
      <c r="H105" s="4">
        <v>49</v>
      </c>
      <c r="I105" s="4">
        <v>3</v>
      </c>
      <c r="J105" s="6">
        <v>0.75490196078431371</v>
      </c>
      <c r="K105" s="6">
        <v>0.5</v>
      </c>
      <c r="L105" s="4">
        <v>-1</v>
      </c>
      <c r="M105" s="6">
        <v>0.48039215686274511</v>
      </c>
      <c r="N105" s="6">
        <v>2.9411764705882349E-2</v>
      </c>
      <c r="O105" s="4">
        <v>-1</v>
      </c>
    </row>
    <row r="106" spans="1:15" x14ac:dyDescent="0.25">
      <c r="A106" s="5">
        <v>46205</v>
      </c>
      <c r="B106" s="4">
        <v>21</v>
      </c>
      <c r="C106" s="4">
        <v>98</v>
      </c>
      <c r="D106" s="4">
        <v>0</v>
      </c>
      <c r="E106" s="4">
        <v>51</v>
      </c>
      <c r="F106" s="4">
        <v>3</v>
      </c>
      <c r="G106" s="4">
        <v>0</v>
      </c>
      <c r="H106" s="4">
        <v>52</v>
      </c>
      <c r="I106" s="4">
        <v>3</v>
      </c>
      <c r="J106" s="6">
        <v>0.96078431372549022</v>
      </c>
      <c r="K106" s="6">
        <v>0.5</v>
      </c>
      <c r="L106" s="4">
        <v>-1</v>
      </c>
      <c r="M106" s="6">
        <v>0.50980392156862742</v>
      </c>
      <c r="N106" s="6">
        <v>2.9411764705882349E-2</v>
      </c>
      <c r="O106" s="4">
        <v>-1</v>
      </c>
    </row>
    <row r="107" spans="1:15" x14ac:dyDescent="0.25">
      <c r="A107" s="5">
        <v>46206</v>
      </c>
      <c r="B107" s="4">
        <v>1</v>
      </c>
      <c r="C107" s="4">
        <v>99</v>
      </c>
      <c r="D107" s="4">
        <v>4</v>
      </c>
      <c r="E107" s="4">
        <v>55</v>
      </c>
      <c r="F107" s="4">
        <v>0</v>
      </c>
      <c r="G107" s="4">
        <v>0</v>
      </c>
      <c r="H107" s="4">
        <v>52</v>
      </c>
      <c r="I107" s="4">
        <v>3</v>
      </c>
      <c r="J107" s="6">
        <v>0.97058823529411764</v>
      </c>
      <c r="K107" s="6">
        <v>0.53921568627450978</v>
      </c>
      <c r="L107" s="4">
        <v>-1</v>
      </c>
      <c r="M107" s="6">
        <v>0.50980392156862742</v>
      </c>
      <c r="N107" s="6">
        <v>2.9411764705882349E-2</v>
      </c>
      <c r="O107" s="4">
        <v>-1</v>
      </c>
    </row>
    <row r="108" spans="1:15" x14ac:dyDescent="0.25">
      <c r="A108" s="5">
        <v>46207</v>
      </c>
      <c r="B108" s="4">
        <v>0</v>
      </c>
      <c r="C108" s="4">
        <v>99</v>
      </c>
      <c r="D108" s="4">
        <v>0</v>
      </c>
      <c r="E108" s="4">
        <v>55</v>
      </c>
      <c r="F108" s="4">
        <v>0</v>
      </c>
      <c r="G108" s="4">
        <v>0</v>
      </c>
      <c r="H108" s="4">
        <v>52</v>
      </c>
      <c r="I108" s="4">
        <v>3</v>
      </c>
      <c r="J108" s="6">
        <v>0.97058823529411764</v>
      </c>
      <c r="K108" s="6">
        <v>0.53921568627450978</v>
      </c>
      <c r="L108" s="4">
        <v>-1</v>
      </c>
      <c r="M108" s="6">
        <v>0.50980392156862742</v>
      </c>
      <c r="N108" s="6">
        <v>2.9411764705882349E-2</v>
      </c>
      <c r="O108" s="4">
        <v>-1</v>
      </c>
    </row>
    <row r="109" spans="1:15" x14ac:dyDescent="0.25">
      <c r="A109" s="5">
        <v>46208</v>
      </c>
      <c r="B109" s="4">
        <v>0</v>
      </c>
      <c r="C109" s="4">
        <v>99</v>
      </c>
      <c r="D109" s="4">
        <v>0</v>
      </c>
      <c r="E109" s="4">
        <v>55</v>
      </c>
      <c r="F109" s="4">
        <v>0</v>
      </c>
      <c r="G109" s="4">
        <v>0</v>
      </c>
      <c r="H109" s="4">
        <v>52</v>
      </c>
      <c r="I109" s="4">
        <v>3</v>
      </c>
      <c r="J109" s="6">
        <v>0.97058823529411764</v>
      </c>
      <c r="K109" s="6">
        <v>0.53921568627450978</v>
      </c>
      <c r="L109" s="4">
        <v>-1</v>
      </c>
      <c r="M109" s="6">
        <v>0.50980392156862742</v>
      </c>
      <c r="N109" s="6">
        <v>2.9411764705882349E-2</v>
      </c>
      <c r="O109" s="4">
        <v>-1</v>
      </c>
    </row>
    <row r="110" spans="1:15" x14ac:dyDescent="0.25">
      <c r="A110" s="5">
        <v>46209</v>
      </c>
      <c r="B110" s="4">
        <v>0</v>
      </c>
      <c r="C110" s="4">
        <v>99</v>
      </c>
      <c r="D110" s="4">
        <v>0</v>
      </c>
      <c r="E110" s="4">
        <v>55</v>
      </c>
      <c r="F110" s="4">
        <v>3</v>
      </c>
      <c r="G110" s="4">
        <v>0</v>
      </c>
      <c r="H110" s="4">
        <v>55</v>
      </c>
      <c r="I110" s="4">
        <v>3</v>
      </c>
      <c r="J110" s="6">
        <v>0.97058823529411764</v>
      </c>
      <c r="K110" s="6">
        <v>0.53921568627450978</v>
      </c>
      <c r="L110" s="4">
        <v>-1</v>
      </c>
      <c r="M110" s="6">
        <v>0.53921568627450978</v>
      </c>
      <c r="N110" s="6">
        <v>2.9411764705882349E-2</v>
      </c>
      <c r="O110" s="4">
        <v>-1</v>
      </c>
    </row>
    <row r="111" spans="1:15" x14ac:dyDescent="0.25">
      <c r="A111" s="7">
        <v>46210</v>
      </c>
      <c r="B111" s="8">
        <v>0</v>
      </c>
      <c r="C111" s="8">
        <v>99</v>
      </c>
      <c r="D111" s="8">
        <v>4</v>
      </c>
      <c r="E111" s="8">
        <v>59</v>
      </c>
      <c r="F111" s="8">
        <v>22</v>
      </c>
      <c r="G111" s="8">
        <v>0</v>
      </c>
      <c r="H111" s="8">
        <v>77</v>
      </c>
      <c r="I111" s="8">
        <v>3</v>
      </c>
      <c r="J111" s="9">
        <v>0.97058823529411764</v>
      </c>
      <c r="K111" s="9">
        <v>0.57843137254901966</v>
      </c>
      <c r="L111" s="8">
        <v>-1</v>
      </c>
      <c r="M111" s="9">
        <v>0.75490196078431371</v>
      </c>
      <c r="N111" s="9">
        <v>2.9411764705882349E-2</v>
      </c>
      <c r="O111" s="8">
        <v>-1</v>
      </c>
    </row>
    <row r="112" spans="1:15" x14ac:dyDescent="0.25">
      <c r="A112" s="5">
        <v>46211</v>
      </c>
      <c r="B112" s="4">
        <v>3</v>
      </c>
      <c r="C112" s="4">
        <v>102</v>
      </c>
      <c r="D112" s="4">
        <v>0</v>
      </c>
      <c r="F112" s="4">
        <v>21</v>
      </c>
      <c r="G112" s="4">
        <v>0</v>
      </c>
      <c r="H112" s="4">
        <v>98</v>
      </c>
      <c r="J112" s="6">
        <v>1</v>
      </c>
      <c r="K112" s="6">
        <v>0.57843137254901966</v>
      </c>
      <c r="L112" s="4">
        <v>-1</v>
      </c>
      <c r="M112" s="6">
        <v>0.96078431372549022</v>
      </c>
      <c r="N112" s="6">
        <v>2.9411764705882349E-2</v>
      </c>
      <c r="O112" s="4">
        <v>-1</v>
      </c>
    </row>
    <row r="113" spans="1:15" x14ac:dyDescent="0.25">
      <c r="A113" s="5">
        <v>46212</v>
      </c>
      <c r="B113" s="4">
        <v>0</v>
      </c>
      <c r="C113" s="4">
        <v>102</v>
      </c>
      <c r="D113" s="4">
        <v>0</v>
      </c>
      <c r="F113" s="4">
        <v>0</v>
      </c>
      <c r="G113" s="4">
        <v>0</v>
      </c>
      <c r="H113" s="4">
        <v>98</v>
      </c>
      <c r="J113" s="6">
        <v>1</v>
      </c>
      <c r="K113" s="6">
        <v>0.57843137254901966</v>
      </c>
      <c r="L113" s="4">
        <v>-1</v>
      </c>
      <c r="M113" s="6">
        <v>0.96078431372549022</v>
      </c>
      <c r="N113" s="6">
        <v>2.9411764705882349E-2</v>
      </c>
      <c r="O113" s="4">
        <v>-1</v>
      </c>
    </row>
    <row r="114" spans="1:15" x14ac:dyDescent="0.25">
      <c r="A114" s="5">
        <v>46213</v>
      </c>
      <c r="B114" s="4">
        <v>0</v>
      </c>
      <c r="C114" s="4">
        <v>102</v>
      </c>
      <c r="D114" s="4">
        <v>0</v>
      </c>
      <c r="F114" s="4">
        <v>0</v>
      </c>
      <c r="G114" s="4">
        <v>0</v>
      </c>
      <c r="H114" s="4">
        <v>98</v>
      </c>
      <c r="J114" s="6">
        <v>1</v>
      </c>
      <c r="K114" s="6">
        <v>0.57843137254901966</v>
      </c>
      <c r="L114" s="4">
        <v>-1</v>
      </c>
      <c r="M114" s="6">
        <v>0.96078431372549022</v>
      </c>
      <c r="N114" s="6">
        <v>2.9411764705882349E-2</v>
      </c>
      <c r="O114" s="4">
        <v>-1</v>
      </c>
    </row>
    <row r="115" spans="1:15" x14ac:dyDescent="0.25">
      <c r="A115" s="5">
        <v>46214</v>
      </c>
      <c r="B115" s="4">
        <v>0</v>
      </c>
      <c r="C115" s="4">
        <v>102</v>
      </c>
      <c r="D115" s="4">
        <v>0</v>
      </c>
      <c r="F115" s="4">
        <v>0</v>
      </c>
      <c r="G115" s="4">
        <v>0</v>
      </c>
      <c r="H115" s="4">
        <v>98</v>
      </c>
      <c r="J115" s="6">
        <v>1</v>
      </c>
      <c r="K115" s="6">
        <v>0.57843137254901966</v>
      </c>
      <c r="L115" s="4">
        <v>-1</v>
      </c>
      <c r="M115" s="6">
        <v>0.96078431372549022</v>
      </c>
      <c r="N115" s="6">
        <v>2.9411764705882349E-2</v>
      </c>
      <c r="O115" s="4">
        <v>-1</v>
      </c>
    </row>
    <row r="116" spans="1:15" x14ac:dyDescent="0.25">
      <c r="A116" s="5">
        <v>46215</v>
      </c>
      <c r="B116" s="4">
        <v>0</v>
      </c>
      <c r="C116" s="4">
        <v>102</v>
      </c>
      <c r="D116" s="4">
        <v>0</v>
      </c>
      <c r="F116" s="4">
        <v>0</v>
      </c>
      <c r="G116" s="4">
        <v>0</v>
      </c>
      <c r="H116" s="4">
        <v>98</v>
      </c>
      <c r="J116" s="6">
        <v>1</v>
      </c>
      <c r="K116" s="6">
        <v>0.57843137254901966</v>
      </c>
      <c r="L116" s="4">
        <v>-1</v>
      </c>
      <c r="M116" s="6">
        <v>0.96078431372549022</v>
      </c>
      <c r="N116" s="6">
        <v>2.9411764705882349E-2</v>
      </c>
      <c r="O116" s="4">
        <v>-1</v>
      </c>
    </row>
    <row r="117" spans="1:15" x14ac:dyDescent="0.25">
      <c r="A117" s="5">
        <v>46216</v>
      </c>
      <c r="B117" s="4">
        <v>0</v>
      </c>
      <c r="C117" s="4">
        <v>102</v>
      </c>
      <c r="D117" s="4">
        <v>0</v>
      </c>
      <c r="F117" s="4">
        <v>1</v>
      </c>
      <c r="G117" s="4">
        <v>0</v>
      </c>
      <c r="H117" s="4">
        <v>99</v>
      </c>
      <c r="J117" s="6">
        <v>1</v>
      </c>
      <c r="K117" s="6">
        <v>0.57843137254901966</v>
      </c>
      <c r="L117" s="4">
        <v>-1</v>
      </c>
      <c r="M117" s="6">
        <v>0.97058823529411764</v>
      </c>
      <c r="N117" s="6">
        <v>2.9411764705882349E-2</v>
      </c>
      <c r="O117" s="4">
        <v>-1</v>
      </c>
    </row>
    <row r="118" spans="1:15" x14ac:dyDescent="0.25">
      <c r="A118" s="5">
        <v>46217</v>
      </c>
      <c r="B118" s="4">
        <v>0</v>
      </c>
      <c r="C118" s="4">
        <v>102</v>
      </c>
      <c r="D118" s="4">
        <v>0</v>
      </c>
      <c r="F118" s="4">
        <v>0</v>
      </c>
      <c r="G118" s="4">
        <v>0</v>
      </c>
      <c r="H118" s="4">
        <v>99</v>
      </c>
      <c r="J118" s="6">
        <v>1</v>
      </c>
      <c r="K118" s="6">
        <v>0.57843137254901966</v>
      </c>
      <c r="L118" s="4">
        <v>-1</v>
      </c>
      <c r="M118" s="6">
        <v>0.97058823529411764</v>
      </c>
      <c r="N118" s="6">
        <v>2.9411764705882349E-2</v>
      </c>
      <c r="O118" s="4">
        <v>-1</v>
      </c>
    </row>
    <row r="119" spans="1:15" x14ac:dyDescent="0.25">
      <c r="A119" s="5">
        <v>46218</v>
      </c>
      <c r="B119" s="4">
        <v>0</v>
      </c>
      <c r="C119" s="4">
        <v>102</v>
      </c>
      <c r="D119" s="4">
        <v>0</v>
      </c>
      <c r="F119" s="4">
        <v>0</v>
      </c>
      <c r="G119" s="4">
        <v>0</v>
      </c>
      <c r="H119" s="4">
        <v>99</v>
      </c>
      <c r="J119" s="6">
        <v>1</v>
      </c>
      <c r="K119" s="6">
        <v>0.57843137254901966</v>
      </c>
      <c r="L119" s="4">
        <v>-1</v>
      </c>
      <c r="M119" s="6">
        <v>0.97058823529411764</v>
      </c>
      <c r="N119" s="6">
        <v>2.9411764705882349E-2</v>
      </c>
      <c r="O119" s="4">
        <v>-1</v>
      </c>
    </row>
    <row r="120" spans="1:15" x14ac:dyDescent="0.25">
      <c r="A120" s="5">
        <v>46219</v>
      </c>
      <c r="B120" s="4">
        <v>0</v>
      </c>
      <c r="C120" s="4">
        <v>102</v>
      </c>
      <c r="D120" s="4">
        <v>0</v>
      </c>
      <c r="F120" s="4">
        <v>3</v>
      </c>
      <c r="G120" s="4">
        <v>0</v>
      </c>
      <c r="H120" s="4">
        <v>102</v>
      </c>
      <c r="J120" s="6">
        <v>1</v>
      </c>
      <c r="K120" s="6">
        <v>0.57843137254901966</v>
      </c>
      <c r="L120" s="4">
        <v>-1</v>
      </c>
      <c r="M120" s="6">
        <v>1</v>
      </c>
      <c r="N120" s="6">
        <v>2.9411764705882349E-2</v>
      </c>
      <c r="O120" s="4">
        <v>-1</v>
      </c>
    </row>
    <row r="122" spans="1:15" x14ac:dyDescent="0.25">
      <c r="L122" s="4">
        <v>1</v>
      </c>
      <c r="O122" s="4">
        <v>1</v>
      </c>
    </row>
    <row r="123" spans="1:15" x14ac:dyDescent="0.25">
      <c r="L123" s="4">
        <v>0</v>
      </c>
      <c r="O123" s="4">
        <v>0</v>
      </c>
    </row>
    <row r="124" spans="1:15" x14ac:dyDescent="0.25">
      <c r="L124" s="4">
        <v>-1</v>
      </c>
      <c r="O124" s="4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57542A04-DA7B-46E6-B469-425B272CD9B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L1:L124</xm:sqref>
        </x14:conditionalFormatting>
        <x14:conditionalFormatting xmlns:xm="http://schemas.microsoft.com/office/excel/2006/main">
          <x14:cfRule type="iconSet" priority="1" id="{6BD1D7B7-0056-4F98-AE7C-36E03142AE5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13"/>
  <sheetViews>
    <sheetView topLeftCell="A53" workbookViewId="0">
      <selection activeCell="D40" sqref="D40"/>
    </sheetView>
  </sheetViews>
  <sheetFormatPr defaultRowHeight="15" x14ac:dyDescent="0.25"/>
  <cols>
    <col min="1" max="1" width="5" style="1" bestFit="1" customWidth="1"/>
    <col min="2" max="2" width="10.28515625" style="1" bestFit="1" customWidth="1"/>
    <col min="3" max="3" width="28.140625" style="1" bestFit="1" customWidth="1"/>
    <col min="4" max="4" width="31.5703125" style="1" bestFit="1" customWidth="1"/>
    <col min="5" max="5" width="10.42578125" style="1" bestFit="1" customWidth="1"/>
    <col min="6" max="7" width="18.28515625" style="10" bestFit="1" customWidth="1"/>
    <col min="8" max="8" width="13.7109375" style="11" bestFit="1" customWidth="1"/>
    <col min="9" max="9" width="18.28515625" style="10" bestFit="1" customWidth="1"/>
    <col min="10" max="10" width="16.140625" style="1" bestFit="1" customWidth="1"/>
    <col min="11" max="11" width="121" style="1" bestFit="1" customWidth="1"/>
    <col min="12" max="12" width="9.5703125" style="1" bestFit="1" customWidth="1"/>
    <col min="13" max="13" width="23.42578125" style="1" bestFit="1" customWidth="1"/>
    <col min="14" max="14" width="25.85546875" style="1" bestFit="1" customWidth="1"/>
    <col min="15" max="15" width="21.28515625" style="1" bestFit="1" customWidth="1"/>
    <col min="16" max="16" width="32.140625" style="1" bestFit="1" customWidth="1"/>
    <col min="17" max="17" width="8.7109375" style="1" bestFit="1" customWidth="1"/>
    <col min="18" max="18" width="8.85546875" style="1" bestFit="1" customWidth="1"/>
    <col min="19" max="20" width="18.28515625" style="1" bestFit="1" customWidth="1"/>
    <col min="21" max="21" width="14.140625" style="1" bestFit="1" customWidth="1"/>
    <col min="22" max="22" width="9.5703125" style="1" bestFit="1" customWidth="1"/>
    <col min="23" max="23" width="21" style="1" bestFit="1" customWidth="1"/>
    <col min="24" max="24" width="25.42578125" style="1" bestFit="1" customWidth="1"/>
    <col min="25" max="25" width="24.7109375" style="1" bestFit="1" customWidth="1"/>
    <col min="26" max="26" width="17.28515625" style="1" bestFit="1" customWidth="1"/>
    <col min="27" max="27" width="30.42578125" style="1" bestFit="1" customWidth="1"/>
    <col min="28" max="28" width="27.140625" style="1" bestFit="1" customWidth="1"/>
    <col min="29" max="29" width="38.28515625" style="1" bestFit="1" customWidth="1"/>
    <col min="30" max="30" width="23.85546875" style="1" bestFit="1" customWidth="1"/>
    <col min="31" max="31" width="21.7109375" style="1" bestFit="1" customWidth="1"/>
    <col min="32" max="32" width="21" style="1" bestFit="1" customWidth="1"/>
    <col min="33" max="33" width="12.28515625" style="1" bestFit="1" customWidth="1"/>
    <col min="34" max="16384" width="9.140625" style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0" t="s">
        <v>6</v>
      </c>
      <c r="H1" s="11" t="s">
        <v>7</v>
      </c>
      <c r="I1" s="10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idden="1" x14ac:dyDescent="0.25">
      <c r="A2" s="1">
        <v>5</v>
      </c>
      <c r="B2" s="1" t="s">
        <v>56</v>
      </c>
      <c r="C2" s="1" t="s">
        <v>51</v>
      </c>
      <c r="D2" s="1" t="s">
        <v>57</v>
      </c>
      <c r="E2" s="1" t="s">
        <v>53</v>
      </c>
      <c r="F2" s="10">
        <v>46161</v>
      </c>
      <c r="G2" s="10">
        <v>46161</v>
      </c>
      <c r="H2" s="11">
        <v>1</v>
      </c>
      <c r="I2" s="10">
        <v>46161</v>
      </c>
      <c r="K2" s="1" t="s">
        <v>58</v>
      </c>
      <c r="L2" s="1" t="s">
        <v>59</v>
      </c>
      <c r="M2" s="1" t="s">
        <v>44</v>
      </c>
      <c r="N2" s="2">
        <v>46161</v>
      </c>
      <c r="P2" s="1" t="s">
        <v>49</v>
      </c>
      <c r="Q2" s="1" t="s">
        <v>45</v>
      </c>
      <c r="R2" s="1" t="s">
        <v>55</v>
      </c>
      <c r="S2" s="2">
        <v>46161</v>
      </c>
      <c r="T2" s="2">
        <v>46161</v>
      </c>
      <c r="V2" s="1">
        <v>1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</row>
    <row r="3" spans="1:33" hidden="1" x14ac:dyDescent="0.25">
      <c r="A3" s="1">
        <v>6</v>
      </c>
      <c r="B3" s="1" t="s">
        <v>60</v>
      </c>
      <c r="C3" s="1" t="s">
        <v>51</v>
      </c>
      <c r="D3" s="1" t="s">
        <v>61</v>
      </c>
      <c r="E3" s="1" t="s">
        <v>53</v>
      </c>
      <c r="F3" s="10">
        <v>46164</v>
      </c>
      <c r="G3" s="10">
        <v>46164</v>
      </c>
      <c r="H3" s="11">
        <v>1</v>
      </c>
      <c r="I3" s="10">
        <v>46164</v>
      </c>
      <c r="K3" s="1">
        <v>206</v>
      </c>
      <c r="L3" s="1" t="s">
        <v>59</v>
      </c>
      <c r="M3" s="1" t="s">
        <v>62</v>
      </c>
      <c r="N3" s="2">
        <v>46164</v>
      </c>
      <c r="P3" s="1" t="s">
        <v>49</v>
      </c>
      <c r="Q3" s="1" t="s">
        <v>45</v>
      </c>
      <c r="R3" s="1" t="s">
        <v>55</v>
      </c>
      <c r="S3" s="2">
        <v>46164</v>
      </c>
      <c r="T3" s="2">
        <v>46164</v>
      </c>
      <c r="V3" s="1">
        <v>1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 spans="1:33" hidden="1" x14ac:dyDescent="0.25">
      <c r="A4" s="1">
        <v>7</v>
      </c>
      <c r="B4" s="1" t="s">
        <v>63</v>
      </c>
      <c r="C4" s="1" t="s">
        <v>51</v>
      </c>
      <c r="D4" s="1" t="s">
        <v>64</v>
      </c>
      <c r="E4" s="1" t="s">
        <v>53</v>
      </c>
      <c r="F4" s="10">
        <v>46178</v>
      </c>
      <c r="G4" s="10">
        <v>46178</v>
      </c>
      <c r="H4" s="11">
        <v>1</v>
      </c>
      <c r="I4" s="10">
        <v>46178</v>
      </c>
      <c r="K4" s="1">
        <v>408</v>
      </c>
      <c r="L4" s="1" t="s">
        <v>59</v>
      </c>
      <c r="M4" s="1" t="s">
        <v>62</v>
      </c>
      <c r="N4" s="2">
        <v>46164</v>
      </c>
      <c r="P4" s="1" t="s">
        <v>49</v>
      </c>
      <c r="Q4" s="1" t="s">
        <v>65</v>
      </c>
      <c r="R4" s="1" t="s">
        <v>55</v>
      </c>
      <c r="S4" s="2">
        <v>46164</v>
      </c>
      <c r="T4" s="2">
        <v>46164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 spans="1:33" hidden="1" x14ac:dyDescent="0.25">
      <c r="A5" s="1">
        <v>11</v>
      </c>
      <c r="B5" s="1" t="s">
        <v>72</v>
      </c>
      <c r="C5" s="1" t="s">
        <v>73</v>
      </c>
      <c r="D5" s="1" t="s">
        <v>74</v>
      </c>
      <c r="E5" s="1" t="s">
        <v>75</v>
      </c>
      <c r="F5" s="10">
        <v>46139</v>
      </c>
      <c r="G5" s="10">
        <v>46139</v>
      </c>
      <c r="H5" s="11">
        <v>1</v>
      </c>
      <c r="I5" s="10">
        <v>46139</v>
      </c>
      <c r="K5" s="1" t="s">
        <v>76</v>
      </c>
      <c r="L5" s="1" t="s">
        <v>59</v>
      </c>
      <c r="M5" s="1" t="s">
        <v>36</v>
      </c>
      <c r="N5" s="2">
        <v>46139</v>
      </c>
      <c r="P5" s="1" t="s">
        <v>37</v>
      </c>
      <c r="Q5" s="1" t="s">
        <v>38</v>
      </c>
      <c r="R5" s="1" t="s">
        <v>55</v>
      </c>
      <c r="S5" s="2">
        <v>46139</v>
      </c>
      <c r="T5" s="2">
        <v>46139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</row>
    <row r="6" spans="1:33" hidden="1" x14ac:dyDescent="0.25">
      <c r="A6" s="1">
        <v>12</v>
      </c>
      <c r="B6" s="1" t="s">
        <v>77</v>
      </c>
      <c r="C6" s="1" t="s">
        <v>73</v>
      </c>
      <c r="D6" s="1" t="s">
        <v>78</v>
      </c>
      <c r="E6" s="1" t="s">
        <v>79</v>
      </c>
      <c r="F6" s="10">
        <v>46141</v>
      </c>
      <c r="G6" s="10">
        <v>46141</v>
      </c>
      <c r="H6" s="11">
        <v>1</v>
      </c>
      <c r="I6" s="10">
        <v>46141</v>
      </c>
      <c r="L6" s="1" t="s">
        <v>59</v>
      </c>
      <c r="M6" s="1" t="s">
        <v>80</v>
      </c>
      <c r="N6" s="2">
        <v>46141</v>
      </c>
      <c r="P6" s="1" t="s">
        <v>81</v>
      </c>
      <c r="Q6" s="1" t="s">
        <v>38</v>
      </c>
      <c r="R6" s="1" t="s">
        <v>55</v>
      </c>
      <c r="S6" s="2">
        <v>46141</v>
      </c>
      <c r="T6" s="2">
        <v>46141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pans="1:33" hidden="1" x14ac:dyDescent="0.25">
      <c r="A7" s="1">
        <v>13</v>
      </c>
      <c r="B7" s="1" t="s">
        <v>82</v>
      </c>
      <c r="C7" s="1" t="s">
        <v>83</v>
      </c>
      <c r="D7" s="1" t="s">
        <v>84</v>
      </c>
      <c r="E7" s="1" t="s">
        <v>75</v>
      </c>
      <c r="F7" s="10">
        <v>46141</v>
      </c>
      <c r="G7" s="10">
        <v>46141</v>
      </c>
      <c r="H7" s="11">
        <v>1</v>
      </c>
      <c r="I7" s="10">
        <v>46141</v>
      </c>
      <c r="L7" s="1" t="s">
        <v>59</v>
      </c>
      <c r="M7" s="1" t="s">
        <v>80</v>
      </c>
      <c r="N7" s="2">
        <v>46141</v>
      </c>
      <c r="P7" s="1" t="s">
        <v>81</v>
      </c>
      <c r="Q7" s="1" t="s">
        <v>38</v>
      </c>
      <c r="R7" s="1" t="s">
        <v>55</v>
      </c>
      <c r="S7" s="2">
        <v>46141</v>
      </c>
      <c r="T7" s="2">
        <v>46141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 spans="1:33" hidden="1" x14ac:dyDescent="0.25">
      <c r="A8" s="1">
        <v>14</v>
      </c>
      <c r="B8" s="1" t="s">
        <v>85</v>
      </c>
      <c r="C8" s="1" t="s">
        <v>73</v>
      </c>
      <c r="D8" s="1" t="s">
        <v>86</v>
      </c>
      <c r="E8" s="1" t="s">
        <v>87</v>
      </c>
      <c r="F8" s="10">
        <v>46139</v>
      </c>
      <c r="G8" s="10">
        <v>46174</v>
      </c>
      <c r="H8" s="11">
        <v>1</v>
      </c>
      <c r="I8" s="10">
        <v>46174</v>
      </c>
      <c r="L8" s="1" t="s">
        <v>59</v>
      </c>
      <c r="M8" s="1" t="s">
        <v>36</v>
      </c>
      <c r="N8" s="2">
        <v>46161</v>
      </c>
      <c r="P8" s="1" t="s">
        <v>88</v>
      </c>
      <c r="Q8" s="1" t="s">
        <v>38</v>
      </c>
      <c r="R8" s="1" t="s">
        <v>55</v>
      </c>
      <c r="S8" s="2">
        <v>46139</v>
      </c>
      <c r="T8" s="2">
        <v>46161</v>
      </c>
      <c r="V8" s="1">
        <v>1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</row>
    <row r="9" spans="1:33" hidden="1" x14ac:dyDescent="0.25">
      <c r="A9" s="1">
        <v>15</v>
      </c>
      <c r="B9" s="1" t="s">
        <v>89</v>
      </c>
      <c r="C9" s="1" t="s">
        <v>90</v>
      </c>
      <c r="D9" s="1" t="s">
        <v>91</v>
      </c>
      <c r="E9" s="1" t="s">
        <v>43</v>
      </c>
      <c r="F9" s="10">
        <v>46139</v>
      </c>
      <c r="G9" s="10">
        <v>46170</v>
      </c>
      <c r="H9" s="11">
        <v>1</v>
      </c>
      <c r="I9" s="10">
        <v>46170</v>
      </c>
      <c r="L9" s="1" t="s">
        <v>59</v>
      </c>
      <c r="M9" s="1" t="s">
        <v>36</v>
      </c>
      <c r="N9" s="2">
        <v>46161</v>
      </c>
      <c r="P9" s="1" t="s">
        <v>88</v>
      </c>
      <c r="Q9" s="1" t="s">
        <v>38</v>
      </c>
      <c r="R9" s="1" t="s">
        <v>55</v>
      </c>
      <c r="S9" s="2">
        <v>46139</v>
      </c>
      <c r="T9" s="2">
        <v>46161</v>
      </c>
      <c r="V9" s="1">
        <v>1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</row>
    <row r="10" spans="1:33" x14ac:dyDescent="0.25">
      <c r="A10" s="1">
        <v>16</v>
      </c>
      <c r="B10" s="1" t="s">
        <v>92</v>
      </c>
      <c r="C10" s="1" t="s">
        <v>93</v>
      </c>
      <c r="D10" s="1" t="s">
        <v>94</v>
      </c>
      <c r="E10" s="1" t="s">
        <v>95</v>
      </c>
      <c r="F10" s="10">
        <v>46139</v>
      </c>
      <c r="G10" s="10">
        <v>46141</v>
      </c>
      <c r="H10" s="11">
        <v>1</v>
      </c>
      <c r="I10" s="10">
        <v>46141</v>
      </c>
      <c r="J10" s="1">
        <v>11</v>
      </c>
      <c r="K10" s="1" t="s">
        <v>96</v>
      </c>
      <c r="L10" s="1" t="s">
        <v>59</v>
      </c>
      <c r="M10" s="1" t="s">
        <v>36</v>
      </c>
      <c r="N10" s="2">
        <v>46141</v>
      </c>
      <c r="P10" s="1" t="s">
        <v>88</v>
      </c>
      <c r="Q10" s="1" t="s">
        <v>38</v>
      </c>
      <c r="R10" s="1" t="s">
        <v>55</v>
      </c>
      <c r="S10" s="2">
        <v>46139</v>
      </c>
      <c r="T10" s="2">
        <v>46141</v>
      </c>
      <c r="V10" s="1">
        <v>1</v>
      </c>
      <c r="W10" s="1">
        <v>1</v>
      </c>
      <c r="X10" s="1">
        <v>1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</v>
      </c>
    </row>
    <row r="11" spans="1:33" hidden="1" x14ac:dyDescent="0.25">
      <c r="A11" s="1">
        <v>17</v>
      </c>
      <c r="B11" s="1" t="s">
        <v>97</v>
      </c>
      <c r="C11" s="1" t="s">
        <v>93</v>
      </c>
      <c r="D11" s="1" t="s">
        <v>98</v>
      </c>
      <c r="E11" s="1" t="s">
        <v>53</v>
      </c>
      <c r="F11" s="10">
        <v>46142</v>
      </c>
      <c r="G11" s="10">
        <v>46142</v>
      </c>
      <c r="H11" s="11">
        <v>1</v>
      </c>
      <c r="I11" s="10">
        <v>46142</v>
      </c>
      <c r="J11" s="1">
        <v>16</v>
      </c>
      <c r="K11" s="1" t="s">
        <v>99</v>
      </c>
      <c r="L11" s="1" t="s">
        <v>59</v>
      </c>
      <c r="M11" s="1" t="s">
        <v>100</v>
      </c>
      <c r="N11" s="2">
        <v>46142</v>
      </c>
      <c r="P11" s="1" t="s">
        <v>88</v>
      </c>
      <c r="Q11" s="1" t="s">
        <v>38</v>
      </c>
      <c r="R11" s="1" t="s">
        <v>55</v>
      </c>
      <c r="S11" s="2">
        <v>46142</v>
      </c>
      <c r="T11" s="2">
        <v>46142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1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 spans="1:33" hidden="1" x14ac:dyDescent="0.25">
      <c r="A12" s="1">
        <v>18</v>
      </c>
      <c r="B12" s="1" t="s">
        <v>101</v>
      </c>
      <c r="C12" s="1" t="s">
        <v>93</v>
      </c>
      <c r="D12" s="1" t="s">
        <v>102</v>
      </c>
      <c r="E12" s="1" t="s">
        <v>103</v>
      </c>
      <c r="F12" s="10">
        <v>46148</v>
      </c>
      <c r="G12" s="10">
        <v>46155</v>
      </c>
      <c r="H12" s="11">
        <v>1</v>
      </c>
      <c r="I12" s="10">
        <v>46155</v>
      </c>
      <c r="J12" s="1" t="s">
        <v>104</v>
      </c>
      <c r="K12" s="1" t="s">
        <v>105</v>
      </c>
      <c r="L12" s="1" t="s">
        <v>59</v>
      </c>
      <c r="M12" s="1" t="s">
        <v>106</v>
      </c>
      <c r="N12" s="2">
        <v>46155</v>
      </c>
      <c r="P12" s="1" t="s">
        <v>88</v>
      </c>
      <c r="Q12" s="1" t="s">
        <v>38</v>
      </c>
      <c r="R12" s="1" t="s">
        <v>55</v>
      </c>
      <c r="S12" s="2">
        <v>46148</v>
      </c>
      <c r="T12" s="2">
        <v>46155</v>
      </c>
      <c r="V12" s="1">
        <v>1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0</v>
      </c>
      <c r="AE12" s="1">
        <v>0</v>
      </c>
      <c r="AF12" s="1">
        <v>0</v>
      </c>
      <c r="AG12" s="1">
        <v>0</v>
      </c>
    </row>
    <row r="13" spans="1:33" hidden="1" x14ac:dyDescent="0.25">
      <c r="A13" s="1">
        <v>19</v>
      </c>
      <c r="B13" s="1" t="s">
        <v>107</v>
      </c>
      <c r="C13" s="1" t="s">
        <v>93</v>
      </c>
      <c r="D13" s="1" t="s">
        <v>108</v>
      </c>
      <c r="E13" s="1" t="s">
        <v>53</v>
      </c>
      <c r="F13" s="10">
        <v>46170</v>
      </c>
      <c r="G13" s="10">
        <v>46170</v>
      </c>
      <c r="H13" s="11">
        <v>1</v>
      </c>
      <c r="I13" s="10">
        <v>46170</v>
      </c>
      <c r="J13" s="1" t="s">
        <v>109</v>
      </c>
      <c r="L13" s="1" t="s">
        <v>59</v>
      </c>
      <c r="M13" s="1" t="s">
        <v>44</v>
      </c>
      <c r="N13" s="2">
        <v>46161</v>
      </c>
      <c r="P13" s="1" t="s">
        <v>88</v>
      </c>
      <c r="Q13" s="1" t="s">
        <v>110</v>
      </c>
      <c r="R13" s="1" t="s">
        <v>55</v>
      </c>
      <c r="S13" s="2">
        <v>46161</v>
      </c>
      <c r="T13" s="2">
        <v>46161</v>
      </c>
      <c r="V13" s="1">
        <v>1</v>
      </c>
      <c r="W13" s="1">
        <v>0</v>
      </c>
      <c r="X13" s="1">
        <v>0</v>
      </c>
      <c r="Y13" s="1">
        <v>0</v>
      </c>
      <c r="Z13" s="1">
        <v>1</v>
      </c>
      <c r="AA13" s="1">
        <v>0</v>
      </c>
      <c r="AB13" s="1">
        <v>0</v>
      </c>
      <c r="AC13" s="1">
        <v>0</v>
      </c>
      <c r="AD13" s="1">
        <v>0</v>
      </c>
      <c r="AE13" s="1">
        <v>1</v>
      </c>
      <c r="AF13" s="1">
        <v>0</v>
      </c>
      <c r="AG13" s="1">
        <v>0</v>
      </c>
    </row>
    <row r="14" spans="1:33" hidden="1" x14ac:dyDescent="0.25">
      <c r="A14" s="1">
        <v>20</v>
      </c>
      <c r="B14" s="1" t="s">
        <v>111</v>
      </c>
      <c r="C14" s="1" t="s">
        <v>90</v>
      </c>
      <c r="D14" s="1" t="s">
        <v>112</v>
      </c>
      <c r="E14" s="1" t="s">
        <v>113</v>
      </c>
      <c r="F14" s="10">
        <v>46142</v>
      </c>
      <c r="G14" s="10">
        <v>46174</v>
      </c>
      <c r="H14" s="11">
        <v>1</v>
      </c>
      <c r="I14" s="10">
        <v>46174</v>
      </c>
      <c r="L14" s="1" t="s">
        <v>59</v>
      </c>
      <c r="M14" s="1" t="s">
        <v>100</v>
      </c>
      <c r="N14" s="2">
        <v>46161</v>
      </c>
      <c r="P14" s="1" t="s">
        <v>88</v>
      </c>
      <c r="Q14" s="1" t="s">
        <v>38</v>
      </c>
      <c r="R14" s="1" t="s">
        <v>55</v>
      </c>
      <c r="S14" s="2">
        <v>46142</v>
      </c>
      <c r="T14" s="2">
        <v>46161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</row>
    <row r="15" spans="1:33" x14ac:dyDescent="0.25">
      <c r="A15" s="1">
        <v>21</v>
      </c>
      <c r="B15" s="1" t="s">
        <v>114</v>
      </c>
      <c r="C15" s="1" t="s">
        <v>115</v>
      </c>
      <c r="D15" s="1" t="s">
        <v>94</v>
      </c>
      <c r="E15" s="1" t="s">
        <v>95</v>
      </c>
      <c r="F15" s="10">
        <v>46142</v>
      </c>
      <c r="G15" s="10">
        <v>46146</v>
      </c>
      <c r="H15" s="11">
        <v>1</v>
      </c>
      <c r="I15" s="10">
        <v>46146</v>
      </c>
      <c r="J15" s="1">
        <v>16</v>
      </c>
      <c r="K15" s="1" t="s">
        <v>116</v>
      </c>
      <c r="L15" s="1" t="s">
        <v>59</v>
      </c>
      <c r="M15" s="1" t="s">
        <v>100</v>
      </c>
      <c r="N15" s="2">
        <v>46146</v>
      </c>
      <c r="P15" s="1" t="s">
        <v>88</v>
      </c>
      <c r="Q15" s="1" t="s">
        <v>38</v>
      </c>
      <c r="R15" s="1" t="s">
        <v>55</v>
      </c>
      <c r="S15" s="2">
        <v>46142</v>
      </c>
      <c r="T15" s="2">
        <v>46146</v>
      </c>
      <c r="V15" s="1">
        <v>1</v>
      </c>
      <c r="W15" s="1">
        <v>1</v>
      </c>
      <c r="X15" s="1">
        <v>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1</v>
      </c>
    </row>
    <row r="16" spans="1:33" hidden="1" x14ac:dyDescent="0.25">
      <c r="A16" s="1">
        <v>22</v>
      </c>
      <c r="B16" s="1" t="s">
        <v>117</v>
      </c>
      <c r="C16" s="1" t="s">
        <v>115</v>
      </c>
      <c r="D16" s="1" t="s">
        <v>98</v>
      </c>
      <c r="E16" s="1" t="s">
        <v>53</v>
      </c>
      <c r="F16" s="10">
        <v>46147</v>
      </c>
      <c r="G16" s="10">
        <v>46147</v>
      </c>
      <c r="H16" s="11">
        <v>1</v>
      </c>
      <c r="I16" s="10">
        <v>46147</v>
      </c>
      <c r="J16" s="1">
        <v>21</v>
      </c>
      <c r="K16" s="1" t="s">
        <v>118</v>
      </c>
      <c r="L16" s="1" t="s">
        <v>59</v>
      </c>
      <c r="M16" s="1" t="s">
        <v>119</v>
      </c>
      <c r="N16" s="2">
        <v>46147</v>
      </c>
      <c r="P16" s="1" t="s">
        <v>88</v>
      </c>
      <c r="Q16" s="1" t="s">
        <v>38</v>
      </c>
      <c r="R16" s="1" t="s">
        <v>55</v>
      </c>
      <c r="S16" s="2">
        <v>46147</v>
      </c>
      <c r="T16" s="2">
        <v>46147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 spans="1:33" hidden="1" x14ac:dyDescent="0.25">
      <c r="A17" s="1">
        <v>23</v>
      </c>
      <c r="B17" s="1" t="s">
        <v>120</v>
      </c>
      <c r="C17" s="1" t="s">
        <v>115</v>
      </c>
      <c r="D17" s="1" t="s">
        <v>102</v>
      </c>
      <c r="E17" s="1" t="s">
        <v>121</v>
      </c>
      <c r="F17" s="10">
        <v>46155</v>
      </c>
      <c r="G17" s="10">
        <v>46160</v>
      </c>
      <c r="H17" s="11">
        <v>1</v>
      </c>
      <c r="I17" s="10">
        <v>46160</v>
      </c>
      <c r="J17" s="1" t="s">
        <v>122</v>
      </c>
      <c r="K17" s="1" t="s">
        <v>123</v>
      </c>
      <c r="L17" s="1" t="s">
        <v>59</v>
      </c>
      <c r="M17" s="1" t="s">
        <v>124</v>
      </c>
      <c r="N17" s="2">
        <v>46160</v>
      </c>
      <c r="P17" s="1" t="s">
        <v>88</v>
      </c>
      <c r="Q17" s="1" t="s">
        <v>125</v>
      </c>
      <c r="R17" s="1" t="s">
        <v>55</v>
      </c>
      <c r="S17" s="2">
        <v>46155</v>
      </c>
      <c r="T17" s="2">
        <v>46160</v>
      </c>
      <c r="V17" s="1">
        <v>1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0</v>
      </c>
      <c r="AE17" s="1">
        <v>0</v>
      </c>
      <c r="AF17" s="1">
        <v>0</v>
      </c>
      <c r="AG17" s="1">
        <v>0</v>
      </c>
    </row>
    <row r="18" spans="1:33" hidden="1" x14ac:dyDescent="0.25">
      <c r="A18" s="1">
        <v>24</v>
      </c>
      <c r="B18" s="1" t="s">
        <v>126</v>
      </c>
      <c r="C18" s="1" t="s">
        <v>115</v>
      </c>
      <c r="D18" s="1" t="s">
        <v>108</v>
      </c>
      <c r="E18" s="1" t="s">
        <v>53</v>
      </c>
      <c r="F18" s="10">
        <v>46171</v>
      </c>
      <c r="G18" s="10">
        <v>46174</v>
      </c>
      <c r="H18" s="11">
        <v>1</v>
      </c>
      <c r="I18" s="10">
        <v>46174</v>
      </c>
      <c r="J18" s="1" t="s">
        <v>127</v>
      </c>
      <c r="L18" s="1" t="s">
        <v>59</v>
      </c>
      <c r="M18" s="1" t="s">
        <v>128</v>
      </c>
      <c r="N18" s="2">
        <v>46161</v>
      </c>
      <c r="P18" s="1" t="s">
        <v>88</v>
      </c>
      <c r="Q18" s="1" t="s">
        <v>110</v>
      </c>
      <c r="R18" s="1" t="s">
        <v>55</v>
      </c>
      <c r="S18" s="2">
        <v>46160</v>
      </c>
      <c r="T18" s="2">
        <v>46161</v>
      </c>
      <c r="V18" s="1">
        <v>1</v>
      </c>
      <c r="W18" s="1">
        <v>0</v>
      </c>
      <c r="X18" s="1">
        <v>0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0</v>
      </c>
      <c r="AE18" s="1">
        <v>1</v>
      </c>
      <c r="AF18" s="1">
        <v>0</v>
      </c>
      <c r="AG18" s="1">
        <v>0</v>
      </c>
    </row>
    <row r="19" spans="1:33" x14ac:dyDescent="0.25">
      <c r="A19" s="1">
        <v>63</v>
      </c>
      <c r="B19" s="1" t="s">
        <v>137</v>
      </c>
      <c r="C19" s="1" t="s">
        <v>138</v>
      </c>
      <c r="D19" s="1" t="s">
        <v>94</v>
      </c>
      <c r="E19" s="1" t="s">
        <v>53</v>
      </c>
      <c r="F19" s="10">
        <v>46191</v>
      </c>
      <c r="G19" s="10">
        <v>46191</v>
      </c>
      <c r="H19" s="11">
        <v>1</v>
      </c>
      <c r="I19" s="10">
        <v>46191</v>
      </c>
      <c r="J19" s="1" t="s">
        <v>139</v>
      </c>
      <c r="K19" s="1" t="s">
        <v>140</v>
      </c>
      <c r="L19" s="1" t="s">
        <v>59</v>
      </c>
      <c r="M19" s="1" t="s">
        <v>44</v>
      </c>
      <c r="N19" s="2">
        <v>46161</v>
      </c>
      <c r="P19" s="1" t="s">
        <v>132</v>
      </c>
      <c r="Q19" s="1" t="s">
        <v>133</v>
      </c>
      <c r="R19" s="1" t="s">
        <v>55</v>
      </c>
      <c r="S19" s="2">
        <v>46161</v>
      </c>
      <c r="T19" s="2">
        <v>46161</v>
      </c>
      <c r="V19" s="1">
        <v>1</v>
      </c>
      <c r="W19" s="1">
        <v>1</v>
      </c>
      <c r="X19" s="1">
        <v>1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</row>
    <row r="20" spans="1:33" hidden="1" x14ac:dyDescent="0.25">
      <c r="A20" s="1">
        <v>64</v>
      </c>
      <c r="B20" s="1" t="s">
        <v>141</v>
      </c>
      <c r="C20" s="1" t="s">
        <v>138</v>
      </c>
      <c r="D20" s="1" t="s">
        <v>98</v>
      </c>
      <c r="E20" s="1" t="s">
        <v>53</v>
      </c>
      <c r="F20" s="10">
        <v>46192</v>
      </c>
      <c r="G20" s="10">
        <v>46192</v>
      </c>
      <c r="H20" s="11">
        <v>1</v>
      </c>
      <c r="I20" s="10">
        <v>46192</v>
      </c>
      <c r="J20" s="1">
        <v>63</v>
      </c>
      <c r="K20" s="1">
        <v>65</v>
      </c>
      <c r="L20" s="1" t="s">
        <v>59</v>
      </c>
      <c r="M20" s="1" t="s">
        <v>142</v>
      </c>
      <c r="N20" s="2">
        <v>46162</v>
      </c>
      <c r="P20" s="1" t="s">
        <v>132</v>
      </c>
      <c r="Q20" s="1" t="s">
        <v>133</v>
      </c>
      <c r="R20" s="1" t="s">
        <v>55</v>
      </c>
      <c r="S20" s="2">
        <v>46162</v>
      </c>
      <c r="T20" s="2">
        <v>46162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</row>
    <row r="21" spans="1:33" hidden="1" x14ac:dyDescent="0.25">
      <c r="A21" s="1">
        <v>78</v>
      </c>
      <c r="B21" s="1" t="s">
        <v>156</v>
      </c>
      <c r="C21" s="1" t="s">
        <v>157</v>
      </c>
      <c r="D21" s="1" t="s">
        <v>158</v>
      </c>
      <c r="E21" s="1" t="s">
        <v>159</v>
      </c>
      <c r="F21" s="10">
        <v>46171</v>
      </c>
      <c r="G21" s="10">
        <v>46192</v>
      </c>
      <c r="H21" s="11">
        <v>1</v>
      </c>
      <c r="I21" s="10">
        <v>46192</v>
      </c>
      <c r="L21" s="1" t="s">
        <v>59</v>
      </c>
      <c r="M21" s="1" t="s">
        <v>44</v>
      </c>
      <c r="N21" s="2">
        <v>46168</v>
      </c>
      <c r="P21" s="1" t="s">
        <v>155</v>
      </c>
      <c r="Q21" s="1" t="s">
        <v>110</v>
      </c>
      <c r="R21" s="1" t="s">
        <v>55</v>
      </c>
      <c r="S21" s="2">
        <v>46161</v>
      </c>
      <c r="T21" s="2">
        <v>46168</v>
      </c>
      <c r="V21" s="1">
        <v>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</row>
    <row r="22" spans="1:33" x14ac:dyDescent="0.25">
      <c r="A22" s="1">
        <v>79</v>
      </c>
      <c r="B22" s="1" t="s">
        <v>160</v>
      </c>
      <c r="C22" s="1" t="s">
        <v>161</v>
      </c>
      <c r="D22" s="1" t="s">
        <v>94</v>
      </c>
      <c r="E22" s="1" t="s">
        <v>121</v>
      </c>
      <c r="F22" s="10">
        <v>46171</v>
      </c>
      <c r="G22" s="10">
        <v>46174</v>
      </c>
      <c r="H22" s="11">
        <v>1</v>
      </c>
      <c r="I22" s="10">
        <v>46174</v>
      </c>
      <c r="J22" s="1" t="s">
        <v>162</v>
      </c>
      <c r="K22" s="1" t="s">
        <v>163</v>
      </c>
      <c r="L22" s="1" t="s">
        <v>59</v>
      </c>
      <c r="M22" s="1" t="s">
        <v>44</v>
      </c>
      <c r="N22" s="2">
        <v>46162</v>
      </c>
      <c r="P22" s="1" t="s">
        <v>155</v>
      </c>
      <c r="Q22" s="1" t="s">
        <v>110</v>
      </c>
      <c r="R22" s="1" t="s">
        <v>55</v>
      </c>
      <c r="S22" s="2">
        <v>46161</v>
      </c>
      <c r="T22" s="2">
        <v>46162</v>
      </c>
      <c r="V22" s="1">
        <v>1</v>
      </c>
      <c r="W22" s="1">
        <v>1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</row>
    <row r="23" spans="1:33" hidden="1" x14ac:dyDescent="0.25">
      <c r="A23" s="1">
        <v>80</v>
      </c>
      <c r="B23" s="1" t="s">
        <v>164</v>
      </c>
      <c r="C23" s="1" t="s">
        <v>161</v>
      </c>
      <c r="D23" s="1" t="s">
        <v>98</v>
      </c>
      <c r="E23" s="1" t="s">
        <v>53</v>
      </c>
      <c r="F23" s="10">
        <v>46175</v>
      </c>
      <c r="G23" s="10">
        <v>46175</v>
      </c>
      <c r="H23" s="11">
        <v>1</v>
      </c>
      <c r="I23" s="10">
        <v>46175</v>
      </c>
      <c r="J23" s="1">
        <v>79</v>
      </c>
      <c r="K23" s="1">
        <v>81</v>
      </c>
      <c r="L23" s="1" t="s">
        <v>59</v>
      </c>
      <c r="M23" s="1" t="s">
        <v>145</v>
      </c>
      <c r="N23" s="2">
        <v>46163</v>
      </c>
      <c r="P23" s="1" t="s">
        <v>155</v>
      </c>
      <c r="Q23" s="1" t="s">
        <v>110</v>
      </c>
      <c r="R23" s="1" t="s">
        <v>55</v>
      </c>
      <c r="S23" s="2">
        <v>46163</v>
      </c>
      <c r="T23" s="2">
        <v>46163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1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hidden="1" x14ac:dyDescent="0.25">
      <c r="A24" s="1">
        <v>81</v>
      </c>
      <c r="B24" s="1" t="s">
        <v>165</v>
      </c>
      <c r="C24" s="1" t="s">
        <v>161</v>
      </c>
      <c r="D24" s="1" t="s">
        <v>102</v>
      </c>
      <c r="E24" s="1" t="s">
        <v>121</v>
      </c>
      <c r="F24" s="10">
        <v>46176</v>
      </c>
      <c r="G24" s="10">
        <v>46181</v>
      </c>
      <c r="H24" s="11">
        <v>1</v>
      </c>
      <c r="I24" s="10">
        <v>46181</v>
      </c>
      <c r="J24" s="1">
        <v>80</v>
      </c>
      <c r="K24" s="1" t="s">
        <v>166</v>
      </c>
      <c r="L24" s="1" t="s">
        <v>59</v>
      </c>
      <c r="M24" s="1" t="s">
        <v>62</v>
      </c>
      <c r="N24" s="2">
        <v>46167</v>
      </c>
      <c r="P24" s="1" t="s">
        <v>155</v>
      </c>
      <c r="Q24" s="1" t="s">
        <v>110</v>
      </c>
      <c r="R24" s="1" t="s">
        <v>55</v>
      </c>
      <c r="S24" s="2">
        <v>46164</v>
      </c>
      <c r="T24" s="2">
        <v>46167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0</v>
      </c>
      <c r="AE24" s="1">
        <v>0</v>
      </c>
      <c r="AF24" s="1">
        <v>0</v>
      </c>
      <c r="AG24" s="1">
        <v>0</v>
      </c>
    </row>
    <row r="25" spans="1:33" hidden="1" x14ac:dyDescent="0.25">
      <c r="A25" s="1">
        <v>82</v>
      </c>
      <c r="B25" s="1" t="s">
        <v>167</v>
      </c>
      <c r="C25" s="1" t="s">
        <v>161</v>
      </c>
      <c r="D25" s="1" t="s">
        <v>108</v>
      </c>
      <c r="E25" s="1" t="s">
        <v>53</v>
      </c>
      <c r="F25" s="10">
        <v>46192</v>
      </c>
      <c r="G25" s="10">
        <v>46192</v>
      </c>
      <c r="H25" s="11">
        <v>1</v>
      </c>
      <c r="I25" s="10">
        <v>46192</v>
      </c>
      <c r="J25" s="1">
        <v>81</v>
      </c>
      <c r="L25" s="1" t="s">
        <v>59</v>
      </c>
      <c r="M25" s="1" t="s">
        <v>168</v>
      </c>
      <c r="N25" s="2">
        <v>46168</v>
      </c>
      <c r="P25" s="1" t="s">
        <v>155</v>
      </c>
      <c r="Q25" s="1" t="s">
        <v>169</v>
      </c>
      <c r="R25" s="1" t="s">
        <v>55</v>
      </c>
      <c r="S25" s="2">
        <v>46168</v>
      </c>
      <c r="T25" s="2">
        <v>46168</v>
      </c>
      <c r="V25" s="1">
        <v>1</v>
      </c>
      <c r="W25" s="1">
        <v>0</v>
      </c>
      <c r="X25" s="1">
        <v>0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</row>
    <row r="26" spans="1:33" x14ac:dyDescent="0.25">
      <c r="A26" s="1">
        <v>134</v>
      </c>
      <c r="B26" s="1" t="s">
        <v>256</v>
      </c>
      <c r="C26" s="1" t="s">
        <v>257</v>
      </c>
      <c r="D26" s="1" t="s">
        <v>94</v>
      </c>
      <c r="E26" s="1" t="s">
        <v>258</v>
      </c>
      <c r="F26" s="10">
        <v>46195</v>
      </c>
      <c r="G26" s="10">
        <v>46204</v>
      </c>
      <c r="H26" s="11">
        <v>1</v>
      </c>
      <c r="I26" s="10">
        <v>46204</v>
      </c>
      <c r="J26" s="1">
        <v>185</v>
      </c>
      <c r="K26" s="1">
        <v>135</v>
      </c>
      <c r="L26" s="1" t="s">
        <v>59</v>
      </c>
      <c r="M26" s="1" t="s">
        <v>255</v>
      </c>
      <c r="N26" s="2">
        <v>46182</v>
      </c>
      <c r="P26" s="1" t="s">
        <v>155</v>
      </c>
      <c r="Q26" s="1" t="s">
        <v>133</v>
      </c>
      <c r="R26" s="1" t="s">
        <v>55</v>
      </c>
      <c r="S26" s="2">
        <v>46171</v>
      </c>
      <c r="T26" s="2">
        <v>46182</v>
      </c>
      <c r="V26" s="1">
        <v>1</v>
      </c>
      <c r="W26" s="1">
        <v>1</v>
      </c>
      <c r="X26" s="1">
        <v>1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1</v>
      </c>
    </row>
    <row r="27" spans="1:33" x14ac:dyDescent="0.25">
      <c r="A27" s="1">
        <v>139</v>
      </c>
      <c r="B27" s="1" t="s">
        <v>267</v>
      </c>
      <c r="C27" s="1" t="s">
        <v>268</v>
      </c>
      <c r="D27" s="1" t="s">
        <v>94</v>
      </c>
      <c r="E27" s="1" t="s">
        <v>258</v>
      </c>
      <c r="F27" s="10">
        <v>46195</v>
      </c>
      <c r="G27" s="10">
        <v>46204</v>
      </c>
      <c r="H27" s="11">
        <v>1</v>
      </c>
      <c r="I27" s="10">
        <v>46204</v>
      </c>
      <c r="J27" s="1">
        <v>185</v>
      </c>
      <c r="K27" s="1">
        <v>140</v>
      </c>
      <c r="L27" s="1" t="s">
        <v>59</v>
      </c>
      <c r="M27" s="1" t="s">
        <v>255</v>
      </c>
      <c r="N27" s="2">
        <v>46182</v>
      </c>
      <c r="P27" s="1" t="s">
        <v>155</v>
      </c>
      <c r="Q27" s="1" t="s">
        <v>133</v>
      </c>
      <c r="R27" s="1" t="s">
        <v>55</v>
      </c>
      <c r="S27" s="2">
        <v>46171</v>
      </c>
      <c r="T27" s="2">
        <v>46182</v>
      </c>
      <c r="V27" s="1">
        <v>1</v>
      </c>
      <c r="W27" s="1">
        <v>1</v>
      </c>
      <c r="X27" s="1">
        <v>1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1</v>
      </c>
    </row>
    <row r="28" spans="1:33" x14ac:dyDescent="0.25">
      <c r="A28" s="1">
        <v>144</v>
      </c>
      <c r="B28" s="1" t="s">
        <v>274</v>
      </c>
      <c r="C28" s="1" t="s">
        <v>275</v>
      </c>
      <c r="D28" s="1" t="s">
        <v>94</v>
      </c>
      <c r="E28" s="1" t="s">
        <v>258</v>
      </c>
      <c r="F28" s="10">
        <v>46195</v>
      </c>
      <c r="G28" s="10">
        <v>46204</v>
      </c>
      <c r="H28" s="11">
        <v>1</v>
      </c>
      <c r="I28" s="10">
        <v>46204</v>
      </c>
      <c r="J28" s="1">
        <v>185</v>
      </c>
      <c r="K28" s="1">
        <v>145</v>
      </c>
      <c r="L28" s="1" t="s">
        <v>59</v>
      </c>
      <c r="M28" s="1" t="s">
        <v>255</v>
      </c>
      <c r="N28" s="2">
        <v>46182</v>
      </c>
      <c r="P28" s="1" t="s">
        <v>155</v>
      </c>
      <c r="Q28" s="1" t="s">
        <v>133</v>
      </c>
      <c r="R28" s="1" t="s">
        <v>55</v>
      </c>
      <c r="S28" s="2">
        <v>46171</v>
      </c>
      <c r="T28" s="2">
        <v>46182</v>
      </c>
      <c r="V28" s="1">
        <v>1</v>
      </c>
      <c r="W28" s="1">
        <v>1</v>
      </c>
      <c r="X28" s="1">
        <v>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1</v>
      </c>
    </row>
    <row r="29" spans="1:33" x14ac:dyDescent="0.25">
      <c r="A29" s="1">
        <v>149</v>
      </c>
      <c r="B29" s="1" t="s">
        <v>281</v>
      </c>
      <c r="C29" s="1" t="s">
        <v>282</v>
      </c>
      <c r="D29" s="1" t="s">
        <v>94</v>
      </c>
      <c r="E29" s="1" t="s">
        <v>258</v>
      </c>
      <c r="F29" s="10">
        <v>46195</v>
      </c>
      <c r="G29" s="10">
        <v>46204</v>
      </c>
      <c r="H29" s="11">
        <v>1</v>
      </c>
      <c r="I29" s="10">
        <v>46204</v>
      </c>
      <c r="J29" s="1">
        <v>185</v>
      </c>
      <c r="K29" s="1">
        <v>150</v>
      </c>
      <c r="L29" s="1" t="s">
        <v>59</v>
      </c>
      <c r="M29" s="1" t="s">
        <v>255</v>
      </c>
      <c r="N29" s="2">
        <v>46182</v>
      </c>
      <c r="P29" s="1" t="s">
        <v>155</v>
      </c>
      <c r="Q29" s="1" t="s">
        <v>133</v>
      </c>
      <c r="R29" s="1" t="s">
        <v>55</v>
      </c>
      <c r="S29" s="2">
        <v>46171</v>
      </c>
      <c r="T29" s="2">
        <v>46182</v>
      </c>
      <c r="V29" s="1">
        <v>1</v>
      </c>
      <c r="W29" s="1">
        <v>1</v>
      </c>
      <c r="X29" s="1">
        <v>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1</v>
      </c>
    </row>
    <row r="30" spans="1:33" x14ac:dyDescent="0.25">
      <c r="A30" s="1">
        <v>154</v>
      </c>
      <c r="B30" s="1" t="s">
        <v>289</v>
      </c>
      <c r="C30" s="1" t="s">
        <v>290</v>
      </c>
      <c r="D30" s="1" t="s">
        <v>94</v>
      </c>
      <c r="E30" s="1" t="s">
        <v>258</v>
      </c>
      <c r="F30" s="10">
        <v>46195</v>
      </c>
      <c r="G30" s="10">
        <v>46204</v>
      </c>
      <c r="H30" s="11">
        <v>1</v>
      </c>
      <c r="I30" s="10">
        <v>46204</v>
      </c>
      <c r="J30" s="1">
        <v>185</v>
      </c>
      <c r="K30" s="1">
        <v>155</v>
      </c>
      <c r="L30" s="1" t="s">
        <v>59</v>
      </c>
      <c r="M30" s="1" t="s">
        <v>187</v>
      </c>
      <c r="N30" s="2">
        <v>46204</v>
      </c>
      <c r="P30" s="1" t="s">
        <v>155</v>
      </c>
      <c r="Q30" s="1" t="s">
        <v>133</v>
      </c>
      <c r="R30" s="1" t="s">
        <v>55</v>
      </c>
      <c r="S30" s="2">
        <v>46195</v>
      </c>
      <c r="T30" s="2">
        <v>46204</v>
      </c>
      <c r="V30" s="1">
        <v>1</v>
      </c>
      <c r="W30" s="1">
        <v>1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</row>
    <row r="31" spans="1:33" x14ac:dyDescent="0.25">
      <c r="A31" s="1">
        <v>159</v>
      </c>
      <c r="B31" s="1" t="s">
        <v>298</v>
      </c>
      <c r="C31" s="1" t="s">
        <v>299</v>
      </c>
      <c r="D31" s="1" t="s">
        <v>94</v>
      </c>
      <c r="E31" s="1" t="s">
        <v>258</v>
      </c>
      <c r="F31" s="10">
        <v>46195</v>
      </c>
      <c r="G31" s="10">
        <v>46204</v>
      </c>
      <c r="H31" s="11">
        <v>1</v>
      </c>
      <c r="I31" s="10">
        <v>46204</v>
      </c>
      <c r="J31" s="1">
        <v>185</v>
      </c>
      <c r="K31" s="1">
        <v>160</v>
      </c>
      <c r="L31" s="1" t="s">
        <v>59</v>
      </c>
      <c r="M31" s="1" t="s">
        <v>187</v>
      </c>
      <c r="N31" s="2">
        <v>46204</v>
      </c>
      <c r="P31" s="1" t="s">
        <v>155</v>
      </c>
      <c r="Q31" s="1" t="s">
        <v>133</v>
      </c>
      <c r="R31" s="1" t="s">
        <v>55</v>
      </c>
      <c r="S31" s="2">
        <v>46195</v>
      </c>
      <c r="T31" s="2">
        <v>46204</v>
      </c>
      <c r="V31" s="1">
        <v>1</v>
      </c>
      <c r="W31" s="1">
        <v>1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</row>
    <row r="32" spans="1:33" x14ac:dyDescent="0.25">
      <c r="A32" s="1">
        <v>164</v>
      </c>
      <c r="B32" s="1" t="s">
        <v>306</v>
      </c>
      <c r="C32" s="1" t="s">
        <v>307</v>
      </c>
      <c r="D32" s="1" t="s">
        <v>94</v>
      </c>
      <c r="E32" s="1" t="s">
        <v>308</v>
      </c>
      <c r="F32" s="10">
        <v>46174</v>
      </c>
      <c r="G32" s="10">
        <v>46189</v>
      </c>
      <c r="H32" s="11">
        <v>1</v>
      </c>
      <c r="I32" s="10">
        <v>46189</v>
      </c>
      <c r="J32" s="1">
        <v>185</v>
      </c>
      <c r="K32" s="1" t="s">
        <v>309</v>
      </c>
      <c r="L32" s="1" t="s">
        <v>59</v>
      </c>
      <c r="M32" s="1" t="s">
        <v>255</v>
      </c>
      <c r="N32" s="2">
        <v>46184</v>
      </c>
      <c r="P32" s="1" t="s">
        <v>155</v>
      </c>
      <c r="Q32" s="1" t="s">
        <v>169</v>
      </c>
      <c r="R32" s="1" t="s">
        <v>55</v>
      </c>
      <c r="S32" s="2">
        <v>46171</v>
      </c>
      <c r="T32" s="2">
        <v>46184</v>
      </c>
      <c r="V32" s="1">
        <v>1</v>
      </c>
      <c r="W32" s="1">
        <v>1</v>
      </c>
      <c r="X32" s="1">
        <v>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</row>
    <row r="33" spans="1:33" hidden="1" x14ac:dyDescent="0.25">
      <c r="A33" s="1">
        <v>165</v>
      </c>
      <c r="B33" s="1" t="s">
        <v>310</v>
      </c>
      <c r="C33" s="1" t="s">
        <v>307</v>
      </c>
      <c r="D33" s="1" t="s">
        <v>98</v>
      </c>
      <c r="E33" s="1" t="s">
        <v>53</v>
      </c>
      <c r="F33" s="10">
        <v>46192</v>
      </c>
      <c r="G33" s="10">
        <v>46192</v>
      </c>
      <c r="H33" s="11">
        <v>1</v>
      </c>
      <c r="I33" s="10">
        <v>46192</v>
      </c>
      <c r="J33" s="1">
        <v>164</v>
      </c>
      <c r="K33" s="1">
        <v>166</v>
      </c>
      <c r="L33" s="1" t="s">
        <v>59</v>
      </c>
      <c r="M33" s="1" t="s">
        <v>311</v>
      </c>
      <c r="N33" s="2">
        <v>46185</v>
      </c>
      <c r="P33" s="1" t="s">
        <v>155</v>
      </c>
      <c r="Q33" s="1" t="s">
        <v>133</v>
      </c>
      <c r="R33" s="1" t="s">
        <v>55</v>
      </c>
      <c r="S33" s="2">
        <v>46185</v>
      </c>
      <c r="T33" s="2">
        <v>46185</v>
      </c>
      <c r="V33" s="1">
        <v>1</v>
      </c>
      <c r="W33" s="1">
        <v>0</v>
      </c>
      <c r="X33" s="1">
        <v>0</v>
      </c>
      <c r="Y33" s="1">
        <v>0</v>
      </c>
      <c r="Z33" s="1">
        <v>0</v>
      </c>
      <c r="AA33" s="1">
        <v>1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25">
      <c r="A34" s="1">
        <v>169</v>
      </c>
      <c r="B34" s="1" t="s">
        <v>317</v>
      </c>
      <c r="C34" s="1" t="s">
        <v>318</v>
      </c>
      <c r="D34" s="1" t="s">
        <v>94</v>
      </c>
      <c r="E34" s="1" t="s">
        <v>308</v>
      </c>
      <c r="F34" s="10">
        <v>46176</v>
      </c>
      <c r="G34" s="10">
        <v>46191</v>
      </c>
      <c r="H34" s="11">
        <v>1</v>
      </c>
      <c r="I34" s="10">
        <v>46191</v>
      </c>
      <c r="J34" s="1">
        <v>185</v>
      </c>
      <c r="K34" s="1" t="s">
        <v>319</v>
      </c>
      <c r="L34" s="1" t="s">
        <v>59</v>
      </c>
      <c r="M34" s="1" t="s">
        <v>320</v>
      </c>
      <c r="N34" s="2">
        <v>46189</v>
      </c>
      <c r="P34" s="1" t="s">
        <v>155</v>
      </c>
      <c r="Q34" s="1" t="s">
        <v>169</v>
      </c>
      <c r="R34" s="1" t="s">
        <v>55</v>
      </c>
      <c r="S34" s="2">
        <v>46174</v>
      </c>
      <c r="T34" s="2">
        <v>46189</v>
      </c>
      <c r="V34" s="1">
        <v>1</v>
      </c>
      <c r="W34" s="1">
        <v>1</v>
      </c>
      <c r="X34" s="1">
        <v>1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</row>
    <row r="35" spans="1:33" x14ac:dyDescent="0.25">
      <c r="A35" s="1">
        <v>174</v>
      </c>
      <c r="B35" s="1" t="s">
        <v>327</v>
      </c>
      <c r="C35" s="1" t="s">
        <v>328</v>
      </c>
      <c r="D35" s="1" t="s">
        <v>94</v>
      </c>
      <c r="E35" s="1" t="s">
        <v>308</v>
      </c>
      <c r="F35" s="10">
        <v>46174</v>
      </c>
      <c r="G35" s="10">
        <v>46189</v>
      </c>
      <c r="H35" s="11">
        <v>1</v>
      </c>
      <c r="I35" s="10">
        <v>46189</v>
      </c>
      <c r="J35" s="1">
        <v>185</v>
      </c>
      <c r="K35" s="1" t="s">
        <v>329</v>
      </c>
      <c r="L35" s="1" t="s">
        <v>59</v>
      </c>
      <c r="M35" s="1" t="s">
        <v>320</v>
      </c>
      <c r="N35" s="2">
        <v>46189</v>
      </c>
      <c r="P35" s="1" t="s">
        <v>155</v>
      </c>
      <c r="Q35" s="1" t="s">
        <v>169</v>
      </c>
      <c r="R35" s="1" t="s">
        <v>55</v>
      </c>
      <c r="S35" s="2">
        <v>46174</v>
      </c>
      <c r="T35" s="2">
        <v>46189</v>
      </c>
      <c r="V35" s="1">
        <v>1</v>
      </c>
      <c r="W35" s="1">
        <v>1</v>
      </c>
      <c r="X35" s="1">
        <v>1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</row>
    <row r="36" spans="1:33" hidden="1" x14ac:dyDescent="0.25">
      <c r="A36" s="1">
        <v>175</v>
      </c>
      <c r="B36" s="1" t="s">
        <v>330</v>
      </c>
      <c r="C36" s="1" t="s">
        <v>328</v>
      </c>
      <c r="D36" s="1" t="s">
        <v>98</v>
      </c>
      <c r="E36" s="1" t="s">
        <v>53</v>
      </c>
      <c r="F36" s="10">
        <v>46192</v>
      </c>
      <c r="G36" s="10">
        <v>46192</v>
      </c>
      <c r="H36" s="11">
        <v>1</v>
      </c>
      <c r="I36" s="10">
        <v>46192</v>
      </c>
      <c r="J36" s="1">
        <v>174</v>
      </c>
      <c r="K36" s="1">
        <v>176</v>
      </c>
      <c r="L36" s="1" t="s">
        <v>59</v>
      </c>
      <c r="M36" s="1" t="s">
        <v>314</v>
      </c>
      <c r="N36" s="2">
        <v>46190</v>
      </c>
      <c r="P36" s="1" t="s">
        <v>155</v>
      </c>
      <c r="Q36" s="1" t="s">
        <v>133</v>
      </c>
      <c r="R36" s="1" t="s">
        <v>55</v>
      </c>
      <c r="S36" s="2">
        <v>46190</v>
      </c>
      <c r="T36" s="2">
        <v>46190</v>
      </c>
      <c r="V36" s="1">
        <v>1</v>
      </c>
      <c r="W36" s="1">
        <v>0</v>
      </c>
      <c r="X36" s="1">
        <v>0</v>
      </c>
      <c r="Y36" s="1">
        <v>0</v>
      </c>
      <c r="Z36" s="1">
        <v>0</v>
      </c>
      <c r="AA36" s="1">
        <v>1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</row>
    <row r="37" spans="1:33" x14ac:dyDescent="0.25">
      <c r="A37" s="1">
        <v>179</v>
      </c>
      <c r="B37" s="1" t="s">
        <v>335</v>
      </c>
      <c r="C37" s="1" t="s">
        <v>336</v>
      </c>
      <c r="D37" s="1" t="s">
        <v>94</v>
      </c>
      <c r="E37" s="1" t="s">
        <v>308</v>
      </c>
      <c r="F37" s="10">
        <v>46176</v>
      </c>
      <c r="G37" s="10">
        <v>46191</v>
      </c>
      <c r="H37" s="11">
        <v>1</v>
      </c>
      <c r="I37" s="10">
        <v>46191</v>
      </c>
      <c r="J37" s="1">
        <v>185</v>
      </c>
      <c r="K37" s="1" t="s">
        <v>337</v>
      </c>
      <c r="L37" s="1" t="s">
        <v>59</v>
      </c>
      <c r="M37" s="1" t="s">
        <v>320</v>
      </c>
      <c r="N37" s="2">
        <v>46189</v>
      </c>
      <c r="P37" s="1" t="s">
        <v>155</v>
      </c>
      <c r="Q37" s="1" t="s">
        <v>169</v>
      </c>
      <c r="R37" s="1" t="s">
        <v>55</v>
      </c>
      <c r="S37" s="2">
        <v>46174</v>
      </c>
      <c r="T37" s="2">
        <v>46189</v>
      </c>
      <c r="V37" s="1">
        <v>1</v>
      </c>
      <c r="W37" s="1">
        <v>1</v>
      </c>
      <c r="X37" s="1">
        <v>1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1</v>
      </c>
    </row>
    <row r="38" spans="1:33" x14ac:dyDescent="0.25">
      <c r="A38" s="1">
        <v>184</v>
      </c>
      <c r="B38" s="1" t="s">
        <v>343</v>
      </c>
      <c r="C38" s="1" t="s">
        <v>344</v>
      </c>
      <c r="D38" s="1" t="s">
        <v>94</v>
      </c>
      <c r="E38" s="1" t="s">
        <v>258</v>
      </c>
      <c r="F38" s="10">
        <v>46157</v>
      </c>
      <c r="G38" s="10">
        <v>46168</v>
      </c>
      <c r="H38" s="11">
        <v>1</v>
      </c>
      <c r="I38" s="10">
        <v>46168</v>
      </c>
      <c r="J38" s="1" t="s">
        <v>345</v>
      </c>
      <c r="K38" s="1" t="s">
        <v>346</v>
      </c>
      <c r="L38" s="1" t="s">
        <v>59</v>
      </c>
      <c r="M38" s="1" t="s">
        <v>347</v>
      </c>
      <c r="N38" s="2">
        <v>46168</v>
      </c>
      <c r="P38" s="1" t="s">
        <v>155</v>
      </c>
      <c r="Q38" s="1" t="s">
        <v>125</v>
      </c>
      <c r="R38" s="1" t="s">
        <v>55</v>
      </c>
      <c r="S38" s="2">
        <v>46157</v>
      </c>
      <c r="T38" s="2">
        <v>46168</v>
      </c>
      <c r="V38" s="1">
        <v>1</v>
      </c>
      <c r="W38" s="1">
        <v>1</v>
      </c>
      <c r="X38" s="1">
        <v>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</row>
    <row r="39" spans="1:33" hidden="1" x14ac:dyDescent="0.25">
      <c r="A39" s="1">
        <v>185</v>
      </c>
      <c r="B39" s="1" t="s">
        <v>348</v>
      </c>
      <c r="C39" s="1" t="s">
        <v>344</v>
      </c>
      <c r="D39" s="1" t="s">
        <v>98</v>
      </c>
      <c r="E39" s="1" t="s">
        <v>53</v>
      </c>
      <c r="F39" s="10">
        <v>46171</v>
      </c>
      <c r="G39" s="10">
        <v>46171</v>
      </c>
      <c r="H39" s="11">
        <v>1</v>
      </c>
      <c r="I39" s="10">
        <v>46171</v>
      </c>
      <c r="J39" s="1">
        <v>184</v>
      </c>
      <c r="K39" s="1" t="s">
        <v>349</v>
      </c>
      <c r="L39" s="1" t="s">
        <v>59</v>
      </c>
      <c r="M39" s="1" t="s">
        <v>255</v>
      </c>
      <c r="N39" s="2">
        <v>46171</v>
      </c>
      <c r="P39" s="1" t="s">
        <v>155</v>
      </c>
      <c r="Q39" s="1" t="s">
        <v>110</v>
      </c>
      <c r="R39" s="1" t="s">
        <v>55</v>
      </c>
      <c r="S39" s="2">
        <v>46171</v>
      </c>
      <c r="T39" s="2">
        <v>46171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1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25">
      <c r="A40" s="1">
        <v>194</v>
      </c>
      <c r="B40" s="1" t="s">
        <v>363</v>
      </c>
      <c r="C40" s="1" t="s">
        <v>364</v>
      </c>
      <c r="D40" s="1" t="s">
        <v>94</v>
      </c>
      <c r="E40" s="1" t="s">
        <v>95</v>
      </c>
      <c r="F40" s="10">
        <v>46190</v>
      </c>
      <c r="G40" s="10">
        <v>46192</v>
      </c>
      <c r="H40" s="11">
        <v>1</v>
      </c>
      <c r="I40" s="10">
        <v>46192</v>
      </c>
      <c r="J40" s="1" t="s">
        <v>357</v>
      </c>
      <c r="K40" s="1">
        <v>195</v>
      </c>
      <c r="L40" s="1" t="s">
        <v>59</v>
      </c>
      <c r="M40" s="1" t="s">
        <v>311</v>
      </c>
      <c r="N40" s="2">
        <v>46189</v>
      </c>
      <c r="P40" s="1" t="s">
        <v>155</v>
      </c>
      <c r="Q40" s="1" t="s">
        <v>133</v>
      </c>
      <c r="R40" s="1" t="s">
        <v>55</v>
      </c>
      <c r="S40" s="2">
        <v>46185</v>
      </c>
      <c r="T40" s="2">
        <v>46189</v>
      </c>
      <c r="V40" s="1">
        <v>1</v>
      </c>
      <c r="W40" s="1">
        <v>1</v>
      </c>
      <c r="X40" s="1">
        <v>1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1</v>
      </c>
    </row>
    <row r="41" spans="1:33" x14ac:dyDescent="0.25">
      <c r="A41" s="1">
        <v>245</v>
      </c>
      <c r="B41" s="1" t="s">
        <v>402</v>
      </c>
      <c r="C41" s="1" t="s">
        <v>403</v>
      </c>
      <c r="D41" s="1" t="s">
        <v>94</v>
      </c>
      <c r="E41" s="1" t="s">
        <v>95</v>
      </c>
      <c r="F41" s="10">
        <v>46185</v>
      </c>
      <c r="G41" s="10">
        <v>46189</v>
      </c>
      <c r="H41" s="11">
        <v>1</v>
      </c>
      <c r="I41" s="10">
        <v>46189</v>
      </c>
      <c r="J41" s="1" t="s">
        <v>404</v>
      </c>
      <c r="K41" s="1" t="s">
        <v>405</v>
      </c>
      <c r="L41" s="1" t="s">
        <v>59</v>
      </c>
      <c r="M41" s="1" t="s">
        <v>142</v>
      </c>
      <c r="N41" s="2">
        <v>46163</v>
      </c>
      <c r="P41" s="1" t="s">
        <v>377</v>
      </c>
      <c r="Q41" s="1" t="s">
        <v>65</v>
      </c>
      <c r="R41" s="1" t="s">
        <v>55</v>
      </c>
      <c r="S41" s="2">
        <v>46162</v>
      </c>
      <c r="T41" s="2">
        <v>46163</v>
      </c>
      <c r="V41" s="1">
        <v>1</v>
      </c>
      <c r="W41" s="1">
        <v>1</v>
      </c>
      <c r="X41" s="1">
        <v>1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1</v>
      </c>
    </row>
    <row r="42" spans="1:33" x14ac:dyDescent="0.25">
      <c r="A42" s="1">
        <v>315</v>
      </c>
      <c r="B42" s="1" t="s">
        <v>481</v>
      </c>
      <c r="C42" s="1" t="s">
        <v>482</v>
      </c>
      <c r="D42" s="1" t="s">
        <v>94</v>
      </c>
      <c r="E42" s="1" t="s">
        <v>95</v>
      </c>
      <c r="F42" s="10">
        <v>46206</v>
      </c>
      <c r="G42" s="10">
        <v>46210</v>
      </c>
      <c r="H42" s="11">
        <v>1</v>
      </c>
      <c r="I42" s="10">
        <v>46210</v>
      </c>
      <c r="J42" s="1">
        <v>242</v>
      </c>
      <c r="K42" s="1">
        <v>316</v>
      </c>
      <c r="L42" s="1" t="s">
        <v>59</v>
      </c>
      <c r="M42" s="1" t="s">
        <v>177</v>
      </c>
      <c r="N42" s="2">
        <v>46177</v>
      </c>
      <c r="P42" s="1" t="s">
        <v>377</v>
      </c>
      <c r="Q42" s="1" t="s">
        <v>146</v>
      </c>
      <c r="R42" s="1" t="s">
        <v>55</v>
      </c>
      <c r="S42" s="2">
        <v>46175</v>
      </c>
      <c r="T42" s="2">
        <v>46177</v>
      </c>
      <c r="V42" s="1">
        <v>1</v>
      </c>
      <c r="W42" s="1">
        <v>1</v>
      </c>
      <c r="X42" s="1">
        <v>1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1</v>
      </c>
    </row>
    <row r="43" spans="1:33" x14ac:dyDescent="0.25">
      <c r="A43" s="1">
        <v>417</v>
      </c>
      <c r="B43" s="1" t="s">
        <v>610</v>
      </c>
      <c r="C43" s="1" t="s">
        <v>611</v>
      </c>
      <c r="D43" s="1" t="s">
        <v>94</v>
      </c>
      <c r="E43" s="1" t="s">
        <v>121</v>
      </c>
      <c r="F43" s="10">
        <v>46176</v>
      </c>
      <c r="G43" s="10">
        <v>46181</v>
      </c>
      <c r="H43" s="11">
        <v>1</v>
      </c>
      <c r="I43" s="10">
        <v>46181</v>
      </c>
      <c r="J43" s="1" t="s">
        <v>612</v>
      </c>
      <c r="K43" s="1" t="s">
        <v>613</v>
      </c>
      <c r="L43" s="1" t="s">
        <v>59</v>
      </c>
      <c r="M43" s="1" t="s">
        <v>168</v>
      </c>
      <c r="N43" s="2">
        <v>46170</v>
      </c>
      <c r="P43" s="1" t="s">
        <v>605</v>
      </c>
      <c r="Q43" s="1" t="s">
        <v>169</v>
      </c>
      <c r="R43" s="1" t="s">
        <v>55</v>
      </c>
      <c r="S43" s="2">
        <v>46168</v>
      </c>
      <c r="T43" s="2">
        <v>46170</v>
      </c>
      <c r="V43" s="1">
        <v>1</v>
      </c>
      <c r="W43" s="1">
        <v>1</v>
      </c>
      <c r="X43" s="1">
        <v>1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</v>
      </c>
    </row>
    <row r="44" spans="1:33" hidden="1" x14ac:dyDescent="0.25">
      <c r="A44" s="1">
        <v>418</v>
      </c>
      <c r="B44" s="1" t="s">
        <v>614</v>
      </c>
      <c r="C44" s="1" t="s">
        <v>611</v>
      </c>
      <c r="D44" s="1" t="s">
        <v>98</v>
      </c>
      <c r="E44" s="1" t="s">
        <v>53</v>
      </c>
      <c r="F44" s="10">
        <v>46182</v>
      </c>
      <c r="G44" s="10">
        <v>46182</v>
      </c>
      <c r="H44" s="11">
        <v>1</v>
      </c>
      <c r="I44" s="10">
        <v>46182</v>
      </c>
      <c r="J44" s="1">
        <v>417</v>
      </c>
      <c r="K44" s="1">
        <v>419</v>
      </c>
      <c r="L44" s="1" t="s">
        <v>59</v>
      </c>
      <c r="M44" s="1" t="s">
        <v>255</v>
      </c>
      <c r="N44" s="2">
        <v>46171</v>
      </c>
      <c r="P44" s="1" t="s">
        <v>605</v>
      </c>
      <c r="Q44" s="1" t="s">
        <v>65</v>
      </c>
      <c r="R44" s="1" t="s">
        <v>55</v>
      </c>
      <c r="S44" s="2">
        <v>46171</v>
      </c>
      <c r="T44" s="2">
        <v>46171</v>
      </c>
      <c r="V44" s="1">
        <v>1</v>
      </c>
      <c r="W44" s="1">
        <v>0</v>
      </c>
      <c r="X44" s="1">
        <v>0</v>
      </c>
      <c r="Y44" s="1">
        <v>0</v>
      </c>
      <c r="Z44" s="1">
        <v>0</v>
      </c>
      <c r="AA44" s="1">
        <v>1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25">
      <c r="A45" s="1">
        <v>427</v>
      </c>
      <c r="B45" s="1" t="s">
        <v>620</v>
      </c>
      <c r="C45" s="1" t="s">
        <v>621</v>
      </c>
      <c r="D45" s="1" t="s">
        <v>94</v>
      </c>
      <c r="E45" s="1" t="s">
        <v>525</v>
      </c>
      <c r="F45" s="10">
        <v>46170</v>
      </c>
      <c r="G45" s="10">
        <v>46175</v>
      </c>
      <c r="H45" s="11">
        <v>1</v>
      </c>
      <c r="I45" s="10">
        <v>46175</v>
      </c>
      <c r="J45" s="1" t="s">
        <v>622</v>
      </c>
      <c r="K45" s="1" t="s">
        <v>623</v>
      </c>
      <c r="L45" s="1" t="s">
        <v>59</v>
      </c>
      <c r="M45" s="1" t="s">
        <v>145</v>
      </c>
      <c r="N45" s="2">
        <v>46167</v>
      </c>
      <c r="P45" s="1" t="s">
        <v>605</v>
      </c>
      <c r="Q45" s="1" t="s">
        <v>110</v>
      </c>
      <c r="R45" s="1" t="s">
        <v>55</v>
      </c>
      <c r="S45" s="2">
        <v>46163</v>
      </c>
      <c r="T45" s="2">
        <v>46167</v>
      </c>
      <c r="V45" s="1">
        <v>1</v>
      </c>
      <c r="W45" s="1">
        <v>1</v>
      </c>
      <c r="X45" s="1">
        <v>1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1</v>
      </c>
    </row>
    <row r="46" spans="1:33" hidden="1" x14ac:dyDescent="0.25">
      <c r="A46" s="1">
        <v>428</v>
      </c>
      <c r="B46" s="1" t="s">
        <v>624</v>
      </c>
      <c r="C46" s="1" t="s">
        <v>621</v>
      </c>
      <c r="D46" s="1" t="s">
        <v>98</v>
      </c>
      <c r="E46" s="1" t="s">
        <v>525</v>
      </c>
      <c r="F46" s="10">
        <v>46175</v>
      </c>
      <c r="G46" s="10">
        <v>46182</v>
      </c>
      <c r="H46" s="11">
        <v>1</v>
      </c>
      <c r="I46" s="10">
        <v>46182</v>
      </c>
      <c r="J46" s="1">
        <v>427</v>
      </c>
      <c r="K46" s="1">
        <v>429</v>
      </c>
      <c r="L46" s="1" t="s">
        <v>59</v>
      </c>
      <c r="M46" s="1" t="s">
        <v>168</v>
      </c>
      <c r="N46" s="2">
        <v>46168</v>
      </c>
      <c r="P46" s="1" t="s">
        <v>605</v>
      </c>
      <c r="Q46" s="1" t="s">
        <v>169</v>
      </c>
      <c r="R46" s="1" t="s">
        <v>55</v>
      </c>
      <c r="S46" s="2">
        <v>46168</v>
      </c>
      <c r="T46" s="2">
        <v>46168</v>
      </c>
      <c r="V46" s="1">
        <v>1</v>
      </c>
      <c r="W46" s="1">
        <v>0</v>
      </c>
      <c r="X46" s="1">
        <v>0</v>
      </c>
      <c r="Y46" s="1">
        <v>0</v>
      </c>
      <c r="Z46" s="1">
        <v>0</v>
      </c>
      <c r="AA46" s="1">
        <v>1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25">
      <c r="A47" s="1">
        <v>447</v>
      </c>
      <c r="B47" s="1" t="s">
        <v>632</v>
      </c>
      <c r="C47" s="1" t="s">
        <v>633</v>
      </c>
      <c r="D47" s="1" t="s">
        <v>94</v>
      </c>
      <c r="E47" s="1" t="s">
        <v>121</v>
      </c>
      <c r="F47" s="10">
        <v>46205</v>
      </c>
      <c r="G47" s="10">
        <v>46206</v>
      </c>
      <c r="H47" s="11">
        <v>1</v>
      </c>
      <c r="I47" s="10">
        <v>46206</v>
      </c>
      <c r="J47" s="1" t="s">
        <v>634</v>
      </c>
      <c r="K47" s="1" t="s">
        <v>635</v>
      </c>
      <c r="L47" s="1" t="s">
        <v>59</v>
      </c>
      <c r="M47" s="1" t="s">
        <v>418</v>
      </c>
      <c r="N47" s="2">
        <v>46185</v>
      </c>
      <c r="P47" s="1" t="s">
        <v>605</v>
      </c>
      <c r="Q47" s="1" t="s">
        <v>169</v>
      </c>
      <c r="R47" s="1" t="s">
        <v>55</v>
      </c>
      <c r="S47" s="2">
        <v>46181</v>
      </c>
      <c r="T47" s="2">
        <v>46185</v>
      </c>
      <c r="V47" s="1">
        <v>1</v>
      </c>
      <c r="W47" s="1">
        <v>1</v>
      </c>
      <c r="X47" s="1">
        <v>1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</v>
      </c>
    </row>
    <row r="48" spans="1:33" x14ac:dyDescent="0.25">
      <c r="A48" s="1">
        <v>478</v>
      </c>
      <c r="B48" s="1" t="s">
        <v>650</v>
      </c>
      <c r="C48" s="1" t="s">
        <v>651</v>
      </c>
      <c r="D48" s="1" t="s">
        <v>94</v>
      </c>
      <c r="E48" s="1" t="s">
        <v>597</v>
      </c>
      <c r="F48" s="10">
        <v>46204</v>
      </c>
      <c r="G48" s="10">
        <v>46210</v>
      </c>
      <c r="H48" s="11">
        <v>1</v>
      </c>
      <c r="I48" s="10">
        <v>46210</v>
      </c>
      <c r="J48" s="1">
        <v>513</v>
      </c>
      <c r="K48" s="1" t="s">
        <v>652</v>
      </c>
      <c r="L48" s="1" t="s">
        <v>59</v>
      </c>
      <c r="M48" s="1" t="s">
        <v>62</v>
      </c>
      <c r="N48" s="2">
        <v>46168</v>
      </c>
      <c r="P48" s="1" t="s">
        <v>645</v>
      </c>
      <c r="Q48" s="1" t="s">
        <v>133</v>
      </c>
      <c r="R48" s="1" t="s">
        <v>55</v>
      </c>
      <c r="S48" s="2">
        <v>46164</v>
      </c>
      <c r="T48" s="2">
        <v>46168</v>
      </c>
      <c r="V48" s="1">
        <v>1</v>
      </c>
      <c r="W48" s="1">
        <v>1</v>
      </c>
      <c r="X48" s="1">
        <v>1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1</v>
      </c>
    </row>
    <row r="49" spans="1:33" x14ac:dyDescent="0.25">
      <c r="A49" s="1">
        <v>483</v>
      </c>
      <c r="B49" s="1" t="s">
        <v>658</v>
      </c>
      <c r="C49" s="1" t="s">
        <v>659</v>
      </c>
      <c r="D49" s="1" t="s">
        <v>94</v>
      </c>
      <c r="E49" s="1" t="s">
        <v>525</v>
      </c>
      <c r="F49" s="10">
        <v>46203</v>
      </c>
      <c r="G49" s="10">
        <v>46206</v>
      </c>
      <c r="H49" s="11">
        <v>1</v>
      </c>
      <c r="I49" s="10">
        <v>46206</v>
      </c>
      <c r="K49" s="1">
        <v>484</v>
      </c>
      <c r="L49" s="1" t="s">
        <v>59</v>
      </c>
      <c r="M49" s="1" t="s">
        <v>390</v>
      </c>
      <c r="N49" s="2">
        <v>46198</v>
      </c>
      <c r="P49" s="1" t="s">
        <v>645</v>
      </c>
      <c r="Q49" s="1" t="s">
        <v>178</v>
      </c>
      <c r="R49" s="1" t="s">
        <v>55</v>
      </c>
      <c r="S49" s="2">
        <v>46196</v>
      </c>
      <c r="T49" s="2">
        <v>46198</v>
      </c>
      <c r="V49" s="1">
        <v>1</v>
      </c>
      <c r="W49" s="1">
        <v>1</v>
      </c>
      <c r="X49" s="1">
        <v>1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1</v>
      </c>
    </row>
    <row r="50" spans="1:33" x14ac:dyDescent="0.25">
      <c r="A50" s="1">
        <v>488</v>
      </c>
      <c r="B50" s="1" t="s">
        <v>665</v>
      </c>
      <c r="C50" s="1" t="s">
        <v>666</v>
      </c>
      <c r="D50" s="1" t="s">
        <v>94</v>
      </c>
      <c r="E50" s="1" t="s">
        <v>525</v>
      </c>
      <c r="F50" s="10">
        <v>46203</v>
      </c>
      <c r="G50" s="10">
        <v>46206</v>
      </c>
      <c r="H50" s="11">
        <v>1</v>
      </c>
      <c r="I50" s="10">
        <v>46206</v>
      </c>
      <c r="J50" s="1">
        <v>543</v>
      </c>
      <c r="K50" s="1">
        <v>489</v>
      </c>
      <c r="L50" s="1" t="s">
        <v>59</v>
      </c>
      <c r="M50" s="1" t="s">
        <v>505</v>
      </c>
      <c r="N50" s="2">
        <v>46206</v>
      </c>
      <c r="P50" s="1" t="s">
        <v>645</v>
      </c>
      <c r="Q50" s="1" t="s">
        <v>178</v>
      </c>
      <c r="R50" s="1" t="s">
        <v>55</v>
      </c>
      <c r="S50" s="2">
        <v>46203</v>
      </c>
      <c r="T50" s="2">
        <v>46206</v>
      </c>
      <c r="V50" s="1">
        <v>1</v>
      </c>
      <c r="W50" s="1">
        <v>1</v>
      </c>
      <c r="X50" s="1">
        <v>1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1</v>
      </c>
    </row>
    <row r="51" spans="1:33" x14ac:dyDescent="0.25">
      <c r="A51" s="1">
        <v>508</v>
      </c>
      <c r="B51" s="1" t="s">
        <v>680</v>
      </c>
      <c r="C51" s="1" t="s">
        <v>681</v>
      </c>
      <c r="D51" s="1" t="s">
        <v>94</v>
      </c>
      <c r="E51" s="1" t="s">
        <v>103</v>
      </c>
      <c r="F51" s="10">
        <v>46174</v>
      </c>
      <c r="G51" s="10">
        <v>46185</v>
      </c>
      <c r="H51" s="11">
        <v>1</v>
      </c>
      <c r="I51" s="10">
        <v>46185</v>
      </c>
      <c r="J51" s="1" t="s">
        <v>682</v>
      </c>
      <c r="K51" s="1">
        <v>509</v>
      </c>
      <c r="L51" s="1" t="s">
        <v>59</v>
      </c>
      <c r="M51" s="1" t="s">
        <v>142</v>
      </c>
      <c r="N51" s="2">
        <v>46163</v>
      </c>
      <c r="P51" s="1" t="s">
        <v>645</v>
      </c>
      <c r="Q51" s="1" t="s">
        <v>169</v>
      </c>
      <c r="R51" s="1" t="s">
        <v>55</v>
      </c>
      <c r="S51" s="2">
        <v>46162</v>
      </c>
      <c r="T51" s="2">
        <v>46163</v>
      </c>
      <c r="V51" s="1">
        <v>1</v>
      </c>
      <c r="W51" s="1">
        <v>1</v>
      </c>
      <c r="X51" s="1">
        <v>1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1</v>
      </c>
    </row>
    <row r="52" spans="1:33" hidden="1" x14ac:dyDescent="0.25">
      <c r="A52" s="1">
        <v>509</v>
      </c>
      <c r="B52" s="1" t="s">
        <v>683</v>
      </c>
      <c r="C52" s="1" t="s">
        <v>681</v>
      </c>
      <c r="D52" s="1" t="s">
        <v>98</v>
      </c>
      <c r="E52" s="1" t="s">
        <v>597</v>
      </c>
      <c r="F52" s="10">
        <v>46188</v>
      </c>
      <c r="G52" s="10">
        <v>46192</v>
      </c>
      <c r="H52" s="11">
        <v>1</v>
      </c>
      <c r="I52" s="10">
        <v>46192</v>
      </c>
      <c r="J52" s="1">
        <v>508</v>
      </c>
      <c r="K52" s="1">
        <v>510</v>
      </c>
      <c r="L52" s="1" t="s">
        <v>59</v>
      </c>
      <c r="M52" s="1" t="s">
        <v>62</v>
      </c>
      <c r="N52" s="2">
        <v>46164</v>
      </c>
      <c r="P52" s="1" t="s">
        <v>645</v>
      </c>
      <c r="Q52" s="1" t="s">
        <v>133</v>
      </c>
      <c r="R52" s="1" t="s">
        <v>55</v>
      </c>
      <c r="S52" s="2">
        <v>46164</v>
      </c>
      <c r="T52" s="2">
        <v>46164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1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25">
      <c r="A53" s="1">
        <v>513</v>
      </c>
      <c r="B53" s="1" t="s">
        <v>689</v>
      </c>
      <c r="C53" s="1" t="s">
        <v>690</v>
      </c>
      <c r="D53" s="1" t="s">
        <v>94</v>
      </c>
      <c r="E53" s="1" t="s">
        <v>103</v>
      </c>
      <c r="F53" s="10">
        <v>46174</v>
      </c>
      <c r="G53" s="10">
        <v>46185</v>
      </c>
      <c r="H53" s="11">
        <v>1</v>
      </c>
      <c r="I53" s="10">
        <v>46185</v>
      </c>
      <c r="J53" s="1" t="s">
        <v>682</v>
      </c>
      <c r="K53" s="1" t="s">
        <v>691</v>
      </c>
      <c r="L53" s="1" t="s">
        <v>59</v>
      </c>
      <c r="M53" s="1" t="s">
        <v>142</v>
      </c>
      <c r="N53" s="2">
        <v>46163</v>
      </c>
      <c r="P53" s="1" t="s">
        <v>645</v>
      </c>
      <c r="Q53" s="1" t="s">
        <v>169</v>
      </c>
      <c r="R53" s="1" t="s">
        <v>55</v>
      </c>
      <c r="S53" s="2">
        <v>46162</v>
      </c>
      <c r="T53" s="2">
        <v>46163</v>
      </c>
      <c r="V53" s="1">
        <v>1</v>
      </c>
      <c r="W53" s="1">
        <v>1</v>
      </c>
      <c r="X53" s="1">
        <v>1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1</v>
      </c>
    </row>
    <row r="54" spans="1:33" hidden="1" x14ac:dyDescent="0.25">
      <c r="A54" s="1">
        <v>514</v>
      </c>
      <c r="B54" s="1" t="s">
        <v>692</v>
      </c>
      <c r="C54" s="1" t="s">
        <v>690</v>
      </c>
      <c r="D54" s="1" t="s">
        <v>98</v>
      </c>
      <c r="E54" s="1" t="s">
        <v>597</v>
      </c>
      <c r="F54" s="10">
        <v>46188</v>
      </c>
      <c r="G54" s="10">
        <v>46192</v>
      </c>
      <c r="H54" s="11">
        <v>1</v>
      </c>
      <c r="I54" s="10">
        <v>46192</v>
      </c>
      <c r="J54" s="1">
        <v>513</v>
      </c>
      <c r="K54" s="1">
        <v>515</v>
      </c>
      <c r="L54" s="1" t="s">
        <v>59</v>
      </c>
      <c r="M54" s="1" t="s">
        <v>62</v>
      </c>
      <c r="N54" s="2">
        <v>46164</v>
      </c>
      <c r="P54" s="1" t="s">
        <v>645</v>
      </c>
      <c r="Q54" s="1" t="s">
        <v>133</v>
      </c>
      <c r="R54" s="1" t="s">
        <v>55</v>
      </c>
      <c r="S54" s="2">
        <v>46164</v>
      </c>
      <c r="T54" s="2">
        <v>46164</v>
      </c>
      <c r="V54" s="1">
        <v>1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25">
      <c r="A55" s="1">
        <v>518</v>
      </c>
      <c r="B55" s="1" t="s">
        <v>697</v>
      </c>
      <c r="C55" s="1" t="s">
        <v>698</v>
      </c>
      <c r="D55" s="1" t="s">
        <v>94</v>
      </c>
      <c r="E55" s="1" t="s">
        <v>103</v>
      </c>
      <c r="F55" s="10">
        <v>46174</v>
      </c>
      <c r="G55" s="10">
        <v>46185</v>
      </c>
      <c r="H55" s="11">
        <v>1</v>
      </c>
      <c r="I55" s="10">
        <v>46185</v>
      </c>
      <c r="J55" s="1" t="s">
        <v>682</v>
      </c>
      <c r="K55" s="1">
        <v>519</v>
      </c>
      <c r="L55" s="1" t="s">
        <v>59</v>
      </c>
      <c r="M55" s="1" t="s">
        <v>142</v>
      </c>
      <c r="N55" s="2">
        <v>46163</v>
      </c>
      <c r="P55" s="1" t="s">
        <v>645</v>
      </c>
      <c r="Q55" s="1" t="s">
        <v>169</v>
      </c>
      <c r="R55" s="1" t="s">
        <v>55</v>
      </c>
      <c r="S55" s="2">
        <v>46162</v>
      </c>
      <c r="T55" s="2">
        <v>46163</v>
      </c>
      <c r="V55" s="1">
        <v>1</v>
      </c>
      <c r="W55" s="1">
        <v>1</v>
      </c>
      <c r="X55" s="1">
        <v>1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1</v>
      </c>
    </row>
    <row r="56" spans="1:33" hidden="1" x14ac:dyDescent="0.25">
      <c r="A56" s="1">
        <v>519</v>
      </c>
      <c r="B56" s="1" t="s">
        <v>699</v>
      </c>
      <c r="C56" s="1" t="s">
        <v>698</v>
      </c>
      <c r="D56" s="1" t="s">
        <v>98</v>
      </c>
      <c r="E56" s="1" t="s">
        <v>597</v>
      </c>
      <c r="F56" s="10">
        <v>46188</v>
      </c>
      <c r="G56" s="10">
        <v>46192</v>
      </c>
      <c r="H56" s="11">
        <v>1</v>
      </c>
      <c r="I56" s="10">
        <v>46192</v>
      </c>
      <c r="J56" s="1">
        <v>518</v>
      </c>
      <c r="K56" s="1">
        <v>520</v>
      </c>
      <c r="L56" s="1" t="s">
        <v>59</v>
      </c>
      <c r="M56" s="1" t="s">
        <v>62</v>
      </c>
      <c r="N56" s="2">
        <v>46164</v>
      </c>
      <c r="P56" s="1" t="s">
        <v>645</v>
      </c>
      <c r="Q56" s="1" t="s">
        <v>133</v>
      </c>
      <c r="R56" s="1" t="s">
        <v>55</v>
      </c>
      <c r="S56" s="2">
        <v>46164</v>
      </c>
      <c r="T56" s="2">
        <v>46164</v>
      </c>
      <c r="V56" s="1">
        <v>1</v>
      </c>
      <c r="W56" s="1">
        <v>0</v>
      </c>
      <c r="X56" s="1">
        <v>0</v>
      </c>
      <c r="Y56" s="1">
        <v>0</v>
      </c>
      <c r="Z56" s="1">
        <v>0</v>
      </c>
      <c r="AA56" s="1">
        <v>1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25">
      <c r="A57" s="1">
        <v>523</v>
      </c>
      <c r="B57" s="1" t="s">
        <v>705</v>
      </c>
      <c r="C57" s="1" t="s">
        <v>706</v>
      </c>
      <c r="D57" s="1" t="s">
        <v>94</v>
      </c>
      <c r="E57" s="1" t="s">
        <v>525</v>
      </c>
      <c r="F57" s="10">
        <v>46195</v>
      </c>
      <c r="G57" s="10">
        <v>46198</v>
      </c>
      <c r="H57" s="11">
        <v>1</v>
      </c>
      <c r="I57" s="10">
        <v>46198</v>
      </c>
      <c r="J57" s="1">
        <v>478</v>
      </c>
      <c r="K57" s="1">
        <v>524</v>
      </c>
      <c r="L57" s="1" t="s">
        <v>59</v>
      </c>
      <c r="M57" s="1" t="s">
        <v>409</v>
      </c>
      <c r="N57" s="2">
        <v>46182</v>
      </c>
      <c r="P57" s="1" t="s">
        <v>645</v>
      </c>
      <c r="Q57" s="1" t="s">
        <v>178</v>
      </c>
      <c r="R57" s="1" t="s">
        <v>55</v>
      </c>
      <c r="S57" s="2">
        <v>46169</v>
      </c>
      <c r="T57" s="2">
        <v>46182</v>
      </c>
      <c r="V57" s="1">
        <v>1</v>
      </c>
      <c r="W57" s="1">
        <v>1</v>
      </c>
      <c r="X57" s="1">
        <v>1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</v>
      </c>
    </row>
    <row r="58" spans="1:33" x14ac:dyDescent="0.25">
      <c r="A58" s="1">
        <v>528</v>
      </c>
      <c r="B58" s="1" t="s">
        <v>712</v>
      </c>
      <c r="C58" s="1" t="s">
        <v>713</v>
      </c>
      <c r="D58" s="1" t="s">
        <v>94</v>
      </c>
      <c r="E58" s="1" t="s">
        <v>525</v>
      </c>
      <c r="F58" s="10">
        <v>46192</v>
      </c>
      <c r="G58" s="10">
        <v>46197</v>
      </c>
      <c r="H58" s="11">
        <v>1</v>
      </c>
      <c r="I58" s="10">
        <v>46197</v>
      </c>
      <c r="J58" s="1">
        <v>478</v>
      </c>
      <c r="K58" s="1">
        <v>529</v>
      </c>
      <c r="L58" s="1" t="s">
        <v>59</v>
      </c>
      <c r="M58" s="1" t="s">
        <v>409</v>
      </c>
      <c r="N58" s="2">
        <v>46182</v>
      </c>
      <c r="P58" s="1" t="s">
        <v>645</v>
      </c>
      <c r="Q58" s="1" t="s">
        <v>133</v>
      </c>
      <c r="R58" s="1" t="s">
        <v>55</v>
      </c>
      <c r="S58" s="2">
        <v>46169</v>
      </c>
      <c r="T58" s="2">
        <v>46182</v>
      </c>
      <c r="V58" s="1">
        <v>1</v>
      </c>
      <c r="W58" s="1">
        <v>1</v>
      </c>
      <c r="X58" s="1">
        <v>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1</v>
      </c>
    </row>
    <row r="59" spans="1:33" hidden="1" x14ac:dyDescent="0.25">
      <c r="A59" s="1">
        <v>529</v>
      </c>
      <c r="B59" s="1" t="s">
        <v>714</v>
      </c>
      <c r="C59" s="1" t="s">
        <v>713</v>
      </c>
      <c r="D59" s="1" t="s">
        <v>98</v>
      </c>
      <c r="E59" s="1" t="s">
        <v>53</v>
      </c>
      <c r="F59" s="10">
        <v>46198</v>
      </c>
      <c r="G59" s="10">
        <v>46198</v>
      </c>
      <c r="H59" s="11">
        <v>1</v>
      </c>
      <c r="I59" s="10">
        <v>46198</v>
      </c>
      <c r="J59" s="1">
        <v>528</v>
      </c>
      <c r="K59" s="1">
        <v>530</v>
      </c>
      <c r="L59" s="1" t="s">
        <v>59</v>
      </c>
      <c r="M59" s="1" t="s">
        <v>260</v>
      </c>
      <c r="N59" s="2">
        <v>46183</v>
      </c>
      <c r="P59" s="1" t="s">
        <v>645</v>
      </c>
      <c r="Q59" s="1" t="s">
        <v>178</v>
      </c>
      <c r="R59" s="1" t="s">
        <v>55</v>
      </c>
      <c r="S59" s="2">
        <v>46183</v>
      </c>
      <c r="T59" s="2">
        <v>46183</v>
      </c>
      <c r="V59" s="1">
        <v>1</v>
      </c>
      <c r="W59" s="1">
        <v>0</v>
      </c>
      <c r="X59" s="1">
        <v>0</v>
      </c>
      <c r="Y59" s="1">
        <v>0</v>
      </c>
      <c r="Z59" s="1">
        <v>0</v>
      </c>
      <c r="AA59" s="1">
        <v>1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25">
      <c r="A60" s="1">
        <v>533</v>
      </c>
      <c r="B60" s="1" t="s">
        <v>719</v>
      </c>
      <c r="C60" s="1" t="s">
        <v>720</v>
      </c>
      <c r="D60" s="1" t="s">
        <v>94</v>
      </c>
      <c r="E60" s="1" t="s">
        <v>95</v>
      </c>
      <c r="F60" s="10">
        <v>46197</v>
      </c>
      <c r="G60" s="10">
        <v>46199</v>
      </c>
      <c r="H60" s="11">
        <v>1</v>
      </c>
      <c r="I60" s="10">
        <v>46199</v>
      </c>
      <c r="J60" s="1">
        <v>478</v>
      </c>
      <c r="K60" s="1">
        <v>534</v>
      </c>
      <c r="L60" s="1" t="s">
        <v>59</v>
      </c>
      <c r="M60" s="1" t="s">
        <v>409</v>
      </c>
      <c r="N60" s="2">
        <v>46182</v>
      </c>
      <c r="P60" s="1" t="s">
        <v>645</v>
      </c>
      <c r="Q60" s="1" t="s">
        <v>178</v>
      </c>
      <c r="R60" s="1" t="s">
        <v>55</v>
      </c>
      <c r="S60" s="2">
        <v>46169</v>
      </c>
      <c r="T60" s="2">
        <v>46182</v>
      </c>
      <c r="V60" s="1">
        <v>1</v>
      </c>
      <c r="W60" s="1">
        <v>1</v>
      </c>
      <c r="X60" s="1">
        <v>1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1</v>
      </c>
    </row>
    <row r="61" spans="1:33" x14ac:dyDescent="0.25">
      <c r="A61" s="1">
        <v>538</v>
      </c>
      <c r="B61" s="1" t="s">
        <v>726</v>
      </c>
      <c r="C61" s="1" t="s">
        <v>727</v>
      </c>
      <c r="D61" s="1" t="s">
        <v>94</v>
      </c>
      <c r="E61" s="1" t="s">
        <v>525</v>
      </c>
      <c r="F61" s="10">
        <v>46192</v>
      </c>
      <c r="G61" s="10">
        <v>46197</v>
      </c>
      <c r="H61" s="11">
        <v>1</v>
      </c>
      <c r="I61" s="10">
        <v>46197</v>
      </c>
      <c r="J61" s="1">
        <v>478</v>
      </c>
      <c r="K61" s="1">
        <v>539</v>
      </c>
      <c r="L61" s="1" t="s">
        <v>59</v>
      </c>
      <c r="M61" s="1" t="s">
        <v>409</v>
      </c>
      <c r="N61" s="2">
        <v>46182</v>
      </c>
      <c r="P61" s="1" t="s">
        <v>645</v>
      </c>
      <c r="Q61" s="1" t="s">
        <v>133</v>
      </c>
      <c r="R61" s="1" t="s">
        <v>55</v>
      </c>
      <c r="S61" s="2">
        <v>46169</v>
      </c>
      <c r="T61" s="2">
        <v>46182</v>
      </c>
      <c r="V61" s="1">
        <v>1</v>
      </c>
      <c r="W61" s="1">
        <v>1</v>
      </c>
      <c r="X61" s="1">
        <v>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1</v>
      </c>
    </row>
    <row r="62" spans="1:33" x14ac:dyDescent="0.25">
      <c r="A62" s="1">
        <v>568</v>
      </c>
      <c r="B62" s="1" t="s">
        <v>759</v>
      </c>
      <c r="C62" s="1" t="s">
        <v>760</v>
      </c>
      <c r="D62" s="1" t="s">
        <v>94</v>
      </c>
      <c r="E62" s="1" t="s">
        <v>258</v>
      </c>
      <c r="F62" s="10">
        <v>46190</v>
      </c>
      <c r="G62" s="10">
        <v>46201</v>
      </c>
      <c r="H62" s="11">
        <v>1</v>
      </c>
      <c r="I62" s="10">
        <v>46201</v>
      </c>
      <c r="K62" s="1" t="s">
        <v>761</v>
      </c>
      <c r="L62" s="1" t="s">
        <v>59</v>
      </c>
      <c r="M62" s="1" t="s">
        <v>323</v>
      </c>
      <c r="N62" s="2">
        <v>46204</v>
      </c>
      <c r="P62" s="1" t="s">
        <v>645</v>
      </c>
      <c r="Q62" s="1" t="s">
        <v>133</v>
      </c>
      <c r="R62" s="1" t="s">
        <v>55</v>
      </c>
      <c r="S62" s="2">
        <v>46191</v>
      </c>
      <c r="T62" s="2">
        <v>46204</v>
      </c>
      <c r="V62" s="1">
        <v>1</v>
      </c>
      <c r="W62" s="1">
        <v>1</v>
      </c>
      <c r="X62" s="1">
        <v>1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1</v>
      </c>
    </row>
    <row r="63" spans="1:33" hidden="1" x14ac:dyDescent="0.25">
      <c r="A63" s="1">
        <v>569</v>
      </c>
      <c r="B63" s="1" t="s">
        <v>762</v>
      </c>
      <c r="C63" s="1" t="s">
        <v>760</v>
      </c>
      <c r="D63" s="1" t="s">
        <v>98</v>
      </c>
      <c r="E63" s="1" t="s">
        <v>597</v>
      </c>
      <c r="F63" s="10">
        <v>46202</v>
      </c>
      <c r="G63" s="10">
        <v>46206</v>
      </c>
      <c r="H63" s="11">
        <v>1</v>
      </c>
      <c r="I63" s="10">
        <v>46206</v>
      </c>
      <c r="J63" s="1">
        <v>568</v>
      </c>
      <c r="K63" s="1">
        <v>570</v>
      </c>
      <c r="L63" s="1" t="s">
        <v>59</v>
      </c>
      <c r="M63" s="1" t="s">
        <v>292</v>
      </c>
      <c r="N63" s="2">
        <v>46205</v>
      </c>
      <c r="P63" s="1" t="s">
        <v>645</v>
      </c>
      <c r="Q63" s="1" t="s">
        <v>178</v>
      </c>
      <c r="R63" s="1" t="s">
        <v>55</v>
      </c>
      <c r="S63" s="2">
        <v>46205</v>
      </c>
      <c r="T63" s="2">
        <v>46205</v>
      </c>
      <c r="V63" s="1">
        <v>1</v>
      </c>
      <c r="W63" s="1">
        <v>0</v>
      </c>
      <c r="X63" s="1">
        <v>0</v>
      </c>
      <c r="Y63" s="1">
        <v>0</v>
      </c>
      <c r="Z63" s="1">
        <v>0</v>
      </c>
      <c r="AA63" s="1">
        <v>1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25">
      <c r="A64" s="1">
        <v>573</v>
      </c>
      <c r="B64" s="1" t="s">
        <v>767</v>
      </c>
      <c r="C64" s="1" t="s">
        <v>768</v>
      </c>
      <c r="D64" s="1" t="s">
        <v>94</v>
      </c>
      <c r="E64" s="1" t="s">
        <v>769</v>
      </c>
      <c r="F64" s="10">
        <v>46190</v>
      </c>
      <c r="G64" s="10">
        <v>46198</v>
      </c>
      <c r="H64" s="11">
        <v>1</v>
      </c>
      <c r="I64" s="10">
        <v>46198</v>
      </c>
      <c r="J64" s="1" t="s">
        <v>770</v>
      </c>
      <c r="K64" s="1">
        <v>574</v>
      </c>
      <c r="L64" s="1" t="s">
        <v>59</v>
      </c>
      <c r="M64" s="1" t="s">
        <v>323</v>
      </c>
      <c r="N64" s="2">
        <v>46204</v>
      </c>
      <c r="P64" s="1" t="s">
        <v>645</v>
      </c>
      <c r="Q64" s="1" t="s">
        <v>133</v>
      </c>
      <c r="R64" s="1" t="s">
        <v>55</v>
      </c>
      <c r="S64" s="2">
        <v>46191</v>
      </c>
      <c r="T64" s="2">
        <v>46204</v>
      </c>
      <c r="V64" s="1">
        <v>1</v>
      </c>
      <c r="W64" s="1">
        <v>1</v>
      </c>
      <c r="X64" s="1">
        <v>1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1</v>
      </c>
    </row>
    <row r="65" spans="1:33" hidden="1" x14ac:dyDescent="0.25">
      <c r="A65" s="1">
        <v>574</v>
      </c>
      <c r="B65" s="1" t="s">
        <v>771</v>
      </c>
      <c r="C65" s="1" t="s">
        <v>768</v>
      </c>
      <c r="D65" s="1" t="s">
        <v>98</v>
      </c>
      <c r="E65" s="1" t="s">
        <v>103</v>
      </c>
      <c r="F65" s="10">
        <v>46199</v>
      </c>
      <c r="G65" s="10">
        <v>46206</v>
      </c>
      <c r="H65" s="11">
        <v>1</v>
      </c>
      <c r="I65" s="10">
        <v>46206</v>
      </c>
      <c r="J65" s="1">
        <v>573</v>
      </c>
      <c r="K65" s="1">
        <v>575</v>
      </c>
      <c r="L65" s="1" t="s">
        <v>59</v>
      </c>
      <c r="M65" s="1" t="s">
        <v>292</v>
      </c>
      <c r="N65" s="2">
        <v>46205</v>
      </c>
      <c r="P65" s="1" t="s">
        <v>645</v>
      </c>
      <c r="Q65" s="1" t="s">
        <v>178</v>
      </c>
      <c r="R65" s="1" t="s">
        <v>55</v>
      </c>
      <c r="S65" s="2">
        <v>46205</v>
      </c>
      <c r="T65" s="2">
        <v>46205</v>
      </c>
      <c r="V65" s="1">
        <v>1</v>
      </c>
      <c r="W65" s="1">
        <v>0</v>
      </c>
      <c r="X65" s="1">
        <v>0</v>
      </c>
      <c r="Y65" s="1">
        <v>0</v>
      </c>
      <c r="Z65" s="1">
        <v>0</v>
      </c>
      <c r="AA65" s="1">
        <v>1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25">
      <c r="A66" s="1">
        <v>578</v>
      </c>
      <c r="B66" s="1" t="s">
        <v>776</v>
      </c>
      <c r="C66" s="1" t="s">
        <v>777</v>
      </c>
      <c r="D66" s="1" t="s">
        <v>94</v>
      </c>
      <c r="E66" s="1" t="s">
        <v>769</v>
      </c>
      <c r="F66" s="10">
        <v>46190</v>
      </c>
      <c r="G66" s="10">
        <v>46198</v>
      </c>
      <c r="H66" s="11">
        <v>1</v>
      </c>
      <c r="I66" s="10">
        <v>46198</v>
      </c>
      <c r="J66" s="1" t="s">
        <v>770</v>
      </c>
      <c r="K66" s="1">
        <v>579</v>
      </c>
      <c r="L66" s="1" t="s">
        <v>59</v>
      </c>
      <c r="M66" s="1" t="s">
        <v>323</v>
      </c>
      <c r="N66" s="2">
        <v>46204</v>
      </c>
      <c r="P66" s="1" t="s">
        <v>645</v>
      </c>
      <c r="Q66" s="1" t="s">
        <v>133</v>
      </c>
      <c r="R66" s="1" t="s">
        <v>55</v>
      </c>
      <c r="S66" s="2">
        <v>46191</v>
      </c>
      <c r="T66" s="2">
        <v>46204</v>
      </c>
      <c r="V66" s="1">
        <v>1</v>
      </c>
      <c r="W66" s="1">
        <v>1</v>
      </c>
      <c r="X66" s="1">
        <v>1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1</v>
      </c>
    </row>
    <row r="67" spans="1:33" hidden="1" x14ac:dyDescent="0.25">
      <c r="A67" s="1">
        <v>579</v>
      </c>
      <c r="B67" s="1" t="s">
        <v>778</v>
      </c>
      <c r="C67" s="1" t="s">
        <v>777</v>
      </c>
      <c r="D67" s="1" t="s">
        <v>98</v>
      </c>
      <c r="E67" s="1" t="s">
        <v>103</v>
      </c>
      <c r="F67" s="10">
        <v>46199</v>
      </c>
      <c r="G67" s="10">
        <v>46206</v>
      </c>
      <c r="H67" s="11">
        <v>1</v>
      </c>
      <c r="I67" s="10">
        <v>46206</v>
      </c>
      <c r="J67" s="1">
        <v>578</v>
      </c>
      <c r="K67" s="1">
        <v>580</v>
      </c>
      <c r="L67" s="1" t="s">
        <v>59</v>
      </c>
      <c r="M67" s="1" t="s">
        <v>292</v>
      </c>
      <c r="N67" s="2">
        <v>46205</v>
      </c>
      <c r="P67" s="1" t="s">
        <v>645</v>
      </c>
      <c r="Q67" s="1" t="s">
        <v>178</v>
      </c>
      <c r="R67" s="1" t="s">
        <v>55</v>
      </c>
      <c r="S67" s="2">
        <v>46205</v>
      </c>
      <c r="T67" s="2">
        <v>46205</v>
      </c>
      <c r="V67" s="1">
        <v>1</v>
      </c>
      <c r="W67" s="1">
        <v>0</v>
      </c>
      <c r="X67" s="1">
        <v>0</v>
      </c>
      <c r="Y67" s="1">
        <v>0</v>
      </c>
      <c r="Z67" s="1">
        <v>0</v>
      </c>
      <c r="AA67" s="1">
        <v>1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25">
      <c r="A68" s="1">
        <v>583</v>
      </c>
      <c r="B68" s="1" t="s">
        <v>783</v>
      </c>
      <c r="C68" s="1" t="s">
        <v>784</v>
      </c>
      <c r="D68" s="1" t="s">
        <v>94</v>
      </c>
      <c r="E68" s="1" t="s">
        <v>769</v>
      </c>
      <c r="F68" s="10">
        <v>46190</v>
      </c>
      <c r="G68" s="10">
        <v>46198</v>
      </c>
      <c r="H68" s="11">
        <v>1</v>
      </c>
      <c r="I68" s="10">
        <v>46198</v>
      </c>
      <c r="J68" s="1" t="s">
        <v>770</v>
      </c>
      <c r="K68" s="1">
        <v>584</v>
      </c>
      <c r="L68" s="1" t="s">
        <v>59</v>
      </c>
      <c r="M68" s="1" t="s">
        <v>323</v>
      </c>
      <c r="N68" s="2">
        <v>46204</v>
      </c>
      <c r="P68" s="1" t="s">
        <v>645</v>
      </c>
      <c r="Q68" s="1" t="s">
        <v>133</v>
      </c>
      <c r="R68" s="1" t="s">
        <v>55</v>
      </c>
      <c r="S68" s="2">
        <v>46191</v>
      </c>
      <c r="T68" s="2">
        <v>46204</v>
      </c>
      <c r="V68" s="1">
        <v>1</v>
      </c>
      <c r="W68" s="1">
        <v>1</v>
      </c>
      <c r="X68" s="1">
        <v>1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1</v>
      </c>
    </row>
    <row r="69" spans="1:33" hidden="1" x14ac:dyDescent="0.25">
      <c r="A69" s="1">
        <v>584</v>
      </c>
      <c r="B69" s="1" t="s">
        <v>785</v>
      </c>
      <c r="C69" s="1" t="s">
        <v>784</v>
      </c>
      <c r="D69" s="1" t="s">
        <v>98</v>
      </c>
      <c r="E69" s="1" t="s">
        <v>103</v>
      </c>
      <c r="F69" s="10">
        <v>46199</v>
      </c>
      <c r="G69" s="10">
        <v>46206</v>
      </c>
      <c r="H69" s="11">
        <v>1</v>
      </c>
      <c r="I69" s="10">
        <v>46206</v>
      </c>
      <c r="J69" s="1">
        <v>583</v>
      </c>
      <c r="K69" s="1">
        <v>585</v>
      </c>
      <c r="L69" s="1" t="s">
        <v>59</v>
      </c>
      <c r="M69" s="1" t="s">
        <v>292</v>
      </c>
      <c r="N69" s="2">
        <v>46205</v>
      </c>
      <c r="P69" s="1" t="s">
        <v>645</v>
      </c>
      <c r="Q69" s="1" t="s">
        <v>178</v>
      </c>
      <c r="R69" s="1" t="s">
        <v>55</v>
      </c>
      <c r="S69" s="2">
        <v>46205</v>
      </c>
      <c r="T69" s="2">
        <v>46205</v>
      </c>
      <c r="V69" s="1">
        <v>1</v>
      </c>
      <c r="W69" s="1">
        <v>0</v>
      </c>
      <c r="X69" s="1">
        <v>0</v>
      </c>
      <c r="Y69" s="1">
        <v>0</v>
      </c>
      <c r="Z69" s="1">
        <v>0</v>
      </c>
      <c r="AA69" s="1">
        <v>1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25">
      <c r="A70" s="1">
        <v>588</v>
      </c>
      <c r="B70" s="1" t="s">
        <v>790</v>
      </c>
      <c r="C70" s="1" t="s">
        <v>791</v>
      </c>
      <c r="D70" s="1" t="s">
        <v>94</v>
      </c>
      <c r="E70" s="1" t="s">
        <v>769</v>
      </c>
      <c r="F70" s="10">
        <v>46190</v>
      </c>
      <c r="G70" s="10">
        <v>46198</v>
      </c>
      <c r="H70" s="11">
        <v>1</v>
      </c>
      <c r="I70" s="10">
        <v>46198</v>
      </c>
      <c r="J70" s="1" t="s">
        <v>770</v>
      </c>
      <c r="K70" s="1">
        <v>589</v>
      </c>
      <c r="L70" s="1" t="s">
        <v>59</v>
      </c>
      <c r="M70" s="1" t="s">
        <v>323</v>
      </c>
      <c r="N70" s="2">
        <v>46204</v>
      </c>
      <c r="P70" s="1" t="s">
        <v>645</v>
      </c>
      <c r="Q70" s="1" t="s">
        <v>133</v>
      </c>
      <c r="R70" s="1" t="s">
        <v>55</v>
      </c>
      <c r="S70" s="2">
        <v>46191</v>
      </c>
      <c r="T70" s="2">
        <v>46204</v>
      </c>
      <c r="V70" s="1">
        <v>1</v>
      </c>
      <c r="W70" s="1">
        <v>1</v>
      </c>
      <c r="X70" s="1">
        <v>1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1</v>
      </c>
    </row>
    <row r="71" spans="1:33" hidden="1" x14ac:dyDescent="0.25">
      <c r="A71" s="1">
        <v>589</v>
      </c>
      <c r="B71" s="1" t="s">
        <v>792</v>
      </c>
      <c r="C71" s="1" t="s">
        <v>791</v>
      </c>
      <c r="D71" s="1" t="s">
        <v>98</v>
      </c>
      <c r="E71" s="1" t="s">
        <v>103</v>
      </c>
      <c r="F71" s="10">
        <v>46199</v>
      </c>
      <c r="G71" s="10">
        <v>46206</v>
      </c>
      <c r="H71" s="11">
        <v>1</v>
      </c>
      <c r="I71" s="10">
        <v>46206</v>
      </c>
      <c r="J71" s="1">
        <v>588</v>
      </c>
      <c r="K71" s="1">
        <v>590</v>
      </c>
      <c r="L71" s="1" t="s">
        <v>59</v>
      </c>
      <c r="M71" s="1" t="s">
        <v>292</v>
      </c>
      <c r="N71" s="2">
        <v>46205</v>
      </c>
      <c r="P71" s="1" t="s">
        <v>645</v>
      </c>
      <c r="Q71" s="1" t="s">
        <v>178</v>
      </c>
      <c r="R71" s="1" t="s">
        <v>55</v>
      </c>
      <c r="S71" s="2">
        <v>46205</v>
      </c>
      <c r="T71" s="2">
        <v>46205</v>
      </c>
      <c r="V71" s="1">
        <v>1</v>
      </c>
      <c r="W71" s="1">
        <v>0</v>
      </c>
      <c r="X71" s="1">
        <v>0</v>
      </c>
      <c r="Y71" s="1">
        <v>0</v>
      </c>
      <c r="Z71" s="1">
        <v>0</v>
      </c>
      <c r="AA71" s="1">
        <v>1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25">
      <c r="A72" s="1">
        <v>593</v>
      </c>
      <c r="B72" s="1" t="s">
        <v>797</v>
      </c>
      <c r="C72" s="1" t="s">
        <v>798</v>
      </c>
      <c r="D72" s="1" t="s">
        <v>94</v>
      </c>
      <c r="E72" s="1" t="s">
        <v>769</v>
      </c>
      <c r="F72" s="10">
        <v>46190</v>
      </c>
      <c r="G72" s="10">
        <v>46198</v>
      </c>
      <c r="H72" s="11">
        <v>1</v>
      </c>
      <c r="I72" s="10">
        <v>46198</v>
      </c>
      <c r="J72" s="1" t="s">
        <v>770</v>
      </c>
      <c r="K72" s="1">
        <v>594</v>
      </c>
      <c r="L72" s="1" t="s">
        <v>59</v>
      </c>
      <c r="M72" s="1" t="s">
        <v>323</v>
      </c>
      <c r="N72" s="2">
        <v>46204</v>
      </c>
      <c r="P72" s="1" t="s">
        <v>645</v>
      </c>
      <c r="Q72" s="1" t="s">
        <v>133</v>
      </c>
      <c r="R72" s="1" t="s">
        <v>55</v>
      </c>
      <c r="S72" s="2">
        <v>46191</v>
      </c>
      <c r="T72" s="2">
        <v>46204</v>
      </c>
      <c r="V72" s="1">
        <v>1</v>
      </c>
      <c r="W72" s="1">
        <v>1</v>
      </c>
      <c r="X72" s="1">
        <v>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1</v>
      </c>
    </row>
    <row r="73" spans="1:33" hidden="1" x14ac:dyDescent="0.25">
      <c r="A73" s="1">
        <v>594</v>
      </c>
      <c r="B73" s="1" t="s">
        <v>799</v>
      </c>
      <c r="C73" s="1" t="s">
        <v>798</v>
      </c>
      <c r="D73" s="1" t="s">
        <v>98</v>
      </c>
      <c r="E73" s="1" t="s">
        <v>103</v>
      </c>
      <c r="F73" s="10">
        <v>46199</v>
      </c>
      <c r="G73" s="10">
        <v>46206</v>
      </c>
      <c r="H73" s="11">
        <v>1</v>
      </c>
      <c r="I73" s="10">
        <v>46206</v>
      </c>
      <c r="J73" s="1">
        <v>593</v>
      </c>
      <c r="K73" s="1">
        <v>595</v>
      </c>
      <c r="L73" s="1" t="s">
        <v>59</v>
      </c>
      <c r="M73" s="1" t="s">
        <v>292</v>
      </c>
      <c r="N73" s="2">
        <v>46205</v>
      </c>
      <c r="P73" s="1" t="s">
        <v>645</v>
      </c>
      <c r="Q73" s="1" t="s">
        <v>178</v>
      </c>
      <c r="R73" s="1" t="s">
        <v>55</v>
      </c>
      <c r="S73" s="2">
        <v>46205</v>
      </c>
      <c r="T73" s="2">
        <v>46205</v>
      </c>
      <c r="V73" s="1">
        <v>1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25">
      <c r="A74" s="1">
        <v>598</v>
      </c>
      <c r="B74" s="1" t="s">
        <v>804</v>
      </c>
      <c r="C74" s="1" t="s">
        <v>805</v>
      </c>
      <c r="D74" s="1" t="s">
        <v>94</v>
      </c>
      <c r="E74" s="1" t="s">
        <v>769</v>
      </c>
      <c r="F74" s="10">
        <v>46190</v>
      </c>
      <c r="G74" s="10">
        <v>46198</v>
      </c>
      <c r="H74" s="11">
        <v>1</v>
      </c>
      <c r="I74" s="10">
        <v>46198</v>
      </c>
      <c r="J74" s="1" t="s">
        <v>770</v>
      </c>
      <c r="K74" s="1">
        <v>599</v>
      </c>
      <c r="L74" s="1" t="s">
        <v>59</v>
      </c>
      <c r="M74" s="1" t="s">
        <v>323</v>
      </c>
      <c r="N74" s="2">
        <v>46204</v>
      </c>
      <c r="P74" s="1" t="s">
        <v>645</v>
      </c>
      <c r="Q74" s="1" t="s">
        <v>133</v>
      </c>
      <c r="R74" s="1" t="s">
        <v>55</v>
      </c>
      <c r="S74" s="2">
        <v>46191</v>
      </c>
      <c r="T74" s="2">
        <v>46204</v>
      </c>
      <c r="V74" s="1">
        <v>1</v>
      </c>
      <c r="W74" s="1">
        <v>1</v>
      </c>
      <c r="X74" s="1">
        <v>1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1</v>
      </c>
    </row>
    <row r="75" spans="1:33" hidden="1" x14ac:dyDescent="0.25">
      <c r="A75" s="1">
        <v>599</v>
      </c>
      <c r="B75" s="1" t="s">
        <v>806</v>
      </c>
      <c r="C75" s="1" t="s">
        <v>805</v>
      </c>
      <c r="D75" s="1" t="s">
        <v>98</v>
      </c>
      <c r="E75" s="1" t="s">
        <v>103</v>
      </c>
      <c r="F75" s="10">
        <v>46199</v>
      </c>
      <c r="G75" s="10">
        <v>46206</v>
      </c>
      <c r="H75" s="11">
        <v>1</v>
      </c>
      <c r="I75" s="10">
        <v>46206</v>
      </c>
      <c r="J75" s="1">
        <v>598</v>
      </c>
      <c r="K75" s="1">
        <v>600</v>
      </c>
      <c r="L75" s="1" t="s">
        <v>59</v>
      </c>
      <c r="M75" s="1" t="s">
        <v>292</v>
      </c>
      <c r="N75" s="2">
        <v>46205</v>
      </c>
      <c r="P75" s="1" t="s">
        <v>645</v>
      </c>
      <c r="Q75" s="1" t="s">
        <v>178</v>
      </c>
      <c r="R75" s="1" t="s">
        <v>55</v>
      </c>
      <c r="S75" s="2">
        <v>46205</v>
      </c>
      <c r="T75" s="2">
        <v>46205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1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25">
      <c r="A76" s="1">
        <v>603</v>
      </c>
      <c r="B76" s="1" t="s">
        <v>811</v>
      </c>
      <c r="C76" s="1" t="s">
        <v>812</v>
      </c>
      <c r="D76" s="1" t="s">
        <v>94</v>
      </c>
      <c r="E76" s="1" t="s">
        <v>769</v>
      </c>
      <c r="F76" s="10">
        <v>46190</v>
      </c>
      <c r="G76" s="10">
        <v>46198</v>
      </c>
      <c r="H76" s="11">
        <v>1</v>
      </c>
      <c r="I76" s="10">
        <v>46198</v>
      </c>
      <c r="J76" s="1" t="s">
        <v>770</v>
      </c>
      <c r="K76" s="1">
        <v>604</v>
      </c>
      <c r="L76" s="1" t="s">
        <v>59</v>
      </c>
      <c r="M76" s="1" t="s">
        <v>323</v>
      </c>
      <c r="N76" s="2">
        <v>46204</v>
      </c>
      <c r="P76" s="1" t="s">
        <v>645</v>
      </c>
      <c r="Q76" s="1" t="s">
        <v>133</v>
      </c>
      <c r="R76" s="1" t="s">
        <v>55</v>
      </c>
      <c r="S76" s="2">
        <v>46191</v>
      </c>
      <c r="T76" s="2">
        <v>46204</v>
      </c>
      <c r="V76" s="1">
        <v>1</v>
      </c>
      <c r="W76" s="1">
        <v>1</v>
      </c>
      <c r="X76" s="1">
        <v>1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1</v>
      </c>
    </row>
    <row r="77" spans="1:33" hidden="1" x14ac:dyDescent="0.25">
      <c r="A77" s="1">
        <v>604</v>
      </c>
      <c r="B77" s="1" t="s">
        <v>813</v>
      </c>
      <c r="C77" s="1" t="s">
        <v>812</v>
      </c>
      <c r="D77" s="1" t="s">
        <v>98</v>
      </c>
      <c r="E77" s="1" t="s">
        <v>103</v>
      </c>
      <c r="F77" s="10">
        <v>46199</v>
      </c>
      <c r="G77" s="10">
        <v>46206</v>
      </c>
      <c r="H77" s="11">
        <v>1</v>
      </c>
      <c r="I77" s="10">
        <v>46206</v>
      </c>
      <c r="J77" s="1">
        <v>603</v>
      </c>
      <c r="K77" s="1">
        <v>605</v>
      </c>
      <c r="L77" s="1" t="s">
        <v>59</v>
      </c>
      <c r="M77" s="1" t="s">
        <v>292</v>
      </c>
      <c r="N77" s="2">
        <v>46205</v>
      </c>
      <c r="P77" s="1" t="s">
        <v>645</v>
      </c>
      <c r="Q77" s="1" t="s">
        <v>178</v>
      </c>
      <c r="R77" s="1" t="s">
        <v>55</v>
      </c>
      <c r="S77" s="2">
        <v>46205</v>
      </c>
      <c r="T77" s="2">
        <v>46205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1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x14ac:dyDescent="0.25">
      <c r="A78" s="1">
        <v>608</v>
      </c>
      <c r="B78" s="1" t="s">
        <v>818</v>
      </c>
      <c r="C78" s="1" t="s">
        <v>819</v>
      </c>
      <c r="D78" s="1" t="s">
        <v>94</v>
      </c>
      <c r="E78" s="1" t="s">
        <v>769</v>
      </c>
      <c r="F78" s="10">
        <v>46190</v>
      </c>
      <c r="G78" s="10">
        <v>46198</v>
      </c>
      <c r="H78" s="11">
        <v>1</v>
      </c>
      <c r="I78" s="10">
        <v>46198</v>
      </c>
      <c r="J78" s="1" t="s">
        <v>770</v>
      </c>
      <c r="K78" s="1">
        <v>609</v>
      </c>
      <c r="L78" s="1" t="s">
        <v>59</v>
      </c>
      <c r="M78" s="1" t="s">
        <v>323</v>
      </c>
      <c r="N78" s="2">
        <v>46204</v>
      </c>
      <c r="P78" s="1" t="s">
        <v>645</v>
      </c>
      <c r="Q78" s="1" t="s">
        <v>133</v>
      </c>
      <c r="R78" s="1" t="s">
        <v>55</v>
      </c>
      <c r="S78" s="2">
        <v>46191</v>
      </c>
      <c r="T78" s="2">
        <v>46204</v>
      </c>
      <c r="V78" s="1">
        <v>1</v>
      </c>
      <c r="W78" s="1">
        <v>1</v>
      </c>
      <c r="X78" s="1">
        <v>1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</v>
      </c>
    </row>
    <row r="79" spans="1:33" hidden="1" x14ac:dyDescent="0.25">
      <c r="A79" s="1">
        <v>609</v>
      </c>
      <c r="B79" s="1" t="s">
        <v>820</v>
      </c>
      <c r="C79" s="1" t="s">
        <v>819</v>
      </c>
      <c r="D79" s="1" t="s">
        <v>98</v>
      </c>
      <c r="E79" s="1" t="s">
        <v>103</v>
      </c>
      <c r="F79" s="10">
        <v>46199</v>
      </c>
      <c r="G79" s="10">
        <v>46206</v>
      </c>
      <c r="H79" s="11">
        <v>1</v>
      </c>
      <c r="I79" s="10">
        <v>46206</v>
      </c>
      <c r="J79" s="1">
        <v>608</v>
      </c>
      <c r="K79" s="1">
        <v>610</v>
      </c>
      <c r="L79" s="1" t="s">
        <v>59</v>
      </c>
      <c r="M79" s="1" t="s">
        <v>292</v>
      </c>
      <c r="N79" s="2">
        <v>46205</v>
      </c>
      <c r="P79" s="1" t="s">
        <v>645</v>
      </c>
      <c r="Q79" s="1" t="s">
        <v>178</v>
      </c>
      <c r="R79" s="1" t="s">
        <v>55</v>
      </c>
      <c r="S79" s="2">
        <v>46205</v>
      </c>
      <c r="T79" s="2">
        <v>46205</v>
      </c>
      <c r="V79" s="1">
        <v>1</v>
      </c>
      <c r="W79" s="1">
        <v>0</v>
      </c>
      <c r="X79" s="1">
        <v>0</v>
      </c>
      <c r="Y79" s="1">
        <v>0</v>
      </c>
      <c r="Z79" s="1">
        <v>0</v>
      </c>
      <c r="AA79" s="1">
        <v>1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25">
      <c r="A80" s="1">
        <v>613</v>
      </c>
      <c r="B80" s="1" t="s">
        <v>825</v>
      </c>
      <c r="C80" s="1" t="s">
        <v>826</v>
      </c>
      <c r="D80" s="1" t="s">
        <v>94</v>
      </c>
      <c r="E80" s="1" t="s">
        <v>769</v>
      </c>
      <c r="F80" s="10">
        <v>46190</v>
      </c>
      <c r="G80" s="10">
        <v>46198</v>
      </c>
      <c r="H80" s="11">
        <v>1</v>
      </c>
      <c r="I80" s="10">
        <v>46198</v>
      </c>
      <c r="J80" s="1" t="s">
        <v>770</v>
      </c>
      <c r="K80" s="1">
        <v>614</v>
      </c>
      <c r="L80" s="1" t="s">
        <v>59</v>
      </c>
      <c r="M80" s="1" t="s">
        <v>323</v>
      </c>
      <c r="N80" s="2">
        <v>46204</v>
      </c>
      <c r="P80" s="1" t="s">
        <v>645</v>
      </c>
      <c r="Q80" s="1" t="s">
        <v>133</v>
      </c>
      <c r="R80" s="1" t="s">
        <v>55</v>
      </c>
      <c r="S80" s="2">
        <v>46191</v>
      </c>
      <c r="T80" s="2">
        <v>46204</v>
      </c>
      <c r="V80" s="1">
        <v>1</v>
      </c>
      <c r="W80" s="1">
        <v>1</v>
      </c>
      <c r="X80" s="1">
        <v>1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1</v>
      </c>
    </row>
    <row r="81" spans="1:33" hidden="1" x14ac:dyDescent="0.25">
      <c r="A81" s="1">
        <v>614</v>
      </c>
      <c r="B81" s="1" t="s">
        <v>827</v>
      </c>
      <c r="C81" s="1" t="s">
        <v>826</v>
      </c>
      <c r="D81" s="1" t="s">
        <v>98</v>
      </c>
      <c r="E81" s="1" t="s">
        <v>103</v>
      </c>
      <c r="F81" s="10">
        <v>46199</v>
      </c>
      <c r="G81" s="10">
        <v>46206</v>
      </c>
      <c r="H81" s="11">
        <v>1</v>
      </c>
      <c r="I81" s="10">
        <v>46206</v>
      </c>
      <c r="J81" s="1">
        <v>613</v>
      </c>
      <c r="K81" s="1">
        <v>615</v>
      </c>
      <c r="L81" s="1" t="s">
        <v>59</v>
      </c>
      <c r="M81" s="1" t="s">
        <v>292</v>
      </c>
      <c r="N81" s="2">
        <v>46205</v>
      </c>
      <c r="P81" s="1" t="s">
        <v>645</v>
      </c>
      <c r="Q81" s="1" t="s">
        <v>178</v>
      </c>
      <c r="R81" s="1" t="s">
        <v>55</v>
      </c>
      <c r="S81" s="2">
        <v>46205</v>
      </c>
      <c r="T81" s="2">
        <v>46205</v>
      </c>
      <c r="V81" s="1">
        <v>1</v>
      </c>
      <c r="W81" s="1">
        <v>0</v>
      </c>
      <c r="X81" s="1">
        <v>0</v>
      </c>
      <c r="Y81" s="1">
        <v>0</v>
      </c>
      <c r="Z81" s="1">
        <v>0</v>
      </c>
      <c r="AA81" s="1">
        <v>1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</row>
    <row r="82" spans="1:33" x14ac:dyDescent="0.25">
      <c r="A82" s="1">
        <v>618</v>
      </c>
      <c r="B82" s="1" t="s">
        <v>832</v>
      </c>
      <c r="C82" s="1" t="s">
        <v>833</v>
      </c>
      <c r="D82" s="1" t="s">
        <v>94</v>
      </c>
      <c r="E82" s="1" t="s">
        <v>769</v>
      </c>
      <c r="F82" s="10">
        <v>46190</v>
      </c>
      <c r="G82" s="10">
        <v>46198</v>
      </c>
      <c r="H82" s="11">
        <v>1</v>
      </c>
      <c r="I82" s="10">
        <v>46198</v>
      </c>
      <c r="J82" s="1" t="s">
        <v>770</v>
      </c>
      <c r="K82" s="1">
        <v>619</v>
      </c>
      <c r="L82" s="1" t="s">
        <v>59</v>
      </c>
      <c r="M82" s="1" t="s">
        <v>323</v>
      </c>
      <c r="N82" s="2">
        <v>46204</v>
      </c>
      <c r="P82" s="1" t="s">
        <v>645</v>
      </c>
      <c r="Q82" s="1" t="s">
        <v>133</v>
      </c>
      <c r="R82" s="1" t="s">
        <v>55</v>
      </c>
      <c r="S82" s="2">
        <v>46191</v>
      </c>
      <c r="T82" s="2">
        <v>46204</v>
      </c>
      <c r="V82" s="1">
        <v>1</v>
      </c>
      <c r="W82" s="1">
        <v>1</v>
      </c>
      <c r="X82" s="1">
        <v>1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1</v>
      </c>
    </row>
    <row r="83" spans="1:33" hidden="1" x14ac:dyDescent="0.25">
      <c r="A83" s="1">
        <v>619</v>
      </c>
      <c r="B83" s="1" t="s">
        <v>834</v>
      </c>
      <c r="C83" s="1" t="s">
        <v>833</v>
      </c>
      <c r="D83" s="1" t="s">
        <v>98</v>
      </c>
      <c r="E83" s="1" t="s">
        <v>103</v>
      </c>
      <c r="F83" s="10">
        <v>46199</v>
      </c>
      <c r="G83" s="10">
        <v>46206</v>
      </c>
      <c r="H83" s="11">
        <v>1</v>
      </c>
      <c r="I83" s="10">
        <v>46206</v>
      </c>
      <c r="J83" s="1">
        <v>618</v>
      </c>
      <c r="K83" s="1">
        <v>620</v>
      </c>
      <c r="L83" s="1" t="s">
        <v>59</v>
      </c>
      <c r="M83" s="1" t="s">
        <v>292</v>
      </c>
      <c r="N83" s="2">
        <v>46205</v>
      </c>
      <c r="P83" s="1" t="s">
        <v>645</v>
      </c>
      <c r="Q83" s="1" t="s">
        <v>178</v>
      </c>
      <c r="R83" s="1" t="s">
        <v>55</v>
      </c>
      <c r="S83" s="2">
        <v>46205</v>
      </c>
      <c r="T83" s="2">
        <v>46205</v>
      </c>
      <c r="V83" s="1">
        <v>1</v>
      </c>
      <c r="W83" s="1">
        <v>0</v>
      </c>
      <c r="X83" s="1">
        <v>0</v>
      </c>
      <c r="Y83" s="1">
        <v>0</v>
      </c>
      <c r="Z83" s="1">
        <v>0</v>
      </c>
      <c r="AA83" s="1">
        <v>1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</row>
    <row r="84" spans="1:33" x14ac:dyDescent="0.25">
      <c r="A84" s="1">
        <v>623</v>
      </c>
      <c r="B84" s="1" t="s">
        <v>839</v>
      </c>
      <c r="C84" s="1" t="s">
        <v>840</v>
      </c>
      <c r="D84" s="1" t="s">
        <v>94</v>
      </c>
      <c r="E84" s="1" t="s">
        <v>769</v>
      </c>
      <c r="F84" s="10">
        <v>46190</v>
      </c>
      <c r="G84" s="10">
        <v>46198</v>
      </c>
      <c r="H84" s="11">
        <v>1</v>
      </c>
      <c r="I84" s="10">
        <v>46198</v>
      </c>
      <c r="J84" s="1" t="s">
        <v>770</v>
      </c>
      <c r="K84" s="1">
        <v>624</v>
      </c>
      <c r="L84" s="1" t="s">
        <v>59</v>
      </c>
      <c r="M84" s="1" t="s">
        <v>323</v>
      </c>
      <c r="N84" s="2">
        <v>46204</v>
      </c>
      <c r="P84" s="1" t="s">
        <v>645</v>
      </c>
      <c r="Q84" s="1" t="s">
        <v>133</v>
      </c>
      <c r="R84" s="1" t="s">
        <v>55</v>
      </c>
      <c r="S84" s="2">
        <v>46191</v>
      </c>
      <c r="T84" s="2">
        <v>46204</v>
      </c>
      <c r="V84" s="1">
        <v>1</v>
      </c>
      <c r="W84" s="1">
        <v>1</v>
      </c>
      <c r="X84" s="1">
        <v>1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1</v>
      </c>
    </row>
    <row r="85" spans="1:33" hidden="1" x14ac:dyDescent="0.25">
      <c r="A85" s="1">
        <v>624</v>
      </c>
      <c r="B85" s="1" t="s">
        <v>841</v>
      </c>
      <c r="C85" s="1" t="s">
        <v>840</v>
      </c>
      <c r="D85" s="1" t="s">
        <v>98</v>
      </c>
      <c r="E85" s="1" t="s">
        <v>103</v>
      </c>
      <c r="F85" s="10">
        <v>46199</v>
      </c>
      <c r="G85" s="10">
        <v>46206</v>
      </c>
      <c r="H85" s="11">
        <v>1</v>
      </c>
      <c r="I85" s="10">
        <v>46206</v>
      </c>
      <c r="J85" s="1">
        <v>623</v>
      </c>
      <c r="K85" s="1">
        <v>625</v>
      </c>
      <c r="L85" s="1" t="s">
        <v>59</v>
      </c>
      <c r="M85" s="1" t="s">
        <v>292</v>
      </c>
      <c r="N85" s="2">
        <v>46205</v>
      </c>
      <c r="P85" s="1" t="s">
        <v>645</v>
      </c>
      <c r="Q85" s="1" t="s">
        <v>178</v>
      </c>
      <c r="R85" s="1" t="s">
        <v>55</v>
      </c>
      <c r="S85" s="2">
        <v>46205</v>
      </c>
      <c r="T85" s="2">
        <v>46205</v>
      </c>
      <c r="V85" s="1">
        <v>1</v>
      </c>
      <c r="W85" s="1">
        <v>0</v>
      </c>
      <c r="X85" s="1">
        <v>0</v>
      </c>
      <c r="Y85" s="1">
        <v>0</v>
      </c>
      <c r="Z85" s="1">
        <v>0</v>
      </c>
      <c r="AA85" s="1">
        <v>1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25">
      <c r="A86" s="1">
        <v>628</v>
      </c>
      <c r="B86" s="1" t="s">
        <v>846</v>
      </c>
      <c r="C86" s="1" t="s">
        <v>847</v>
      </c>
      <c r="D86" s="1" t="s">
        <v>94</v>
      </c>
      <c r="E86" s="1" t="s">
        <v>769</v>
      </c>
      <c r="F86" s="10">
        <v>46190</v>
      </c>
      <c r="G86" s="10">
        <v>46198</v>
      </c>
      <c r="H86" s="11">
        <v>1</v>
      </c>
      <c r="I86" s="10">
        <v>46198</v>
      </c>
      <c r="J86" s="1" t="s">
        <v>770</v>
      </c>
      <c r="K86" s="1">
        <v>629</v>
      </c>
      <c r="L86" s="1" t="s">
        <v>59</v>
      </c>
      <c r="M86" s="1" t="s">
        <v>323</v>
      </c>
      <c r="N86" s="2">
        <v>46204</v>
      </c>
      <c r="P86" s="1" t="s">
        <v>645</v>
      </c>
      <c r="Q86" s="1" t="s">
        <v>133</v>
      </c>
      <c r="R86" s="1" t="s">
        <v>55</v>
      </c>
      <c r="S86" s="2">
        <v>46191</v>
      </c>
      <c r="T86" s="2">
        <v>46204</v>
      </c>
      <c r="V86" s="1">
        <v>1</v>
      </c>
      <c r="W86" s="1">
        <v>1</v>
      </c>
      <c r="X86" s="1">
        <v>1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1</v>
      </c>
    </row>
    <row r="87" spans="1:33" hidden="1" x14ac:dyDescent="0.25">
      <c r="A87" s="1">
        <v>629</v>
      </c>
      <c r="B87" s="1" t="s">
        <v>848</v>
      </c>
      <c r="C87" s="1" t="s">
        <v>847</v>
      </c>
      <c r="D87" s="1" t="s">
        <v>98</v>
      </c>
      <c r="E87" s="1" t="s">
        <v>103</v>
      </c>
      <c r="F87" s="10">
        <v>46199</v>
      </c>
      <c r="G87" s="10">
        <v>46206</v>
      </c>
      <c r="H87" s="11">
        <v>1</v>
      </c>
      <c r="I87" s="10">
        <v>46206</v>
      </c>
      <c r="J87" s="1">
        <v>628</v>
      </c>
      <c r="K87" s="1">
        <v>630</v>
      </c>
      <c r="L87" s="1" t="s">
        <v>59</v>
      </c>
      <c r="M87" s="1" t="s">
        <v>292</v>
      </c>
      <c r="N87" s="2">
        <v>46205</v>
      </c>
      <c r="P87" s="1" t="s">
        <v>645</v>
      </c>
      <c r="Q87" s="1" t="s">
        <v>178</v>
      </c>
      <c r="R87" s="1" t="s">
        <v>55</v>
      </c>
      <c r="S87" s="2">
        <v>46205</v>
      </c>
      <c r="T87" s="2">
        <v>46205</v>
      </c>
      <c r="V87" s="1">
        <v>1</v>
      </c>
      <c r="W87" s="1">
        <v>0</v>
      </c>
      <c r="X87" s="1">
        <v>0</v>
      </c>
      <c r="Y87" s="1">
        <v>0</v>
      </c>
      <c r="Z87" s="1">
        <v>0</v>
      </c>
      <c r="AA87" s="1">
        <v>1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</row>
    <row r="88" spans="1:33" x14ac:dyDescent="0.25">
      <c r="A88" s="1">
        <v>633</v>
      </c>
      <c r="B88" s="1" t="s">
        <v>853</v>
      </c>
      <c r="C88" s="1" t="s">
        <v>854</v>
      </c>
      <c r="D88" s="1" t="s">
        <v>94</v>
      </c>
      <c r="E88" s="1" t="s">
        <v>769</v>
      </c>
      <c r="F88" s="10">
        <v>46190</v>
      </c>
      <c r="G88" s="10">
        <v>46198</v>
      </c>
      <c r="H88" s="11">
        <v>1</v>
      </c>
      <c r="I88" s="10">
        <v>46198</v>
      </c>
      <c r="J88" s="1" t="s">
        <v>770</v>
      </c>
      <c r="K88" s="1">
        <v>634</v>
      </c>
      <c r="L88" s="1" t="s">
        <v>59</v>
      </c>
      <c r="M88" s="1" t="s">
        <v>323</v>
      </c>
      <c r="N88" s="2">
        <v>46204</v>
      </c>
      <c r="P88" s="1" t="s">
        <v>645</v>
      </c>
      <c r="Q88" s="1" t="s">
        <v>133</v>
      </c>
      <c r="R88" s="1" t="s">
        <v>55</v>
      </c>
      <c r="S88" s="2">
        <v>46191</v>
      </c>
      <c r="T88" s="2">
        <v>46204</v>
      </c>
      <c r="V88" s="1">
        <v>1</v>
      </c>
      <c r="W88" s="1">
        <v>1</v>
      </c>
      <c r="X88" s="1">
        <v>1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1</v>
      </c>
    </row>
    <row r="89" spans="1:33" hidden="1" x14ac:dyDescent="0.25">
      <c r="A89" s="1">
        <v>634</v>
      </c>
      <c r="B89" s="1" t="s">
        <v>855</v>
      </c>
      <c r="C89" s="1" t="s">
        <v>854</v>
      </c>
      <c r="D89" s="1" t="s">
        <v>98</v>
      </c>
      <c r="E89" s="1" t="s">
        <v>103</v>
      </c>
      <c r="F89" s="10">
        <v>46199</v>
      </c>
      <c r="G89" s="10">
        <v>46206</v>
      </c>
      <c r="H89" s="11">
        <v>1</v>
      </c>
      <c r="I89" s="10">
        <v>46206</v>
      </c>
      <c r="J89" s="1">
        <v>633</v>
      </c>
      <c r="K89" s="1">
        <v>635</v>
      </c>
      <c r="L89" s="1" t="s">
        <v>59</v>
      </c>
      <c r="M89" s="1" t="s">
        <v>292</v>
      </c>
      <c r="N89" s="2">
        <v>46205</v>
      </c>
      <c r="P89" s="1" t="s">
        <v>645</v>
      </c>
      <c r="Q89" s="1" t="s">
        <v>178</v>
      </c>
      <c r="R89" s="1" t="s">
        <v>55</v>
      </c>
      <c r="S89" s="2">
        <v>46205</v>
      </c>
      <c r="T89" s="2">
        <v>46205</v>
      </c>
      <c r="V89" s="1">
        <v>1</v>
      </c>
      <c r="W89" s="1">
        <v>0</v>
      </c>
      <c r="X89" s="1">
        <v>0</v>
      </c>
      <c r="Y89" s="1">
        <v>0</v>
      </c>
      <c r="Z89" s="1">
        <v>0</v>
      </c>
      <c r="AA89" s="1">
        <v>1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</row>
    <row r="90" spans="1:33" x14ac:dyDescent="0.25">
      <c r="A90" s="1">
        <v>638</v>
      </c>
      <c r="B90" s="1" t="s">
        <v>860</v>
      </c>
      <c r="C90" s="1" t="s">
        <v>861</v>
      </c>
      <c r="D90" s="1" t="s">
        <v>94</v>
      </c>
      <c r="E90" s="1" t="s">
        <v>769</v>
      </c>
      <c r="F90" s="10">
        <v>46190</v>
      </c>
      <c r="G90" s="10">
        <v>46198</v>
      </c>
      <c r="H90" s="11">
        <v>1</v>
      </c>
      <c r="I90" s="10">
        <v>46198</v>
      </c>
      <c r="J90" s="1" t="s">
        <v>770</v>
      </c>
      <c r="K90" s="1">
        <v>639</v>
      </c>
      <c r="L90" s="1" t="s">
        <v>59</v>
      </c>
      <c r="M90" s="1" t="s">
        <v>323</v>
      </c>
      <c r="N90" s="2">
        <v>46204</v>
      </c>
      <c r="P90" s="1" t="s">
        <v>645</v>
      </c>
      <c r="Q90" s="1" t="s">
        <v>133</v>
      </c>
      <c r="R90" s="1" t="s">
        <v>55</v>
      </c>
      <c r="S90" s="2">
        <v>46191</v>
      </c>
      <c r="T90" s="2">
        <v>46204</v>
      </c>
      <c r="V90" s="1">
        <v>1</v>
      </c>
      <c r="W90" s="1">
        <v>1</v>
      </c>
      <c r="X90" s="1">
        <v>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1</v>
      </c>
    </row>
    <row r="91" spans="1:33" hidden="1" x14ac:dyDescent="0.25">
      <c r="A91" s="1">
        <v>639</v>
      </c>
      <c r="B91" s="1" t="s">
        <v>862</v>
      </c>
      <c r="C91" s="1" t="s">
        <v>861</v>
      </c>
      <c r="D91" s="1" t="s">
        <v>98</v>
      </c>
      <c r="E91" s="1" t="s">
        <v>103</v>
      </c>
      <c r="F91" s="10">
        <v>46199</v>
      </c>
      <c r="G91" s="10">
        <v>46206</v>
      </c>
      <c r="H91" s="11">
        <v>1</v>
      </c>
      <c r="I91" s="10">
        <v>46206</v>
      </c>
      <c r="J91" s="1">
        <v>638</v>
      </c>
      <c r="K91" s="1">
        <v>640</v>
      </c>
      <c r="L91" s="1" t="s">
        <v>59</v>
      </c>
      <c r="M91" s="1" t="s">
        <v>292</v>
      </c>
      <c r="N91" s="2">
        <v>46205</v>
      </c>
      <c r="P91" s="1" t="s">
        <v>645</v>
      </c>
      <c r="Q91" s="1" t="s">
        <v>178</v>
      </c>
      <c r="R91" s="1" t="s">
        <v>55</v>
      </c>
      <c r="S91" s="2">
        <v>46205</v>
      </c>
      <c r="T91" s="2">
        <v>46205</v>
      </c>
      <c r="V91" s="1">
        <v>1</v>
      </c>
      <c r="W91" s="1">
        <v>0</v>
      </c>
      <c r="X91" s="1">
        <v>0</v>
      </c>
      <c r="Y91" s="1">
        <v>0</v>
      </c>
      <c r="Z91" s="1">
        <v>0</v>
      </c>
      <c r="AA91" s="1">
        <v>1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</row>
    <row r="92" spans="1:33" x14ac:dyDescent="0.25">
      <c r="A92" s="1">
        <v>643</v>
      </c>
      <c r="B92" s="1" t="s">
        <v>867</v>
      </c>
      <c r="C92" s="1" t="s">
        <v>868</v>
      </c>
      <c r="D92" s="1" t="s">
        <v>94</v>
      </c>
      <c r="E92" s="1" t="s">
        <v>769</v>
      </c>
      <c r="F92" s="10">
        <v>46190</v>
      </c>
      <c r="G92" s="10">
        <v>46198</v>
      </c>
      <c r="H92" s="11">
        <v>1</v>
      </c>
      <c r="I92" s="10">
        <v>46198</v>
      </c>
      <c r="J92" s="1" t="s">
        <v>770</v>
      </c>
      <c r="K92" s="1">
        <v>644</v>
      </c>
      <c r="L92" s="1" t="s">
        <v>59</v>
      </c>
      <c r="M92" s="1" t="s">
        <v>323</v>
      </c>
      <c r="N92" s="2">
        <v>46204</v>
      </c>
      <c r="P92" s="1" t="s">
        <v>645</v>
      </c>
      <c r="Q92" s="1" t="s">
        <v>133</v>
      </c>
      <c r="R92" s="1" t="s">
        <v>55</v>
      </c>
      <c r="S92" s="2">
        <v>46191</v>
      </c>
      <c r="T92" s="2">
        <v>46204</v>
      </c>
      <c r="V92" s="1">
        <v>1</v>
      </c>
      <c r="W92" s="1">
        <v>1</v>
      </c>
      <c r="X92" s="1">
        <v>1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1</v>
      </c>
    </row>
    <row r="93" spans="1:33" hidden="1" x14ac:dyDescent="0.25">
      <c r="A93" s="1">
        <v>644</v>
      </c>
      <c r="B93" s="1" t="s">
        <v>869</v>
      </c>
      <c r="C93" s="1" t="s">
        <v>868</v>
      </c>
      <c r="D93" s="1" t="s">
        <v>98</v>
      </c>
      <c r="E93" s="1" t="s">
        <v>103</v>
      </c>
      <c r="F93" s="10">
        <v>46199</v>
      </c>
      <c r="G93" s="10">
        <v>46206</v>
      </c>
      <c r="H93" s="11">
        <v>1</v>
      </c>
      <c r="I93" s="10">
        <v>46206</v>
      </c>
      <c r="J93" s="1">
        <v>643</v>
      </c>
      <c r="K93" s="1">
        <v>645</v>
      </c>
      <c r="L93" s="1" t="s">
        <v>59</v>
      </c>
      <c r="M93" s="1" t="s">
        <v>292</v>
      </c>
      <c r="N93" s="2">
        <v>46205</v>
      </c>
      <c r="P93" s="1" t="s">
        <v>645</v>
      </c>
      <c r="Q93" s="1" t="s">
        <v>178</v>
      </c>
      <c r="R93" s="1" t="s">
        <v>55</v>
      </c>
      <c r="S93" s="2">
        <v>46205</v>
      </c>
      <c r="T93" s="2">
        <v>46205</v>
      </c>
      <c r="V93" s="1">
        <v>1</v>
      </c>
      <c r="W93" s="1">
        <v>0</v>
      </c>
      <c r="X93" s="1">
        <v>0</v>
      </c>
      <c r="Y93" s="1">
        <v>0</v>
      </c>
      <c r="Z93" s="1">
        <v>0</v>
      </c>
      <c r="AA93" s="1">
        <v>1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</row>
    <row r="94" spans="1:33" x14ac:dyDescent="0.25">
      <c r="A94" s="1">
        <v>648</v>
      </c>
      <c r="B94" s="1" t="s">
        <v>874</v>
      </c>
      <c r="C94" s="1" t="s">
        <v>875</v>
      </c>
      <c r="D94" s="1" t="s">
        <v>94</v>
      </c>
      <c r="E94" s="1" t="s">
        <v>769</v>
      </c>
      <c r="F94" s="10">
        <v>46190</v>
      </c>
      <c r="G94" s="10">
        <v>46198</v>
      </c>
      <c r="H94" s="11">
        <v>1</v>
      </c>
      <c r="I94" s="10">
        <v>46198</v>
      </c>
      <c r="J94" s="1" t="s">
        <v>770</v>
      </c>
      <c r="K94" s="1">
        <v>649</v>
      </c>
      <c r="L94" s="1" t="s">
        <v>59</v>
      </c>
      <c r="M94" s="1" t="s">
        <v>264</v>
      </c>
      <c r="N94" s="2">
        <v>46196</v>
      </c>
      <c r="P94" s="1" t="s">
        <v>645</v>
      </c>
      <c r="Q94" s="1" t="s">
        <v>133</v>
      </c>
      <c r="R94" s="1" t="s">
        <v>55</v>
      </c>
      <c r="S94" s="2">
        <v>46188</v>
      </c>
      <c r="T94" s="2">
        <v>46196</v>
      </c>
      <c r="V94" s="1">
        <v>1</v>
      </c>
      <c r="W94" s="1">
        <v>1</v>
      </c>
      <c r="X94" s="1">
        <v>1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1</v>
      </c>
    </row>
    <row r="95" spans="1:33" hidden="1" x14ac:dyDescent="0.25">
      <c r="A95" s="1">
        <v>649</v>
      </c>
      <c r="B95" s="1" t="s">
        <v>876</v>
      </c>
      <c r="C95" s="1" t="s">
        <v>875</v>
      </c>
      <c r="D95" s="1" t="s">
        <v>98</v>
      </c>
      <c r="E95" s="1" t="s">
        <v>103</v>
      </c>
      <c r="F95" s="10">
        <v>46199</v>
      </c>
      <c r="G95" s="10">
        <v>46206</v>
      </c>
      <c r="H95" s="11">
        <v>1</v>
      </c>
      <c r="I95" s="10">
        <v>46206</v>
      </c>
      <c r="J95" s="1">
        <v>648</v>
      </c>
      <c r="K95" s="1">
        <v>650</v>
      </c>
      <c r="L95" s="1" t="s">
        <v>59</v>
      </c>
      <c r="M95" s="1" t="s">
        <v>754</v>
      </c>
      <c r="N95" s="2">
        <v>46197</v>
      </c>
      <c r="P95" s="1" t="s">
        <v>645</v>
      </c>
      <c r="Q95" s="1" t="s">
        <v>178</v>
      </c>
      <c r="R95" s="1" t="s">
        <v>55</v>
      </c>
      <c r="S95" s="2">
        <v>46197</v>
      </c>
      <c r="T95" s="2">
        <v>46197</v>
      </c>
      <c r="V95" s="1">
        <v>1</v>
      </c>
      <c r="W95" s="1">
        <v>0</v>
      </c>
      <c r="X95" s="1">
        <v>0</v>
      </c>
      <c r="Y95" s="1">
        <v>0</v>
      </c>
      <c r="Z95" s="1">
        <v>0</v>
      </c>
      <c r="AA95" s="1">
        <v>1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</row>
    <row r="96" spans="1:33" x14ac:dyDescent="0.25">
      <c r="A96" s="1">
        <v>653</v>
      </c>
      <c r="B96" s="1" t="s">
        <v>881</v>
      </c>
      <c r="C96" s="1" t="s">
        <v>882</v>
      </c>
      <c r="D96" s="1" t="s">
        <v>94</v>
      </c>
      <c r="E96" s="1" t="s">
        <v>769</v>
      </c>
      <c r="F96" s="10">
        <v>46190</v>
      </c>
      <c r="G96" s="10">
        <v>46198</v>
      </c>
      <c r="H96" s="11">
        <v>1</v>
      </c>
      <c r="I96" s="10">
        <v>46198</v>
      </c>
      <c r="J96" s="1" t="s">
        <v>770</v>
      </c>
      <c r="K96" s="1">
        <v>654</v>
      </c>
      <c r="L96" s="1" t="s">
        <v>59</v>
      </c>
      <c r="M96" s="1" t="s">
        <v>264</v>
      </c>
      <c r="N96" s="2">
        <v>46196</v>
      </c>
      <c r="P96" s="1" t="s">
        <v>645</v>
      </c>
      <c r="Q96" s="1" t="s">
        <v>133</v>
      </c>
      <c r="R96" s="1" t="s">
        <v>55</v>
      </c>
      <c r="S96" s="2">
        <v>46188</v>
      </c>
      <c r="T96" s="2">
        <v>46196</v>
      </c>
      <c r="V96" s="1">
        <v>1</v>
      </c>
      <c r="W96" s="1">
        <v>1</v>
      </c>
      <c r="X96" s="1">
        <v>1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1</v>
      </c>
    </row>
    <row r="97" spans="1:33" hidden="1" x14ac:dyDescent="0.25">
      <c r="A97" s="1">
        <v>654</v>
      </c>
      <c r="B97" s="1" t="s">
        <v>883</v>
      </c>
      <c r="C97" s="1" t="s">
        <v>882</v>
      </c>
      <c r="D97" s="1" t="s">
        <v>98</v>
      </c>
      <c r="E97" s="1" t="s">
        <v>103</v>
      </c>
      <c r="F97" s="10">
        <v>46199</v>
      </c>
      <c r="G97" s="10">
        <v>46206</v>
      </c>
      <c r="H97" s="11">
        <v>1</v>
      </c>
      <c r="I97" s="10">
        <v>46206</v>
      </c>
      <c r="J97" s="1">
        <v>653</v>
      </c>
      <c r="K97" s="1">
        <v>655</v>
      </c>
      <c r="L97" s="1" t="s">
        <v>59</v>
      </c>
      <c r="M97" s="1" t="s">
        <v>754</v>
      </c>
      <c r="N97" s="2">
        <v>46197</v>
      </c>
      <c r="P97" s="1" t="s">
        <v>645</v>
      </c>
      <c r="Q97" s="1" t="s">
        <v>178</v>
      </c>
      <c r="R97" s="1" t="s">
        <v>55</v>
      </c>
      <c r="S97" s="2">
        <v>46197</v>
      </c>
      <c r="T97" s="2">
        <v>46197</v>
      </c>
      <c r="V97" s="1">
        <v>1</v>
      </c>
      <c r="W97" s="1">
        <v>0</v>
      </c>
      <c r="X97" s="1">
        <v>0</v>
      </c>
      <c r="Y97" s="1">
        <v>0</v>
      </c>
      <c r="Z97" s="1">
        <v>0</v>
      </c>
      <c r="AA97" s="1">
        <v>1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</row>
    <row r="98" spans="1:33" x14ac:dyDescent="0.25">
      <c r="A98" s="1">
        <v>658</v>
      </c>
      <c r="B98" s="1" t="s">
        <v>888</v>
      </c>
      <c r="C98" s="1" t="s">
        <v>889</v>
      </c>
      <c r="D98" s="1" t="s">
        <v>94</v>
      </c>
      <c r="E98" s="1" t="s">
        <v>769</v>
      </c>
      <c r="F98" s="10">
        <v>46190</v>
      </c>
      <c r="G98" s="10">
        <v>46198</v>
      </c>
      <c r="H98" s="11">
        <v>1</v>
      </c>
      <c r="I98" s="10">
        <v>46198</v>
      </c>
      <c r="J98" s="1" t="s">
        <v>770</v>
      </c>
      <c r="K98" s="1">
        <v>659</v>
      </c>
      <c r="L98" s="1" t="s">
        <v>59</v>
      </c>
      <c r="M98" s="1" t="s">
        <v>264</v>
      </c>
      <c r="N98" s="2">
        <v>46196</v>
      </c>
      <c r="P98" s="1" t="s">
        <v>645</v>
      </c>
      <c r="Q98" s="1" t="s">
        <v>133</v>
      </c>
      <c r="R98" s="1" t="s">
        <v>55</v>
      </c>
      <c r="S98" s="2">
        <v>46188</v>
      </c>
      <c r="T98" s="2">
        <v>46196</v>
      </c>
      <c r="V98" s="1">
        <v>1</v>
      </c>
      <c r="W98" s="1">
        <v>1</v>
      </c>
      <c r="X98" s="1">
        <v>1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1</v>
      </c>
    </row>
    <row r="99" spans="1:33" hidden="1" x14ac:dyDescent="0.25">
      <c r="A99" s="1">
        <v>659</v>
      </c>
      <c r="B99" s="1" t="s">
        <v>890</v>
      </c>
      <c r="C99" s="1" t="s">
        <v>889</v>
      </c>
      <c r="D99" s="1" t="s">
        <v>98</v>
      </c>
      <c r="E99" s="1" t="s">
        <v>103</v>
      </c>
      <c r="F99" s="10">
        <v>46199</v>
      </c>
      <c r="G99" s="10">
        <v>46206</v>
      </c>
      <c r="H99" s="11">
        <v>1</v>
      </c>
      <c r="I99" s="10">
        <v>46206</v>
      </c>
      <c r="J99" s="1">
        <v>658</v>
      </c>
      <c r="K99" s="1">
        <v>660</v>
      </c>
      <c r="L99" s="1" t="s">
        <v>59</v>
      </c>
      <c r="M99" s="1" t="s">
        <v>754</v>
      </c>
      <c r="N99" s="2">
        <v>46197</v>
      </c>
      <c r="P99" s="1" t="s">
        <v>645</v>
      </c>
      <c r="Q99" s="1" t="s">
        <v>178</v>
      </c>
      <c r="R99" s="1" t="s">
        <v>55</v>
      </c>
      <c r="S99" s="2">
        <v>46197</v>
      </c>
      <c r="T99" s="2">
        <v>46197</v>
      </c>
      <c r="V99" s="1">
        <v>1</v>
      </c>
      <c r="W99" s="1">
        <v>0</v>
      </c>
      <c r="X99" s="1">
        <v>0</v>
      </c>
      <c r="Y99" s="1">
        <v>0</v>
      </c>
      <c r="Z99" s="1">
        <v>0</v>
      </c>
      <c r="AA99" s="1">
        <v>1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</row>
    <row r="100" spans="1:33" x14ac:dyDescent="0.25">
      <c r="A100" s="1">
        <v>663</v>
      </c>
      <c r="B100" s="1" t="s">
        <v>895</v>
      </c>
      <c r="C100" s="1" t="s">
        <v>896</v>
      </c>
      <c r="D100" s="1" t="s">
        <v>94</v>
      </c>
      <c r="E100" s="1" t="s">
        <v>769</v>
      </c>
      <c r="F100" s="10">
        <v>46190</v>
      </c>
      <c r="G100" s="10">
        <v>46198</v>
      </c>
      <c r="H100" s="11">
        <v>1</v>
      </c>
      <c r="I100" s="10">
        <v>46198</v>
      </c>
      <c r="J100" s="1" t="s">
        <v>770</v>
      </c>
      <c r="K100" s="1">
        <v>664</v>
      </c>
      <c r="L100" s="1" t="s">
        <v>59</v>
      </c>
      <c r="M100" s="1" t="s">
        <v>264</v>
      </c>
      <c r="N100" s="2">
        <v>46196</v>
      </c>
      <c r="P100" s="1" t="s">
        <v>645</v>
      </c>
      <c r="Q100" s="1" t="s">
        <v>133</v>
      </c>
      <c r="R100" s="1" t="s">
        <v>55</v>
      </c>
      <c r="S100" s="2">
        <v>46188</v>
      </c>
      <c r="T100" s="2">
        <v>46196</v>
      </c>
      <c r="V100" s="1">
        <v>1</v>
      </c>
      <c r="W100" s="1">
        <v>1</v>
      </c>
      <c r="X100" s="1">
        <v>1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1</v>
      </c>
    </row>
    <row r="101" spans="1:33" hidden="1" x14ac:dyDescent="0.25">
      <c r="A101" s="1">
        <v>664</v>
      </c>
      <c r="B101" s="1" t="s">
        <v>897</v>
      </c>
      <c r="C101" s="1" t="s">
        <v>896</v>
      </c>
      <c r="D101" s="1" t="s">
        <v>98</v>
      </c>
      <c r="E101" s="1" t="s">
        <v>103</v>
      </c>
      <c r="F101" s="10">
        <v>46199</v>
      </c>
      <c r="G101" s="10">
        <v>46206</v>
      </c>
      <c r="H101" s="11">
        <v>1</v>
      </c>
      <c r="I101" s="10">
        <v>46206</v>
      </c>
      <c r="J101" s="1">
        <v>663</v>
      </c>
      <c r="K101" s="1">
        <v>665</v>
      </c>
      <c r="L101" s="1" t="s">
        <v>59</v>
      </c>
      <c r="M101" s="1" t="s">
        <v>754</v>
      </c>
      <c r="N101" s="2">
        <v>46197</v>
      </c>
      <c r="P101" s="1" t="s">
        <v>645</v>
      </c>
      <c r="Q101" s="1" t="s">
        <v>178</v>
      </c>
      <c r="R101" s="1" t="s">
        <v>55</v>
      </c>
      <c r="S101" s="2">
        <v>46197</v>
      </c>
      <c r="T101" s="2">
        <v>46197</v>
      </c>
      <c r="V101" s="1">
        <v>1</v>
      </c>
      <c r="W101" s="1">
        <v>0</v>
      </c>
      <c r="X101" s="1">
        <v>0</v>
      </c>
      <c r="Y101" s="1">
        <v>0</v>
      </c>
      <c r="Z101" s="1">
        <v>0</v>
      </c>
      <c r="AA101" s="1">
        <v>1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</row>
    <row r="102" spans="1:33" x14ac:dyDescent="0.25">
      <c r="A102" s="1">
        <v>668</v>
      </c>
      <c r="B102" s="1" t="s">
        <v>902</v>
      </c>
      <c r="C102" s="1" t="s">
        <v>903</v>
      </c>
      <c r="D102" s="1" t="s">
        <v>94</v>
      </c>
      <c r="E102" s="1" t="s">
        <v>769</v>
      </c>
      <c r="F102" s="10">
        <v>46190</v>
      </c>
      <c r="G102" s="10">
        <v>46198</v>
      </c>
      <c r="H102" s="11">
        <v>1</v>
      </c>
      <c r="I102" s="10">
        <v>46198</v>
      </c>
      <c r="J102" s="1" t="s">
        <v>770</v>
      </c>
      <c r="K102" s="1">
        <v>669</v>
      </c>
      <c r="L102" s="1" t="s">
        <v>59</v>
      </c>
      <c r="M102" s="1" t="s">
        <v>264</v>
      </c>
      <c r="N102" s="2">
        <v>46196</v>
      </c>
      <c r="P102" s="1" t="s">
        <v>645</v>
      </c>
      <c r="Q102" s="1" t="s">
        <v>133</v>
      </c>
      <c r="R102" s="1" t="s">
        <v>55</v>
      </c>
      <c r="S102" s="2">
        <v>46188</v>
      </c>
      <c r="T102" s="2">
        <v>46196</v>
      </c>
      <c r="V102" s="1">
        <v>1</v>
      </c>
      <c r="W102" s="1">
        <v>1</v>
      </c>
      <c r="X102" s="1">
        <v>1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1</v>
      </c>
    </row>
    <row r="103" spans="1:33" hidden="1" x14ac:dyDescent="0.25">
      <c r="A103" s="1">
        <v>669</v>
      </c>
      <c r="B103" s="1" t="s">
        <v>904</v>
      </c>
      <c r="C103" s="1" t="s">
        <v>903</v>
      </c>
      <c r="D103" s="1" t="s">
        <v>98</v>
      </c>
      <c r="E103" s="1" t="s">
        <v>103</v>
      </c>
      <c r="F103" s="10">
        <v>46199</v>
      </c>
      <c r="G103" s="10">
        <v>46206</v>
      </c>
      <c r="H103" s="11">
        <v>1</v>
      </c>
      <c r="I103" s="10">
        <v>46206</v>
      </c>
      <c r="J103" s="1">
        <v>668</v>
      </c>
      <c r="K103" s="1">
        <v>670</v>
      </c>
      <c r="L103" s="1" t="s">
        <v>59</v>
      </c>
      <c r="M103" s="1" t="s">
        <v>754</v>
      </c>
      <c r="N103" s="2">
        <v>46197</v>
      </c>
      <c r="P103" s="1" t="s">
        <v>645</v>
      </c>
      <c r="Q103" s="1" t="s">
        <v>178</v>
      </c>
      <c r="R103" s="1" t="s">
        <v>55</v>
      </c>
      <c r="S103" s="2">
        <v>46197</v>
      </c>
      <c r="T103" s="2">
        <v>46197</v>
      </c>
      <c r="V103" s="1">
        <v>1</v>
      </c>
      <c r="W103" s="1">
        <v>0</v>
      </c>
      <c r="X103" s="1">
        <v>0</v>
      </c>
      <c r="Y103" s="1">
        <v>0</v>
      </c>
      <c r="Z103" s="1">
        <v>0</v>
      </c>
      <c r="AA103" s="1">
        <v>1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</row>
    <row r="104" spans="1:33" x14ac:dyDescent="0.25">
      <c r="A104" s="1">
        <v>673</v>
      </c>
      <c r="B104" s="1" t="s">
        <v>909</v>
      </c>
      <c r="C104" s="1" t="s">
        <v>910</v>
      </c>
      <c r="D104" s="1" t="s">
        <v>94</v>
      </c>
      <c r="E104" s="1" t="s">
        <v>769</v>
      </c>
      <c r="F104" s="10">
        <v>46190</v>
      </c>
      <c r="G104" s="10">
        <v>46198</v>
      </c>
      <c r="H104" s="11">
        <v>1</v>
      </c>
      <c r="I104" s="10">
        <v>46198</v>
      </c>
      <c r="J104" s="1" t="s">
        <v>770</v>
      </c>
      <c r="K104" s="1">
        <v>674</v>
      </c>
      <c r="L104" s="1" t="s">
        <v>59</v>
      </c>
      <c r="M104" s="1" t="s">
        <v>264</v>
      </c>
      <c r="N104" s="2">
        <v>46196</v>
      </c>
      <c r="P104" s="1" t="s">
        <v>645</v>
      </c>
      <c r="Q104" s="1" t="s">
        <v>133</v>
      </c>
      <c r="R104" s="1" t="s">
        <v>55</v>
      </c>
      <c r="S104" s="2">
        <v>46188</v>
      </c>
      <c r="T104" s="2">
        <v>46196</v>
      </c>
      <c r="V104" s="1">
        <v>1</v>
      </c>
      <c r="W104" s="1">
        <v>1</v>
      </c>
      <c r="X104" s="1">
        <v>1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1</v>
      </c>
    </row>
    <row r="105" spans="1:33" hidden="1" x14ac:dyDescent="0.25">
      <c r="A105" s="1">
        <v>674</v>
      </c>
      <c r="B105" s="1" t="s">
        <v>911</v>
      </c>
      <c r="C105" s="1" t="s">
        <v>910</v>
      </c>
      <c r="D105" s="1" t="s">
        <v>98</v>
      </c>
      <c r="E105" s="1" t="s">
        <v>103</v>
      </c>
      <c r="F105" s="10">
        <v>46199</v>
      </c>
      <c r="G105" s="10">
        <v>46206</v>
      </c>
      <c r="H105" s="11">
        <v>1</v>
      </c>
      <c r="I105" s="10">
        <v>46206</v>
      </c>
      <c r="J105" s="1">
        <v>673</v>
      </c>
      <c r="K105" s="1">
        <v>675</v>
      </c>
      <c r="L105" s="1" t="s">
        <v>59</v>
      </c>
      <c r="M105" s="1" t="s">
        <v>754</v>
      </c>
      <c r="N105" s="2">
        <v>46197</v>
      </c>
      <c r="P105" s="1" t="s">
        <v>645</v>
      </c>
      <c r="Q105" s="1" t="s">
        <v>178</v>
      </c>
      <c r="R105" s="1" t="s">
        <v>55</v>
      </c>
      <c r="S105" s="2">
        <v>46197</v>
      </c>
      <c r="T105" s="2">
        <v>46197</v>
      </c>
      <c r="V105" s="1">
        <v>1</v>
      </c>
      <c r="W105" s="1">
        <v>0</v>
      </c>
      <c r="X105" s="1">
        <v>0</v>
      </c>
      <c r="Y105" s="1">
        <v>0</v>
      </c>
      <c r="Z105" s="1">
        <v>0</v>
      </c>
      <c r="AA105" s="1">
        <v>1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</row>
    <row r="106" spans="1:33" x14ac:dyDescent="0.25">
      <c r="A106" s="1">
        <v>678</v>
      </c>
      <c r="B106" s="1" t="s">
        <v>916</v>
      </c>
      <c r="C106" s="1" t="s">
        <v>917</v>
      </c>
      <c r="D106" s="1" t="s">
        <v>94</v>
      </c>
      <c r="E106" s="1" t="s">
        <v>769</v>
      </c>
      <c r="F106" s="10">
        <v>46190</v>
      </c>
      <c r="G106" s="10">
        <v>46198</v>
      </c>
      <c r="H106" s="11">
        <v>1</v>
      </c>
      <c r="I106" s="10">
        <v>46198</v>
      </c>
      <c r="J106" s="1" t="s">
        <v>770</v>
      </c>
      <c r="K106" s="1">
        <v>679</v>
      </c>
      <c r="L106" s="1" t="s">
        <v>59</v>
      </c>
      <c r="M106" s="1" t="s">
        <v>918</v>
      </c>
      <c r="N106" s="2">
        <v>46202</v>
      </c>
      <c r="P106" s="1" t="s">
        <v>645</v>
      </c>
      <c r="Q106" s="1" t="s">
        <v>133</v>
      </c>
      <c r="R106" s="1" t="s">
        <v>55</v>
      </c>
      <c r="S106" s="2">
        <v>46192</v>
      </c>
      <c r="T106" s="2">
        <v>46202</v>
      </c>
      <c r="V106" s="1">
        <v>1</v>
      </c>
      <c r="W106" s="1">
        <v>1</v>
      </c>
      <c r="X106" s="1">
        <v>1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1</v>
      </c>
    </row>
    <row r="107" spans="1:33" hidden="1" x14ac:dyDescent="0.25">
      <c r="A107" s="1">
        <v>679</v>
      </c>
      <c r="B107" s="1" t="s">
        <v>919</v>
      </c>
      <c r="C107" s="1" t="s">
        <v>917</v>
      </c>
      <c r="D107" s="1" t="s">
        <v>98</v>
      </c>
      <c r="E107" s="1" t="s">
        <v>103</v>
      </c>
      <c r="F107" s="10">
        <v>46199</v>
      </c>
      <c r="G107" s="10">
        <v>46206</v>
      </c>
      <c r="H107" s="11">
        <v>1</v>
      </c>
      <c r="I107" s="10">
        <v>46206</v>
      </c>
      <c r="J107" s="1">
        <v>678</v>
      </c>
      <c r="K107" s="1">
        <v>680</v>
      </c>
      <c r="L107" s="1" t="s">
        <v>59</v>
      </c>
      <c r="M107" s="1" t="s">
        <v>754</v>
      </c>
      <c r="N107" s="2">
        <v>46203</v>
      </c>
      <c r="P107" s="1" t="s">
        <v>645</v>
      </c>
      <c r="Q107" s="1" t="s">
        <v>178</v>
      </c>
      <c r="R107" s="1" t="s">
        <v>55</v>
      </c>
      <c r="S107" s="2">
        <v>46197</v>
      </c>
      <c r="T107" s="2">
        <v>46203</v>
      </c>
      <c r="V107" s="1">
        <v>1</v>
      </c>
      <c r="W107" s="1">
        <v>0</v>
      </c>
      <c r="X107" s="1">
        <v>0</v>
      </c>
      <c r="Y107" s="1">
        <v>0</v>
      </c>
      <c r="Z107" s="1">
        <v>0</v>
      </c>
      <c r="AA107" s="1">
        <v>1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</row>
    <row r="108" spans="1:33" x14ac:dyDescent="0.25">
      <c r="A108" s="1">
        <v>683</v>
      </c>
      <c r="B108" s="1" t="s">
        <v>924</v>
      </c>
      <c r="C108" s="1" t="s">
        <v>925</v>
      </c>
      <c r="D108" s="1" t="s">
        <v>94</v>
      </c>
      <c r="E108" s="1" t="s">
        <v>769</v>
      </c>
      <c r="F108" s="10">
        <v>46190</v>
      </c>
      <c r="G108" s="10">
        <v>46198</v>
      </c>
      <c r="H108" s="11">
        <v>1</v>
      </c>
      <c r="I108" s="10">
        <v>46198</v>
      </c>
      <c r="J108" s="1" t="s">
        <v>770</v>
      </c>
      <c r="K108" s="1">
        <v>684</v>
      </c>
      <c r="L108" s="1" t="s">
        <v>59</v>
      </c>
      <c r="M108" s="1" t="s">
        <v>918</v>
      </c>
      <c r="N108" s="2">
        <v>46202</v>
      </c>
      <c r="P108" s="1" t="s">
        <v>645</v>
      </c>
      <c r="Q108" s="1" t="s">
        <v>133</v>
      </c>
      <c r="R108" s="1" t="s">
        <v>55</v>
      </c>
      <c r="S108" s="2">
        <v>46192</v>
      </c>
      <c r="T108" s="2">
        <v>46202</v>
      </c>
      <c r="V108" s="1">
        <v>1</v>
      </c>
      <c r="W108" s="1">
        <v>1</v>
      </c>
      <c r="X108" s="1">
        <v>1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1</v>
      </c>
    </row>
    <row r="109" spans="1:33" hidden="1" x14ac:dyDescent="0.25">
      <c r="A109" s="1">
        <v>684</v>
      </c>
      <c r="B109" s="1" t="s">
        <v>926</v>
      </c>
      <c r="C109" s="1" t="s">
        <v>925</v>
      </c>
      <c r="D109" s="1" t="s">
        <v>98</v>
      </c>
      <c r="E109" s="1" t="s">
        <v>103</v>
      </c>
      <c r="F109" s="10">
        <v>46199</v>
      </c>
      <c r="G109" s="10">
        <v>46206</v>
      </c>
      <c r="H109" s="11">
        <v>1</v>
      </c>
      <c r="I109" s="10">
        <v>46206</v>
      </c>
      <c r="J109" s="1">
        <v>683</v>
      </c>
      <c r="K109" s="1">
        <v>685</v>
      </c>
      <c r="L109" s="1" t="s">
        <v>59</v>
      </c>
      <c r="M109" s="1" t="s">
        <v>754</v>
      </c>
      <c r="N109" s="2">
        <v>46203</v>
      </c>
      <c r="P109" s="1" t="s">
        <v>645</v>
      </c>
      <c r="Q109" s="1" t="s">
        <v>178</v>
      </c>
      <c r="R109" s="1" t="s">
        <v>55</v>
      </c>
      <c r="S109" s="2">
        <v>46197</v>
      </c>
      <c r="T109" s="2">
        <v>46203</v>
      </c>
      <c r="V109" s="1">
        <v>1</v>
      </c>
      <c r="W109" s="1">
        <v>0</v>
      </c>
      <c r="X109" s="1">
        <v>0</v>
      </c>
      <c r="Y109" s="1">
        <v>0</v>
      </c>
      <c r="Z109" s="1">
        <v>0</v>
      </c>
      <c r="AA109" s="1">
        <v>1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</row>
    <row r="110" spans="1:33" x14ac:dyDescent="0.25">
      <c r="A110" s="1">
        <v>688</v>
      </c>
      <c r="B110" s="1" t="s">
        <v>931</v>
      </c>
      <c r="C110" s="1" t="s">
        <v>932</v>
      </c>
      <c r="D110" s="1" t="s">
        <v>94</v>
      </c>
      <c r="E110" s="1" t="s">
        <v>769</v>
      </c>
      <c r="F110" s="10">
        <v>46190</v>
      </c>
      <c r="G110" s="10">
        <v>46198</v>
      </c>
      <c r="H110" s="11">
        <v>1</v>
      </c>
      <c r="I110" s="10">
        <v>46198</v>
      </c>
      <c r="J110" s="1" t="s">
        <v>770</v>
      </c>
      <c r="K110" s="1">
        <v>689</v>
      </c>
      <c r="L110" s="1" t="s">
        <v>59</v>
      </c>
      <c r="M110" s="1" t="s">
        <v>918</v>
      </c>
      <c r="N110" s="2">
        <v>46202</v>
      </c>
      <c r="P110" s="1" t="s">
        <v>645</v>
      </c>
      <c r="Q110" s="1" t="s">
        <v>133</v>
      </c>
      <c r="R110" s="1" t="s">
        <v>55</v>
      </c>
      <c r="S110" s="2">
        <v>46192</v>
      </c>
      <c r="T110" s="2">
        <v>46202</v>
      </c>
      <c r="V110" s="1">
        <v>1</v>
      </c>
      <c r="W110" s="1">
        <v>1</v>
      </c>
      <c r="X110" s="1">
        <v>1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1</v>
      </c>
    </row>
    <row r="111" spans="1:33" hidden="1" x14ac:dyDescent="0.25">
      <c r="A111" s="1">
        <v>689</v>
      </c>
      <c r="B111" s="1" t="s">
        <v>933</v>
      </c>
      <c r="C111" s="1" t="s">
        <v>932</v>
      </c>
      <c r="D111" s="1" t="s">
        <v>98</v>
      </c>
      <c r="E111" s="1" t="s">
        <v>53</v>
      </c>
      <c r="F111" s="10">
        <v>46199</v>
      </c>
      <c r="G111" s="10">
        <v>46199</v>
      </c>
      <c r="H111" s="11">
        <v>1</v>
      </c>
      <c r="I111" s="10">
        <v>46199</v>
      </c>
      <c r="J111" s="1">
        <v>688</v>
      </c>
      <c r="K111" s="1">
        <v>690</v>
      </c>
      <c r="L111" s="1" t="s">
        <v>59</v>
      </c>
      <c r="M111" s="1" t="s">
        <v>754</v>
      </c>
      <c r="N111" s="2">
        <v>46203</v>
      </c>
      <c r="P111" s="1" t="s">
        <v>645</v>
      </c>
      <c r="Q111" s="1" t="s">
        <v>178</v>
      </c>
      <c r="R111" s="1" t="s">
        <v>55</v>
      </c>
      <c r="S111" s="2">
        <v>46197</v>
      </c>
      <c r="T111" s="2">
        <v>46203</v>
      </c>
      <c r="V111" s="1">
        <v>1</v>
      </c>
      <c r="W111" s="1">
        <v>0</v>
      </c>
      <c r="X111" s="1">
        <v>0</v>
      </c>
      <c r="Y111" s="1">
        <v>0</v>
      </c>
      <c r="Z111" s="1">
        <v>0</v>
      </c>
      <c r="AA111" s="1">
        <v>1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</row>
    <row r="112" spans="1:33" x14ac:dyDescent="0.25">
      <c r="A112" s="1">
        <v>698</v>
      </c>
      <c r="B112" s="1" t="s">
        <v>947</v>
      </c>
      <c r="C112" s="1" t="s">
        <v>948</v>
      </c>
      <c r="D112" s="1" t="s">
        <v>94</v>
      </c>
      <c r="E112" s="1" t="s">
        <v>525</v>
      </c>
      <c r="F112" s="10">
        <v>46205</v>
      </c>
      <c r="G112" s="10">
        <v>46210</v>
      </c>
      <c r="H112" s="11">
        <v>1</v>
      </c>
      <c r="I112" s="10">
        <v>46210</v>
      </c>
      <c r="J112" s="1" t="s">
        <v>940</v>
      </c>
      <c r="K112" s="1" t="s">
        <v>949</v>
      </c>
      <c r="L112" s="1" t="s">
        <v>59</v>
      </c>
      <c r="M112" s="1" t="s">
        <v>394</v>
      </c>
      <c r="N112" s="2">
        <v>46203</v>
      </c>
      <c r="P112" s="1" t="s">
        <v>645</v>
      </c>
      <c r="Q112" s="1" t="s">
        <v>133</v>
      </c>
      <c r="R112" s="1" t="s">
        <v>55</v>
      </c>
      <c r="S112" s="2">
        <v>46199</v>
      </c>
      <c r="T112" s="2">
        <v>46203</v>
      </c>
      <c r="V112" s="1">
        <v>1</v>
      </c>
      <c r="W112" s="1">
        <v>1</v>
      </c>
      <c r="X112" s="1">
        <v>1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1</v>
      </c>
    </row>
    <row r="113" spans="1:33" x14ac:dyDescent="0.25">
      <c r="A113" s="1">
        <v>703</v>
      </c>
      <c r="B113" s="1" t="s">
        <v>955</v>
      </c>
      <c r="C113" s="1" t="s">
        <v>956</v>
      </c>
      <c r="D113" s="1" t="s">
        <v>94</v>
      </c>
      <c r="E113" s="1" t="s">
        <v>597</v>
      </c>
      <c r="F113" s="10">
        <v>46204</v>
      </c>
      <c r="G113" s="10">
        <v>46210</v>
      </c>
      <c r="H113" s="11">
        <v>1</v>
      </c>
      <c r="I113" s="10">
        <v>46210</v>
      </c>
      <c r="J113" s="1" t="s">
        <v>940</v>
      </c>
      <c r="K113" s="1" t="s">
        <v>957</v>
      </c>
      <c r="L113" s="1" t="s">
        <v>59</v>
      </c>
      <c r="M113" s="1" t="s">
        <v>394</v>
      </c>
      <c r="N113" s="2">
        <v>46203</v>
      </c>
      <c r="P113" s="1" t="s">
        <v>645</v>
      </c>
      <c r="Q113" s="1" t="s">
        <v>133</v>
      </c>
      <c r="R113" s="1" t="s">
        <v>55</v>
      </c>
      <c r="S113" s="2">
        <v>46199</v>
      </c>
      <c r="T113" s="2">
        <v>46203</v>
      </c>
      <c r="V113" s="1">
        <v>1</v>
      </c>
      <c r="W113" s="1">
        <v>1</v>
      </c>
      <c r="X113" s="1">
        <v>1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99"/>
  <sheetViews>
    <sheetView showGridLines="0" tabSelected="1" workbookViewId="0">
      <selection activeCell="J205" sqref="J205"/>
    </sheetView>
  </sheetViews>
  <sheetFormatPr defaultRowHeight="15" x14ac:dyDescent="0.25"/>
  <cols>
    <col min="1" max="1" width="5" style="1" bestFit="1" customWidth="1"/>
    <col min="2" max="2" width="10.28515625" style="1" bestFit="1" customWidth="1"/>
    <col min="3" max="3" width="28.140625" style="1" bestFit="1" customWidth="1"/>
    <col min="4" max="4" width="34.5703125" style="1" bestFit="1" customWidth="1"/>
    <col min="5" max="5" width="10.42578125" style="1" bestFit="1" customWidth="1"/>
    <col min="6" max="7" width="18.28515625" style="10" bestFit="1" customWidth="1"/>
    <col min="8" max="8" width="13.7109375" style="11" bestFit="1" customWidth="1"/>
    <col min="9" max="9" width="14.5703125" style="1" bestFit="1" customWidth="1"/>
    <col min="10" max="10" width="16.140625" style="1" bestFit="1" customWidth="1"/>
    <col min="11" max="11" width="14.85546875" style="1" bestFit="1" customWidth="1"/>
    <col min="12" max="12" width="12.42578125" style="1" bestFit="1" customWidth="1"/>
    <col min="13" max="13" width="23.42578125" style="1" bestFit="1" customWidth="1"/>
    <col min="14" max="14" width="25.85546875" style="10" bestFit="1" customWidth="1"/>
    <col min="15" max="15" width="21.28515625" style="1" bestFit="1" customWidth="1"/>
    <col min="16" max="16" width="32.140625" style="1" bestFit="1" customWidth="1"/>
    <col min="17" max="17" width="14.5703125" style="1" bestFit="1" customWidth="1"/>
    <col min="18" max="18" width="8.85546875" style="1" bestFit="1" customWidth="1"/>
    <col min="19" max="20" width="18.28515625" style="1" bestFit="1" customWidth="1"/>
    <col min="21" max="21" width="14.28515625" style="1" bestFit="1" customWidth="1"/>
    <col min="22" max="22" width="9.5703125" style="1" bestFit="1" customWidth="1"/>
    <col min="23" max="23" width="21" style="1" bestFit="1" customWidth="1"/>
    <col min="24" max="24" width="25.42578125" style="1" bestFit="1" customWidth="1"/>
    <col min="25" max="25" width="24.7109375" style="1" bestFit="1" customWidth="1"/>
    <col min="26" max="26" width="17.28515625" style="1" bestFit="1" customWidth="1"/>
    <col min="27" max="27" width="30.42578125" style="1" bestFit="1" customWidth="1"/>
    <col min="28" max="28" width="27.140625" style="1" bestFit="1" customWidth="1"/>
    <col min="29" max="29" width="38.28515625" style="1" bestFit="1" customWidth="1"/>
    <col min="30" max="30" width="23.85546875" style="1" bestFit="1" customWidth="1"/>
    <col min="31" max="31" width="21.7109375" style="1" bestFit="1" customWidth="1"/>
    <col min="32" max="32" width="21" style="1" bestFit="1" customWidth="1"/>
    <col min="33" max="33" width="12.28515625" style="1" bestFit="1" customWidth="1"/>
    <col min="34" max="16384" width="9.140625" style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0" t="s">
        <v>6</v>
      </c>
      <c r="H1" s="1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0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idden="1" x14ac:dyDescent="0.25">
      <c r="A2" s="1">
        <v>2</v>
      </c>
      <c r="B2" s="1" t="s">
        <v>40</v>
      </c>
      <c r="C2" s="1" t="s">
        <v>41</v>
      </c>
      <c r="D2" s="1" t="s">
        <v>42</v>
      </c>
      <c r="E2" s="1" t="s">
        <v>43</v>
      </c>
      <c r="F2" s="10">
        <v>46161</v>
      </c>
      <c r="G2" s="10">
        <v>46196</v>
      </c>
      <c r="H2" s="11">
        <v>0.5</v>
      </c>
      <c r="L2" s="1" t="s">
        <v>35</v>
      </c>
      <c r="M2" s="1" t="s">
        <v>44</v>
      </c>
      <c r="N2" s="10">
        <v>46164</v>
      </c>
      <c r="P2" s="1" t="s">
        <v>37</v>
      </c>
      <c r="Q2" s="1" t="s">
        <v>45</v>
      </c>
      <c r="R2" s="1" t="s">
        <v>39</v>
      </c>
      <c r="S2" s="2">
        <v>46161</v>
      </c>
      <c r="T2" s="2">
        <v>46164</v>
      </c>
      <c r="V2" s="1">
        <v>0.5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</row>
    <row r="3" spans="1:33" hidden="1" x14ac:dyDescent="0.25">
      <c r="A3" s="1">
        <v>3</v>
      </c>
      <c r="B3" s="1" t="s">
        <v>46</v>
      </c>
      <c r="C3" s="1" t="s">
        <v>47</v>
      </c>
      <c r="D3" s="1" t="s">
        <v>48</v>
      </c>
      <c r="E3" s="1" t="s">
        <v>43</v>
      </c>
      <c r="F3" s="10">
        <v>46161</v>
      </c>
      <c r="G3" s="10">
        <v>46196</v>
      </c>
      <c r="H3" s="11">
        <v>0.5</v>
      </c>
      <c r="L3" s="1" t="s">
        <v>35</v>
      </c>
      <c r="M3" s="1" t="s">
        <v>44</v>
      </c>
      <c r="N3" s="10">
        <v>46164</v>
      </c>
      <c r="P3" s="1" t="s">
        <v>49</v>
      </c>
      <c r="Q3" s="1" t="s">
        <v>45</v>
      </c>
      <c r="R3" s="1" t="s">
        <v>39</v>
      </c>
      <c r="S3" s="2">
        <v>46161</v>
      </c>
      <c r="T3" s="2">
        <v>46164</v>
      </c>
      <c r="V3" s="1">
        <v>0.5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</row>
    <row r="4" spans="1:33" hidden="1" x14ac:dyDescent="0.25">
      <c r="A4" s="1">
        <v>4</v>
      </c>
      <c r="B4" s="1" t="s">
        <v>50</v>
      </c>
      <c r="C4" s="1" t="s">
        <v>51</v>
      </c>
      <c r="D4" s="1" t="s">
        <v>52</v>
      </c>
      <c r="E4" s="1" t="s">
        <v>53</v>
      </c>
      <c r="F4" s="10">
        <v>46178</v>
      </c>
      <c r="G4" s="10">
        <v>46178</v>
      </c>
      <c r="H4" s="11">
        <v>0</v>
      </c>
      <c r="K4" s="1" t="s">
        <v>54</v>
      </c>
      <c r="L4" s="1" t="s">
        <v>35</v>
      </c>
      <c r="M4" s="1" t="s">
        <v>44</v>
      </c>
      <c r="N4" s="10">
        <v>46161</v>
      </c>
      <c r="P4" s="1" t="s">
        <v>49</v>
      </c>
      <c r="Q4" s="1" t="s">
        <v>38</v>
      </c>
      <c r="R4" s="1" t="s">
        <v>55</v>
      </c>
      <c r="S4" s="2">
        <v>46161</v>
      </c>
      <c r="T4" s="2">
        <v>46161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 spans="1:33" hidden="1" x14ac:dyDescent="0.25">
      <c r="A5" s="1">
        <v>8</v>
      </c>
      <c r="B5" s="1" t="s">
        <v>66</v>
      </c>
      <c r="C5" s="1" t="s">
        <v>51</v>
      </c>
      <c r="D5" s="1" t="s">
        <v>67</v>
      </c>
      <c r="E5" s="1" t="s">
        <v>53</v>
      </c>
      <c r="F5" s="10">
        <v>46178</v>
      </c>
      <c r="G5" s="10">
        <v>46178</v>
      </c>
      <c r="H5" s="11">
        <v>0</v>
      </c>
      <c r="K5" s="1">
        <v>473</v>
      </c>
      <c r="L5" s="1" t="s">
        <v>35</v>
      </c>
      <c r="M5" s="1" t="s">
        <v>62</v>
      </c>
      <c r="N5" s="10">
        <v>46164</v>
      </c>
      <c r="P5" s="1" t="s">
        <v>49</v>
      </c>
      <c r="Q5" s="1" t="s">
        <v>65</v>
      </c>
      <c r="R5" s="1" t="s">
        <v>55</v>
      </c>
      <c r="S5" s="2">
        <v>46164</v>
      </c>
      <c r="T5" s="2">
        <v>46164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</row>
    <row r="6" spans="1:33" hidden="1" x14ac:dyDescent="0.25">
      <c r="A6" s="1">
        <v>9</v>
      </c>
      <c r="B6" s="1" t="s">
        <v>68</v>
      </c>
      <c r="C6" s="1" t="s">
        <v>51</v>
      </c>
      <c r="D6" s="1" t="s">
        <v>69</v>
      </c>
      <c r="E6" s="1" t="s">
        <v>53</v>
      </c>
      <c r="F6" s="10">
        <v>46196</v>
      </c>
      <c r="G6" s="10">
        <v>46196</v>
      </c>
      <c r="H6" s="11">
        <v>0</v>
      </c>
      <c r="K6" s="1">
        <v>327</v>
      </c>
      <c r="L6" s="1" t="s">
        <v>35</v>
      </c>
      <c r="M6" s="1" t="s">
        <v>62</v>
      </c>
      <c r="N6" s="10">
        <v>46164</v>
      </c>
      <c r="P6" s="1" t="s">
        <v>49</v>
      </c>
      <c r="Q6" s="1" t="s">
        <v>38</v>
      </c>
      <c r="R6" s="1" t="s">
        <v>55</v>
      </c>
      <c r="S6" s="2">
        <v>46164</v>
      </c>
      <c r="T6" s="2">
        <v>46164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pans="1:33" hidden="1" x14ac:dyDescent="0.25">
      <c r="A7" s="1">
        <v>65</v>
      </c>
      <c r="B7" s="1" t="s">
        <v>143</v>
      </c>
      <c r="C7" s="1" t="s">
        <v>138</v>
      </c>
      <c r="D7" s="1" t="s">
        <v>102</v>
      </c>
      <c r="E7" s="1" t="s">
        <v>121</v>
      </c>
      <c r="F7" s="10">
        <v>46203</v>
      </c>
      <c r="G7" s="10">
        <v>46204</v>
      </c>
      <c r="H7" s="11">
        <v>0.5</v>
      </c>
      <c r="J7" s="1">
        <v>64</v>
      </c>
      <c r="K7" s="1" t="s">
        <v>144</v>
      </c>
      <c r="L7" s="1" t="s">
        <v>35</v>
      </c>
      <c r="M7" s="1" t="s">
        <v>145</v>
      </c>
      <c r="N7" s="10">
        <v>46164</v>
      </c>
      <c r="P7" s="1" t="s">
        <v>132</v>
      </c>
      <c r="Q7" s="1" t="s">
        <v>146</v>
      </c>
      <c r="R7" s="1" t="s">
        <v>55</v>
      </c>
      <c r="S7" s="2">
        <v>46163</v>
      </c>
      <c r="T7" s="2">
        <v>46164</v>
      </c>
      <c r="V7" s="1">
        <v>0.5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</row>
    <row r="8" spans="1:33" x14ac:dyDescent="0.25">
      <c r="A8" s="1">
        <v>84</v>
      </c>
      <c r="B8" s="1" t="s">
        <v>174</v>
      </c>
      <c r="C8" s="1" t="s">
        <v>175</v>
      </c>
      <c r="D8" s="1" t="s">
        <v>94</v>
      </c>
      <c r="E8" s="1" t="s">
        <v>95</v>
      </c>
      <c r="F8" s="10">
        <v>46204</v>
      </c>
      <c r="G8" s="10">
        <v>46206</v>
      </c>
      <c r="H8" s="11">
        <v>0.99</v>
      </c>
      <c r="J8" s="1">
        <v>74</v>
      </c>
      <c r="K8" s="1">
        <v>85</v>
      </c>
      <c r="L8" s="1" t="s">
        <v>35</v>
      </c>
      <c r="M8" s="1" t="s">
        <v>173</v>
      </c>
      <c r="N8" s="10">
        <v>46174</v>
      </c>
      <c r="P8" s="1" t="s">
        <v>155</v>
      </c>
      <c r="Q8" s="1" t="s">
        <v>133</v>
      </c>
      <c r="R8" s="1" t="s">
        <v>55</v>
      </c>
      <c r="S8" s="2">
        <v>46170</v>
      </c>
      <c r="T8" s="2">
        <v>46174</v>
      </c>
      <c r="V8" s="1">
        <v>0.99</v>
      </c>
      <c r="W8" s="1">
        <v>1</v>
      </c>
      <c r="X8" s="1">
        <v>1</v>
      </c>
      <c r="Y8" s="1">
        <v>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1</v>
      </c>
    </row>
    <row r="9" spans="1:33" hidden="1" x14ac:dyDescent="0.25">
      <c r="A9" s="1">
        <v>85</v>
      </c>
      <c r="B9" s="1" t="s">
        <v>176</v>
      </c>
      <c r="C9" s="1" t="s">
        <v>175</v>
      </c>
      <c r="D9" s="1" t="s">
        <v>98</v>
      </c>
      <c r="E9" s="1" t="s">
        <v>53</v>
      </c>
      <c r="F9" s="10">
        <v>46209</v>
      </c>
      <c r="G9" s="10">
        <v>46209</v>
      </c>
      <c r="H9" s="11">
        <v>0</v>
      </c>
      <c r="J9" s="1">
        <v>84</v>
      </c>
      <c r="K9" s="1">
        <v>86</v>
      </c>
      <c r="L9" s="1" t="s">
        <v>35</v>
      </c>
      <c r="M9" s="1" t="s">
        <v>177</v>
      </c>
      <c r="N9" s="10">
        <v>46175</v>
      </c>
      <c r="P9" s="1" t="s">
        <v>155</v>
      </c>
      <c r="Q9" s="1" t="s">
        <v>178</v>
      </c>
      <c r="R9" s="1" t="s">
        <v>55</v>
      </c>
      <c r="S9" s="2">
        <v>46175</v>
      </c>
      <c r="T9" s="2">
        <v>46175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</row>
    <row r="10" spans="1:33" hidden="1" x14ac:dyDescent="0.25">
      <c r="A10" s="1">
        <v>133</v>
      </c>
      <c r="B10" s="1" t="s">
        <v>252</v>
      </c>
      <c r="C10" s="1" t="s">
        <v>157</v>
      </c>
      <c r="D10" s="1" t="s">
        <v>253</v>
      </c>
      <c r="E10" s="1" t="s">
        <v>254</v>
      </c>
      <c r="F10" s="10">
        <v>46195</v>
      </c>
      <c r="G10" s="10">
        <v>46210</v>
      </c>
      <c r="H10" s="11">
        <v>0.67</v>
      </c>
      <c r="L10" s="1" t="s">
        <v>35</v>
      </c>
      <c r="M10" s="1" t="s">
        <v>255</v>
      </c>
      <c r="N10" s="10">
        <v>46188</v>
      </c>
      <c r="P10" s="1" t="s">
        <v>155</v>
      </c>
      <c r="Q10" s="1" t="s">
        <v>133</v>
      </c>
      <c r="R10" s="1" t="s">
        <v>55</v>
      </c>
      <c r="S10" s="2">
        <v>46171</v>
      </c>
      <c r="T10" s="2">
        <v>46188</v>
      </c>
      <c r="V10" s="1">
        <v>0.67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</row>
    <row r="11" spans="1:33" hidden="1" x14ac:dyDescent="0.25">
      <c r="A11" s="1">
        <v>135</v>
      </c>
      <c r="B11" s="1" t="s">
        <v>259</v>
      </c>
      <c r="C11" s="1" t="s">
        <v>257</v>
      </c>
      <c r="D11" s="1" t="s">
        <v>98</v>
      </c>
      <c r="E11" s="1" t="s">
        <v>53</v>
      </c>
      <c r="F11" s="10">
        <v>46205</v>
      </c>
      <c r="G11" s="10">
        <v>46205</v>
      </c>
      <c r="H11" s="11">
        <v>0</v>
      </c>
      <c r="J11" s="1">
        <v>134</v>
      </c>
      <c r="K11" s="1">
        <v>136</v>
      </c>
      <c r="L11" s="1" t="s">
        <v>35</v>
      </c>
      <c r="M11" s="1" t="s">
        <v>260</v>
      </c>
      <c r="N11" s="10">
        <v>46183</v>
      </c>
      <c r="P11" s="1" t="s">
        <v>155</v>
      </c>
      <c r="Q11" s="1" t="s">
        <v>178</v>
      </c>
      <c r="R11" s="1" t="s">
        <v>55</v>
      </c>
      <c r="S11" s="2">
        <v>46183</v>
      </c>
      <c r="T11" s="2">
        <v>46183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 spans="1:33" hidden="1" x14ac:dyDescent="0.25">
      <c r="A12" s="1">
        <v>136</v>
      </c>
      <c r="B12" s="1" t="s">
        <v>261</v>
      </c>
      <c r="C12" s="1" t="s">
        <v>257</v>
      </c>
      <c r="D12" s="1" t="s">
        <v>102</v>
      </c>
      <c r="E12" s="1" t="s">
        <v>121</v>
      </c>
      <c r="F12" s="10">
        <v>46206</v>
      </c>
      <c r="G12" s="10">
        <v>46209</v>
      </c>
      <c r="H12" s="11">
        <v>0</v>
      </c>
      <c r="J12" s="1">
        <v>135</v>
      </c>
      <c r="K12" s="1">
        <v>137</v>
      </c>
      <c r="L12" s="1" t="s">
        <v>35</v>
      </c>
      <c r="M12" s="1" t="s">
        <v>262</v>
      </c>
      <c r="N12" s="10">
        <v>46185</v>
      </c>
      <c r="P12" s="1" t="s">
        <v>155</v>
      </c>
      <c r="Q12" s="1" t="s">
        <v>178</v>
      </c>
      <c r="R12" s="1" t="s">
        <v>55</v>
      </c>
      <c r="S12" s="2">
        <v>46184</v>
      </c>
      <c r="T12" s="2">
        <v>46185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</row>
    <row r="13" spans="1:33" hidden="1" x14ac:dyDescent="0.25">
      <c r="A13" s="1">
        <v>137</v>
      </c>
      <c r="B13" s="1" t="s">
        <v>263</v>
      </c>
      <c r="C13" s="1" t="s">
        <v>257</v>
      </c>
      <c r="D13" s="1" t="s">
        <v>108</v>
      </c>
      <c r="E13" s="1" t="s">
        <v>53</v>
      </c>
      <c r="F13" s="10">
        <v>46210</v>
      </c>
      <c r="G13" s="10">
        <v>46210</v>
      </c>
      <c r="H13" s="11">
        <v>0</v>
      </c>
      <c r="J13" s="1">
        <v>136</v>
      </c>
      <c r="L13" s="1" t="s">
        <v>180</v>
      </c>
      <c r="M13" s="1" t="s">
        <v>264</v>
      </c>
      <c r="N13" s="10">
        <v>46188</v>
      </c>
      <c r="P13" s="1" t="s">
        <v>155</v>
      </c>
      <c r="Q13" s="1" t="s">
        <v>146</v>
      </c>
      <c r="R13" s="1" t="s">
        <v>55</v>
      </c>
      <c r="S13" s="2">
        <v>46188</v>
      </c>
      <c r="T13" s="2">
        <v>46188</v>
      </c>
      <c r="V13" s="1">
        <v>0</v>
      </c>
      <c r="W13" s="1">
        <v>0</v>
      </c>
      <c r="X13" s="1">
        <v>0</v>
      </c>
      <c r="Y13" s="1">
        <v>0</v>
      </c>
      <c r="Z13" s="1">
        <v>1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</row>
    <row r="14" spans="1:33" hidden="1" x14ac:dyDescent="0.25">
      <c r="A14" s="1">
        <v>138</v>
      </c>
      <c r="B14" s="1" t="s">
        <v>265</v>
      </c>
      <c r="C14" s="1" t="s">
        <v>157</v>
      </c>
      <c r="D14" s="1" t="s">
        <v>266</v>
      </c>
      <c r="E14" s="1" t="s">
        <v>254</v>
      </c>
      <c r="F14" s="10">
        <v>46195</v>
      </c>
      <c r="G14" s="10">
        <v>46210</v>
      </c>
      <c r="H14" s="11">
        <v>0.67</v>
      </c>
      <c r="L14" s="1" t="s">
        <v>35</v>
      </c>
      <c r="M14" s="1" t="s">
        <v>255</v>
      </c>
      <c r="N14" s="10">
        <v>46188</v>
      </c>
      <c r="P14" s="1" t="s">
        <v>155</v>
      </c>
      <c r="Q14" s="1" t="s">
        <v>133</v>
      </c>
      <c r="R14" s="1" t="s">
        <v>55</v>
      </c>
      <c r="S14" s="2">
        <v>46171</v>
      </c>
      <c r="T14" s="2">
        <v>46188</v>
      </c>
      <c r="V14" s="1">
        <v>0.67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</row>
    <row r="15" spans="1:33" hidden="1" x14ac:dyDescent="0.25">
      <c r="A15" s="1">
        <v>140</v>
      </c>
      <c r="B15" s="1" t="s">
        <v>269</v>
      </c>
      <c r="C15" s="1" t="s">
        <v>268</v>
      </c>
      <c r="D15" s="1" t="s">
        <v>98</v>
      </c>
      <c r="E15" s="1" t="s">
        <v>53</v>
      </c>
      <c r="F15" s="10">
        <v>46205</v>
      </c>
      <c r="G15" s="10">
        <v>46205</v>
      </c>
      <c r="H15" s="11">
        <v>0</v>
      </c>
      <c r="J15" s="1">
        <v>139</v>
      </c>
      <c r="K15" s="1">
        <v>141</v>
      </c>
      <c r="L15" s="1" t="s">
        <v>35</v>
      </c>
      <c r="M15" s="1" t="s">
        <v>260</v>
      </c>
      <c r="N15" s="10">
        <v>46183</v>
      </c>
      <c r="P15" s="1" t="s">
        <v>155</v>
      </c>
      <c r="Q15" s="1" t="s">
        <v>178</v>
      </c>
      <c r="R15" s="1" t="s">
        <v>55</v>
      </c>
      <c r="S15" s="2">
        <v>46183</v>
      </c>
      <c r="T15" s="2">
        <v>46183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</row>
    <row r="16" spans="1:33" hidden="1" x14ac:dyDescent="0.25">
      <c r="A16" s="1">
        <v>141</v>
      </c>
      <c r="B16" s="1" t="s">
        <v>270</v>
      </c>
      <c r="C16" s="1" t="s">
        <v>268</v>
      </c>
      <c r="D16" s="1" t="s">
        <v>102</v>
      </c>
      <c r="E16" s="1" t="s">
        <v>121</v>
      </c>
      <c r="F16" s="10">
        <v>46206</v>
      </c>
      <c r="G16" s="10">
        <v>46209</v>
      </c>
      <c r="H16" s="11">
        <v>0</v>
      </c>
      <c r="J16" s="1">
        <v>140</v>
      </c>
      <c r="K16" s="1">
        <v>142</v>
      </c>
      <c r="L16" s="1" t="s">
        <v>35</v>
      </c>
      <c r="M16" s="1" t="s">
        <v>262</v>
      </c>
      <c r="N16" s="10">
        <v>46185</v>
      </c>
      <c r="P16" s="1" t="s">
        <v>155</v>
      </c>
      <c r="Q16" s="1" t="s">
        <v>178</v>
      </c>
      <c r="R16" s="1" t="s">
        <v>55</v>
      </c>
      <c r="S16" s="2">
        <v>46184</v>
      </c>
      <c r="T16" s="2">
        <v>46185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</v>
      </c>
      <c r="AE16" s="1">
        <v>0</v>
      </c>
      <c r="AF16" s="1">
        <v>0</v>
      </c>
      <c r="AG16" s="1">
        <v>0</v>
      </c>
    </row>
    <row r="17" spans="1:33" hidden="1" x14ac:dyDescent="0.25">
      <c r="A17" s="1">
        <v>142</v>
      </c>
      <c r="B17" s="1" t="s">
        <v>271</v>
      </c>
      <c r="C17" s="1" t="s">
        <v>268</v>
      </c>
      <c r="D17" s="1" t="s">
        <v>108</v>
      </c>
      <c r="E17" s="1" t="s">
        <v>53</v>
      </c>
      <c r="F17" s="10">
        <v>46210</v>
      </c>
      <c r="G17" s="10">
        <v>46210</v>
      </c>
      <c r="H17" s="11">
        <v>0</v>
      </c>
      <c r="J17" s="1">
        <v>141</v>
      </c>
      <c r="L17" s="1" t="s">
        <v>180</v>
      </c>
      <c r="M17" s="1" t="s">
        <v>264</v>
      </c>
      <c r="N17" s="10">
        <v>46188</v>
      </c>
      <c r="P17" s="1" t="s">
        <v>155</v>
      </c>
      <c r="Q17" s="1" t="s">
        <v>146</v>
      </c>
      <c r="R17" s="1" t="s">
        <v>55</v>
      </c>
      <c r="S17" s="2">
        <v>46188</v>
      </c>
      <c r="T17" s="2">
        <v>46188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 spans="1:33" hidden="1" x14ac:dyDescent="0.25">
      <c r="A18" s="1">
        <v>143</v>
      </c>
      <c r="B18" s="1" t="s">
        <v>272</v>
      </c>
      <c r="C18" s="1" t="s">
        <v>157</v>
      </c>
      <c r="D18" s="1" t="s">
        <v>273</v>
      </c>
      <c r="E18" s="1" t="s">
        <v>254</v>
      </c>
      <c r="F18" s="10">
        <v>46195</v>
      </c>
      <c r="G18" s="10">
        <v>46210</v>
      </c>
      <c r="H18" s="11">
        <v>0.67</v>
      </c>
      <c r="L18" s="1" t="s">
        <v>35</v>
      </c>
      <c r="M18" s="1" t="s">
        <v>255</v>
      </c>
      <c r="N18" s="10">
        <v>46188</v>
      </c>
      <c r="P18" s="1" t="s">
        <v>155</v>
      </c>
      <c r="Q18" s="1" t="s">
        <v>133</v>
      </c>
      <c r="R18" s="1" t="s">
        <v>55</v>
      </c>
      <c r="S18" s="2">
        <v>46171</v>
      </c>
      <c r="T18" s="2">
        <v>46188</v>
      </c>
      <c r="V18" s="1">
        <v>0.67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</row>
    <row r="19" spans="1:33" hidden="1" x14ac:dyDescent="0.25">
      <c r="A19" s="1">
        <v>145</v>
      </c>
      <c r="B19" s="1" t="s">
        <v>276</v>
      </c>
      <c r="C19" s="1" t="s">
        <v>275</v>
      </c>
      <c r="D19" s="1" t="s">
        <v>98</v>
      </c>
      <c r="E19" s="1" t="s">
        <v>53</v>
      </c>
      <c r="F19" s="10">
        <v>46205</v>
      </c>
      <c r="G19" s="10">
        <v>46205</v>
      </c>
      <c r="H19" s="11">
        <v>0</v>
      </c>
      <c r="J19" s="1">
        <v>144</v>
      </c>
      <c r="K19" s="1">
        <v>146</v>
      </c>
      <c r="L19" s="1" t="s">
        <v>35</v>
      </c>
      <c r="M19" s="1" t="s">
        <v>260</v>
      </c>
      <c r="N19" s="10">
        <v>46183</v>
      </c>
      <c r="P19" s="1" t="s">
        <v>155</v>
      </c>
      <c r="Q19" s="1" t="s">
        <v>178</v>
      </c>
      <c r="R19" s="1" t="s">
        <v>55</v>
      </c>
      <c r="S19" s="2">
        <v>46183</v>
      </c>
      <c r="T19" s="2">
        <v>46183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1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</row>
    <row r="20" spans="1:33" hidden="1" x14ac:dyDescent="0.25">
      <c r="A20" s="1">
        <v>146</v>
      </c>
      <c r="B20" s="1" t="s">
        <v>277</v>
      </c>
      <c r="C20" s="1" t="s">
        <v>275</v>
      </c>
      <c r="D20" s="1" t="s">
        <v>102</v>
      </c>
      <c r="E20" s="1" t="s">
        <v>121</v>
      </c>
      <c r="F20" s="10">
        <v>46206</v>
      </c>
      <c r="G20" s="10">
        <v>46209</v>
      </c>
      <c r="H20" s="11">
        <v>0</v>
      </c>
      <c r="J20" s="1">
        <v>145</v>
      </c>
      <c r="K20" s="1">
        <v>147</v>
      </c>
      <c r="L20" s="1" t="s">
        <v>35</v>
      </c>
      <c r="M20" s="1" t="s">
        <v>262</v>
      </c>
      <c r="N20" s="10">
        <v>46185</v>
      </c>
      <c r="P20" s="1" t="s">
        <v>155</v>
      </c>
      <c r="Q20" s="1" t="s">
        <v>178</v>
      </c>
      <c r="R20" s="1" t="s">
        <v>55</v>
      </c>
      <c r="S20" s="2">
        <v>46184</v>
      </c>
      <c r="T20" s="2">
        <v>46185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</v>
      </c>
      <c r="AE20" s="1">
        <v>0</v>
      </c>
      <c r="AF20" s="1">
        <v>0</v>
      </c>
      <c r="AG20" s="1">
        <v>0</v>
      </c>
    </row>
    <row r="21" spans="1:33" hidden="1" x14ac:dyDescent="0.25">
      <c r="A21" s="1">
        <v>147</v>
      </c>
      <c r="B21" s="1" t="s">
        <v>278</v>
      </c>
      <c r="C21" s="1" t="s">
        <v>275</v>
      </c>
      <c r="D21" s="1" t="s">
        <v>108</v>
      </c>
      <c r="E21" s="1" t="s">
        <v>53</v>
      </c>
      <c r="F21" s="10">
        <v>46210</v>
      </c>
      <c r="G21" s="10">
        <v>46210</v>
      </c>
      <c r="H21" s="11">
        <v>0</v>
      </c>
      <c r="J21" s="1">
        <v>146</v>
      </c>
      <c r="L21" s="1" t="s">
        <v>180</v>
      </c>
      <c r="M21" s="1" t="s">
        <v>264</v>
      </c>
      <c r="N21" s="10">
        <v>46188</v>
      </c>
      <c r="P21" s="1" t="s">
        <v>155</v>
      </c>
      <c r="Q21" s="1" t="s">
        <v>146</v>
      </c>
      <c r="R21" s="1" t="s">
        <v>55</v>
      </c>
      <c r="S21" s="2">
        <v>46188</v>
      </c>
      <c r="T21" s="2">
        <v>46188</v>
      </c>
      <c r="V21" s="1">
        <v>0</v>
      </c>
      <c r="W21" s="1">
        <v>0</v>
      </c>
      <c r="X21" s="1">
        <v>0</v>
      </c>
      <c r="Y21" s="1">
        <v>0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</row>
    <row r="22" spans="1:33" hidden="1" x14ac:dyDescent="0.25">
      <c r="A22" s="1">
        <v>148</v>
      </c>
      <c r="B22" s="1" t="s">
        <v>279</v>
      </c>
      <c r="C22" s="1" t="s">
        <v>157</v>
      </c>
      <c r="D22" s="1" t="s">
        <v>280</v>
      </c>
      <c r="E22" s="1" t="s">
        <v>254</v>
      </c>
      <c r="F22" s="10">
        <v>46195</v>
      </c>
      <c r="G22" s="10">
        <v>46210</v>
      </c>
      <c r="H22" s="11">
        <v>0.67</v>
      </c>
      <c r="L22" s="1" t="s">
        <v>35</v>
      </c>
      <c r="M22" s="1" t="s">
        <v>255</v>
      </c>
      <c r="N22" s="10">
        <v>46188</v>
      </c>
      <c r="P22" s="1" t="s">
        <v>155</v>
      </c>
      <c r="Q22" s="1" t="s">
        <v>133</v>
      </c>
      <c r="R22" s="1" t="s">
        <v>55</v>
      </c>
      <c r="S22" s="2">
        <v>46171</v>
      </c>
      <c r="T22" s="2">
        <v>46188</v>
      </c>
      <c r="V22" s="1">
        <v>0.67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hidden="1" x14ac:dyDescent="0.25">
      <c r="A23" s="1">
        <v>150</v>
      </c>
      <c r="B23" s="1" t="s">
        <v>283</v>
      </c>
      <c r="C23" s="1" t="s">
        <v>282</v>
      </c>
      <c r="D23" s="1" t="s">
        <v>98</v>
      </c>
      <c r="E23" s="1" t="s">
        <v>53</v>
      </c>
      <c r="F23" s="10">
        <v>46205</v>
      </c>
      <c r="G23" s="10">
        <v>46205</v>
      </c>
      <c r="H23" s="11">
        <v>0</v>
      </c>
      <c r="J23" s="1">
        <v>149</v>
      </c>
      <c r="K23" s="1">
        <v>151</v>
      </c>
      <c r="L23" s="1" t="s">
        <v>35</v>
      </c>
      <c r="M23" s="1" t="s">
        <v>260</v>
      </c>
      <c r="N23" s="10">
        <v>46183</v>
      </c>
      <c r="P23" s="1" t="s">
        <v>155</v>
      </c>
      <c r="Q23" s="1" t="s">
        <v>178</v>
      </c>
      <c r="R23" s="1" t="s">
        <v>55</v>
      </c>
      <c r="S23" s="2">
        <v>46183</v>
      </c>
      <c r="T23" s="2">
        <v>46183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hidden="1" x14ac:dyDescent="0.25">
      <c r="A24" s="1">
        <v>151</v>
      </c>
      <c r="B24" s="1" t="s">
        <v>284</v>
      </c>
      <c r="C24" s="1" t="s">
        <v>282</v>
      </c>
      <c r="D24" s="1" t="s">
        <v>102</v>
      </c>
      <c r="E24" s="1" t="s">
        <v>121</v>
      </c>
      <c r="F24" s="10">
        <v>46206</v>
      </c>
      <c r="G24" s="10">
        <v>46209</v>
      </c>
      <c r="H24" s="11">
        <v>0</v>
      </c>
      <c r="J24" s="1">
        <v>150</v>
      </c>
      <c r="K24" s="1">
        <v>152</v>
      </c>
      <c r="L24" s="1" t="s">
        <v>35</v>
      </c>
      <c r="M24" s="1" t="s">
        <v>262</v>
      </c>
      <c r="N24" s="10">
        <v>46185</v>
      </c>
      <c r="P24" s="1" t="s">
        <v>155</v>
      </c>
      <c r="Q24" s="1" t="s">
        <v>178</v>
      </c>
      <c r="R24" s="1" t="s">
        <v>55</v>
      </c>
      <c r="S24" s="2">
        <v>46184</v>
      </c>
      <c r="T24" s="2">
        <v>46185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0</v>
      </c>
      <c r="AF24" s="1">
        <v>0</v>
      </c>
      <c r="AG24" s="1">
        <v>0</v>
      </c>
    </row>
    <row r="25" spans="1:33" hidden="1" x14ac:dyDescent="0.25">
      <c r="A25" s="1">
        <v>152</v>
      </c>
      <c r="B25" s="1" t="s">
        <v>285</v>
      </c>
      <c r="C25" s="1" t="s">
        <v>282</v>
      </c>
      <c r="D25" s="1" t="s">
        <v>108</v>
      </c>
      <c r="E25" s="1" t="s">
        <v>53</v>
      </c>
      <c r="F25" s="10">
        <v>46210</v>
      </c>
      <c r="G25" s="10">
        <v>46210</v>
      </c>
      <c r="H25" s="11">
        <v>0</v>
      </c>
      <c r="J25" s="1">
        <v>151</v>
      </c>
      <c r="L25" s="1" t="s">
        <v>180</v>
      </c>
      <c r="M25" s="1" t="s">
        <v>264</v>
      </c>
      <c r="N25" s="10">
        <v>46188</v>
      </c>
      <c r="P25" s="1" t="s">
        <v>155</v>
      </c>
      <c r="Q25" s="1" t="s">
        <v>146</v>
      </c>
      <c r="R25" s="1" t="s">
        <v>55</v>
      </c>
      <c r="S25" s="2">
        <v>46188</v>
      </c>
      <c r="T25" s="2">
        <v>46188</v>
      </c>
      <c r="V25" s="1">
        <v>0</v>
      </c>
      <c r="W25" s="1">
        <v>0</v>
      </c>
      <c r="X25" s="1">
        <v>0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hidden="1" x14ac:dyDescent="0.25">
      <c r="A26" s="1">
        <v>153</v>
      </c>
      <c r="B26" s="1" t="s">
        <v>286</v>
      </c>
      <c r="C26" s="1" t="s">
        <v>157</v>
      </c>
      <c r="D26" s="1" t="s">
        <v>287</v>
      </c>
      <c r="E26" s="1" t="s">
        <v>254</v>
      </c>
      <c r="F26" s="10">
        <v>46195</v>
      </c>
      <c r="G26" s="10">
        <v>46210</v>
      </c>
      <c r="H26" s="11">
        <v>0.67</v>
      </c>
      <c r="L26" s="1" t="s">
        <v>35</v>
      </c>
      <c r="M26" s="1" t="s">
        <v>255</v>
      </c>
      <c r="N26" s="10">
        <v>46188</v>
      </c>
      <c r="P26" s="1" t="s">
        <v>155</v>
      </c>
      <c r="Q26" s="1" t="s">
        <v>133</v>
      </c>
      <c r="R26" s="1" t="s">
        <v>55</v>
      </c>
      <c r="S26" s="2">
        <v>46171</v>
      </c>
      <c r="T26" s="2">
        <v>46188</v>
      </c>
      <c r="U26" s="1" t="s">
        <v>288</v>
      </c>
      <c r="V26" s="1">
        <v>0.67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</row>
    <row r="27" spans="1:33" hidden="1" x14ac:dyDescent="0.25">
      <c r="A27" s="1">
        <v>155</v>
      </c>
      <c r="B27" s="1" t="s">
        <v>291</v>
      </c>
      <c r="C27" s="1" t="s">
        <v>290</v>
      </c>
      <c r="D27" s="1" t="s">
        <v>98</v>
      </c>
      <c r="E27" s="1" t="s">
        <v>53</v>
      </c>
      <c r="F27" s="10">
        <v>46205</v>
      </c>
      <c r="G27" s="10">
        <v>46205</v>
      </c>
      <c r="H27" s="11">
        <v>0</v>
      </c>
      <c r="J27" s="1">
        <v>154</v>
      </c>
      <c r="K27" s="1">
        <v>156</v>
      </c>
      <c r="L27" s="1" t="s">
        <v>35</v>
      </c>
      <c r="M27" s="1" t="s">
        <v>292</v>
      </c>
      <c r="N27" s="10">
        <v>46205</v>
      </c>
      <c r="P27" s="1" t="s">
        <v>155</v>
      </c>
      <c r="Q27" s="1" t="s">
        <v>178</v>
      </c>
      <c r="R27" s="1" t="s">
        <v>55</v>
      </c>
      <c r="S27" s="2">
        <v>46205</v>
      </c>
      <c r="T27" s="2">
        <v>46205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hidden="1" x14ac:dyDescent="0.25">
      <c r="A28" s="1">
        <v>156</v>
      </c>
      <c r="B28" s="1" t="s">
        <v>293</v>
      </c>
      <c r="C28" s="1" t="s">
        <v>290</v>
      </c>
      <c r="D28" s="1" t="s">
        <v>102</v>
      </c>
      <c r="E28" s="1" t="s">
        <v>121</v>
      </c>
      <c r="F28" s="10">
        <v>46206</v>
      </c>
      <c r="G28" s="10">
        <v>46209</v>
      </c>
      <c r="H28" s="11">
        <v>0</v>
      </c>
      <c r="J28" s="1">
        <v>155</v>
      </c>
      <c r="K28" s="1">
        <v>157</v>
      </c>
      <c r="L28" s="1" t="s">
        <v>35</v>
      </c>
      <c r="M28" s="1" t="s">
        <v>191</v>
      </c>
      <c r="N28" s="10">
        <v>46209</v>
      </c>
      <c r="P28" s="1" t="s">
        <v>155</v>
      </c>
      <c r="Q28" s="1" t="s">
        <v>178</v>
      </c>
      <c r="R28" s="1" t="s">
        <v>55</v>
      </c>
      <c r="S28" s="2">
        <v>46206</v>
      </c>
      <c r="T28" s="2">
        <v>46209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</row>
    <row r="29" spans="1:33" hidden="1" x14ac:dyDescent="0.25">
      <c r="A29" s="1">
        <v>157</v>
      </c>
      <c r="B29" s="1" t="s">
        <v>294</v>
      </c>
      <c r="C29" s="1" t="s">
        <v>290</v>
      </c>
      <c r="D29" s="1" t="s">
        <v>108</v>
      </c>
      <c r="E29" s="1" t="s">
        <v>53</v>
      </c>
      <c r="F29" s="10">
        <v>46210</v>
      </c>
      <c r="G29" s="10">
        <v>46210</v>
      </c>
      <c r="H29" s="11">
        <v>0</v>
      </c>
      <c r="J29" s="1">
        <v>156</v>
      </c>
      <c r="L29" s="1" t="s">
        <v>180</v>
      </c>
      <c r="M29" s="1" t="s">
        <v>295</v>
      </c>
      <c r="N29" s="10">
        <v>46210</v>
      </c>
      <c r="P29" s="1" t="s">
        <v>155</v>
      </c>
      <c r="Q29" s="1" t="s">
        <v>146</v>
      </c>
      <c r="R29" s="1" t="s">
        <v>55</v>
      </c>
      <c r="S29" s="2">
        <v>46210</v>
      </c>
      <c r="T29" s="2">
        <v>46210</v>
      </c>
      <c r="V29" s="1">
        <v>0</v>
      </c>
      <c r="W29" s="1">
        <v>0</v>
      </c>
      <c r="X29" s="1">
        <v>0</v>
      </c>
      <c r="Y29" s="1">
        <v>0</v>
      </c>
      <c r="Z29" s="1">
        <v>1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hidden="1" x14ac:dyDescent="0.25">
      <c r="A30" s="1">
        <v>158</v>
      </c>
      <c r="B30" s="1" t="s">
        <v>296</v>
      </c>
      <c r="C30" s="1" t="s">
        <v>157</v>
      </c>
      <c r="D30" s="1" t="s">
        <v>297</v>
      </c>
      <c r="E30" s="1" t="s">
        <v>254</v>
      </c>
      <c r="F30" s="10">
        <v>46195</v>
      </c>
      <c r="G30" s="10">
        <v>46210</v>
      </c>
      <c r="H30" s="11">
        <v>0.67</v>
      </c>
      <c r="L30" s="1" t="s">
        <v>35</v>
      </c>
      <c r="M30" s="1" t="s">
        <v>255</v>
      </c>
      <c r="N30" s="10">
        <v>46188</v>
      </c>
      <c r="P30" s="1" t="s">
        <v>155</v>
      </c>
      <c r="Q30" s="1" t="s">
        <v>133</v>
      </c>
      <c r="R30" s="1" t="s">
        <v>55</v>
      </c>
      <c r="S30" s="2">
        <v>46171</v>
      </c>
      <c r="T30" s="2">
        <v>46188</v>
      </c>
      <c r="U30" s="1" t="s">
        <v>288</v>
      </c>
      <c r="V30" s="1">
        <v>0.67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hidden="1" x14ac:dyDescent="0.25">
      <c r="A31" s="1">
        <v>160</v>
      </c>
      <c r="B31" s="1" t="s">
        <v>300</v>
      </c>
      <c r="C31" s="1" t="s">
        <v>299</v>
      </c>
      <c r="D31" s="1" t="s">
        <v>98</v>
      </c>
      <c r="E31" s="1" t="s">
        <v>53</v>
      </c>
      <c r="F31" s="10">
        <v>46205</v>
      </c>
      <c r="G31" s="10">
        <v>46205</v>
      </c>
      <c r="H31" s="11">
        <v>0</v>
      </c>
      <c r="J31" s="1">
        <v>159</v>
      </c>
      <c r="K31" s="1">
        <v>161</v>
      </c>
      <c r="L31" s="1" t="s">
        <v>35</v>
      </c>
      <c r="M31" s="1" t="s">
        <v>292</v>
      </c>
      <c r="N31" s="10">
        <v>46205</v>
      </c>
      <c r="P31" s="1" t="s">
        <v>155</v>
      </c>
      <c r="Q31" s="1" t="s">
        <v>178</v>
      </c>
      <c r="R31" s="1" t="s">
        <v>55</v>
      </c>
      <c r="S31" s="2">
        <v>46205</v>
      </c>
      <c r="T31" s="2">
        <v>46205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1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</row>
    <row r="32" spans="1:33" hidden="1" x14ac:dyDescent="0.25">
      <c r="A32" s="1">
        <v>161</v>
      </c>
      <c r="B32" s="1" t="s">
        <v>301</v>
      </c>
      <c r="C32" s="1" t="s">
        <v>299</v>
      </c>
      <c r="D32" s="1" t="s">
        <v>102</v>
      </c>
      <c r="E32" s="1" t="s">
        <v>121</v>
      </c>
      <c r="F32" s="10">
        <v>46206</v>
      </c>
      <c r="G32" s="10">
        <v>46209</v>
      </c>
      <c r="H32" s="11">
        <v>0</v>
      </c>
      <c r="J32" s="1">
        <v>160</v>
      </c>
      <c r="K32" s="1">
        <v>162</v>
      </c>
      <c r="L32" s="1" t="s">
        <v>35</v>
      </c>
      <c r="M32" s="1" t="s">
        <v>191</v>
      </c>
      <c r="N32" s="10">
        <v>46209</v>
      </c>
      <c r="P32" s="1" t="s">
        <v>155</v>
      </c>
      <c r="Q32" s="1" t="s">
        <v>178</v>
      </c>
      <c r="R32" s="1" t="s">
        <v>55</v>
      </c>
      <c r="S32" s="2">
        <v>46206</v>
      </c>
      <c r="T32" s="2">
        <v>46209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</row>
    <row r="33" spans="1:33" hidden="1" x14ac:dyDescent="0.25">
      <c r="A33" s="1">
        <v>162</v>
      </c>
      <c r="B33" s="1" t="s">
        <v>302</v>
      </c>
      <c r="C33" s="1" t="s">
        <v>299</v>
      </c>
      <c r="D33" s="1" t="s">
        <v>108</v>
      </c>
      <c r="E33" s="1" t="s">
        <v>53</v>
      </c>
      <c r="F33" s="10">
        <v>46210</v>
      </c>
      <c r="G33" s="10">
        <v>46210</v>
      </c>
      <c r="H33" s="11">
        <v>0</v>
      </c>
      <c r="J33" s="1">
        <v>161</v>
      </c>
      <c r="L33" s="1" t="s">
        <v>180</v>
      </c>
      <c r="M33" s="1" t="s">
        <v>295</v>
      </c>
      <c r="N33" s="10">
        <v>46210</v>
      </c>
      <c r="P33" s="1" t="s">
        <v>155</v>
      </c>
      <c r="Q33" s="1" t="s">
        <v>146</v>
      </c>
      <c r="R33" s="1" t="s">
        <v>55</v>
      </c>
      <c r="S33" s="2">
        <v>46210</v>
      </c>
      <c r="T33" s="2">
        <v>46210</v>
      </c>
      <c r="V33" s="1">
        <v>0</v>
      </c>
      <c r="W33" s="1">
        <v>0</v>
      </c>
      <c r="X33" s="1">
        <v>0</v>
      </c>
      <c r="Y33" s="1">
        <v>0</v>
      </c>
      <c r="Z33" s="1">
        <v>1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hidden="1" x14ac:dyDescent="0.25">
      <c r="A34" s="1">
        <v>166</v>
      </c>
      <c r="B34" s="1" t="s">
        <v>312</v>
      </c>
      <c r="C34" s="1" t="s">
        <v>307</v>
      </c>
      <c r="D34" s="1" t="s">
        <v>102</v>
      </c>
      <c r="E34" s="1" t="s">
        <v>121</v>
      </c>
      <c r="F34" s="10">
        <v>46209</v>
      </c>
      <c r="G34" s="10">
        <v>46210</v>
      </c>
      <c r="H34" s="11">
        <v>0.5</v>
      </c>
      <c r="J34" s="1">
        <v>165</v>
      </c>
      <c r="K34" s="1">
        <v>167</v>
      </c>
      <c r="L34" s="1" t="s">
        <v>180</v>
      </c>
      <c r="M34" s="1" t="s">
        <v>264</v>
      </c>
      <c r="N34" s="10">
        <v>46189</v>
      </c>
      <c r="P34" s="1" t="s">
        <v>155</v>
      </c>
      <c r="Q34" s="1" t="s">
        <v>133</v>
      </c>
      <c r="R34" s="1" t="s">
        <v>55</v>
      </c>
      <c r="S34" s="2">
        <v>46188</v>
      </c>
      <c r="T34" s="2">
        <v>46189</v>
      </c>
      <c r="V34" s="1">
        <v>0.5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hidden="1" x14ac:dyDescent="0.25">
      <c r="A35" s="1">
        <v>168</v>
      </c>
      <c r="B35" s="1" t="s">
        <v>315</v>
      </c>
      <c r="C35" s="1" t="s">
        <v>157</v>
      </c>
      <c r="D35" s="1" t="s">
        <v>316</v>
      </c>
      <c r="E35" s="1" t="s">
        <v>159</v>
      </c>
      <c r="F35" s="10">
        <v>46176</v>
      </c>
      <c r="G35" s="10">
        <v>46197</v>
      </c>
      <c r="H35" s="11">
        <v>0.75</v>
      </c>
      <c r="L35" s="1" t="s">
        <v>35</v>
      </c>
      <c r="M35" s="1" t="s">
        <v>255</v>
      </c>
      <c r="N35" s="10">
        <v>46190</v>
      </c>
      <c r="P35" s="1" t="s">
        <v>155</v>
      </c>
      <c r="Q35" s="1" t="s">
        <v>169</v>
      </c>
      <c r="R35" s="1" t="s">
        <v>55</v>
      </c>
      <c r="S35" s="2">
        <v>46171</v>
      </c>
      <c r="T35" s="2">
        <v>46190</v>
      </c>
      <c r="U35" s="1" t="s">
        <v>288</v>
      </c>
      <c r="V35" s="1">
        <v>0.75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hidden="1" x14ac:dyDescent="0.25">
      <c r="A36" s="1">
        <v>170</v>
      </c>
      <c r="B36" s="1" t="s">
        <v>321</v>
      </c>
      <c r="C36" s="1" t="s">
        <v>318</v>
      </c>
      <c r="D36" s="1" t="s">
        <v>98</v>
      </c>
      <c r="E36" s="1" t="s">
        <v>53</v>
      </c>
      <c r="F36" s="10">
        <v>46190</v>
      </c>
      <c r="G36" s="10">
        <v>46192</v>
      </c>
      <c r="H36" s="11">
        <v>0.5</v>
      </c>
      <c r="J36" s="1">
        <v>169</v>
      </c>
      <c r="K36" s="1">
        <v>171</v>
      </c>
      <c r="L36" s="1" t="s">
        <v>35</v>
      </c>
      <c r="M36" s="1" t="s">
        <v>314</v>
      </c>
      <c r="N36" s="10">
        <v>46190</v>
      </c>
      <c r="P36" s="1" t="s">
        <v>155</v>
      </c>
      <c r="Q36" s="1" t="s">
        <v>133</v>
      </c>
      <c r="R36" s="1" t="s">
        <v>55</v>
      </c>
      <c r="S36" s="2">
        <v>46190</v>
      </c>
      <c r="T36" s="2">
        <v>46190</v>
      </c>
      <c r="V36" s="1">
        <v>0.5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</row>
    <row r="37" spans="1:33" hidden="1" x14ac:dyDescent="0.25">
      <c r="A37" s="1">
        <v>171</v>
      </c>
      <c r="B37" s="1" t="s">
        <v>322</v>
      </c>
      <c r="C37" s="1" t="s">
        <v>318</v>
      </c>
      <c r="D37" s="1" t="s">
        <v>102</v>
      </c>
      <c r="E37" s="1" t="s">
        <v>121</v>
      </c>
      <c r="F37" s="10">
        <v>46195</v>
      </c>
      <c r="G37" s="10">
        <v>46196</v>
      </c>
      <c r="H37" s="11">
        <v>0</v>
      </c>
      <c r="J37" s="1">
        <v>170</v>
      </c>
      <c r="K37" s="1">
        <v>172</v>
      </c>
      <c r="L37" s="1" t="s">
        <v>35</v>
      </c>
      <c r="M37" s="1" t="s">
        <v>323</v>
      </c>
      <c r="N37" s="10">
        <v>46192</v>
      </c>
      <c r="P37" s="1" t="s">
        <v>155</v>
      </c>
      <c r="Q37" s="1" t="s">
        <v>133</v>
      </c>
      <c r="R37" s="1" t="s">
        <v>55</v>
      </c>
      <c r="S37" s="2">
        <v>46191</v>
      </c>
      <c r="T37" s="2">
        <v>46192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1</v>
      </c>
      <c r="AE37" s="1">
        <v>0</v>
      </c>
      <c r="AF37" s="1">
        <v>0</v>
      </c>
      <c r="AG37" s="1">
        <v>0</v>
      </c>
    </row>
    <row r="38" spans="1:33" hidden="1" x14ac:dyDescent="0.25">
      <c r="A38" s="1">
        <v>172</v>
      </c>
      <c r="B38" s="1" t="s">
        <v>324</v>
      </c>
      <c r="C38" s="1" t="s">
        <v>318</v>
      </c>
      <c r="D38" s="1" t="s">
        <v>108</v>
      </c>
      <c r="E38" s="1" t="s">
        <v>53</v>
      </c>
      <c r="F38" s="10">
        <v>46197</v>
      </c>
      <c r="G38" s="10">
        <v>46197</v>
      </c>
      <c r="H38" s="11">
        <v>0</v>
      </c>
      <c r="J38" s="1">
        <v>171</v>
      </c>
      <c r="L38" s="1" t="s">
        <v>35</v>
      </c>
      <c r="M38" s="1" t="s">
        <v>187</v>
      </c>
      <c r="N38" s="10">
        <v>46195</v>
      </c>
      <c r="P38" s="1" t="s">
        <v>155</v>
      </c>
      <c r="Q38" s="1" t="s">
        <v>178</v>
      </c>
      <c r="R38" s="1" t="s">
        <v>55</v>
      </c>
      <c r="S38" s="2">
        <v>46195</v>
      </c>
      <c r="T38" s="2">
        <v>46195</v>
      </c>
      <c r="V38" s="1">
        <v>0</v>
      </c>
      <c r="W38" s="1">
        <v>0</v>
      </c>
      <c r="X38" s="1">
        <v>0</v>
      </c>
      <c r="Y38" s="1">
        <v>0</v>
      </c>
      <c r="Z38" s="1">
        <v>1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</v>
      </c>
      <c r="AG38" s="1">
        <v>0</v>
      </c>
    </row>
    <row r="39" spans="1:33" hidden="1" x14ac:dyDescent="0.25">
      <c r="A39" s="1">
        <v>176</v>
      </c>
      <c r="B39" s="1" t="s">
        <v>331</v>
      </c>
      <c r="C39" s="1" t="s">
        <v>328</v>
      </c>
      <c r="D39" s="1" t="s">
        <v>102</v>
      </c>
      <c r="E39" s="1" t="s">
        <v>121</v>
      </c>
      <c r="F39" s="10">
        <v>46209</v>
      </c>
      <c r="G39" s="10">
        <v>46210</v>
      </c>
      <c r="H39" s="11">
        <v>0.5</v>
      </c>
      <c r="J39" s="1">
        <v>175</v>
      </c>
      <c r="K39" s="1">
        <v>177</v>
      </c>
      <c r="L39" s="1" t="s">
        <v>180</v>
      </c>
      <c r="M39" s="1" t="s">
        <v>323</v>
      </c>
      <c r="N39" s="10">
        <v>46192</v>
      </c>
      <c r="P39" s="1" t="s">
        <v>155</v>
      </c>
      <c r="Q39" s="1" t="s">
        <v>133</v>
      </c>
      <c r="R39" s="1" t="s">
        <v>55</v>
      </c>
      <c r="S39" s="2">
        <v>46191</v>
      </c>
      <c r="T39" s="2">
        <v>46192</v>
      </c>
      <c r="V39" s="1">
        <v>0.5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hidden="1" x14ac:dyDescent="0.25">
      <c r="A40" s="1">
        <v>178</v>
      </c>
      <c r="B40" s="1" t="s">
        <v>333</v>
      </c>
      <c r="C40" s="1" t="s">
        <v>157</v>
      </c>
      <c r="D40" s="1" t="s">
        <v>334</v>
      </c>
      <c r="E40" s="1" t="s">
        <v>159</v>
      </c>
      <c r="F40" s="10">
        <v>46176</v>
      </c>
      <c r="G40" s="10">
        <v>46197</v>
      </c>
      <c r="H40" s="11">
        <v>0.75</v>
      </c>
      <c r="L40" s="1" t="s">
        <v>35</v>
      </c>
      <c r="M40" s="1" t="s">
        <v>255</v>
      </c>
      <c r="N40" s="10">
        <v>46190</v>
      </c>
      <c r="P40" s="1" t="s">
        <v>155</v>
      </c>
      <c r="Q40" s="1" t="s">
        <v>169</v>
      </c>
      <c r="R40" s="1" t="s">
        <v>55</v>
      </c>
      <c r="S40" s="2">
        <v>46171</v>
      </c>
      <c r="T40" s="2">
        <v>46190</v>
      </c>
      <c r="U40" s="1" t="s">
        <v>288</v>
      </c>
      <c r="V40" s="1">
        <v>0.75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hidden="1" x14ac:dyDescent="0.25">
      <c r="A41" s="1">
        <v>180</v>
      </c>
      <c r="B41" s="1" t="s">
        <v>338</v>
      </c>
      <c r="C41" s="1" t="s">
        <v>336</v>
      </c>
      <c r="D41" s="1" t="s">
        <v>98</v>
      </c>
      <c r="E41" s="1" t="s">
        <v>53</v>
      </c>
      <c r="F41" s="10">
        <v>46190</v>
      </c>
      <c r="G41" s="10">
        <v>46192</v>
      </c>
      <c r="H41" s="11">
        <v>0.5</v>
      </c>
      <c r="J41" s="1">
        <v>179</v>
      </c>
      <c r="K41" s="1">
        <v>181</v>
      </c>
      <c r="L41" s="1" t="s">
        <v>35</v>
      </c>
      <c r="M41" s="1" t="s">
        <v>314</v>
      </c>
      <c r="N41" s="10">
        <v>46190</v>
      </c>
      <c r="P41" s="1" t="s">
        <v>155</v>
      </c>
      <c r="Q41" s="1" t="s">
        <v>133</v>
      </c>
      <c r="R41" s="1" t="s">
        <v>55</v>
      </c>
      <c r="S41" s="2">
        <v>46190</v>
      </c>
      <c r="T41" s="2">
        <v>46190</v>
      </c>
      <c r="V41" s="1">
        <v>0.5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hidden="1" x14ac:dyDescent="0.25">
      <c r="A42" s="1">
        <v>181</v>
      </c>
      <c r="B42" s="1" t="s">
        <v>339</v>
      </c>
      <c r="C42" s="1" t="s">
        <v>336</v>
      </c>
      <c r="D42" s="1" t="s">
        <v>102</v>
      </c>
      <c r="E42" s="1" t="s">
        <v>121</v>
      </c>
      <c r="F42" s="10">
        <v>46195</v>
      </c>
      <c r="G42" s="10">
        <v>46196</v>
      </c>
      <c r="H42" s="11">
        <v>0</v>
      </c>
      <c r="J42" s="1">
        <v>180</v>
      </c>
      <c r="K42" s="1">
        <v>182</v>
      </c>
      <c r="L42" s="1" t="s">
        <v>35</v>
      </c>
      <c r="M42" s="1" t="s">
        <v>323</v>
      </c>
      <c r="N42" s="10">
        <v>46192</v>
      </c>
      <c r="P42" s="1" t="s">
        <v>155</v>
      </c>
      <c r="Q42" s="1" t="s">
        <v>133</v>
      </c>
      <c r="R42" s="1" t="s">
        <v>55</v>
      </c>
      <c r="S42" s="2">
        <v>46191</v>
      </c>
      <c r="T42" s="2">
        <v>46192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1</v>
      </c>
      <c r="AE42" s="1">
        <v>0</v>
      </c>
      <c r="AF42" s="1">
        <v>0</v>
      </c>
      <c r="AG42" s="1">
        <v>0</v>
      </c>
    </row>
    <row r="43" spans="1:33" hidden="1" x14ac:dyDescent="0.25">
      <c r="A43" s="1">
        <v>182</v>
      </c>
      <c r="B43" s="1" t="s">
        <v>340</v>
      </c>
      <c r="C43" s="1" t="s">
        <v>336</v>
      </c>
      <c r="D43" s="1" t="s">
        <v>108</v>
      </c>
      <c r="E43" s="1" t="s">
        <v>53</v>
      </c>
      <c r="F43" s="10">
        <v>46197</v>
      </c>
      <c r="G43" s="10">
        <v>46197</v>
      </c>
      <c r="H43" s="11">
        <v>0</v>
      </c>
      <c r="J43" s="1">
        <v>181</v>
      </c>
      <c r="L43" s="1" t="s">
        <v>35</v>
      </c>
      <c r="M43" s="1" t="s">
        <v>187</v>
      </c>
      <c r="N43" s="10">
        <v>46195</v>
      </c>
      <c r="P43" s="1" t="s">
        <v>155</v>
      </c>
      <c r="Q43" s="1" t="s">
        <v>178</v>
      </c>
      <c r="R43" s="1" t="s">
        <v>55</v>
      </c>
      <c r="S43" s="2">
        <v>46195</v>
      </c>
      <c r="T43" s="2">
        <v>46195</v>
      </c>
      <c r="V43" s="1">
        <v>0</v>
      </c>
      <c r="W43" s="1">
        <v>0</v>
      </c>
      <c r="X43" s="1">
        <v>0</v>
      </c>
      <c r="Y43" s="1">
        <v>0</v>
      </c>
      <c r="Z43" s="1">
        <v>1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</row>
    <row r="44" spans="1:33" hidden="1" x14ac:dyDescent="0.25">
      <c r="A44" s="1">
        <v>183</v>
      </c>
      <c r="B44" s="1" t="s">
        <v>341</v>
      </c>
      <c r="C44" s="1" t="s">
        <v>157</v>
      </c>
      <c r="D44" s="1" t="s">
        <v>342</v>
      </c>
      <c r="E44" s="1" t="s">
        <v>159</v>
      </c>
      <c r="F44" s="10">
        <v>46157</v>
      </c>
      <c r="G44" s="10">
        <v>46176</v>
      </c>
      <c r="H44" s="11">
        <v>0.92</v>
      </c>
      <c r="L44" s="1" t="s">
        <v>35</v>
      </c>
      <c r="M44" s="1" t="s">
        <v>44</v>
      </c>
      <c r="N44" s="10">
        <v>46175</v>
      </c>
      <c r="P44" s="1" t="s">
        <v>155</v>
      </c>
      <c r="Q44" s="1" t="s">
        <v>125</v>
      </c>
      <c r="R44" s="1" t="s">
        <v>55</v>
      </c>
      <c r="S44" s="2">
        <v>46161</v>
      </c>
      <c r="T44" s="2">
        <v>46175</v>
      </c>
      <c r="V44" s="1">
        <v>0.92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hidden="1" x14ac:dyDescent="0.25">
      <c r="A45" s="1">
        <v>186</v>
      </c>
      <c r="B45" s="1" t="s">
        <v>350</v>
      </c>
      <c r="C45" s="1" t="s">
        <v>344</v>
      </c>
      <c r="D45" s="1" t="s">
        <v>102</v>
      </c>
      <c r="E45" s="1" t="s">
        <v>121</v>
      </c>
      <c r="F45" s="10">
        <v>46174</v>
      </c>
      <c r="G45" s="10">
        <v>46175</v>
      </c>
      <c r="H45" s="11">
        <v>0.75</v>
      </c>
      <c r="J45" s="1">
        <v>185</v>
      </c>
      <c r="K45" s="1" t="s">
        <v>351</v>
      </c>
      <c r="L45" s="1" t="s">
        <v>35</v>
      </c>
      <c r="M45" s="1" t="s">
        <v>320</v>
      </c>
      <c r="N45" s="10">
        <v>46175</v>
      </c>
      <c r="P45" s="1" t="s">
        <v>155</v>
      </c>
      <c r="Q45" s="1" t="s">
        <v>169</v>
      </c>
      <c r="R45" s="1" t="s">
        <v>55</v>
      </c>
      <c r="S45" s="2">
        <v>46174</v>
      </c>
      <c r="T45" s="2">
        <v>46175</v>
      </c>
      <c r="V45" s="1">
        <v>0.75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1</v>
      </c>
      <c r="AE45" s="1">
        <v>0</v>
      </c>
      <c r="AF45" s="1">
        <v>0</v>
      </c>
      <c r="AG45" s="1">
        <v>0</v>
      </c>
    </row>
    <row r="46" spans="1:33" hidden="1" x14ac:dyDescent="0.25">
      <c r="A46" s="1">
        <v>187</v>
      </c>
      <c r="B46" s="1" t="s">
        <v>352</v>
      </c>
      <c r="C46" s="1" t="s">
        <v>344</v>
      </c>
      <c r="D46" s="1" t="s">
        <v>108</v>
      </c>
      <c r="E46" s="1" t="s">
        <v>53</v>
      </c>
      <c r="F46" s="10">
        <v>46176</v>
      </c>
      <c r="G46" s="10">
        <v>46176</v>
      </c>
      <c r="H46" s="11">
        <v>0.5</v>
      </c>
      <c r="J46" s="1">
        <v>186</v>
      </c>
      <c r="L46" s="1" t="s">
        <v>35</v>
      </c>
      <c r="M46" s="1" t="s">
        <v>181</v>
      </c>
      <c r="N46" s="10">
        <v>46176</v>
      </c>
      <c r="P46" s="1" t="s">
        <v>155</v>
      </c>
      <c r="Q46" s="1" t="s">
        <v>169</v>
      </c>
      <c r="R46" s="1" t="s">
        <v>55</v>
      </c>
      <c r="S46" s="2">
        <v>46176</v>
      </c>
      <c r="T46" s="2">
        <v>46176</v>
      </c>
      <c r="V46" s="1">
        <v>0.5</v>
      </c>
      <c r="W46" s="1">
        <v>0</v>
      </c>
      <c r="X46" s="1">
        <v>0</v>
      </c>
      <c r="Y46" s="1">
        <v>0</v>
      </c>
      <c r="Z46" s="1">
        <v>1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</row>
    <row r="47" spans="1:33" hidden="1" x14ac:dyDescent="0.25">
      <c r="A47" s="1">
        <v>188</v>
      </c>
      <c r="B47" s="1" t="s">
        <v>353</v>
      </c>
      <c r="C47" s="1" t="s">
        <v>157</v>
      </c>
      <c r="D47" s="1" t="s">
        <v>354</v>
      </c>
      <c r="E47" s="1" t="s">
        <v>172</v>
      </c>
      <c r="F47" s="10">
        <v>46192</v>
      </c>
      <c r="G47" s="10">
        <v>46202</v>
      </c>
      <c r="H47" s="11">
        <v>0</v>
      </c>
      <c r="L47" s="1" t="s">
        <v>35</v>
      </c>
      <c r="M47" s="1" t="s">
        <v>311</v>
      </c>
      <c r="N47" s="10">
        <v>46195</v>
      </c>
      <c r="P47" s="1" t="s">
        <v>155</v>
      </c>
      <c r="Q47" s="1" t="s">
        <v>133</v>
      </c>
      <c r="R47" s="1" t="s">
        <v>55</v>
      </c>
      <c r="S47" s="2">
        <v>46185</v>
      </c>
      <c r="T47" s="2">
        <v>46195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25">
      <c r="A48" s="1">
        <v>189</v>
      </c>
      <c r="B48" s="1" t="s">
        <v>355</v>
      </c>
      <c r="C48" s="1" t="s">
        <v>356</v>
      </c>
      <c r="D48" s="1" t="s">
        <v>94</v>
      </c>
      <c r="E48" s="1" t="s">
        <v>95</v>
      </c>
      <c r="F48" s="10">
        <v>46192</v>
      </c>
      <c r="G48" s="10">
        <v>46196</v>
      </c>
      <c r="H48" s="11">
        <v>0</v>
      </c>
      <c r="J48" s="1" t="s">
        <v>357</v>
      </c>
      <c r="K48" s="1">
        <v>190</v>
      </c>
      <c r="L48" s="1" t="s">
        <v>35</v>
      </c>
      <c r="M48" s="1" t="s">
        <v>311</v>
      </c>
      <c r="N48" s="10">
        <v>46189</v>
      </c>
      <c r="P48" s="1" t="s">
        <v>155</v>
      </c>
      <c r="Q48" s="1" t="s">
        <v>133</v>
      </c>
      <c r="R48" s="1" t="s">
        <v>55</v>
      </c>
      <c r="S48" s="2">
        <v>46185</v>
      </c>
      <c r="T48" s="2">
        <v>46189</v>
      </c>
      <c r="V48" s="1">
        <v>0</v>
      </c>
      <c r="W48" s="1">
        <v>1</v>
      </c>
      <c r="X48" s="1">
        <v>0</v>
      </c>
      <c r="Y48" s="1">
        <v>1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hidden="1" x14ac:dyDescent="0.25">
      <c r="A49" s="1">
        <v>190</v>
      </c>
      <c r="B49" s="1" t="s">
        <v>358</v>
      </c>
      <c r="C49" s="1" t="s">
        <v>356</v>
      </c>
      <c r="D49" s="1" t="s">
        <v>98</v>
      </c>
      <c r="E49" s="1" t="s">
        <v>53</v>
      </c>
      <c r="F49" s="10">
        <v>46197</v>
      </c>
      <c r="G49" s="10">
        <v>46197</v>
      </c>
      <c r="H49" s="11">
        <v>0</v>
      </c>
      <c r="J49" s="1">
        <v>189</v>
      </c>
      <c r="K49" s="1">
        <v>191</v>
      </c>
      <c r="L49" s="1" t="s">
        <v>35</v>
      </c>
      <c r="M49" s="1" t="s">
        <v>314</v>
      </c>
      <c r="N49" s="10">
        <v>46190</v>
      </c>
      <c r="P49" s="1" t="s">
        <v>155</v>
      </c>
      <c r="Q49" s="1" t="s">
        <v>178</v>
      </c>
      <c r="R49" s="1" t="s">
        <v>55</v>
      </c>
      <c r="S49" s="2">
        <v>46190</v>
      </c>
      <c r="T49" s="2">
        <v>46190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1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hidden="1" x14ac:dyDescent="0.25">
      <c r="A50" s="1">
        <v>191</v>
      </c>
      <c r="B50" s="1" t="s">
        <v>359</v>
      </c>
      <c r="C50" s="1" t="s">
        <v>356</v>
      </c>
      <c r="D50" s="1" t="s">
        <v>102</v>
      </c>
      <c r="E50" s="1" t="s">
        <v>121</v>
      </c>
      <c r="F50" s="10">
        <v>46198</v>
      </c>
      <c r="G50" s="10">
        <v>46199</v>
      </c>
      <c r="H50" s="11">
        <v>0</v>
      </c>
      <c r="J50" s="1">
        <v>190</v>
      </c>
      <c r="K50" s="1">
        <v>192</v>
      </c>
      <c r="L50" s="1" t="s">
        <v>35</v>
      </c>
      <c r="M50" s="1" t="s">
        <v>323</v>
      </c>
      <c r="N50" s="10">
        <v>46192</v>
      </c>
      <c r="P50" s="1" t="s">
        <v>155</v>
      </c>
      <c r="Q50" s="1" t="s">
        <v>178</v>
      </c>
      <c r="R50" s="1" t="s">
        <v>55</v>
      </c>
      <c r="S50" s="2">
        <v>46191</v>
      </c>
      <c r="T50" s="2">
        <v>46192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0</v>
      </c>
    </row>
    <row r="51" spans="1:33" hidden="1" x14ac:dyDescent="0.25">
      <c r="A51" s="1">
        <v>192</v>
      </c>
      <c r="B51" s="1" t="s">
        <v>360</v>
      </c>
      <c r="C51" s="1" t="s">
        <v>356</v>
      </c>
      <c r="D51" s="1" t="s">
        <v>108</v>
      </c>
      <c r="E51" s="1" t="s">
        <v>53</v>
      </c>
      <c r="F51" s="10">
        <v>46202</v>
      </c>
      <c r="G51" s="10">
        <v>46202</v>
      </c>
      <c r="H51" s="11">
        <v>0</v>
      </c>
      <c r="J51" s="1">
        <v>191</v>
      </c>
      <c r="L51" s="1" t="s">
        <v>35</v>
      </c>
      <c r="M51" s="1" t="s">
        <v>187</v>
      </c>
      <c r="N51" s="10">
        <v>46195</v>
      </c>
      <c r="P51" s="1" t="s">
        <v>155</v>
      </c>
      <c r="Q51" s="1" t="s">
        <v>178</v>
      </c>
      <c r="R51" s="1" t="s">
        <v>55</v>
      </c>
      <c r="S51" s="2">
        <v>46195</v>
      </c>
      <c r="T51" s="2">
        <v>46195</v>
      </c>
      <c r="V51" s="1">
        <v>0</v>
      </c>
      <c r="W51" s="1">
        <v>0</v>
      </c>
      <c r="X51" s="1">
        <v>0</v>
      </c>
      <c r="Y51" s="1">
        <v>0</v>
      </c>
      <c r="Z51" s="1">
        <v>1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1</v>
      </c>
      <c r="AG51" s="1">
        <v>0</v>
      </c>
    </row>
    <row r="52" spans="1:33" hidden="1" x14ac:dyDescent="0.25">
      <c r="A52" s="1">
        <v>193</v>
      </c>
      <c r="B52" s="1" t="s">
        <v>361</v>
      </c>
      <c r="C52" s="1" t="s">
        <v>157</v>
      </c>
      <c r="D52" s="1" t="s">
        <v>362</v>
      </c>
      <c r="E52" s="1" t="s">
        <v>172</v>
      </c>
      <c r="F52" s="10">
        <v>46190</v>
      </c>
      <c r="G52" s="10">
        <v>46198</v>
      </c>
      <c r="H52" s="11">
        <v>0.5</v>
      </c>
      <c r="L52" s="1" t="s">
        <v>35</v>
      </c>
      <c r="M52" s="1" t="s">
        <v>311</v>
      </c>
      <c r="N52" s="10">
        <v>46195</v>
      </c>
      <c r="P52" s="1" t="s">
        <v>155</v>
      </c>
      <c r="Q52" s="1" t="s">
        <v>133</v>
      </c>
      <c r="R52" s="1" t="s">
        <v>55</v>
      </c>
      <c r="S52" s="2">
        <v>46185</v>
      </c>
      <c r="T52" s="2">
        <v>46195</v>
      </c>
      <c r="V52" s="1">
        <v>0.5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hidden="1" x14ac:dyDescent="0.25">
      <c r="A53" s="1">
        <v>195</v>
      </c>
      <c r="B53" s="1" t="s">
        <v>365</v>
      </c>
      <c r="C53" s="1" t="s">
        <v>364</v>
      </c>
      <c r="D53" s="1" t="s">
        <v>98</v>
      </c>
      <c r="E53" s="1" t="s">
        <v>53</v>
      </c>
      <c r="F53" s="10">
        <v>46195</v>
      </c>
      <c r="G53" s="10">
        <v>46195</v>
      </c>
      <c r="H53" s="11">
        <v>0.5</v>
      </c>
      <c r="J53" s="1">
        <v>194</v>
      </c>
      <c r="K53" s="1">
        <v>196</v>
      </c>
      <c r="L53" s="1" t="s">
        <v>35</v>
      </c>
      <c r="M53" s="1" t="s">
        <v>314</v>
      </c>
      <c r="N53" s="10">
        <v>46190</v>
      </c>
      <c r="P53" s="1" t="s">
        <v>155</v>
      </c>
      <c r="Q53" s="1" t="s">
        <v>178</v>
      </c>
      <c r="R53" s="1" t="s">
        <v>55</v>
      </c>
      <c r="S53" s="2">
        <v>46190</v>
      </c>
      <c r="T53" s="2">
        <v>46190</v>
      </c>
      <c r="V53" s="1">
        <v>0.5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1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hidden="1" x14ac:dyDescent="0.25">
      <c r="A54" s="1">
        <v>196</v>
      </c>
      <c r="B54" s="1" t="s">
        <v>366</v>
      </c>
      <c r="C54" s="1" t="s">
        <v>364</v>
      </c>
      <c r="D54" s="1" t="s">
        <v>102</v>
      </c>
      <c r="E54" s="1" t="s">
        <v>121</v>
      </c>
      <c r="F54" s="10">
        <v>46196</v>
      </c>
      <c r="G54" s="10">
        <v>46197</v>
      </c>
      <c r="H54" s="11">
        <v>0</v>
      </c>
      <c r="J54" s="1">
        <v>195</v>
      </c>
      <c r="K54" s="1">
        <v>197</v>
      </c>
      <c r="L54" s="1" t="s">
        <v>35</v>
      </c>
      <c r="M54" s="1" t="s">
        <v>323</v>
      </c>
      <c r="N54" s="10">
        <v>46192</v>
      </c>
      <c r="P54" s="1" t="s">
        <v>155</v>
      </c>
      <c r="Q54" s="1" t="s">
        <v>178</v>
      </c>
      <c r="R54" s="1" t="s">
        <v>55</v>
      </c>
      <c r="S54" s="2">
        <v>46191</v>
      </c>
      <c r="T54" s="2">
        <v>46192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0</v>
      </c>
      <c r="AF54" s="1">
        <v>0</v>
      </c>
      <c r="AG54" s="1">
        <v>0</v>
      </c>
    </row>
    <row r="55" spans="1:33" hidden="1" x14ac:dyDescent="0.25">
      <c r="A55" s="1">
        <v>197</v>
      </c>
      <c r="B55" s="1" t="s">
        <v>367</v>
      </c>
      <c r="C55" s="1" t="s">
        <v>364</v>
      </c>
      <c r="D55" s="1" t="s">
        <v>108</v>
      </c>
      <c r="E55" s="1" t="s">
        <v>53</v>
      </c>
      <c r="F55" s="10">
        <v>46198</v>
      </c>
      <c r="G55" s="10">
        <v>46198</v>
      </c>
      <c r="H55" s="11">
        <v>0</v>
      </c>
      <c r="J55" s="1">
        <v>196</v>
      </c>
      <c r="L55" s="1" t="s">
        <v>35</v>
      </c>
      <c r="M55" s="1" t="s">
        <v>187</v>
      </c>
      <c r="N55" s="10">
        <v>46195</v>
      </c>
      <c r="P55" s="1" t="s">
        <v>155</v>
      </c>
      <c r="Q55" s="1" t="s">
        <v>178</v>
      </c>
      <c r="R55" s="1" t="s">
        <v>55</v>
      </c>
      <c r="S55" s="2">
        <v>46195</v>
      </c>
      <c r="T55" s="2">
        <v>46195</v>
      </c>
      <c r="V55" s="1">
        <v>0</v>
      </c>
      <c r="W55" s="1">
        <v>0</v>
      </c>
      <c r="X55" s="1">
        <v>0</v>
      </c>
      <c r="Y55" s="1">
        <v>0</v>
      </c>
      <c r="Z55" s="1">
        <v>1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</row>
    <row r="56" spans="1:33" hidden="1" x14ac:dyDescent="0.25">
      <c r="A56" s="1">
        <v>198</v>
      </c>
      <c r="B56" s="1" t="s">
        <v>368</v>
      </c>
      <c r="C56" s="1" t="s">
        <v>157</v>
      </c>
      <c r="D56" s="1" t="s">
        <v>369</v>
      </c>
      <c r="E56" s="1" t="s">
        <v>172</v>
      </c>
      <c r="F56" s="10">
        <v>46192</v>
      </c>
      <c r="G56" s="10">
        <v>46202</v>
      </c>
      <c r="H56" s="11">
        <v>0</v>
      </c>
      <c r="L56" s="1" t="s">
        <v>35</v>
      </c>
      <c r="M56" s="1" t="s">
        <v>311</v>
      </c>
      <c r="N56" s="10">
        <v>46195</v>
      </c>
      <c r="P56" s="1" t="s">
        <v>155</v>
      </c>
      <c r="Q56" s="1" t="s">
        <v>133</v>
      </c>
      <c r="R56" s="1" t="s">
        <v>55</v>
      </c>
      <c r="S56" s="2">
        <v>46185</v>
      </c>
      <c r="T56" s="2">
        <v>46195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25">
      <c r="A57" s="1">
        <v>199</v>
      </c>
      <c r="B57" s="1" t="s">
        <v>370</v>
      </c>
      <c r="C57" s="1" t="s">
        <v>371</v>
      </c>
      <c r="D57" s="1" t="s">
        <v>94</v>
      </c>
      <c r="E57" s="1" t="s">
        <v>95</v>
      </c>
      <c r="F57" s="10">
        <v>46192</v>
      </c>
      <c r="G57" s="10">
        <v>46196</v>
      </c>
      <c r="H57" s="11">
        <v>0</v>
      </c>
      <c r="J57" s="1" t="s">
        <v>357</v>
      </c>
      <c r="K57" s="1">
        <v>200</v>
      </c>
      <c r="L57" s="1" t="s">
        <v>35</v>
      </c>
      <c r="M57" s="1" t="s">
        <v>311</v>
      </c>
      <c r="N57" s="10">
        <v>46189</v>
      </c>
      <c r="P57" s="1" t="s">
        <v>155</v>
      </c>
      <c r="Q57" s="1" t="s">
        <v>133</v>
      </c>
      <c r="R57" s="1" t="s">
        <v>55</v>
      </c>
      <c r="S57" s="2">
        <v>46185</v>
      </c>
      <c r="T57" s="2">
        <v>46189</v>
      </c>
      <c r="V57" s="1">
        <v>0</v>
      </c>
      <c r="W57" s="1">
        <v>1</v>
      </c>
      <c r="X57" s="1">
        <v>0</v>
      </c>
      <c r="Y57" s="1">
        <v>1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hidden="1" x14ac:dyDescent="0.25">
      <c r="A58" s="1">
        <v>200</v>
      </c>
      <c r="B58" s="1" t="s">
        <v>372</v>
      </c>
      <c r="C58" s="1" t="s">
        <v>371</v>
      </c>
      <c r="D58" s="1" t="s">
        <v>98</v>
      </c>
      <c r="E58" s="1" t="s">
        <v>53</v>
      </c>
      <c r="F58" s="10">
        <v>46197</v>
      </c>
      <c r="G58" s="10">
        <v>46197</v>
      </c>
      <c r="H58" s="11">
        <v>0</v>
      </c>
      <c r="J58" s="1">
        <v>199</v>
      </c>
      <c r="K58" s="1">
        <v>201</v>
      </c>
      <c r="L58" s="1" t="s">
        <v>35</v>
      </c>
      <c r="M58" s="1" t="s">
        <v>314</v>
      </c>
      <c r="N58" s="10">
        <v>46190</v>
      </c>
      <c r="P58" s="1" t="s">
        <v>155</v>
      </c>
      <c r="Q58" s="1" t="s">
        <v>178</v>
      </c>
      <c r="R58" s="1" t="s">
        <v>55</v>
      </c>
      <c r="S58" s="2">
        <v>46190</v>
      </c>
      <c r="T58" s="2">
        <v>46190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1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hidden="1" x14ac:dyDescent="0.25">
      <c r="A59" s="1">
        <v>201</v>
      </c>
      <c r="B59" s="1" t="s">
        <v>373</v>
      </c>
      <c r="C59" s="1" t="s">
        <v>371</v>
      </c>
      <c r="D59" s="1" t="s">
        <v>102</v>
      </c>
      <c r="E59" s="1" t="s">
        <v>121</v>
      </c>
      <c r="F59" s="10">
        <v>46198</v>
      </c>
      <c r="G59" s="10">
        <v>46199</v>
      </c>
      <c r="H59" s="11">
        <v>0</v>
      </c>
      <c r="J59" s="1">
        <v>200</v>
      </c>
      <c r="K59" s="1">
        <v>202</v>
      </c>
      <c r="L59" s="1" t="s">
        <v>35</v>
      </c>
      <c r="M59" s="1" t="s">
        <v>323</v>
      </c>
      <c r="N59" s="10">
        <v>46192</v>
      </c>
      <c r="P59" s="1" t="s">
        <v>155</v>
      </c>
      <c r="Q59" s="1" t="s">
        <v>178</v>
      </c>
      <c r="R59" s="1" t="s">
        <v>55</v>
      </c>
      <c r="S59" s="2">
        <v>46191</v>
      </c>
      <c r="T59" s="2">
        <v>46192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1</v>
      </c>
      <c r="AE59" s="1">
        <v>0</v>
      </c>
      <c r="AF59" s="1">
        <v>0</v>
      </c>
      <c r="AG59" s="1">
        <v>0</v>
      </c>
    </row>
    <row r="60" spans="1:33" hidden="1" x14ac:dyDescent="0.25">
      <c r="A60" s="1">
        <v>202</v>
      </c>
      <c r="B60" s="1" t="s">
        <v>374</v>
      </c>
      <c r="C60" s="1" t="s">
        <v>371</v>
      </c>
      <c r="D60" s="1" t="s">
        <v>108</v>
      </c>
      <c r="E60" s="1" t="s">
        <v>53</v>
      </c>
      <c r="F60" s="10">
        <v>46202</v>
      </c>
      <c r="G60" s="10">
        <v>46202</v>
      </c>
      <c r="H60" s="11">
        <v>0</v>
      </c>
      <c r="J60" s="1">
        <v>201</v>
      </c>
      <c r="L60" s="1" t="s">
        <v>35</v>
      </c>
      <c r="M60" s="1" t="s">
        <v>187</v>
      </c>
      <c r="N60" s="10">
        <v>46195</v>
      </c>
      <c r="P60" s="1" t="s">
        <v>155</v>
      </c>
      <c r="Q60" s="1" t="s">
        <v>178</v>
      </c>
      <c r="R60" s="1" t="s">
        <v>55</v>
      </c>
      <c r="S60" s="2">
        <v>46195</v>
      </c>
      <c r="T60" s="2">
        <v>46195</v>
      </c>
      <c r="V60" s="1">
        <v>0</v>
      </c>
      <c r="W60" s="1">
        <v>0</v>
      </c>
      <c r="X60" s="1">
        <v>0</v>
      </c>
      <c r="Y60" s="1">
        <v>0</v>
      </c>
      <c r="Z60" s="1">
        <v>1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1</v>
      </c>
      <c r="AG60" s="1">
        <v>0</v>
      </c>
    </row>
    <row r="61" spans="1:33" x14ac:dyDescent="0.25">
      <c r="A61" s="1">
        <v>215</v>
      </c>
      <c r="B61" s="1" t="s">
        <v>381</v>
      </c>
      <c r="C61" s="1" t="s">
        <v>382</v>
      </c>
      <c r="D61" s="1" t="s">
        <v>94</v>
      </c>
      <c r="E61" s="1" t="s">
        <v>95</v>
      </c>
      <c r="F61" s="10">
        <v>46206</v>
      </c>
      <c r="G61" s="10">
        <v>46210</v>
      </c>
      <c r="H61" s="11">
        <v>0.9</v>
      </c>
      <c r="J61" s="1" t="s">
        <v>383</v>
      </c>
      <c r="K61" s="1">
        <v>216</v>
      </c>
      <c r="L61" s="1" t="s">
        <v>180</v>
      </c>
      <c r="M61" s="1" t="s">
        <v>173</v>
      </c>
      <c r="N61" s="10">
        <v>46174</v>
      </c>
      <c r="P61" s="1" t="s">
        <v>377</v>
      </c>
      <c r="Q61" s="1" t="s">
        <v>178</v>
      </c>
      <c r="R61" s="1" t="s">
        <v>55</v>
      </c>
      <c r="S61" s="2">
        <v>46170</v>
      </c>
      <c r="T61" s="2">
        <v>46174</v>
      </c>
      <c r="V61" s="1">
        <v>0.9</v>
      </c>
      <c r="W61" s="1">
        <v>1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hidden="1" x14ac:dyDescent="0.25">
      <c r="A62" s="1">
        <v>244</v>
      </c>
      <c r="B62" s="1" t="s">
        <v>399</v>
      </c>
      <c r="C62" s="1" t="s">
        <v>379</v>
      </c>
      <c r="D62" s="1" t="s">
        <v>400</v>
      </c>
      <c r="E62" s="1" t="s">
        <v>401</v>
      </c>
      <c r="F62" s="10">
        <v>46185</v>
      </c>
      <c r="G62" s="10">
        <v>46195</v>
      </c>
      <c r="H62" s="11">
        <v>0.5</v>
      </c>
      <c r="L62" s="1" t="s">
        <v>35</v>
      </c>
      <c r="M62" s="1" t="s">
        <v>142</v>
      </c>
      <c r="N62" s="10">
        <v>46169</v>
      </c>
      <c r="P62" s="1" t="s">
        <v>377</v>
      </c>
      <c r="Q62" s="1" t="s">
        <v>65</v>
      </c>
      <c r="R62" s="1" t="s">
        <v>55</v>
      </c>
      <c r="S62" s="2">
        <v>46162</v>
      </c>
      <c r="T62" s="2">
        <v>46169</v>
      </c>
      <c r="V62" s="1">
        <v>0.5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hidden="1" x14ac:dyDescent="0.25">
      <c r="A63" s="1">
        <v>246</v>
      </c>
      <c r="B63" s="1" t="s">
        <v>406</v>
      </c>
      <c r="C63" s="1" t="s">
        <v>403</v>
      </c>
      <c r="D63" s="1" t="s">
        <v>98</v>
      </c>
      <c r="E63" s="1" t="s">
        <v>53</v>
      </c>
      <c r="F63" s="10">
        <v>46189</v>
      </c>
      <c r="G63" s="10">
        <v>46190</v>
      </c>
      <c r="H63" s="11">
        <v>0.5</v>
      </c>
      <c r="J63" s="1">
        <v>245</v>
      </c>
      <c r="K63" s="1">
        <v>247</v>
      </c>
      <c r="L63" s="1" t="s">
        <v>35</v>
      </c>
      <c r="M63" s="1" t="s">
        <v>62</v>
      </c>
      <c r="N63" s="10">
        <v>46164</v>
      </c>
      <c r="P63" s="1" t="s">
        <v>377</v>
      </c>
      <c r="Q63" s="1" t="s">
        <v>133</v>
      </c>
      <c r="R63" s="1" t="s">
        <v>55</v>
      </c>
      <c r="S63" s="2">
        <v>46164</v>
      </c>
      <c r="T63" s="2">
        <v>46164</v>
      </c>
      <c r="V63" s="1">
        <v>0.5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1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hidden="1" x14ac:dyDescent="0.25">
      <c r="A64" s="1">
        <v>247</v>
      </c>
      <c r="B64" s="1" t="s">
        <v>407</v>
      </c>
      <c r="C64" s="1" t="s">
        <v>403</v>
      </c>
      <c r="D64" s="1" t="s">
        <v>102</v>
      </c>
      <c r="E64" s="1" t="s">
        <v>121</v>
      </c>
      <c r="F64" s="10">
        <v>46190</v>
      </c>
      <c r="G64" s="10">
        <v>46192</v>
      </c>
      <c r="H64" s="11">
        <v>0</v>
      </c>
      <c r="J64" s="1">
        <v>246</v>
      </c>
      <c r="K64" s="1">
        <v>248</v>
      </c>
      <c r="L64" s="1" t="s">
        <v>35</v>
      </c>
      <c r="M64" s="1" t="s">
        <v>150</v>
      </c>
      <c r="N64" s="10">
        <v>46168</v>
      </c>
      <c r="P64" s="1" t="s">
        <v>377</v>
      </c>
      <c r="Q64" s="1" t="s">
        <v>133</v>
      </c>
      <c r="R64" s="1" t="s">
        <v>55</v>
      </c>
      <c r="S64" s="2">
        <v>46167</v>
      </c>
      <c r="T64" s="2">
        <v>46168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1</v>
      </c>
      <c r="AE64" s="1">
        <v>0</v>
      </c>
      <c r="AF64" s="1">
        <v>0</v>
      </c>
      <c r="AG64" s="1">
        <v>0</v>
      </c>
    </row>
    <row r="65" spans="1:33" hidden="1" x14ac:dyDescent="0.25">
      <c r="A65" s="1">
        <v>248</v>
      </c>
      <c r="B65" s="1" t="s">
        <v>408</v>
      </c>
      <c r="C65" s="1" t="s">
        <v>403</v>
      </c>
      <c r="D65" s="1" t="s">
        <v>108</v>
      </c>
      <c r="E65" s="1" t="s">
        <v>53</v>
      </c>
      <c r="F65" s="10">
        <v>46192</v>
      </c>
      <c r="G65" s="10">
        <v>46195</v>
      </c>
      <c r="H65" s="11">
        <v>0</v>
      </c>
      <c r="J65" s="1">
        <v>247</v>
      </c>
      <c r="L65" s="1" t="s">
        <v>35</v>
      </c>
      <c r="M65" s="1" t="s">
        <v>409</v>
      </c>
      <c r="N65" s="10">
        <v>46169</v>
      </c>
      <c r="P65" s="1" t="s">
        <v>377</v>
      </c>
      <c r="Q65" s="1" t="s">
        <v>133</v>
      </c>
      <c r="R65" s="1" t="s">
        <v>55</v>
      </c>
      <c r="S65" s="2">
        <v>46169</v>
      </c>
      <c r="T65" s="2">
        <v>46169</v>
      </c>
      <c r="V65" s="1">
        <v>0</v>
      </c>
      <c r="W65" s="1">
        <v>0</v>
      </c>
      <c r="X65" s="1">
        <v>0</v>
      </c>
      <c r="Y65" s="1">
        <v>0</v>
      </c>
      <c r="Z65" s="1">
        <v>1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1</v>
      </c>
      <c r="AG65" s="1">
        <v>0</v>
      </c>
    </row>
    <row r="66" spans="1:33" hidden="1" x14ac:dyDescent="0.25">
      <c r="A66" s="1">
        <v>405</v>
      </c>
      <c r="B66" s="1" t="s">
        <v>602</v>
      </c>
      <c r="C66" s="1" t="s">
        <v>73</v>
      </c>
      <c r="D66" s="1" t="s">
        <v>603</v>
      </c>
      <c r="E66" s="1" t="s">
        <v>604</v>
      </c>
      <c r="F66" s="10">
        <v>46170</v>
      </c>
      <c r="G66" s="10">
        <v>46210</v>
      </c>
      <c r="H66" s="11">
        <v>0.73</v>
      </c>
      <c r="L66" s="1" t="s">
        <v>35</v>
      </c>
      <c r="M66" s="1" t="s">
        <v>145</v>
      </c>
      <c r="N66" s="10">
        <v>46211</v>
      </c>
      <c r="P66" s="1" t="s">
        <v>605</v>
      </c>
      <c r="Q66" s="1" t="s">
        <v>110</v>
      </c>
      <c r="R66" s="1" t="s">
        <v>55</v>
      </c>
      <c r="S66" s="2">
        <v>46163</v>
      </c>
      <c r="T66" s="2">
        <v>46211</v>
      </c>
      <c r="V66" s="1">
        <v>0.73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hidden="1" x14ac:dyDescent="0.25">
      <c r="A67" s="1">
        <v>416</v>
      </c>
      <c r="B67" s="1" t="s">
        <v>606</v>
      </c>
      <c r="C67" s="1" t="s">
        <v>607</v>
      </c>
      <c r="D67" s="1" t="s">
        <v>608</v>
      </c>
      <c r="E67" s="1" t="s">
        <v>609</v>
      </c>
      <c r="F67" s="10">
        <v>46176</v>
      </c>
      <c r="G67" s="10">
        <v>46210</v>
      </c>
      <c r="H67" s="11">
        <v>0.7</v>
      </c>
      <c r="L67" s="1" t="s">
        <v>35</v>
      </c>
      <c r="M67" s="1" t="s">
        <v>168</v>
      </c>
      <c r="N67" s="10">
        <v>46176</v>
      </c>
      <c r="P67" s="1" t="s">
        <v>605</v>
      </c>
      <c r="Q67" s="1" t="s">
        <v>169</v>
      </c>
      <c r="R67" s="1" t="s">
        <v>55</v>
      </c>
      <c r="S67" s="2">
        <v>46168</v>
      </c>
      <c r="T67" s="2">
        <v>46176</v>
      </c>
      <c r="V67" s="1">
        <v>0.7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hidden="1" x14ac:dyDescent="0.25">
      <c r="A68" s="1">
        <v>419</v>
      </c>
      <c r="B68" s="1" t="s">
        <v>615</v>
      </c>
      <c r="C68" s="1" t="s">
        <v>611</v>
      </c>
      <c r="D68" s="1" t="s">
        <v>102</v>
      </c>
      <c r="E68" s="1" t="s">
        <v>53</v>
      </c>
      <c r="F68" s="10">
        <v>46209</v>
      </c>
      <c r="G68" s="10">
        <v>46209</v>
      </c>
      <c r="H68" s="11">
        <v>0.5</v>
      </c>
      <c r="J68" s="1">
        <v>418</v>
      </c>
      <c r="K68" s="1">
        <v>420</v>
      </c>
      <c r="L68" s="1" t="s">
        <v>35</v>
      </c>
      <c r="M68" s="1" t="s">
        <v>320</v>
      </c>
      <c r="N68" s="10">
        <v>46175</v>
      </c>
      <c r="P68" s="1" t="s">
        <v>605</v>
      </c>
      <c r="Q68" s="1" t="s">
        <v>65</v>
      </c>
      <c r="R68" s="1" t="s">
        <v>55</v>
      </c>
      <c r="S68" s="2">
        <v>46174</v>
      </c>
      <c r="T68" s="2">
        <v>46175</v>
      </c>
      <c r="V68" s="1">
        <v>0.5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</v>
      </c>
      <c r="AE68" s="1">
        <v>0</v>
      </c>
      <c r="AF68" s="1">
        <v>0</v>
      </c>
      <c r="AG68" s="1">
        <v>0</v>
      </c>
    </row>
    <row r="69" spans="1:33" hidden="1" x14ac:dyDescent="0.25">
      <c r="A69" s="1">
        <v>420</v>
      </c>
      <c r="B69" s="1" t="s">
        <v>616</v>
      </c>
      <c r="C69" s="1" t="s">
        <v>611</v>
      </c>
      <c r="D69" s="1" t="s">
        <v>108</v>
      </c>
      <c r="E69" s="1" t="s">
        <v>53</v>
      </c>
      <c r="F69" s="10">
        <v>46210</v>
      </c>
      <c r="G69" s="10">
        <v>46210</v>
      </c>
      <c r="H69" s="11">
        <v>0</v>
      </c>
      <c r="J69" s="1">
        <v>419</v>
      </c>
      <c r="L69" s="1" t="s">
        <v>180</v>
      </c>
      <c r="M69" s="1" t="s">
        <v>181</v>
      </c>
      <c r="N69" s="10">
        <v>46176</v>
      </c>
      <c r="P69" s="1" t="s">
        <v>605</v>
      </c>
      <c r="Q69" s="1" t="s">
        <v>65</v>
      </c>
      <c r="R69" s="1" t="s">
        <v>55</v>
      </c>
      <c r="S69" s="2">
        <v>46176</v>
      </c>
      <c r="T69" s="2">
        <v>46176</v>
      </c>
      <c r="V69" s="1">
        <v>0</v>
      </c>
      <c r="W69" s="1">
        <v>0</v>
      </c>
      <c r="X69" s="1">
        <v>0</v>
      </c>
      <c r="Y69" s="1">
        <v>0</v>
      </c>
      <c r="Z69" s="1">
        <v>1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hidden="1" x14ac:dyDescent="0.25">
      <c r="A70" s="1">
        <v>426</v>
      </c>
      <c r="B70" s="1" t="s">
        <v>617</v>
      </c>
      <c r="C70" s="1" t="s">
        <v>607</v>
      </c>
      <c r="D70" s="1" t="s">
        <v>618</v>
      </c>
      <c r="E70" s="1" t="s">
        <v>619</v>
      </c>
      <c r="F70" s="10">
        <v>46170</v>
      </c>
      <c r="G70" s="10">
        <v>46198</v>
      </c>
      <c r="H70" s="11">
        <v>0.85</v>
      </c>
      <c r="L70" s="1" t="s">
        <v>35</v>
      </c>
      <c r="M70" s="1" t="s">
        <v>145</v>
      </c>
      <c r="N70" s="10">
        <v>46171</v>
      </c>
      <c r="P70" s="1" t="s">
        <v>605</v>
      </c>
      <c r="Q70" s="1" t="s">
        <v>110</v>
      </c>
      <c r="R70" s="1" t="s">
        <v>55</v>
      </c>
      <c r="S70" s="2">
        <v>46163</v>
      </c>
      <c r="T70" s="2">
        <v>46171</v>
      </c>
      <c r="V70" s="1">
        <v>0.85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hidden="1" x14ac:dyDescent="0.25">
      <c r="A71" s="1">
        <v>429</v>
      </c>
      <c r="B71" s="1" t="s">
        <v>625</v>
      </c>
      <c r="C71" s="1" t="s">
        <v>621</v>
      </c>
      <c r="D71" s="1" t="s">
        <v>102</v>
      </c>
      <c r="E71" s="1" t="s">
        <v>53</v>
      </c>
      <c r="F71" s="10">
        <v>46197</v>
      </c>
      <c r="G71" s="10">
        <v>46197</v>
      </c>
      <c r="H71" s="11">
        <v>0.5</v>
      </c>
      <c r="J71" s="1">
        <v>428</v>
      </c>
      <c r="K71" s="1" t="s">
        <v>626</v>
      </c>
      <c r="L71" s="1" t="s">
        <v>35</v>
      </c>
      <c r="M71" s="1" t="s">
        <v>409</v>
      </c>
      <c r="N71" s="10">
        <v>46170</v>
      </c>
      <c r="P71" s="1" t="s">
        <v>605</v>
      </c>
      <c r="Q71" s="1" t="s">
        <v>169</v>
      </c>
      <c r="R71" s="1" t="s">
        <v>55</v>
      </c>
      <c r="S71" s="2">
        <v>46169</v>
      </c>
      <c r="T71" s="2">
        <v>46170</v>
      </c>
      <c r="V71" s="1">
        <v>0.5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1</v>
      </c>
      <c r="AE71" s="1">
        <v>0</v>
      </c>
      <c r="AF71" s="1">
        <v>0</v>
      </c>
      <c r="AG71" s="1">
        <v>0</v>
      </c>
    </row>
    <row r="72" spans="1:33" hidden="1" x14ac:dyDescent="0.25">
      <c r="A72" s="1">
        <v>430</v>
      </c>
      <c r="B72" s="1" t="s">
        <v>627</v>
      </c>
      <c r="C72" s="1" t="s">
        <v>621</v>
      </c>
      <c r="D72" s="1" t="s">
        <v>108</v>
      </c>
      <c r="E72" s="1" t="s">
        <v>53</v>
      </c>
      <c r="F72" s="10">
        <v>46198</v>
      </c>
      <c r="G72" s="10">
        <v>46198</v>
      </c>
      <c r="H72" s="11">
        <v>0</v>
      </c>
      <c r="J72" s="1" t="s">
        <v>628</v>
      </c>
      <c r="L72" s="1" t="s">
        <v>35</v>
      </c>
      <c r="M72" s="1" t="s">
        <v>255</v>
      </c>
      <c r="N72" s="10">
        <v>46171</v>
      </c>
      <c r="P72" s="1" t="s">
        <v>605</v>
      </c>
      <c r="Q72" s="1" t="s">
        <v>169</v>
      </c>
      <c r="R72" s="1" t="s">
        <v>55</v>
      </c>
      <c r="S72" s="2">
        <v>46171</v>
      </c>
      <c r="T72" s="2">
        <v>46171</v>
      </c>
      <c r="V72" s="1">
        <v>0</v>
      </c>
      <c r="W72" s="1">
        <v>0</v>
      </c>
      <c r="X72" s="1">
        <v>0</v>
      </c>
      <c r="Y72" s="1">
        <v>0</v>
      </c>
      <c r="Z72" s="1">
        <v>1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</row>
    <row r="73" spans="1:33" hidden="1" x14ac:dyDescent="0.25">
      <c r="A73" s="1">
        <v>446</v>
      </c>
      <c r="B73" s="1" t="s">
        <v>629</v>
      </c>
      <c r="C73" s="1" t="s">
        <v>607</v>
      </c>
      <c r="D73" s="1" t="s">
        <v>630</v>
      </c>
      <c r="E73" s="1" t="s">
        <v>631</v>
      </c>
      <c r="F73" s="10">
        <v>46205</v>
      </c>
      <c r="G73" s="10">
        <v>46210</v>
      </c>
      <c r="H73" s="11">
        <v>0.5</v>
      </c>
      <c r="L73" s="1" t="s">
        <v>35</v>
      </c>
      <c r="M73" s="1" t="s">
        <v>418</v>
      </c>
      <c r="N73" s="10">
        <v>46191</v>
      </c>
      <c r="P73" s="1" t="s">
        <v>605</v>
      </c>
      <c r="Q73" s="1" t="s">
        <v>169</v>
      </c>
      <c r="R73" s="1" t="s">
        <v>55</v>
      </c>
      <c r="S73" s="2">
        <v>46181</v>
      </c>
      <c r="T73" s="2">
        <v>46191</v>
      </c>
      <c r="V73" s="1">
        <v>0.5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hidden="1" x14ac:dyDescent="0.25">
      <c r="A74" s="1">
        <v>448</v>
      </c>
      <c r="B74" s="1" t="s">
        <v>636</v>
      </c>
      <c r="C74" s="1" t="s">
        <v>633</v>
      </c>
      <c r="D74" s="1" t="s">
        <v>98</v>
      </c>
      <c r="E74" s="1" t="s">
        <v>53</v>
      </c>
      <c r="F74" s="10">
        <v>46209</v>
      </c>
      <c r="G74" s="10">
        <v>46209</v>
      </c>
      <c r="H74" s="11">
        <v>0.5</v>
      </c>
      <c r="J74" s="1">
        <v>447</v>
      </c>
      <c r="K74" s="1">
        <v>449</v>
      </c>
      <c r="L74" s="1" t="s">
        <v>35</v>
      </c>
      <c r="M74" s="1" t="s">
        <v>264</v>
      </c>
      <c r="N74" s="10">
        <v>46188</v>
      </c>
      <c r="P74" s="1" t="s">
        <v>605</v>
      </c>
      <c r="Q74" s="1" t="s">
        <v>65</v>
      </c>
      <c r="R74" s="1" t="s">
        <v>55</v>
      </c>
      <c r="S74" s="2">
        <v>46188</v>
      </c>
      <c r="T74" s="2">
        <v>46188</v>
      </c>
      <c r="V74" s="1">
        <v>0.5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1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hidden="1" x14ac:dyDescent="0.25">
      <c r="A75" s="1">
        <v>449</v>
      </c>
      <c r="B75" s="1" t="s">
        <v>637</v>
      </c>
      <c r="C75" s="1" t="s">
        <v>633</v>
      </c>
      <c r="D75" s="1" t="s">
        <v>102</v>
      </c>
      <c r="E75" s="1" t="s">
        <v>53</v>
      </c>
      <c r="F75" s="10">
        <v>46210</v>
      </c>
      <c r="G75" s="10">
        <v>46210</v>
      </c>
      <c r="H75" s="11">
        <v>0</v>
      </c>
      <c r="J75" s="1">
        <v>448</v>
      </c>
      <c r="K75" s="1" t="s">
        <v>638</v>
      </c>
      <c r="L75" s="1" t="s">
        <v>180</v>
      </c>
      <c r="M75" s="1" t="s">
        <v>639</v>
      </c>
      <c r="N75" s="10">
        <v>46190</v>
      </c>
      <c r="P75" s="1" t="s">
        <v>605</v>
      </c>
      <c r="Q75" s="1" t="s">
        <v>65</v>
      </c>
      <c r="R75" s="1" t="s">
        <v>55</v>
      </c>
      <c r="S75" s="2">
        <v>46189</v>
      </c>
      <c r="T75" s="2">
        <v>46190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hidden="1" x14ac:dyDescent="0.25">
      <c r="A76" s="1">
        <v>450</v>
      </c>
      <c r="B76" s="1" t="s">
        <v>640</v>
      </c>
      <c r="C76" s="1" t="s">
        <v>633</v>
      </c>
      <c r="D76" s="1" t="s">
        <v>108</v>
      </c>
      <c r="E76" s="1" t="s">
        <v>53</v>
      </c>
      <c r="F76" s="10">
        <v>46210</v>
      </c>
      <c r="G76" s="10">
        <v>46210</v>
      </c>
      <c r="H76" s="11">
        <v>0</v>
      </c>
      <c r="J76" s="1" t="s">
        <v>641</v>
      </c>
      <c r="L76" s="1" t="s">
        <v>180</v>
      </c>
      <c r="M76" s="1" t="s">
        <v>323</v>
      </c>
      <c r="N76" s="10">
        <v>46191</v>
      </c>
      <c r="P76" s="1" t="s">
        <v>605</v>
      </c>
      <c r="Q76" s="1" t="s">
        <v>65</v>
      </c>
      <c r="R76" s="1" t="s">
        <v>55</v>
      </c>
      <c r="S76" s="2">
        <v>46191</v>
      </c>
      <c r="T76" s="2">
        <v>46191</v>
      </c>
      <c r="V76" s="1">
        <v>0</v>
      </c>
      <c r="W76" s="1">
        <v>0</v>
      </c>
      <c r="X76" s="1">
        <v>0</v>
      </c>
      <c r="Y76" s="1">
        <v>0</v>
      </c>
      <c r="Z76" s="1">
        <v>1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hidden="1" x14ac:dyDescent="0.25">
      <c r="A77" s="1">
        <v>484</v>
      </c>
      <c r="B77" s="1" t="s">
        <v>660</v>
      </c>
      <c r="C77" s="1" t="s">
        <v>659</v>
      </c>
      <c r="D77" s="1" t="s">
        <v>98</v>
      </c>
      <c r="E77" s="1" t="s">
        <v>53</v>
      </c>
      <c r="F77" s="10">
        <v>46209</v>
      </c>
      <c r="G77" s="10">
        <v>46209</v>
      </c>
      <c r="H77" s="11">
        <v>0</v>
      </c>
      <c r="J77" s="1">
        <v>483</v>
      </c>
      <c r="K77" s="1">
        <v>485</v>
      </c>
      <c r="L77" s="1" t="s">
        <v>35</v>
      </c>
      <c r="M77" s="1" t="s">
        <v>394</v>
      </c>
      <c r="N77" s="10">
        <v>46199</v>
      </c>
      <c r="P77" s="1" t="s">
        <v>645</v>
      </c>
      <c r="Q77" s="1" t="s">
        <v>146</v>
      </c>
      <c r="R77" s="1" t="s">
        <v>55</v>
      </c>
      <c r="S77" s="2">
        <v>46199</v>
      </c>
      <c r="T77" s="2">
        <v>46199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1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hidden="1" x14ac:dyDescent="0.25">
      <c r="A78" s="1">
        <v>489</v>
      </c>
      <c r="B78" s="1" t="s">
        <v>667</v>
      </c>
      <c r="C78" s="1" t="s">
        <v>666</v>
      </c>
      <c r="D78" s="1" t="s">
        <v>98</v>
      </c>
      <c r="E78" s="1" t="s">
        <v>53</v>
      </c>
      <c r="F78" s="10">
        <v>46209</v>
      </c>
      <c r="G78" s="10">
        <v>46209</v>
      </c>
      <c r="H78" s="11">
        <v>0</v>
      </c>
      <c r="J78" s="1">
        <v>488</v>
      </c>
      <c r="K78" s="1">
        <v>490</v>
      </c>
      <c r="L78" s="1" t="s">
        <v>35</v>
      </c>
      <c r="M78" s="1" t="s">
        <v>193</v>
      </c>
      <c r="N78" s="10">
        <v>46209</v>
      </c>
      <c r="P78" s="1" t="s">
        <v>645</v>
      </c>
      <c r="Q78" s="1" t="s">
        <v>146</v>
      </c>
      <c r="R78" s="1" t="s">
        <v>55</v>
      </c>
      <c r="S78" s="2">
        <v>46209</v>
      </c>
      <c r="T78" s="2">
        <v>46209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</row>
    <row r="79" spans="1:33" hidden="1" x14ac:dyDescent="0.25">
      <c r="A79" s="1">
        <v>507</v>
      </c>
      <c r="B79" s="1" t="s">
        <v>678</v>
      </c>
      <c r="C79" s="1" t="s">
        <v>647</v>
      </c>
      <c r="D79" s="1" t="s">
        <v>679</v>
      </c>
      <c r="E79" s="1" t="s">
        <v>609</v>
      </c>
      <c r="F79" s="10">
        <v>46174</v>
      </c>
      <c r="G79" s="10">
        <v>46206</v>
      </c>
      <c r="H79" s="11">
        <v>0.74</v>
      </c>
      <c r="L79" s="1" t="s">
        <v>35</v>
      </c>
      <c r="M79" s="1" t="s">
        <v>142</v>
      </c>
      <c r="N79" s="10">
        <v>46169</v>
      </c>
      <c r="P79" s="1" t="s">
        <v>645</v>
      </c>
      <c r="Q79" s="1" t="s">
        <v>169</v>
      </c>
      <c r="R79" s="1" t="s">
        <v>55</v>
      </c>
      <c r="S79" s="2">
        <v>46162</v>
      </c>
      <c r="T79" s="2">
        <v>46169</v>
      </c>
      <c r="V79" s="1">
        <v>0.74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hidden="1" x14ac:dyDescent="0.25">
      <c r="A80" s="1">
        <v>510</v>
      </c>
      <c r="B80" s="1" t="s">
        <v>684</v>
      </c>
      <c r="C80" s="1" t="s">
        <v>681</v>
      </c>
      <c r="D80" s="1" t="s">
        <v>102</v>
      </c>
      <c r="E80" s="1" t="s">
        <v>685</v>
      </c>
      <c r="F80" s="10">
        <v>46195</v>
      </c>
      <c r="G80" s="10">
        <v>46205</v>
      </c>
      <c r="H80" s="11">
        <v>0.5</v>
      </c>
      <c r="J80" s="1">
        <v>509</v>
      </c>
      <c r="K80" s="1">
        <v>511</v>
      </c>
      <c r="L80" s="1" t="s">
        <v>35</v>
      </c>
      <c r="M80" s="1" t="s">
        <v>150</v>
      </c>
      <c r="N80" s="10">
        <v>46168</v>
      </c>
      <c r="P80" s="1" t="s">
        <v>645</v>
      </c>
      <c r="Q80" s="1" t="s">
        <v>133</v>
      </c>
      <c r="R80" s="1" t="s">
        <v>55</v>
      </c>
      <c r="S80" s="2">
        <v>46167</v>
      </c>
      <c r="T80" s="2">
        <v>46168</v>
      </c>
      <c r="V80" s="1">
        <v>0.5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</v>
      </c>
      <c r="AE80" s="1">
        <v>0</v>
      </c>
      <c r="AF80" s="1">
        <v>0</v>
      </c>
      <c r="AG80" s="1">
        <v>0</v>
      </c>
    </row>
    <row r="81" spans="1:33" hidden="1" x14ac:dyDescent="0.25">
      <c r="A81" s="1">
        <v>511</v>
      </c>
      <c r="B81" s="1" t="s">
        <v>686</v>
      </c>
      <c r="C81" s="1" t="s">
        <v>681</v>
      </c>
      <c r="D81" s="1" t="s">
        <v>108</v>
      </c>
      <c r="E81" s="1" t="s">
        <v>53</v>
      </c>
      <c r="F81" s="10">
        <v>46206</v>
      </c>
      <c r="G81" s="10">
        <v>46206</v>
      </c>
      <c r="H81" s="11">
        <v>0</v>
      </c>
      <c r="J81" s="1">
        <v>510</v>
      </c>
      <c r="L81" s="1" t="s">
        <v>35</v>
      </c>
      <c r="M81" s="1" t="s">
        <v>409</v>
      </c>
      <c r="N81" s="10">
        <v>46169</v>
      </c>
      <c r="P81" s="1" t="s">
        <v>645</v>
      </c>
      <c r="Q81" s="1" t="s">
        <v>133</v>
      </c>
      <c r="R81" s="1" t="s">
        <v>55</v>
      </c>
      <c r="S81" s="2">
        <v>46169</v>
      </c>
      <c r="T81" s="2">
        <v>46169</v>
      </c>
      <c r="V81" s="1">
        <v>0</v>
      </c>
      <c r="W81" s="1">
        <v>0</v>
      </c>
      <c r="X81" s="1">
        <v>0</v>
      </c>
      <c r="Y81" s="1">
        <v>0</v>
      </c>
      <c r="Z81" s="1">
        <v>1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</row>
    <row r="82" spans="1:33" hidden="1" x14ac:dyDescent="0.25">
      <c r="A82" s="1">
        <v>512</v>
      </c>
      <c r="B82" s="1" t="s">
        <v>687</v>
      </c>
      <c r="C82" s="1" t="s">
        <v>647</v>
      </c>
      <c r="D82" s="1" t="s">
        <v>688</v>
      </c>
      <c r="E82" s="1" t="s">
        <v>609</v>
      </c>
      <c r="F82" s="10">
        <v>46174</v>
      </c>
      <c r="G82" s="10">
        <v>46206</v>
      </c>
      <c r="H82" s="11">
        <v>0.74</v>
      </c>
      <c r="L82" s="1" t="s">
        <v>35</v>
      </c>
      <c r="M82" s="1" t="s">
        <v>142</v>
      </c>
      <c r="N82" s="10">
        <v>46169</v>
      </c>
      <c r="P82" s="1" t="s">
        <v>645</v>
      </c>
      <c r="Q82" s="1" t="s">
        <v>169</v>
      </c>
      <c r="R82" s="1" t="s">
        <v>55</v>
      </c>
      <c r="S82" s="2">
        <v>46162</v>
      </c>
      <c r="T82" s="2">
        <v>46169</v>
      </c>
      <c r="V82" s="1">
        <v>0.74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</row>
    <row r="83" spans="1:33" hidden="1" x14ac:dyDescent="0.25">
      <c r="A83" s="1">
        <v>515</v>
      </c>
      <c r="B83" s="1" t="s">
        <v>693</v>
      </c>
      <c r="C83" s="1" t="s">
        <v>690</v>
      </c>
      <c r="D83" s="1" t="s">
        <v>102</v>
      </c>
      <c r="E83" s="1" t="s">
        <v>685</v>
      </c>
      <c r="F83" s="10">
        <v>46195</v>
      </c>
      <c r="G83" s="10">
        <v>46205</v>
      </c>
      <c r="H83" s="11">
        <v>0.5</v>
      </c>
      <c r="J83" s="1">
        <v>514</v>
      </c>
      <c r="K83" s="1">
        <v>516</v>
      </c>
      <c r="L83" s="1" t="s">
        <v>35</v>
      </c>
      <c r="M83" s="1" t="s">
        <v>150</v>
      </c>
      <c r="N83" s="10">
        <v>46168</v>
      </c>
      <c r="P83" s="1" t="s">
        <v>645</v>
      </c>
      <c r="Q83" s="1" t="s">
        <v>133</v>
      </c>
      <c r="R83" s="1" t="s">
        <v>55</v>
      </c>
      <c r="S83" s="2">
        <v>46167</v>
      </c>
      <c r="T83" s="2">
        <v>46168</v>
      </c>
      <c r="V83" s="1">
        <v>0.5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1</v>
      </c>
      <c r="AE83" s="1">
        <v>0</v>
      </c>
      <c r="AF83" s="1">
        <v>0</v>
      </c>
      <c r="AG83" s="1">
        <v>0</v>
      </c>
    </row>
    <row r="84" spans="1:33" hidden="1" x14ac:dyDescent="0.25">
      <c r="A84" s="1">
        <v>516</v>
      </c>
      <c r="B84" s="1" t="s">
        <v>694</v>
      </c>
      <c r="C84" s="1" t="s">
        <v>690</v>
      </c>
      <c r="D84" s="1" t="s">
        <v>108</v>
      </c>
      <c r="E84" s="1" t="s">
        <v>53</v>
      </c>
      <c r="F84" s="10">
        <v>46206</v>
      </c>
      <c r="G84" s="10">
        <v>46206</v>
      </c>
      <c r="H84" s="11">
        <v>0</v>
      </c>
      <c r="J84" s="1">
        <v>515</v>
      </c>
      <c r="L84" s="1" t="s">
        <v>35</v>
      </c>
      <c r="M84" s="1" t="s">
        <v>409</v>
      </c>
      <c r="N84" s="10">
        <v>46169</v>
      </c>
      <c r="P84" s="1" t="s">
        <v>645</v>
      </c>
      <c r="Q84" s="1" t="s">
        <v>133</v>
      </c>
      <c r="R84" s="1" t="s">
        <v>55</v>
      </c>
      <c r="S84" s="2">
        <v>46169</v>
      </c>
      <c r="T84" s="2">
        <v>46169</v>
      </c>
      <c r="V84" s="1">
        <v>0</v>
      </c>
      <c r="W84" s="1">
        <v>0</v>
      </c>
      <c r="X84" s="1">
        <v>0</v>
      </c>
      <c r="Y84" s="1">
        <v>0</v>
      </c>
      <c r="Z84" s="1">
        <v>1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1</v>
      </c>
      <c r="AG84" s="1">
        <v>0</v>
      </c>
    </row>
    <row r="85" spans="1:33" hidden="1" x14ac:dyDescent="0.25">
      <c r="A85" s="1">
        <v>517</v>
      </c>
      <c r="B85" s="1" t="s">
        <v>695</v>
      </c>
      <c r="C85" s="1" t="s">
        <v>647</v>
      </c>
      <c r="D85" s="1" t="s">
        <v>696</v>
      </c>
      <c r="E85" s="1" t="s">
        <v>609</v>
      </c>
      <c r="F85" s="10">
        <v>46174</v>
      </c>
      <c r="G85" s="10">
        <v>46206</v>
      </c>
      <c r="H85" s="11">
        <v>0.74</v>
      </c>
      <c r="L85" s="1" t="s">
        <v>35</v>
      </c>
      <c r="M85" s="1" t="s">
        <v>142</v>
      </c>
      <c r="N85" s="10">
        <v>46169</v>
      </c>
      <c r="P85" s="1" t="s">
        <v>645</v>
      </c>
      <c r="Q85" s="1" t="s">
        <v>169</v>
      </c>
      <c r="R85" s="1" t="s">
        <v>55</v>
      </c>
      <c r="S85" s="2">
        <v>46162</v>
      </c>
      <c r="T85" s="2">
        <v>46169</v>
      </c>
      <c r="V85" s="1">
        <v>0.74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hidden="1" x14ac:dyDescent="0.25">
      <c r="A86" s="1">
        <v>520</v>
      </c>
      <c r="B86" s="1" t="s">
        <v>700</v>
      </c>
      <c r="C86" s="1" t="s">
        <v>698</v>
      </c>
      <c r="D86" s="1" t="s">
        <v>102</v>
      </c>
      <c r="E86" s="1" t="s">
        <v>685</v>
      </c>
      <c r="F86" s="10">
        <v>46195</v>
      </c>
      <c r="G86" s="10">
        <v>46205</v>
      </c>
      <c r="H86" s="11">
        <v>0.5</v>
      </c>
      <c r="J86" s="1">
        <v>519</v>
      </c>
      <c r="K86" s="1">
        <v>521</v>
      </c>
      <c r="L86" s="1" t="s">
        <v>35</v>
      </c>
      <c r="M86" s="1" t="s">
        <v>150</v>
      </c>
      <c r="N86" s="10">
        <v>46168</v>
      </c>
      <c r="P86" s="1" t="s">
        <v>645</v>
      </c>
      <c r="Q86" s="1" t="s">
        <v>133</v>
      </c>
      <c r="R86" s="1" t="s">
        <v>55</v>
      </c>
      <c r="S86" s="2">
        <v>46167</v>
      </c>
      <c r="T86" s="2">
        <v>46168</v>
      </c>
      <c r="V86" s="1">
        <v>0.5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1</v>
      </c>
      <c r="AE86" s="1">
        <v>0</v>
      </c>
      <c r="AF86" s="1">
        <v>0</v>
      </c>
      <c r="AG86" s="1">
        <v>0</v>
      </c>
    </row>
    <row r="87" spans="1:33" hidden="1" x14ac:dyDescent="0.25">
      <c r="A87" s="1">
        <v>521</v>
      </c>
      <c r="B87" s="1" t="s">
        <v>701</v>
      </c>
      <c r="C87" s="1" t="s">
        <v>698</v>
      </c>
      <c r="D87" s="1" t="s">
        <v>108</v>
      </c>
      <c r="E87" s="1" t="s">
        <v>53</v>
      </c>
      <c r="F87" s="10">
        <v>46206</v>
      </c>
      <c r="G87" s="10">
        <v>46206</v>
      </c>
      <c r="H87" s="11">
        <v>0</v>
      </c>
      <c r="J87" s="1">
        <v>520</v>
      </c>
      <c r="L87" s="1" t="s">
        <v>35</v>
      </c>
      <c r="M87" s="1" t="s">
        <v>409</v>
      </c>
      <c r="N87" s="10">
        <v>46169</v>
      </c>
      <c r="P87" s="1" t="s">
        <v>645</v>
      </c>
      <c r="Q87" s="1" t="s">
        <v>133</v>
      </c>
      <c r="R87" s="1" t="s">
        <v>55</v>
      </c>
      <c r="S87" s="2">
        <v>46169</v>
      </c>
      <c r="T87" s="2">
        <v>46169</v>
      </c>
      <c r="V87" s="1">
        <v>0</v>
      </c>
      <c r="W87" s="1">
        <v>0</v>
      </c>
      <c r="X87" s="1">
        <v>0</v>
      </c>
      <c r="Y87" s="1">
        <v>0</v>
      </c>
      <c r="Z87" s="1">
        <v>1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1</v>
      </c>
      <c r="AG87" s="1">
        <v>0</v>
      </c>
    </row>
    <row r="88" spans="1:33" hidden="1" x14ac:dyDescent="0.25">
      <c r="A88" s="1">
        <v>522</v>
      </c>
      <c r="B88" s="1" t="s">
        <v>702</v>
      </c>
      <c r="C88" s="1" t="s">
        <v>647</v>
      </c>
      <c r="D88" s="1" t="s">
        <v>703</v>
      </c>
      <c r="E88" s="1" t="s">
        <v>704</v>
      </c>
      <c r="F88" s="10">
        <v>46195</v>
      </c>
      <c r="G88" s="10">
        <v>46206</v>
      </c>
      <c r="H88" s="11">
        <v>0.56000000000000005</v>
      </c>
      <c r="L88" s="1" t="s">
        <v>35</v>
      </c>
      <c r="M88" s="1" t="s">
        <v>409</v>
      </c>
      <c r="N88" s="10">
        <v>46188</v>
      </c>
      <c r="P88" s="1" t="s">
        <v>645</v>
      </c>
      <c r="Q88" s="1" t="s">
        <v>178</v>
      </c>
      <c r="R88" s="1" t="s">
        <v>55</v>
      </c>
      <c r="S88" s="2">
        <v>46169</v>
      </c>
      <c r="T88" s="2">
        <v>46188</v>
      </c>
      <c r="V88" s="1">
        <v>0.56000000000000005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</row>
    <row r="89" spans="1:33" hidden="1" x14ac:dyDescent="0.25">
      <c r="A89" s="1">
        <v>524</v>
      </c>
      <c r="B89" s="1" t="s">
        <v>707</v>
      </c>
      <c r="C89" s="1" t="s">
        <v>706</v>
      </c>
      <c r="D89" s="1" t="s">
        <v>98</v>
      </c>
      <c r="E89" s="1" t="s">
        <v>53</v>
      </c>
      <c r="F89" s="10">
        <v>46199</v>
      </c>
      <c r="G89" s="10">
        <v>46199</v>
      </c>
      <c r="H89" s="11">
        <v>0.5</v>
      </c>
      <c r="J89" s="1">
        <v>523</v>
      </c>
      <c r="K89" s="1">
        <v>525</v>
      </c>
      <c r="L89" s="1" t="s">
        <v>35</v>
      </c>
      <c r="M89" s="1" t="s">
        <v>260</v>
      </c>
      <c r="N89" s="10">
        <v>46183</v>
      </c>
      <c r="P89" s="1" t="s">
        <v>645</v>
      </c>
      <c r="Q89" s="1" t="s">
        <v>146</v>
      </c>
      <c r="R89" s="1" t="s">
        <v>55</v>
      </c>
      <c r="S89" s="2">
        <v>46183</v>
      </c>
      <c r="T89" s="2">
        <v>46183</v>
      </c>
      <c r="V89" s="1">
        <v>0.5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1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</row>
    <row r="90" spans="1:33" hidden="1" x14ac:dyDescent="0.25">
      <c r="A90" s="1">
        <v>525</v>
      </c>
      <c r="B90" s="1" t="s">
        <v>708</v>
      </c>
      <c r="C90" s="1" t="s">
        <v>706</v>
      </c>
      <c r="D90" s="1" t="s">
        <v>102</v>
      </c>
      <c r="E90" s="1" t="s">
        <v>121</v>
      </c>
      <c r="F90" s="10">
        <v>46202</v>
      </c>
      <c r="G90" s="10">
        <v>46203</v>
      </c>
      <c r="H90" s="11">
        <v>0</v>
      </c>
      <c r="J90" s="1">
        <v>524</v>
      </c>
      <c r="K90" s="1">
        <v>526</v>
      </c>
      <c r="L90" s="1" t="s">
        <v>35</v>
      </c>
      <c r="M90" s="1" t="s">
        <v>262</v>
      </c>
      <c r="N90" s="10">
        <v>46185</v>
      </c>
      <c r="P90" s="1" t="s">
        <v>645</v>
      </c>
      <c r="Q90" s="1" t="s">
        <v>146</v>
      </c>
      <c r="R90" s="1" t="s">
        <v>55</v>
      </c>
      <c r="S90" s="2">
        <v>46184</v>
      </c>
      <c r="T90" s="2">
        <v>46185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1</v>
      </c>
      <c r="AE90" s="1">
        <v>0</v>
      </c>
      <c r="AF90" s="1">
        <v>0</v>
      </c>
      <c r="AG90" s="1">
        <v>0</v>
      </c>
    </row>
    <row r="91" spans="1:33" hidden="1" x14ac:dyDescent="0.25">
      <c r="A91" s="1">
        <v>526</v>
      </c>
      <c r="B91" s="1" t="s">
        <v>709</v>
      </c>
      <c r="C91" s="1" t="s">
        <v>706</v>
      </c>
      <c r="D91" s="1" t="s">
        <v>108</v>
      </c>
      <c r="E91" s="1" t="s">
        <v>53</v>
      </c>
      <c r="F91" s="10">
        <v>46206</v>
      </c>
      <c r="G91" s="10">
        <v>46206</v>
      </c>
      <c r="H91" s="11">
        <v>0</v>
      </c>
      <c r="J91" s="1">
        <v>525</v>
      </c>
      <c r="L91" s="1" t="s">
        <v>35</v>
      </c>
      <c r="M91" s="1" t="s">
        <v>264</v>
      </c>
      <c r="N91" s="10">
        <v>46188</v>
      </c>
      <c r="P91" s="1" t="s">
        <v>645</v>
      </c>
      <c r="Q91" s="1" t="s">
        <v>146</v>
      </c>
      <c r="R91" s="1" t="s">
        <v>55</v>
      </c>
      <c r="S91" s="2">
        <v>46188</v>
      </c>
      <c r="T91" s="2">
        <v>46188</v>
      </c>
      <c r="V91" s="1">
        <v>0</v>
      </c>
      <c r="W91" s="1">
        <v>0</v>
      </c>
      <c r="X91" s="1">
        <v>0</v>
      </c>
      <c r="Y91" s="1">
        <v>0</v>
      </c>
      <c r="Z91" s="1">
        <v>1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1</v>
      </c>
      <c r="AG91" s="1">
        <v>0</v>
      </c>
    </row>
    <row r="92" spans="1:33" hidden="1" x14ac:dyDescent="0.25">
      <c r="A92" s="1">
        <v>530</v>
      </c>
      <c r="B92" s="1" t="s">
        <v>715</v>
      </c>
      <c r="C92" s="1" t="s">
        <v>713</v>
      </c>
      <c r="D92" s="1" t="s">
        <v>102</v>
      </c>
      <c r="E92" s="1" t="s">
        <v>121</v>
      </c>
      <c r="F92" s="10">
        <v>46209</v>
      </c>
      <c r="G92" s="10">
        <v>46210</v>
      </c>
      <c r="H92" s="11">
        <v>0.5</v>
      </c>
      <c r="J92" s="1">
        <v>529</v>
      </c>
      <c r="K92" s="1">
        <v>531</v>
      </c>
      <c r="L92" s="1" t="s">
        <v>180</v>
      </c>
      <c r="M92" s="1" t="s">
        <v>262</v>
      </c>
      <c r="N92" s="10">
        <v>46185</v>
      </c>
      <c r="P92" s="1" t="s">
        <v>645</v>
      </c>
      <c r="Q92" s="1" t="s">
        <v>178</v>
      </c>
      <c r="R92" s="1" t="s">
        <v>55</v>
      </c>
      <c r="S92" s="2">
        <v>46184</v>
      </c>
      <c r="T92" s="2">
        <v>46185</v>
      </c>
      <c r="V92" s="1">
        <v>0.5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</row>
    <row r="93" spans="1:33" hidden="1" x14ac:dyDescent="0.25">
      <c r="A93" s="1">
        <v>532</v>
      </c>
      <c r="B93" s="1" t="s">
        <v>717</v>
      </c>
      <c r="C93" s="1" t="s">
        <v>647</v>
      </c>
      <c r="D93" s="1" t="s">
        <v>718</v>
      </c>
      <c r="E93" s="1" t="s">
        <v>172</v>
      </c>
      <c r="F93" s="10">
        <v>46197</v>
      </c>
      <c r="G93" s="10">
        <v>46205</v>
      </c>
      <c r="H93" s="11">
        <v>0.5</v>
      </c>
      <c r="L93" s="1" t="s">
        <v>35</v>
      </c>
      <c r="M93" s="1" t="s">
        <v>409</v>
      </c>
      <c r="N93" s="10">
        <v>46188</v>
      </c>
      <c r="P93" s="1" t="s">
        <v>645</v>
      </c>
      <c r="Q93" s="1" t="s">
        <v>178</v>
      </c>
      <c r="R93" s="1" t="s">
        <v>55</v>
      </c>
      <c r="S93" s="2">
        <v>46169</v>
      </c>
      <c r="T93" s="2">
        <v>46188</v>
      </c>
      <c r="V93" s="1">
        <v>0.5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</row>
    <row r="94" spans="1:33" hidden="1" x14ac:dyDescent="0.25">
      <c r="A94" s="1">
        <v>534</v>
      </c>
      <c r="B94" s="1" t="s">
        <v>721</v>
      </c>
      <c r="C94" s="1" t="s">
        <v>720</v>
      </c>
      <c r="D94" s="1" t="s">
        <v>98</v>
      </c>
      <c r="E94" s="1" t="s">
        <v>53</v>
      </c>
      <c r="F94" s="10">
        <v>46202</v>
      </c>
      <c r="G94" s="10">
        <v>46202</v>
      </c>
      <c r="H94" s="11">
        <v>0.5</v>
      </c>
      <c r="J94" s="1">
        <v>533</v>
      </c>
      <c r="K94" s="1">
        <v>535</v>
      </c>
      <c r="L94" s="1" t="s">
        <v>35</v>
      </c>
      <c r="M94" s="1" t="s">
        <v>260</v>
      </c>
      <c r="N94" s="10">
        <v>46183</v>
      </c>
      <c r="P94" s="1" t="s">
        <v>645</v>
      </c>
      <c r="Q94" s="1" t="s">
        <v>146</v>
      </c>
      <c r="R94" s="1" t="s">
        <v>55</v>
      </c>
      <c r="S94" s="2">
        <v>46183</v>
      </c>
      <c r="T94" s="2">
        <v>46183</v>
      </c>
      <c r="V94" s="1">
        <v>0.5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1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</row>
    <row r="95" spans="1:33" hidden="1" x14ac:dyDescent="0.25">
      <c r="A95" s="1">
        <v>535</v>
      </c>
      <c r="B95" s="1" t="s">
        <v>722</v>
      </c>
      <c r="C95" s="1" t="s">
        <v>720</v>
      </c>
      <c r="D95" s="1" t="s">
        <v>102</v>
      </c>
      <c r="E95" s="1" t="s">
        <v>121</v>
      </c>
      <c r="F95" s="10">
        <v>46203</v>
      </c>
      <c r="G95" s="10">
        <v>46204</v>
      </c>
      <c r="H95" s="11">
        <v>0</v>
      </c>
      <c r="J95" s="1">
        <v>534</v>
      </c>
      <c r="K95" s="1">
        <v>536</v>
      </c>
      <c r="L95" s="1" t="s">
        <v>35</v>
      </c>
      <c r="M95" s="1" t="s">
        <v>262</v>
      </c>
      <c r="N95" s="10">
        <v>46185</v>
      </c>
      <c r="P95" s="1" t="s">
        <v>645</v>
      </c>
      <c r="Q95" s="1" t="s">
        <v>146</v>
      </c>
      <c r="R95" s="1" t="s">
        <v>55</v>
      </c>
      <c r="S95" s="2">
        <v>46184</v>
      </c>
      <c r="T95" s="2">
        <v>46185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1</v>
      </c>
      <c r="AE95" s="1">
        <v>0</v>
      </c>
      <c r="AF95" s="1">
        <v>0</v>
      </c>
      <c r="AG95" s="1">
        <v>0</v>
      </c>
    </row>
    <row r="96" spans="1:33" hidden="1" x14ac:dyDescent="0.25">
      <c r="A96" s="1">
        <v>536</v>
      </c>
      <c r="B96" s="1" t="s">
        <v>723</v>
      </c>
      <c r="C96" s="1" t="s">
        <v>720</v>
      </c>
      <c r="D96" s="1" t="s">
        <v>108</v>
      </c>
      <c r="E96" s="1" t="s">
        <v>53</v>
      </c>
      <c r="F96" s="10">
        <v>46205</v>
      </c>
      <c r="G96" s="10">
        <v>46205</v>
      </c>
      <c r="H96" s="11">
        <v>0</v>
      </c>
      <c r="J96" s="1">
        <v>535</v>
      </c>
      <c r="L96" s="1" t="s">
        <v>35</v>
      </c>
      <c r="M96" s="1" t="s">
        <v>264</v>
      </c>
      <c r="N96" s="10">
        <v>46188</v>
      </c>
      <c r="P96" s="1" t="s">
        <v>645</v>
      </c>
      <c r="Q96" s="1" t="s">
        <v>146</v>
      </c>
      <c r="R96" s="1" t="s">
        <v>55</v>
      </c>
      <c r="S96" s="2">
        <v>46188</v>
      </c>
      <c r="T96" s="2">
        <v>46188</v>
      </c>
      <c r="V96" s="1">
        <v>0</v>
      </c>
      <c r="W96" s="1">
        <v>0</v>
      </c>
      <c r="X96" s="1">
        <v>0</v>
      </c>
      <c r="Y96" s="1">
        <v>0</v>
      </c>
      <c r="Z96" s="1">
        <v>1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1</v>
      </c>
      <c r="AG96" s="1">
        <v>0</v>
      </c>
    </row>
    <row r="97" spans="1:33" hidden="1" x14ac:dyDescent="0.25">
      <c r="A97" s="1">
        <v>537</v>
      </c>
      <c r="B97" s="1" t="s">
        <v>724</v>
      </c>
      <c r="C97" s="1" t="s">
        <v>647</v>
      </c>
      <c r="D97" s="1" t="s">
        <v>725</v>
      </c>
      <c r="E97" s="1" t="s">
        <v>594</v>
      </c>
      <c r="F97" s="10">
        <v>46192</v>
      </c>
      <c r="G97" s="10">
        <v>46203</v>
      </c>
      <c r="H97" s="11">
        <v>0.56000000000000005</v>
      </c>
      <c r="L97" s="1" t="s">
        <v>35</v>
      </c>
      <c r="M97" s="1" t="s">
        <v>409</v>
      </c>
      <c r="N97" s="10">
        <v>46188</v>
      </c>
      <c r="P97" s="1" t="s">
        <v>645</v>
      </c>
      <c r="Q97" s="1" t="s">
        <v>133</v>
      </c>
      <c r="R97" s="1" t="s">
        <v>55</v>
      </c>
      <c r="S97" s="2">
        <v>46169</v>
      </c>
      <c r="T97" s="2">
        <v>46188</v>
      </c>
      <c r="V97" s="1">
        <v>0.56000000000000005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</row>
    <row r="98" spans="1:33" hidden="1" x14ac:dyDescent="0.25">
      <c r="A98" s="1">
        <v>539</v>
      </c>
      <c r="B98" s="1" t="s">
        <v>728</v>
      </c>
      <c r="C98" s="1" t="s">
        <v>727</v>
      </c>
      <c r="D98" s="1" t="s">
        <v>98</v>
      </c>
      <c r="E98" s="1" t="s">
        <v>53</v>
      </c>
      <c r="F98" s="10">
        <v>46198</v>
      </c>
      <c r="G98" s="10">
        <v>46198</v>
      </c>
      <c r="H98" s="11">
        <v>0.5</v>
      </c>
      <c r="J98" s="1">
        <v>538</v>
      </c>
      <c r="K98" s="1">
        <v>540</v>
      </c>
      <c r="L98" s="1" t="s">
        <v>35</v>
      </c>
      <c r="M98" s="1" t="s">
        <v>260</v>
      </c>
      <c r="N98" s="10">
        <v>46183</v>
      </c>
      <c r="P98" s="1" t="s">
        <v>645</v>
      </c>
      <c r="Q98" s="1" t="s">
        <v>178</v>
      </c>
      <c r="R98" s="1" t="s">
        <v>55</v>
      </c>
      <c r="S98" s="2">
        <v>46183</v>
      </c>
      <c r="T98" s="2">
        <v>46183</v>
      </c>
      <c r="V98" s="1">
        <v>0.5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1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</row>
    <row r="99" spans="1:33" hidden="1" x14ac:dyDescent="0.25">
      <c r="A99" s="1">
        <v>540</v>
      </c>
      <c r="B99" s="1" t="s">
        <v>729</v>
      </c>
      <c r="C99" s="1" t="s">
        <v>727</v>
      </c>
      <c r="D99" s="1" t="s">
        <v>102</v>
      </c>
      <c r="E99" s="1" t="s">
        <v>121</v>
      </c>
      <c r="F99" s="10">
        <v>46199</v>
      </c>
      <c r="G99" s="10">
        <v>46202</v>
      </c>
      <c r="H99" s="11">
        <v>0</v>
      </c>
      <c r="J99" s="1">
        <v>539</v>
      </c>
      <c r="K99" s="1">
        <v>541</v>
      </c>
      <c r="L99" s="1" t="s">
        <v>35</v>
      </c>
      <c r="M99" s="1" t="s">
        <v>262</v>
      </c>
      <c r="N99" s="10">
        <v>46185</v>
      </c>
      <c r="P99" s="1" t="s">
        <v>645</v>
      </c>
      <c r="Q99" s="1" t="s">
        <v>178</v>
      </c>
      <c r="R99" s="1" t="s">
        <v>55</v>
      </c>
      <c r="S99" s="2">
        <v>46184</v>
      </c>
      <c r="T99" s="2">
        <v>46185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1</v>
      </c>
      <c r="AE99" s="1">
        <v>0</v>
      </c>
      <c r="AF99" s="1">
        <v>0</v>
      </c>
      <c r="AG99" s="1">
        <v>0</v>
      </c>
    </row>
    <row r="100" spans="1:33" hidden="1" x14ac:dyDescent="0.25">
      <c r="A100" s="1">
        <v>541</v>
      </c>
      <c r="B100" s="1" t="s">
        <v>730</v>
      </c>
      <c r="C100" s="1" t="s">
        <v>727</v>
      </c>
      <c r="D100" s="1" t="s">
        <v>108</v>
      </c>
      <c r="E100" s="1" t="s">
        <v>53</v>
      </c>
      <c r="F100" s="10">
        <v>46203</v>
      </c>
      <c r="G100" s="10">
        <v>46203</v>
      </c>
      <c r="H100" s="11">
        <v>0</v>
      </c>
      <c r="J100" s="1">
        <v>540</v>
      </c>
      <c r="L100" s="1" t="s">
        <v>35</v>
      </c>
      <c r="M100" s="1" t="s">
        <v>264</v>
      </c>
      <c r="N100" s="10">
        <v>46188</v>
      </c>
      <c r="P100" s="1" t="s">
        <v>645</v>
      </c>
      <c r="Q100" s="1" t="s">
        <v>146</v>
      </c>
      <c r="R100" s="1" t="s">
        <v>55</v>
      </c>
      <c r="S100" s="2">
        <v>46188</v>
      </c>
      <c r="T100" s="2">
        <v>46188</v>
      </c>
      <c r="V100" s="1">
        <v>0</v>
      </c>
      <c r="W100" s="1">
        <v>0</v>
      </c>
      <c r="X100" s="1">
        <v>0</v>
      </c>
      <c r="Y100" s="1">
        <v>0</v>
      </c>
      <c r="Z100" s="1">
        <v>1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</row>
    <row r="101" spans="1:33" x14ac:dyDescent="0.25">
      <c r="A101" s="1">
        <v>543</v>
      </c>
      <c r="B101" s="1" t="s">
        <v>733</v>
      </c>
      <c r="C101" s="1" t="s">
        <v>734</v>
      </c>
      <c r="D101" s="1" t="s">
        <v>94</v>
      </c>
      <c r="E101" s="1" t="s">
        <v>525</v>
      </c>
      <c r="F101" s="10">
        <v>46204</v>
      </c>
      <c r="G101" s="10">
        <v>46209</v>
      </c>
      <c r="H101" s="11">
        <v>0.5</v>
      </c>
      <c r="K101" s="1" t="s">
        <v>735</v>
      </c>
      <c r="L101" s="1" t="s">
        <v>35</v>
      </c>
      <c r="M101" s="1" t="s">
        <v>260</v>
      </c>
      <c r="N101" s="10">
        <v>46185</v>
      </c>
      <c r="P101" s="1" t="s">
        <v>645</v>
      </c>
      <c r="Q101" s="1" t="s">
        <v>133</v>
      </c>
      <c r="R101" s="1" t="s">
        <v>55</v>
      </c>
      <c r="S101" s="2">
        <v>46183</v>
      </c>
      <c r="T101" s="2">
        <v>46185</v>
      </c>
      <c r="V101" s="1">
        <v>0.5</v>
      </c>
      <c r="W101" s="1">
        <v>1</v>
      </c>
      <c r="X101" s="1">
        <v>0</v>
      </c>
      <c r="Y101" s="1">
        <v>1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</row>
    <row r="102" spans="1:33" hidden="1" x14ac:dyDescent="0.25">
      <c r="A102" s="1">
        <v>544</v>
      </c>
      <c r="B102" s="1" t="s">
        <v>736</v>
      </c>
      <c r="C102" s="1" t="s">
        <v>734</v>
      </c>
      <c r="D102" s="1" t="s">
        <v>98</v>
      </c>
      <c r="E102" s="1" t="s">
        <v>53</v>
      </c>
      <c r="F102" s="10">
        <v>46210</v>
      </c>
      <c r="G102" s="10">
        <v>46210</v>
      </c>
      <c r="H102" s="11">
        <v>0</v>
      </c>
      <c r="J102" s="1">
        <v>543</v>
      </c>
      <c r="K102" s="1">
        <v>545</v>
      </c>
      <c r="L102" s="1" t="s">
        <v>180</v>
      </c>
      <c r="M102" s="1" t="s">
        <v>264</v>
      </c>
      <c r="N102" s="10">
        <v>46188</v>
      </c>
      <c r="P102" s="1" t="s">
        <v>645</v>
      </c>
      <c r="Q102" s="1" t="s">
        <v>178</v>
      </c>
      <c r="R102" s="1" t="s">
        <v>55</v>
      </c>
      <c r="S102" s="2">
        <v>46188</v>
      </c>
      <c r="T102" s="2">
        <v>46188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</row>
    <row r="103" spans="1:33" hidden="1" x14ac:dyDescent="0.25">
      <c r="A103" s="1">
        <v>567</v>
      </c>
      <c r="B103" s="1" t="s">
        <v>756</v>
      </c>
      <c r="C103" s="1" t="s">
        <v>647</v>
      </c>
      <c r="D103" s="1" t="s">
        <v>757</v>
      </c>
      <c r="E103" s="1" t="s">
        <v>758</v>
      </c>
      <c r="F103" s="10">
        <v>46190</v>
      </c>
      <c r="G103" s="10">
        <v>46210</v>
      </c>
      <c r="H103" s="11">
        <v>0.87</v>
      </c>
      <c r="L103" s="1" t="s">
        <v>35</v>
      </c>
      <c r="M103" s="1" t="s">
        <v>323</v>
      </c>
      <c r="N103" s="10">
        <v>46210</v>
      </c>
      <c r="P103" s="1" t="s">
        <v>645</v>
      </c>
      <c r="Q103" s="1" t="s">
        <v>133</v>
      </c>
      <c r="R103" s="1" t="s">
        <v>55</v>
      </c>
      <c r="S103" s="2">
        <v>46191</v>
      </c>
      <c r="T103" s="2">
        <v>46210</v>
      </c>
      <c r="V103" s="1">
        <v>0.87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</row>
    <row r="104" spans="1:33" hidden="1" x14ac:dyDescent="0.25">
      <c r="A104" s="1">
        <v>570</v>
      </c>
      <c r="B104" s="1" t="s">
        <v>763</v>
      </c>
      <c r="C104" s="1" t="s">
        <v>760</v>
      </c>
      <c r="D104" s="1" t="s">
        <v>102</v>
      </c>
      <c r="E104" s="1" t="s">
        <v>53</v>
      </c>
      <c r="F104" s="10">
        <v>46209</v>
      </c>
      <c r="G104" s="10">
        <v>46209</v>
      </c>
      <c r="H104" s="11">
        <v>0</v>
      </c>
      <c r="J104" s="1">
        <v>569</v>
      </c>
      <c r="K104" s="1">
        <v>571</v>
      </c>
      <c r="L104" s="1" t="s">
        <v>35</v>
      </c>
      <c r="M104" s="1" t="s">
        <v>191</v>
      </c>
      <c r="N104" s="10">
        <v>46209</v>
      </c>
      <c r="P104" s="1" t="s">
        <v>645</v>
      </c>
      <c r="Q104" s="1" t="s">
        <v>178</v>
      </c>
      <c r="R104" s="1" t="s">
        <v>55</v>
      </c>
      <c r="S104" s="2">
        <v>46206</v>
      </c>
      <c r="T104" s="2">
        <v>46209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1</v>
      </c>
      <c r="AE104" s="1">
        <v>0</v>
      </c>
      <c r="AF104" s="1">
        <v>0</v>
      </c>
      <c r="AG104" s="1">
        <v>0</v>
      </c>
    </row>
    <row r="105" spans="1:33" hidden="1" x14ac:dyDescent="0.25">
      <c r="A105" s="1">
        <v>571</v>
      </c>
      <c r="B105" s="1" t="s">
        <v>764</v>
      </c>
      <c r="C105" s="1" t="s">
        <v>760</v>
      </c>
      <c r="D105" s="1" t="s">
        <v>108</v>
      </c>
      <c r="E105" s="1" t="s">
        <v>53</v>
      </c>
      <c r="F105" s="10">
        <v>46210</v>
      </c>
      <c r="G105" s="10">
        <v>46210</v>
      </c>
      <c r="H105" s="11">
        <v>0</v>
      </c>
      <c r="J105" s="1">
        <v>570</v>
      </c>
      <c r="L105" s="1" t="s">
        <v>180</v>
      </c>
      <c r="M105" s="1" t="s">
        <v>295</v>
      </c>
      <c r="N105" s="10">
        <v>46210</v>
      </c>
      <c r="P105" s="1" t="s">
        <v>645</v>
      </c>
      <c r="Q105" s="1" t="s">
        <v>178</v>
      </c>
      <c r="R105" s="1" t="s">
        <v>55</v>
      </c>
      <c r="S105" s="2">
        <v>46210</v>
      </c>
      <c r="T105" s="2">
        <v>46210</v>
      </c>
      <c r="V105" s="1">
        <v>0</v>
      </c>
      <c r="W105" s="1">
        <v>0</v>
      </c>
      <c r="X105" s="1">
        <v>0</v>
      </c>
      <c r="Y105" s="1">
        <v>0</v>
      </c>
      <c r="Z105" s="1">
        <v>1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</row>
    <row r="106" spans="1:33" hidden="1" x14ac:dyDescent="0.25">
      <c r="A106" s="1">
        <v>572</v>
      </c>
      <c r="B106" s="1" t="s">
        <v>765</v>
      </c>
      <c r="C106" s="1" t="s">
        <v>647</v>
      </c>
      <c r="D106" s="1" t="s">
        <v>766</v>
      </c>
      <c r="E106" s="1" t="s">
        <v>758</v>
      </c>
      <c r="F106" s="10">
        <v>46190</v>
      </c>
      <c r="G106" s="10">
        <v>46210</v>
      </c>
      <c r="H106" s="11">
        <v>0.87</v>
      </c>
      <c r="L106" s="1" t="s">
        <v>35</v>
      </c>
      <c r="M106" s="1" t="s">
        <v>323</v>
      </c>
      <c r="N106" s="10">
        <v>46210</v>
      </c>
      <c r="P106" s="1" t="s">
        <v>645</v>
      </c>
      <c r="Q106" s="1" t="s">
        <v>133</v>
      </c>
      <c r="R106" s="1" t="s">
        <v>55</v>
      </c>
      <c r="S106" s="2">
        <v>46191</v>
      </c>
      <c r="T106" s="2">
        <v>46210</v>
      </c>
      <c r="V106" s="1">
        <v>0.87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</row>
    <row r="107" spans="1:33" hidden="1" x14ac:dyDescent="0.25">
      <c r="A107" s="1">
        <v>575</v>
      </c>
      <c r="B107" s="1" t="s">
        <v>772</v>
      </c>
      <c r="C107" s="1" t="s">
        <v>768</v>
      </c>
      <c r="D107" s="1" t="s">
        <v>102</v>
      </c>
      <c r="E107" s="1" t="s">
        <v>53</v>
      </c>
      <c r="F107" s="10">
        <v>46209</v>
      </c>
      <c r="G107" s="10">
        <v>46209</v>
      </c>
      <c r="H107" s="11">
        <v>0</v>
      </c>
      <c r="J107" s="1">
        <v>574</v>
      </c>
      <c r="K107" s="1">
        <v>576</v>
      </c>
      <c r="L107" s="1" t="s">
        <v>35</v>
      </c>
      <c r="M107" s="1" t="s">
        <v>191</v>
      </c>
      <c r="N107" s="10">
        <v>46209</v>
      </c>
      <c r="P107" s="1" t="s">
        <v>645</v>
      </c>
      <c r="Q107" s="1" t="s">
        <v>178</v>
      </c>
      <c r="R107" s="1" t="s">
        <v>55</v>
      </c>
      <c r="S107" s="2">
        <v>46206</v>
      </c>
      <c r="T107" s="2">
        <v>46209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1</v>
      </c>
      <c r="AE107" s="1">
        <v>0</v>
      </c>
      <c r="AF107" s="1">
        <v>0</v>
      </c>
      <c r="AG107" s="1">
        <v>0</v>
      </c>
    </row>
    <row r="108" spans="1:33" hidden="1" x14ac:dyDescent="0.25">
      <c r="A108" s="1">
        <v>576</v>
      </c>
      <c r="B108" s="1" t="s">
        <v>773</v>
      </c>
      <c r="C108" s="1" t="s">
        <v>768</v>
      </c>
      <c r="D108" s="1" t="s">
        <v>108</v>
      </c>
      <c r="E108" s="1" t="s">
        <v>53</v>
      </c>
      <c r="F108" s="10">
        <v>46210</v>
      </c>
      <c r="G108" s="10">
        <v>46210</v>
      </c>
      <c r="H108" s="11">
        <v>0</v>
      </c>
      <c r="J108" s="1">
        <v>575</v>
      </c>
      <c r="L108" s="1" t="s">
        <v>180</v>
      </c>
      <c r="M108" s="1" t="s">
        <v>295</v>
      </c>
      <c r="N108" s="10">
        <v>46210</v>
      </c>
      <c r="P108" s="1" t="s">
        <v>645</v>
      </c>
      <c r="Q108" s="1" t="s">
        <v>146</v>
      </c>
      <c r="R108" s="1" t="s">
        <v>55</v>
      </c>
      <c r="S108" s="2">
        <v>46210</v>
      </c>
      <c r="T108" s="2">
        <v>46210</v>
      </c>
      <c r="V108" s="1">
        <v>0</v>
      </c>
      <c r="W108" s="1">
        <v>0</v>
      </c>
      <c r="X108" s="1">
        <v>0</v>
      </c>
      <c r="Y108" s="1">
        <v>0</v>
      </c>
      <c r="Z108" s="1">
        <v>1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</row>
    <row r="109" spans="1:33" hidden="1" x14ac:dyDescent="0.25">
      <c r="A109" s="1">
        <v>577</v>
      </c>
      <c r="B109" s="1" t="s">
        <v>774</v>
      </c>
      <c r="C109" s="1" t="s">
        <v>647</v>
      </c>
      <c r="D109" s="1" t="s">
        <v>775</v>
      </c>
      <c r="E109" s="1" t="s">
        <v>758</v>
      </c>
      <c r="F109" s="10">
        <v>46190</v>
      </c>
      <c r="G109" s="10">
        <v>46210</v>
      </c>
      <c r="H109" s="11">
        <v>0.87</v>
      </c>
      <c r="L109" s="1" t="s">
        <v>35</v>
      </c>
      <c r="M109" s="1" t="s">
        <v>323</v>
      </c>
      <c r="N109" s="10">
        <v>46210</v>
      </c>
      <c r="P109" s="1" t="s">
        <v>645</v>
      </c>
      <c r="Q109" s="1" t="s">
        <v>133</v>
      </c>
      <c r="R109" s="1" t="s">
        <v>55</v>
      </c>
      <c r="S109" s="2">
        <v>46191</v>
      </c>
      <c r="T109" s="2">
        <v>46210</v>
      </c>
      <c r="V109" s="1">
        <v>0.87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</row>
    <row r="110" spans="1:33" hidden="1" x14ac:dyDescent="0.25">
      <c r="A110" s="1">
        <v>580</v>
      </c>
      <c r="B110" s="1" t="s">
        <v>779</v>
      </c>
      <c r="C110" s="1" t="s">
        <v>777</v>
      </c>
      <c r="D110" s="1" t="s">
        <v>102</v>
      </c>
      <c r="E110" s="1" t="s">
        <v>53</v>
      </c>
      <c r="F110" s="10">
        <v>46209</v>
      </c>
      <c r="G110" s="10">
        <v>46209</v>
      </c>
      <c r="H110" s="11">
        <v>0</v>
      </c>
      <c r="J110" s="1">
        <v>579</v>
      </c>
      <c r="K110" s="1">
        <v>581</v>
      </c>
      <c r="L110" s="1" t="s">
        <v>35</v>
      </c>
      <c r="M110" s="1" t="s">
        <v>191</v>
      </c>
      <c r="N110" s="10">
        <v>46209</v>
      </c>
      <c r="P110" s="1" t="s">
        <v>645</v>
      </c>
      <c r="Q110" s="1" t="s">
        <v>178</v>
      </c>
      <c r="R110" s="1" t="s">
        <v>55</v>
      </c>
      <c r="S110" s="2">
        <v>46206</v>
      </c>
      <c r="T110" s="2">
        <v>46209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1</v>
      </c>
      <c r="AE110" s="1">
        <v>0</v>
      </c>
      <c r="AF110" s="1">
        <v>0</v>
      </c>
      <c r="AG110" s="1">
        <v>0</v>
      </c>
    </row>
    <row r="111" spans="1:33" hidden="1" x14ac:dyDescent="0.25">
      <c r="A111" s="1">
        <v>581</v>
      </c>
      <c r="B111" s="1" t="s">
        <v>780</v>
      </c>
      <c r="C111" s="1" t="s">
        <v>777</v>
      </c>
      <c r="D111" s="1" t="s">
        <v>108</v>
      </c>
      <c r="E111" s="1" t="s">
        <v>53</v>
      </c>
      <c r="F111" s="10">
        <v>46210</v>
      </c>
      <c r="G111" s="10">
        <v>46210</v>
      </c>
      <c r="H111" s="11">
        <v>0</v>
      </c>
      <c r="J111" s="1">
        <v>580</v>
      </c>
      <c r="L111" s="1" t="s">
        <v>180</v>
      </c>
      <c r="M111" s="1" t="s">
        <v>295</v>
      </c>
      <c r="N111" s="10">
        <v>46210</v>
      </c>
      <c r="P111" s="1" t="s">
        <v>645</v>
      </c>
      <c r="Q111" s="1" t="s">
        <v>146</v>
      </c>
      <c r="R111" s="1" t="s">
        <v>55</v>
      </c>
      <c r="S111" s="2">
        <v>46210</v>
      </c>
      <c r="T111" s="2">
        <v>46210</v>
      </c>
      <c r="V111" s="1">
        <v>0</v>
      </c>
      <c r="W111" s="1">
        <v>0</v>
      </c>
      <c r="X111" s="1">
        <v>0</v>
      </c>
      <c r="Y111" s="1">
        <v>0</v>
      </c>
      <c r="Z111" s="1">
        <v>1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</row>
    <row r="112" spans="1:33" hidden="1" x14ac:dyDescent="0.25">
      <c r="A112" s="1">
        <v>582</v>
      </c>
      <c r="B112" s="1" t="s">
        <v>781</v>
      </c>
      <c r="C112" s="1" t="s">
        <v>647</v>
      </c>
      <c r="D112" s="1" t="s">
        <v>782</v>
      </c>
      <c r="E112" s="1" t="s">
        <v>758</v>
      </c>
      <c r="F112" s="10">
        <v>46190</v>
      </c>
      <c r="G112" s="10">
        <v>46210</v>
      </c>
      <c r="H112" s="11">
        <v>0.87</v>
      </c>
      <c r="L112" s="1" t="s">
        <v>35</v>
      </c>
      <c r="M112" s="1" t="s">
        <v>323</v>
      </c>
      <c r="N112" s="10">
        <v>46210</v>
      </c>
      <c r="P112" s="1" t="s">
        <v>645</v>
      </c>
      <c r="Q112" s="1" t="s">
        <v>133</v>
      </c>
      <c r="R112" s="1" t="s">
        <v>55</v>
      </c>
      <c r="S112" s="2">
        <v>46191</v>
      </c>
      <c r="T112" s="2">
        <v>46210</v>
      </c>
      <c r="V112" s="1">
        <v>0.87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</row>
    <row r="113" spans="1:33" hidden="1" x14ac:dyDescent="0.25">
      <c r="A113" s="1">
        <v>585</v>
      </c>
      <c r="B113" s="1" t="s">
        <v>786</v>
      </c>
      <c r="C113" s="1" t="s">
        <v>784</v>
      </c>
      <c r="D113" s="1" t="s">
        <v>102</v>
      </c>
      <c r="E113" s="1" t="s">
        <v>53</v>
      </c>
      <c r="F113" s="10">
        <v>46209</v>
      </c>
      <c r="G113" s="10">
        <v>46209</v>
      </c>
      <c r="H113" s="11">
        <v>0</v>
      </c>
      <c r="J113" s="1">
        <v>584</v>
      </c>
      <c r="K113" s="1">
        <v>586</v>
      </c>
      <c r="L113" s="1" t="s">
        <v>35</v>
      </c>
      <c r="M113" s="1" t="s">
        <v>191</v>
      </c>
      <c r="N113" s="10">
        <v>46209</v>
      </c>
      <c r="P113" s="1" t="s">
        <v>645</v>
      </c>
      <c r="Q113" s="1" t="s">
        <v>178</v>
      </c>
      <c r="R113" s="1" t="s">
        <v>55</v>
      </c>
      <c r="S113" s="2">
        <v>46206</v>
      </c>
      <c r="T113" s="2">
        <v>46209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1</v>
      </c>
      <c r="AE113" s="1">
        <v>0</v>
      </c>
      <c r="AF113" s="1">
        <v>0</v>
      </c>
      <c r="AG113" s="1">
        <v>0</v>
      </c>
    </row>
    <row r="114" spans="1:33" hidden="1" x14ac:dyDescent="0.25">
      <c r="A114" s="1">
        <v>586</v>
      </c>
      <c r="B114" s="1" t="s">
        <v>787</v>
      </c>
      <c r="C114" s="1" t="s">
        <v>784</v>
      </c>
      <c r="D114" s="1" t="s">
        <v>108</v>
      </c>
      <c r="E114" s="1" t="s">
        <v>53</v>
      </c>
      <c r="F114" s="10">
        <v>46210</v>
      </c>
      <c r="G114" s="10">
        <v>46210</v>
      </c>
      <c r="H114" s="11">
        <v>0</v>
      </c>
      <c r="J114" s="1">
        <v>585</v>
      </c>
      <c r="L114" s="1" t="s">
        <v>180</v>
      </c>
      <c r="M114" s="1" t="s">
        <v>295</v>
      </c>
      <c r="N114" s="10">
        <v>46210</v>
      </c>
      <c r="P114" s="1" t="s">
        <v>645</v>
      </c>
      <c r="Q114" s="1" t="s">
        <v>146</v>
      </c>
      <c r="R114" s="1" t="s">
        <v>55</v>
      </c>
      <c r="S114" s="2">
        <v>46210</v>
      </c>
      <c r="T114" s="2">
        <v>46210</v>
      </c>
      <c r="V114" s="1">
        <v>0</v>
      </c>
      <c r="W114" s="1">
        <v>0</v>
      </c>
      <c r="X114" s="1">
        <v>0</v>
      </c>
      <c r="Y114" s="1">
        <v>0</v>
      </c>
      <c r="Z114" s="1">
        <v>1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</row>
    <row r="115" spans="1:33" hidden="1" x14ac:dyDescent="0.25">
      <c r="A115" s="1">
        <v>587</v>
      </c>
      <c r="B115" s="1" t="s">
        <v>788</v>
      </c>
      <c r="C115" s="1" t="s">
        <v>647</v>
      </c>
      <c r="D115" s="1" t="s">
        <v>789</v>
      </c>
      <c r="E115" s="1" t="s">
        <v>758</v>
      </c>
      <c r="F115" s="10">
        <v>46190</v>
      </c>
      <c r="G115" s="10">
        <v>46210</v>
      </c>
      <c r="H115" s="11">
        <v>0.87</v>
      </c>
      <c r="L115" s="1" t="s">
        <v>35</v>
      </c>
      <c r="M115" s="1" t="s">
        <v>323</v>
      </c>
      <c r="N115" s="10">
        <v>46210</v>
      </c>
      <c r="P115" s="1" t="s">
        <v>645</v>
      </c>
      <c r="Q115" s="1" t="s">
        <v>133</v>
      </c>
      <c r="R115" s="1" t="s">
        <v>55</v>
      </c>
      <c r="S115" s="2">
        <v>46191</v>
      </c>
      <c r="T115" s="2">
        <v>46210</v>
      </c>
      <c r="V115" s="1">
        <v>0.87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</row>
    <row r="116" spans="1:33" hidden="1" x14ac:dyDescent="0.25">
      <c r="A116" s="1">
        <v>590</v>
      </c>
      <c r="B116" s="1" t="s">
        <v>793</v>
      </c>
      <c r="C116" s="1" t="s">
        <v>791</v>
      </c>
      <c r="D116" s="1" t="s">
        <v>102</v>
      </c>
      <c r="E116" s="1" t="s">
        <v>53</v>
      </c>
      <c r="F116" s="10">
        <v>46209</v>
      </c>
      <c r="G116" s="10">
        <v>46209</v>
      </c>
      <c r="H116" s="11">
        <v>0</v>
      </c>
      <c r="J116" s="1">
        <v>589</v>
      </c>
      <c r="K116" s="1">
        <v>591</v>
      </c>
      <c r="L116" s="1" t="s">
        <v>35</v>
      </c>
      <c r="M116" s="1" t="s">
        <v>191</v>
      </c>
      <c r="N116" s="10">
        <v>46209</v>
      </c>
      <c r="P116" s="1" t="s">
        <v>645</v>
      </c>
      <c r="Q116" s="1" t="s">
        <v>178</v>
      </c>
      <c r="R116" s="1" t="s">
        <v>55</v>
      </c>
      <c r="S116" s="2">
        <v>46206</v>
      </c>
      <c r="T116" s="2">
        <v>46209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1</v>
      </c>
      <c r="AE116" s="1">
        <v>0</v>
      </c>
      <c r="AF116" s="1">
        <v>0</v>
      </c>
      <c r="AG116" s="1">
        <v>0</v>
      </c>
    </row>
    <row r="117" spans="1:33" hidden="1" x14ac:dyDescent="0.25">
      <c r="A117" s="1">
        <v>591</v>
      </c>
      <c r="B117" s="1" t="s">
        <v>794</v>
      </c>
      <c r="C117" s="1" t="s">
        <v>791</v>
      </c>
      <c r="D117" s="1" t="s">
        <v>108</v>
      </c>
      <c r="E117" s="1" t="s">
        <v>53</v>
      </c>
      <c r="F117" s="10">
        <v>46210</v>
      </c>
      <c r="G117" s="10">
        <v>46210</v>
      </c>
      <c r="H117" s="11">
        <v>0</v>
      </c>
      <c r="J117" s="1">
        <v>590</v>
      </c>
      <c r="L117" s="1" t="s">
        <v>180</v>
      </c>
      <c r="M117" s="1" t="s">
        <v>295</v>
      </c>
      <c r="N117" s="10">
        <v>46210</v>
      </c>
      <c r="P117" s="1" t="s">
        <v>645</v>
      </c>
      <c r="Q117" s="1" t="s">
        <v>146</v>
      </c>
      <c r="R117" s="1" t="s">
        <v>55</v>
      </c>
      <c r="S117" s="2">
        <v>46210</v>
      </c>
      <c r="T117" s="2">
        <v>46210</v>
      </c>
      <c r="V117" s="1">
        <v>0</v>
      </c>
      <c r="W117" s="1">
        <v>0</v>
      </c>
      <c r="X117" s="1">
        <v>0</v>
      </c>
      <c r="Y117" s="1">
        <v>0</v>
      </c>
      <c r="Z117" s="1">
        <v>1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</row>
    <row r="118" spans="1:33" hidden="1" x14ac:dyDescent="0.25">
      <c r="A118" s="1">
        <v>592</v>
      </c>
      <c r="B118" s="1" t="s">
        <v>795</v>
      </c>
      <c r="C118" s="1" t="s">
        <v>647</v>
      </c>
      <c r="D118" s="1" t="s">
        <v>796</v>
      </c>
      <c r="E118" s="1" t="s">
        <v>758</v>
      </c>
      <c r="F118" s="10">
        <v>46190</v>
      </c>
      <c r="G118" s="10">
        <v>46210</v>
      </c>
      <c r="H118" s="11">
        <v>0.87</v>
      </c>
      <c r="L118" s="1" t="s">
        <v>35</v>
      </c>
      <c r="M118" s="1" t="s">
        <v>323</v>
      </c>
      <c r="N118" s="10">
        <v>46210</v>
      </c>
      <c r="P118" s="1" t="s">
        <v>645</v>
      </c>
      <c r="Q118" s="1" t="s">
        <v>133</v>
      </c>
      <c r="R118" s="1" t="s">
        <v>55</v>
      </c>
      <c r="S118" s="2">
        <v>46191</v>
      </c>
      <c r="T118" s="2">
        <v>46210</v>
      </c>
      <c r="V118" s="1">
        <v>0.87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</row>
    <row r="119" spans="1:33" hidden="1" x14ac:dyDescent="0.25">
      <c r="A119" s="1">
        <v>595</v>
      </c>
      <c r="B119" s="1" t="s">
        <v>800</v>
      </c>
      <c r="C119" s="1" t="s">
        <v>798</v>
      </c>
      <c r="D119" s="1" t="s">
        <v>102</v>
      </c>
      <c r="E119" s="1" t="s">
        <v>53</v>
      </c>
      <c r="F119" s="10">
        <v>46209</v>
      </c>
      <c r="G119" s="10">
        <v>46209</v>
      </c>
      <c r="H119" s="11">
        <v>0</v>
      </c>
      <c r="J119" s="1">
        <v>594</v>
      </c>
      <c r="K119" s="1">
        <v>596</v>
      </c>
      <c r="L119" s="1" t="s">
        <v>35</v>
      </c>
      <c r="M119" s="1" t="s">
        <v>191</v>
      </c>
      <c r="N119" s="10">
        <v>46209</v>
      </c>
      <c r="P119" s="1" t="s">
        <v>645</v>
      </c>
      <c r="Q119" s="1" t="s">
        <v>178</v>
      </c>
      <c r="R119" s="1" t="s">
        <v>55</v>
      </c>
      <c r="S119" s="2">
        <v>46206</v>
      </c>
      <c r="T119" s="2">
        <v>46209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1</v>
      </c>
      <c r="AE119" s="1">
        <v>0</v>
      </c>
      <c r="AF119" s="1">
        <v>0</v>
      </c>
      <c r="AG119" s="1">
        <v>0</v>
      </c>
    </row>
    <row r="120" spans="1:33" hidden="1" x14ac:dyDescent="0.25">
      <c r="A120" s="1">
        <v>596</v>
      </c>
      <c r="B120" s="1" t="s">
        <v>801</v>
      </c>
      <c r="C120" s="1" t="s">
        <v>798</v>
      </c>
      <c r="D120" s="1" t="s">
        <v>108</v>
      </c>
      <c r="E120" s="1" t="s">
        <v>53</v>
      </c>
      <c r="F120" s="10">
        <v>46210</v>
      </c>
      <c r="G120" s="10">
        <v>46210</v>
      </c>
      <c r="H120" s="11">
        <v>0</v>
      </c>
      <c r="J120" s="1">
        <v>595</v>
      </c>
      <c r="L120" s="1" t="s">
        <v>180</v>
      </c>
      <c r="M120" s="1" t="s">
        <v>295</v>
      </c>
      <c r="N120" s="10">
        <v>46210</v>
      </c>
      <c r="P120" s="1" t="s">
        <v>645</v>
      </c>
      <c r="Q120" s="1" t="s">
        <v>146</v>
      </c>
      <c r="R120" s="1" t="s">
        <v>55</v>
      </c>
      <c r="S120" s="2">
        <v>46210</v>
      </c>
      <c r="T120" s="2">
        <v>46210</v>
      </c>
      <c r="V120" s="1">
        <v>0</v>
      </c>
      <c r="W120" s="1">
        <v>0</v>
      </c>
      <c r="X120" s="1">
        <v>0</v>
      </c>
      <c r="Y120" s="1">
        <v>0</v>
      </c>
      <c r="Z120" s="1">
        <v>1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</row>
    <row r="121" spans="1:33" hidden="1" x14ac:dyDescent="0.25">
      <c r="A121" s="1">
        <v>597</v>
      </c>
      <c r="B121" s="1" t="s">
        <v>802</v>
      </c>
      <c r="C121" s="1" t="s">
        <v>647</v>
      </c>
      <c r="D121" s="1" t="s">
        <v>803</v>
      </c>
      <c r="E121" s="1" t="s">
        <v>758</v>
      </c>
      <c r="F121" s="10">
        <v>46190</v>
      </c>
      <c r="G121" s="10">
        <v>46210</v>
      </c>
      <c r="H121" s="11">
        <v>0.87</v>
      </c>
      <c r="L121" s="1" t="s">
        <v>35</v>
      </c>
      <c r="M121" s="1" t="s">
        <v>323</v>
      </c>
      <c r="N121" s="10">
        <v>46210</v>
      </c>
      <c r="P121" s="1" t="s">
        <v>645</v>
      </c>
      <c r="Q121" s="1" t="s">
        <v>133</v>
      </c>
      <c r="R121" s="1" t="s">
        <v>55</v>
      </c>
      <c r="S121" s="2">
        <v>46191</v>
      </c>
      <c r="T121" s="2">
        <v>46210</v>
      </c>
      <c r="V121" s="1">
        <v>0.87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</row>
    <row r="122" spans="1:33" hidden="1" x14ac:dyDescent="0.25">
      <c r="A122" s="1">
        <v>600</v>
      </c>
      <c r="B122" s="1" t="s">
        <v>807</v>
      </c>
      <c r="C122" s="1" t="s">
        <v>805</v>
      </c>
      <c r="D122" s="1" t="s">
        <v>102</v>
      </c>
      <c r="E122" s="1" t="s">
        <v>53</v>
      </c>
      <c r="F122" s="10">
        <v>46209</v>
      </c>
      <c r="G122" s="10">
        <v>46209</v>
      </c>
      <c r="H122" s="11">
        <v>0</v>
      </c>
      <c r="J122" s="1">
        <v>599</v>
      </c>
      <c r="K122" s="1">
        <v>601</v>
      </c>
      <c r="L122" s="1" t="s">
        <v>35</v>
      </c>
      <c r="M122" s="1" t="s">
        <v>191</v>
      </c>
      <c r="N122" s="10">
        <v>46209</v>
      </c>
      <c r="P122" s="1" t="s">
        <v>645</v>
      </c>
      <c r="Q122" s="1" t="s">
        <v>178</v>
      </c>
      <c r="R122" s="1" t="s">
        <v>55</v>
      </c>
      <c r="S122" s="2">
        <v>46206</v>
      </c>
      <c r="T122" s="2">
        <v>46209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1</v>
      </c>
      <c r="AE122" s="1">
        <v>0</v>
      </c>
      <c r="AF122" s="1">
        <v>0</v>
      </c>
      <c r="AG122" s="1">
        <v>0</v>
      </c>
    </row>
    <row r="123" spans="1:33" hidden="1" x14ac:dyDescent="0.25">
      <c r="A123" s="1">
        <v>601</v>
      </c>
      <c r="B123" s="1" t="s">
        <v>808</v>
      </c>
      <c r="C123" s="1" t="s">
        <v>805</v>
      </c>
      <c r="D123" s="1" t="s">
        <v>108</v>
      </c>
      <c r="E123" s="1" t="s">
        <v>53</v>
      </c>
      <c r="F123" s="10">
        <v>46210</v>
      </c>
      <c r="G123" s="10">
        <v>46210</v>
      </c>
      <c r="H123" s="11">
        <v>0</v>
      </c>
      <c r="J123" s="1">
        <v>600</v>
      </c>
      <c r="L123" s="1" t="s">
        <v>180</v>
      </c>
      <c r="M123" s="1" t="s">
        <v>295</v>
      </c>
      <c r="N123" s="10">
        <v>46210</v>
      </c>
      <c r="P123" s="1" t="s">
        <v>645</v>
      </c>
      <c r="Q123" s="1" t="s">
        <v>146</v>
      </c>
      <c r="R123" s="1" t="s">
        <v>55</v>
      </c>
      <c r="S123" s="2">
        <v>46210</v>
      </c>
      <c r="T123" s="2">
        <v>46210</v>
      </c>
      <c r="V123" s="1">
        <v>0</v>
      </c>
      <c r="W123" s="1">
        <v>0</v>
      </c>
      <c r="X123" s="1">
        <v>0</v>
      </c>
      <c r="Y123" s="1">
        <v>0</v>
      </c>
      <c r="Z123" s="1">
        <v>1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</row>
    <row r="124" spans="1:33" hidden="1" x14ac:dyDescent="0.25">
      <c r="A124" s="1">
        <v>602</v>
      </c>
      <c r="B124" s="1" t="s">
        <v>809</v>
      </c>
      <c r="C124" s="1" t="s">
        <v>647</v>
      </c>
      <c r="D124" s="1" t="s">
        <v>810</v>
      </c>
      <c r="E124" s="1" t="s">
        <v>758</v>
      </c>
      <c r="F124" s="10">
        <v>46190</v>
      </c>
      <c r="G124" s="10">
        <v>46210</v>
      </c>
      <c r="H124" s="11">
        <v>0.87</v>
      </c>
      <c r="L124" s="1" t="s">
        <v>35</v>
      </c>
      <c r="M124" s="1" t="s">
        <v>323</v>
      </c>
      <c r="N124" s="10">
        <v>46210</v>
      </c>
      <c r="P124" s="1" t="s">
        <v>645</v>
      </c>
      <c r="Q124" s="1" t="s">
        <v>133</v>
      </c>
      <c r="R124" s="1" t="s">
        <v>55</v>
      </c>
      <c r="S124" s="2">
        <v>46191</v>
      </c>
      <c r="T124" s="2">
        <v>46210</v>
      </c>
      <c r="V124" s="1">
        <v>0.87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</row>
    <row r="125" spans="1:33" hidden="1" x14ac:dyDescent="0.25">
      <c r="A125" s="1">
        <v>605</v>
      </c>
      <c r="B125" s="1" t="s">
        <v>814</v>
      </c>
      <c r="C125" s="1" t="s">
        <v>812</v>
      </c>
      <c r="D125" s="1" t="s">
        <v>102</v>
      </c>
      <c r="E125" s="1" t="s">
        <v>53</v>
      </c>
      <c r="F125" s="10">
        <v>46209</v>
      </c>
      <c r="G125" s="10">
        <v>46209</v>
      </c>
      <c r="H125" s="11">
        <v>0</v>
      </c>
      <c r="J125" s="1">
        <v>604</v>
      </c>
      <c r="K125" s="1">
        <v>606</v>
      </c>
      <c r="L125" s="1" t="s">
        <v>35</v>
      </c>
      <c r="M125" s="1" t="s">
        <v>191</v>
      </c>
      <c r="N125" s="10">
        <v>46209</v>
      </c>
      <c r="P125" s="1" t="s">
        <v>645</v>
      </c>
      <c r="Q125" s="1" t="s">
        <v>178</v>
      </c>
      <c r="R125" s="1" t="s">
        <v>55</v>
      </c>
      <c r="S125" s="2">
        <v>46206</v>
      </c>
      <c r="T125" s="2">
        <v>46209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1</v>
      </c>
      <c r="AE125" s="1">
        <v>0</v>
      </c>
      <c r="AF125" s="1">
        <v>0</v>
      </c>
      <c r="AG125" s="1">
        <v>0</v>
      </c>
    </row>
    <row r="126" spans="1:33" hidden="1" x14ac:dyDescent="0.25">
      <c r="A126" s="1">
        <v>606</v>
      </c>
      <c r="B126" s="1" t="s">
        <v>815</v>
      </c>
      <c r="C126" s="1" t="s">
        <v>812</v>
      </c>
      <c r="D126" s="1" t="s">
        <v>108</v>
      </c>
      <c r="E126" s="1" t="s">
        <v>53</v>
      </c>
      <c r="F126" s="10">
        <v>46210</v>
      </c>
      <c r="G126" s="10">
        <v>46210</v>
      </c>
      <c r="H126" s="11">
        <v>0</v>
      </c>
      <c r="J126" s="1">
        <v>605</v>
      </c>
      <c r="L126" s="1" t="s">
        <v>180</v>
      </c>
      <c r="M126" s="1" t="s">
        <v>295</v>
      </c>
      <c r="N126" s="10">
        <v>46210</v>
      </c>
      <c r="P126" s="1" t="s">
        <v>645</v>
      </c>
      <c r="Q126" s="1" t="s">
        <v>146</v>
      </c>
      <c r="R126" s="1" t="s">
        <v>55</v>
      </c>
      <c r="S126" s="2">
        <v>46210</v>
      </c>
      <c r="T126" s="2">
        <v>46210</v>
      </c>
      <c r="V126" s="1">
        <v>0</v>
      </c>
      <c r="W126" s="1">
        <v>0</v>
      </c>
      <c r="X126" s="1">
        <v>0</v>
      </c>
      <c r="Y126" s="1">
        <v>0</v>
      </c>
      <c r="Z126" s="1">
        <v>1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</row>
    <row r="127" spans="1:33" hidden="1" x14ac:dyDescent="0.25">
      <c r="A127" s="1">
        <v>607</v>
      </c>
      <c r="B127" s="1" t="s">
        <v>816</v>
      </c>
      <c r="C127" s="1" t="s">
        <v>647</v>
      </c>
      <c r="D127" s="1" t="s">
        <v>817</v>
      </c>
      <c r="E127" s="1" t="s">
        <v>758</v>
      </c>
      <c r="F127" s="10">
        <v>46190</v>
      </c>
      <c r="G127" s="10">
        <v>46210</v>
      </c>
      <c r="H127" s="11">
        <v>0.87</v>
      </c>
      <c r="L127" s="1" t="s">
        <v>35</v>
      </c>
      <c r="M127" s="1" t="s">
        <v>323</v>
      </c>
      <c r="N127" s="10">
        <v>46210</v>
      </c>
      <c r="P127" s="1" t="s">
        <v>645</v>
      </c>
      <c r="Q127" s="1" t="s">
        <v>133</v>
      </c>
      <c r="R127" s="1" t="s">
        <v>55</v>
      </c>
      <c r="S127" s="2">
        <v>46191</v>
      </c>
      <c r="T127" s="2">
        <v>46210</v>
      </c>
      <c r="V127" s="1">
        <v>0.87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</row>
    <row r="128" spans="1:33" hidden="1" x14ac:dyDescent="0.25">
      <c r="A128" s="1">
        <v>610</v>
      </c>
      <c r="B128" s="1" t="s">
        <v>821</v>
      </c>
      <c r="C128" s="1" t="s">
        <v>819</v>
      </c>
      <c r="D128" s="1" t="s">
        <v>102</v>
      </c>
      <c r="E128" s="1" t="s">
        <v>53</v>
      </c>
      <c r="F128" s="10">
        <v>46209</v>
      </c>
      <c r="G128" s="10">
        <v>46209</v>
      </c>
      <c r="H128" s="11">
        <v>0</v>
      </c>
      <c r="J128" s="1">
        <v>609</v>
      </c>
      <c r="K128" s="1">
        <v>611</v>
      </c>
      <c r="L128" s="1" t="s">
        <v>35</v>
      </c>
      <c r="M128" s="1" t="s">
        <v>191</v>
      </c>
      <c r="N128" s="10">
        <v>46209</v>
      </c>
      <c r="P128" s="1" t="s">
        <v>645</v>
      </c>
      <c r="Q128" s="1" t="s">
        <v>178</v>
      </c>
      <c r="R128" s="1" t="s">
        <v>55</v>
      </c>
      <c r="S128" s="2">
        <v>46206</v>
      </c>
      <c r="T128" s="2">
        <v>46209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1</v>
      </c>
      <c r="AE128" s="1">
        <v>0</v>
      </c>
      <c r="AF128" s="1">
        <v>0</v>
      </c>
      <c r="AG128" s="1">
        <v>0</v>
      </c>
    </row>
    <row r="129" spans="1:33" hidden="1" x14ac:dyDescent="0.25">
      <c r="A129" s="1">
        <v>611</v>
      </c>
      <c r="B129" s="1" t="s">
        <v>822</v>
      </c>
      <c r="C129" s="1" t="s">
        <v>819</v>
      </c>
      <c r="D129" s="1" t="s">
        <v>108</v>
      </c>
      <c r="E129" s="1" t="s">
        <v>53</v>
      </c>
      <c r="F129" s="10">
        <v>46210</v>
      </c>
      <c r="G129" s="10">
        <v>46210</v>
      </c>
      <c r="H129" s="11">
        <v>0</v>
      </c>
      <c r="J129" s="1">
        <v>610</v>
      </c>
      <c r="L129" s="1" t="s">
        <v>180</v>
      </c>
      <c r="M129" s="1" t="s">
        <v>295</v>
      </c>
      <c r="N129" s="10">
        <v>46210</v>
      </c>
      <c r="P129" s="1" t="s">
        <v>645</v>
      </c>
      <c r="Q129" s="1" t="s">
        <v>178</v>
      </c>
      <c r="R129" s="1" t="s">
        <v>55</v>
      </c>
      <c r="S129" s="2">
        <v>46210</v>
      </c>
      <c r="T129" s="2">
        <v>46210</v>
      </c>
      <c r="V129" s="1">
        <v>0</v>
      </c>
      <c r="W129" s="1">
        <v>0</v>
      </c>
      <c r="X129" s="1">
        <v>0</v>
      </c>
      <c r="Y129" s="1">
        <v>0</v>
      </c>
      <c r="Z129" s="1">
        <v>1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</row>
    <row r="130" spans="1:33" hidden="1" x14ac:dyDescent="0.25">
      <c r="A130" s="1">
        <v>612</v>
      </c>
      <c r="B130" s="1" t="s">
        <v>823</v>
      </c>
      <c r="C130" s="1" t="s">
        <v>647</v>
      </c>
      <c r="D130" s="1" t="s">
        <v>824</v>
      </c>
      <c r="E130" s="1" t="s">
        <v>758</v>
      </c>
      <c r="F130" s="10">
        <v>46190</v>
      </c>
      <c r="G130" s="10">
        <v>46210</v>
      </c>
      <c r="H130" s="11">
        <v>0.87</v>
      </c>
      <c r="L130" s="1" t="s">
        <v>35</v>
      </c>
      <c r="M130" s="1" t="s">
        <v>323</v>
      </c>
      <c r="N130" s="10">
        <v>46210</v>
      </c>
      <c r="P130" s="1" t="s">
        <v>645</v>
      </c>
      <c r="Q130" s="1" t="s">
        <v>133</v>
      </c>
      <c r="R130" s="1" t="s">
        <v>55</v>
      </c>
      <c r="S130" s="2">
        <v>46191</v>
      </c>
      <c r="T130" s="2">
        <v>46210</v>
      </c>
      <c r="V130" s="1">
        <v>0.87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</row>
    <row r="131" spans="1:33" hidden="1" x14ac:dyDescent="0.25">
      <c r="A131" s="1">
        <v>615</v>
      </c>
      <c r="B131" s="1" t="s">
        <v>828</v>
      </c>
      <c r="C131" s="1" t="s">
        <v>826</v>
      </c>
      <c r="D131" s="1" t="s">
        <v>102</v>
      </c>
      <c r="E131" s="1" t="s">
        <v>53</v>
      </c>
      <c r="F131" s="10">
        <v>46209</v>
      </c>
      <c r="G131" s="10">
        <v>46209</v>
      </c>
      <c r="H131" s="11">
        <v>0</v>
      </c>
      <c r="J131" s="1">
        <v>614</v>
      </c>
      <c r="K131" s="1">
        <v>616</v>
      </c>
      <c r="L131" s="1" t="s">
        <v>35</v>
      </c>
      <c r="M131" s="1" t="s">
        <v>191</v>
      </c>
      <c r="N131" s="10">
        <v>46209</v>
      </c>
      <c r="P131" s="1" t="s">
        <v>645</v>
      </c>
      <c r="Q131" s="1" t="s">
        <v>178</v>
      </c>
      <c r="R131" s="1" t="s">
        <v>55</v>
      </c>
      <c r="S131" s="2">
        <v>46206</v>
      </c>
      <c r="T131" s="2">
        <v>46209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1</v>
      </c>
      <c r="AE131" s="1">
        <v>0</v>
      </c>
      <c r="AF131" s="1">
        <v>0</v>
      </c>
      <c r="AG131" s="1">
        <v>0</v>
      </c>
    </row>
    <row r="132" spans="1:33" hidden="1" x14ac:dyDescent="0.25">
      <c r="A132" s="1">
        <v>616</v>
      </c>
      <c r="B132" s="1" t="s">
        <v>829</v>
      </c>
      <c r="C132" s="1" t="s">
        <v>826</v>
      </c>
      <c r="D132" s="1" t="s">
        <v>108</v>
      </c>
      <c r="E132" s="1" t="s">
        <v>53</v>
      </c>
      <c r="F132" s="10">
        <v>46210</v>
      </c>
      <c r="G132" s="10">
        <v>46210</v>
      </c>
      <c r="H132" s="11">
        <v>0</v>
      </c>
      <c r="J132" s="1">
        <v>615</v>
      </c>
      <c r="L132" s="1" t="s">
        <v>180</v>
      </c>
      <c r="M132" s="1" t="s">
        <v>295</v>
      </c>
      <c r="N132" s="10">
        <v>46210</v>
      </c>
      <c r="P132" s="1" t="s">
        <v>645</v>
      </c>
      <c r="Q132" s="1" t="s">
        <v>178</v>
      </c>
      <c r="R132" s="1" t="s">
        <v>55</v>
      </c>
      <c r="S132" s="2">
        <v>46210</v>
      </c>
      <c r="T132" s="2">
        <v>46210</v>
      </c>
      <c r="V132" s="1">
        <v>0</v>
      </c>
      <c r="W132" s="1">
        <v>0</v>
      </c>
      <c r="X132" s="1">
        <v>0</v>
      </c>
      <c r="Y132" s="1">
        <v>0</v>
      </c>
      <c r="Z132" s="1">
        <v>1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</row>
    <row r="133" spans="1:33" hidden="1" x14ac:dyDescent="0.25">
      <c r="A133" s="1">
        <v>617</v>
      </c>
      <c r="B133" s="1" t="s">
        <v>830</v>
      </c>
      <c r="C133" s="1" t="s">
        <v>647</v>
      </c>
      <c r="D133" s="1" t="s">
        <v>831</v>
      </c>
      <c r="E133" s="1" t="s">
        <v>758</v>
      </c>
      <c r="F133" s="10">
        <v>46190</v>
      </c>
      <c r="G133" s="10">
        <v>46210</v>
      </c>
      <c r="H133" s="11">
        <v>0.87</v>
      </c>
      <c r="L133" s="1" t="s">
        <v>35</v>
      </c>
      <c r="M133" s="1" t="s">
        <v>323</v>
      </c>
      <c r="N133" s="10">
        <v>46210</v>
      </c>
      <c r="P133" s="1" t="s">
        <v>645</v>
      </c>
      <c r="Q133" s="1" t="s">
        <v>133</v>
      </c>
      <c r="R133" s="1" t="s">
        <v>55</v>
      </c>
      <c r="S133" s="2">
        <v>46191</v>
      </c>
      <c r="T133" s="2">
        <v>46210</v>
      </c>
      <c r="V133" s="1">
        <v>0.87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</row>
    <row r="134" spans="1:33" hidden="1" x14ac:dyDescent="0.25">
      <c r="A134" s="1">
        <v>620</v>
      </c>
      <c r="B134" s="1" t="s">
        <v>835</v>
      </c>
      <c r="C134" s="1" t="s">
        <v>833</v>
      </c>
      <c r="D134" s="1" t="s">
        <v>102</v>
      </c>
      <c r="E134" s="1" t="s">
        <v>53</v>
      </c>
      <c r="F134" s="10">
        <v>46209</v>
      </c>
      <c r="G134" s="10">
        <v>46209</v>
      </c>
      <c r="H134" s="11">
        <v>0</v>
      </c>
      <c r="J134" s="1">
        <v>619</v>
      </c>
      <c r="K134" s="1">
        <v>621</v>
      </c>
      <c r="L134" s="1" t="s">
        <v>35</v>
      </c>
      <c r="M134" s="1" t="s">
        <v>191</v>
      </c>
      <c r="N134" s="10">
        <v>46209</v>
      </c>
      <c r="P134" s="1" t="s">
        <v>645</v>
      </c>
      <c r="Q134" s="1" t="s">
        <v>178</v>
      </c>
      <c r="R134" s="1" t="s">
        <v>55</v>
      </c>
      <c r="S134" s="2">
        <v>46206</v>
      </c>
      <c r="T134" s="2">
        <v>46209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1</v>
      </c>
      <c r="AE134" s="1">
        <v>0</v>
      </c>
      <c r="AF134" s="1">
        <v>0</v>
      </c>
      <c r="AG134" s="1">
        <v>0</v>
      </c>
    </row>
    <row r="135" spans="1:33" hidden="1" x14ac:dyDescent="0.25">
      <c r="A135" s="1">
        <v>621</v>
      </c>
      <c r="B135" s="1" t="s">
        <v>836</v>
      </c>
      <c r="C135" s="1" t="s">
        <v>833</v>
      </c>
      <c r="D135" s="1" t="s">
        <v>108</v>
      </c>
      <c r="E135" s="1" t="s">
        <v>53</v>
      </c>
      <c r="F135" s="10">
        <v>46210</v>
      </c>
      <c r="G135" s="10">
        <v>46210</v>
      </c>
      <c r="H135" s="11">
        <v>0</v>
      </c>
      <c r="J135" s="1">
        <v>620</v>
      </c>
      <c r="L135" s="1" t="s">
        <v>180</v>
      </c>
      <c r="M135" s="1" t="s">
        <v>295</v>
      </c>
      <c r="N135" s="10">
        <v>46210</v>
      </c>
      <c r="P135" s="1" t="s">
        <v>645</v>
      </c>
      <c r="Q135" s="1" t="s">
        <v>178</v>
      </c>
      <c r="R135" s="1" t="s">
        <v>55</v>
      </c>
      <c r="S135" s="2">
        <v>46210</v>
      </c>
      <c r="T135" s="2">
        <v>46210</v>
      </c>
      <c r="V135" s="1">
        <v>0</v>
      </c>
      <c r="W135" s="1">
        <v>0</v>
      </c>
      <c r="X135" s="1">
        <v>0</v>
      </c>
      <c r="Y135" s="1">
        <v>0</v>
      </c>
      <c r="Z135" s="1">
        <v>1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</row>
    <row r="136" spans="1:33" hidden="1" x14ac:dyDescent="0.25">
      <c r="A136" s="1">
        <v>622</v>
      </c>
      <c r="B136" s="1" t="s">
        <v>837</v>
      </c>
      <c r="C136" s="1" t="s">
        <v>647</v>
      </c>
      <c r="D136" s="1" t="s">
        <v>838</v>
      </c>
      <c r="E136" s="1" t="s">
        <v>758</v>
      </c>
      <c r="F136" s="10">
        <v>46190</v>
      </c>
      <c r="G136" s="10">
        <v>46210</v>
      </c>
      <c r="H136" s="11">
        <v>0.87</v>
      </c>
      <c r="L136" s="1" t="s">
        <v>35</v>
      </c>
      <c r="M136" s="1" t="s">
        <v>323</v>
      </c>
      <c r="N136" s="10">
        <v>46210</v>
      </c>
      <c r="P136" s="1" t="s">
        <v>645</v>
      </c>
      <c r="Q136" s="1" t="s">
        <v>133</v>
      </c>
      <c r="R136" s="1" t="s">
        <v>55</v>
      </c>
      <c r="S136" s="2">
        <v>46191</v>
      </c>
      <c r="T136" s="2">
        <v>46210</v>
      </c>
      <c r="V136" s="1">
        <v>0.87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</row>
    <row r="137" spans="1:33" hidden="1" x14ac:dyDescent="0.25">
      <c r="A137" s="1">
        <v>625</v>
      </c>
      <c r="B137" s="1" t="s">
        <v>842</v>
      </c>
      <c r="C137" s="1" t="s">
        <v>840</v>
      </c>
      <c r="D137" s="1" t="s">
        <v>102</v>
      </c>
      <c r="E137" s="1" t="s">
        <v>53</v>
      </c>
      <c r="F137" s="10">
        <v>46209</v>
      </c>
      <c r="G137" s="10">
        <v>46209</v>
      </c>
      <c r="H137" s="11">
        <v>0</v>
      </c>
      <c r="J137" s="1">
        <v>624</v>
      </c>
      <c r="K137" s="1">
        <v>626</v>
      </c>
      <c r="L137" s="1" t="s">
        <v>35</v>
      </c>
      <c r="M137" s="1" t="s">
        <v>191</v>
      </c>
      <c r="N137" s="10">
        <v>46209</v>
      </c>
      <c r="P137" s="1" t="s">
        <v>645</v>
      </c>
      <c r="Q137" s="1" t="s">
        <v>178</v>
      </c>
      <c r="R137" s="1" t="s">
        <v>55</v>
      </c>
      <c r="S137" s="2">
        <v>46206</v>
      </c>
      <c r="T137" s="2">
        <v>46209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1</v>
      </c>
      <c r="AE137" s="1">
        <v>0</v>
      </c>
      <c r="AF137" s="1">
        <v>0</v>
      </c>
      <c r="AG137" s="1">
        <v>0</v>
      </c>
    </row>
    <row r="138" spans="1:33" hidden="1" x14ac:dyDescent="0.25">
      <c r="A138" s="1">
        <v>626</v>
      </c>
      <c r="B138" s="1" t="s">
        <v>843</v>
      </c>
      <c r="C138" s="1" t="s">
        <v>840</v>
      </c>
      <c r="D138" s="1" t="s">
        <v>108</v>
      </c>
      <c r="E138" s="1" t="s">
        <v>53</v>
      </c>
      <c r="F138" s="10">
        <v>46210</v>
      </c>
      <c r="G138" s="10">
        <v>46210</v>
      </c>
      <c r="H138" s="11">
        <v>0</v>
      </c>
      <c r="J138" s="1">
        <v>625</v>
      </c>
      <c r="L138" s="1" t="s">
        <v>180</v>
      </c>
      <c r="M138" s="1" t="s">
        <v>295</v>
      </c>
      <c r="N138" s="10">
        <v>46210</v>
      </c>
      <c r="P138" s="1" t="s">
        <v>645</v>
      </c>
      <c r="Q138" s="1" t="s">
        <v>178</v>
      </c>
      <c r="R138" s="1" t="s">
        <v>55</v>
      </c>
      <c r="S138" s="2">
        <v>46210</v>
      </c>
      <c r="T138" s="2">
        <v>46210</v>
      </c>
      <c r="V138" s="1">
        <v>0</v>
      </c>
      <c r="W138" s="1">
        <v>0</v>
      </c>
      <c r="X138" s="1">
        <v>0</v>
      </c>
      <c r="Y138" s="1">
        <v>0</v>
      </c>
      <c r="Z138" s="1">
        <v>1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</row>
    <row r="139" spans="1:33" hidden="1" x14ac:dyDescent="0.25">
      <c r="A139" s="1">
        <v>627</v>
      </c>
      <c r="B139" s="1" t="s">
        <v>844</v>
      </c>
      <c r="C139" s="1" t="s">
        <v>647</v>
      </c>
      <c r="D139" s="1" t="s">
        <v>845</v>
      </c>
      <c r="E139" s="1" t="s">
        <v>758</v>
      </c>
      <c r="F139" s="10">
        <v>46190</v>
      </c>
      <c r="G139" s="10">
        <v>46210</v>
      </c>
      <c r="H139" s="11">
        <v>0.87</v>
      </c>
      <c r="L139" s="1" t="s">
        <v>35</v>
      </c>
      <c r="M139" s="1" t="s">
        <v>323</v>
      </c>
      <c r="N139" s="10">
        <v>46210</v>
      </c>
      <c r="P139" s="1" t="s">
        <v>645</v>
      </c>
      <c r="Q139" s="1" t="s">
        <v>133</v>
      </c>
      <c r="R139" s="1" t="s">
        <v>55</v>
      </c>
      <c r="S139" s="2">
        <v>46191</v>
      </c>
      <c r="T139" s="2">
        <v>46210</v>
      </c>
      <c r="V139" s="1">
        <v>0.87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</row>
    <row r="140" spans="1:33" hidden="1" x14ac:dyDescent="0.25">
      <c r="A140" s="1">
        <v>630</v>
      </c>
      <c r="B140" s="1" t="s">
        <v>849</v>
      </c>
      <c r="C140" s="1" t="s">
        <v>847</v>
      </c>
      <c r="D140" s="1" t="s">
        <v>102</v>
      </c>
      <c r="E140" s="1" t="s">
        <v>53</v>
      </c>
      <c r="F140" s="10">
        <v>46209</v>
      </c>
      <c r="G140" s="10">
        <v>46209</v>
      </c>
      <c r="H140" s="11">
        <v>0</v>
      </c>
      <c r="J140" s="1">
        <v>629</v>
      </c>
      <c r="K140" s="1">
        <v>631</v>
      </c>
      <c r="L140" s="1" t="s">
        <v>35</v>
      </c>
      <c r="M140" s="1" t="s">
        <v>191</v>
      </c>
      <c r="N140" s="10">
        <v>46209</v>
      </c>
      <c r="P140" s="1" t="s">
        <v>645</v>
      </c>
      <c r="Q140" s="1" t="s">
        <v>178</v>
      </c>
      <c r="R140" s="1" t="s">
        <v>55</v>
      </c>
      <c r="S140" s="2">
        <v>46206</v>
      </c>
      <c r="T140" s="2">
        <v>46209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1</v>
      </c>
      <c r="AE140" s="1">
        <v>0</v>
      </c>
      <c r="AF140" s="1">
        <v>0</v>
      </c>
      <c r="AG140" s="1">
        <v>0</v>
      </c>
    </row>
    <row r="141" spans="1:33" hidden="1" x14ac:dyDescent="0.25">
      <c r="A141" s="1">
        <v>631</v>
      </c>
      <c r="B141" s="1" t="s">
        <v>850</v>
      </c>
      <c r="C141" s="1" t="s">
        <v>847</v>
      </c>
      <c r="D141" s="1" t="s">
        <v>108</v>
      </c>
      <c r="E141" s="1" t="s">
        <v>53</v>
      </c>
      <c r="F141" s="10">
        <v>46210</v>
      </c>
      <c r="G141" s="10">
        <v>46210</v>
      </c>
      <c r="H141" s="11">
        <v>0</v>
      </c>
      <c r="J141" s="1">
        <v>630</v>
      </c>
      <c r="L141" s="1" t="s">
        <v>180</v>
      </c>
      <c r="M141" s="1" t="s">
        <v>295</v>
      </c>
      <c r="N141" s="10">
        <v>46210</v>
      </c>
      <c r="P141" s="1" t="s">
        <v>645</v>
      </c>
      <c r="Q141" s="1" t="s">
        <v>178</v>
      </c>
      <c r="R141" s="1" t="s">
        <v>55</v>
      </c>
      <c r="S141" s="2">
        <v>46210</v>
      </c>
      <c r="T141" s="2">
        <v>46210</v>
      </c>
      <c r="V141" s="1">
        <v>0</v>
      </c>
      <c r="W141" s="1">
        <v>0</v>
      </c>
      <c r="X141" s="1">
        <v>0</v>
      </c>
      <c r="Y141" s="1">
        <v>0</v>
      </c>
      <c r="Z141" s="1">
        <v>1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</row>
    <row r="142" spans="1:33" hidden="1" x14ac:dyDescent="0.25">
      <c r="A142" s="1">
        <v>632</v>
      </c>
      <c r="B142" s="1" t="s">
        <v>851</v>
      </c>
      <c r="C142" s="1" t="s">
        <v>647</v>
      </c>
      <c r="D142" s="1" t="s">
        <v>852</v>
      </c>
      <c r="E142" s="1" t="s">
        <v>758</v>
      </c>
      <c r="F142" s="10">
        <v>46190</v>
      </c>
      <c r="G142" s="10">
        <v>46210</v>
      </c>
      <c r="H142" s="11">
        <v>0.87</v>
      </c>
      <c r="L142" s="1" t="s">
        <v>35</v>
      </c>
      <c r="M142" s="1" t="s">
        <v>323</v>
      </c>
      <c r="N142" s="10">
        <v>46210</v>
      </c>
      <c r="P142" s="1" t="s">
        <v>645</v>
      </c>
      <c r="Q142" s="1" t="s">
        <v>133</v>
      </c>
      <c r="R142" s="1" t="s">
        <v>55</v>
      </c>
      <c r="S142" s="2">
        <v>46191</v>
      </c>
      <c r="T142" s="2">
        <v>46210</v>
      </c>
      <c r="V142" s="1">
        <v>0.87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</row>
    <row r="143" spans="1:33" hidden="1" x14ac:dyDescent="0.25">
      <c r="A143" s="1">
        <v>635</v>
      </c>
      <c r="B143" s="1" t="s">
        <v>856</v>
      </c>
      <c r="C143" s="1" t="s">
        <v>854</v>
      </c>
      <c r="D143" s="1" t="s">
        <v>102</v>
      </c>
      <c r="E143" s="1" t="s">
        <v>53</v>
      </c>
      <c r="F143" s="10">
        <v>46209</v>
      </c>
      <c r="G143" s="10">
        <v>46209</v>
      </c>
      <c r="H143" s="11">
        <v>0</v>
      </c>
      <c r="J143" s="1">
        <v>634</v>
      </c>
      <c r="K143" s="1">
        <v>636</v>
      </c>
      <c r="L143" s="1" t="s">
        <v>35</v>
      </c>
      <c r="M143" s="1" t="s">
        <v>191</v>
      </c>
      <c r="N143" s="10">
        <v>46209</v>
      </c>
      <c r="P143" s="1" t="s">
        <v>645</v>
      </c>
      <c r="Q143" s="1" t="s">
        <v>178</v>
      </c>
      <c r="R143" s="1" t="s">
        <v>55</v>
      </c>
      <c r="S143" s="2">
        <v>46206</v>
      </c>
      <c r="T143" s="2">
        <v>46209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1</v>
      </c>
      <c r="AE143" s="1">
        <v>0</v>
      </c>
      <c r="AF143" s="1">
        <v>0</v>
      </c>
      <c r="AG143" s="1">
        <v>0</v>
      </c>
    </row>
    <row r="144" spans="1:33" hidden="1" x14ac:dyDescent="0.25">
      <c r="A144" s="1">
        <v>636</v>
      </c>
      <c r="B144" s="1" t="s">
        <v>857</v>
      </c>
      <c r="C144" s="1" t="s">
        <v>854</v>
      </c>
      <c r="D144" s="1" t="s">
        <v>108</v>
      </c>
      <c r="E144" s="1" t="s">
        <v>53</v>
      </c>
      <c r="F144" s="10">
        <v>46210</v>
      </c>
      <c r="G144" s="10">
        <v>46210</v>
      </c>
      <c r="H144" s="11">
        <v>0</v>
      </c>
      <c r="J144" s="1">
        <v>635</v>
      </c>
      <c r="L144" s="1" t="s">
        <v>180</v>
      </c>
      <c r="M144" s="1" t="s">
        <v>295</v>
      </c>
      <c r="N144" s="10">
        <v>46210</v>
      </c>
      <c r="P144" s="1" t="s">
        <v>645</v>
      </c>
      <c r="Q144" s="1" t="s">
        <v>178</v>
      </c>
      <c r="R144" s="1" t="s">
        <v>55</v>
      </c>
      <c r="S144" s="2">
        <v>46210</v>
      </c>
      <c r="T144" s="2">
        <v>46210</v>
      </c>
      <c r="V144" s="1">
        <v>0</v>
      </c>
      <c r="W144" s="1">
        <v>0</v>
      </c>
      <c r="X144" s="1">
        <v>0</v>
      </c>
      <c r="Y144" s="1">
        <v>0</v>
      </c>
      <c r="Z144" s="1">
        <v>1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</row>
    <row r="145" spans="1:33" hidden="1" x14ac:dyDescent="0.25">
      <c r="A145" s="1">
        <v>637</v>
      </c>
      <c r="B145" s="1" t="s">
        <v>858</v>
      </c>
      <c r="C145" s="1" t="s">
        <v>647</v>
      </c>
      <c r="D145" s="1" t="s">
        <v>859</v>
      </c>
      <c r="E145" s="1" t="s">
        <v>758</v>
      </c>
      <c r="F145" s="10">
        <v>46190</v>
      </c>
      <c r="G145" s="10">
        <v>46210</v>
      </c>
      <c r="H145" s="11">
        <v>0.87</v>
      </c>
      <c r="L145" s="1" t="s">
        <v>35</v>
      </c>
      <c r="M145" s="1" t="s">
        <v>323</v>
      </c>
      <c r="N145" s="10">
        <v>46210</v>
      </c>
      <c r="P145" s="1" t="s">
        <v>645</v>
      </c>
      <c r="Q145" s="1" t="s">
        <v>133</v>
      </c>
      <c r="R145" s="1" t="s">
        <v>55</v>
      </c>
      <c r="S145" s="2">
        <v>46191</v>
      </c>
      <c r="T145" s="2">
        <v>46210</v>
      </c>
      <c r="V145" s="1">
        <v>0.87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</row>
    <row r="146" spans="1:33" hidden="1" x14ac:dyDescent="0.25">
      <c r="A146" s="1">
        <v>640</v>
      </c>
      <c r="B146" s="1" t="s">
        <v>863</v>
      </c>
      <c r="C146" s="1" t="s">
        <v>861</v>
      </c>
      <c r="D146" s="1" t="s">
        <v>102</v>
      </c>
      <c r="E146" s="1" t="s">
        <v>53</v>
      </c>
      <c r="F146" s="10">
        <v>46209</v>
      </c>
      <c r="G146" s="10">
        <v>46209</v>
      </c>
      <c r="H146" s="11">
        <v>0</v>
      </c>
      <c r="J146" s="1">
        <v>639</v>
      </c>
      <c r="K146" s="1">
        <v>641</v>
      </c>
      <c r="L146" s="1" t="s">
        <v>35</v>
      </c>
      <c r="M146" s="1" t="s">
        <v>191</v>
      </c>
      <c r="N146" s="10">
        <v>46209</v>
      </c>
      <c r="P146" s="1" t="s">
        <v>645</v>
      </c>
      <c r="Q146" s="1" t="s">
        <v>178</v>
      </c>
      <c r="R146" s="1" t="s">
        <v>55</v>
      </c>
      <c r="S146" s="2">
        <v>46206</v>
      </c>
      <c r="T146" s="2">
        <v>46209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1</v>
      </c>
      <c r="AE146" s="1">
        <v>0</v>
      </c>
      <c r="AF146" s="1">
        <v>0</v>
      </c>
      <c r="AG146" s="1">
        <v>0</v>
      </c>
    </row>
    <row r="147" spans="1:33" hidden="1" x14ac:dyDescent="0.25">
      <c r="A147" s="1">
        <v>641</v>
      </c>
      <c r="B147" s="1" t="s">
        <v>864</v>
      </c>
      <c r="C147" s="1" t="s">
        <v>861</v>
      </c>
      <c r="D147" s="1" t="s">
        <v>108</v>
      </c>
      <c r="E147" s="1" t="s">
        <v>53</v>
      </c>
      <c r="F147" s="10">
        <v>46210</v>
      </c>
      <c r="G147" s="10">
        <v>46210</v>
      </c>
      <c r="H147" s="11">
        <v>0</v>
      </c>
      <c r="J147" s="1">
        <v>640</v>
      </c>
      <c r="L147" s="1" t="s">
        <v>180</v>
      </c>
      <c r="M147" s="1" t="s">
        <v>295</v>
      </c>
      <c r="N147" s="10">
        <v>46210</v>
      </c>
      <c r="P147" s="1" t="s">
        <v>645</v>
      </c>
      <c r="Q147" s="1" t="s">
        <v>178</v>
      </c>
      <c r="R147" s="1" t="s">
        <v>55</v>
      </c>
      <c r="S147" s="2">
        <v>46210</v>
      </c>
      <c r="T147" s="2">
        <v>46210</v>
      </c>
      <c r="V147" s="1">
        <v>0</v>
      </c>
      <c r="W147" s="1">
        <v>0</v>
      </c>
      <c r="X147" s="1">
        <v>0</v>
      </c>
      <c r="Y147" s="1">
        <v>0</v>
      </c>
      <c r="Z147" s="1">
        <v>1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</row>
    <row r="148" spans="1:33" hidden="1" x14ac:dyDescent="0.25">
      <c r="A148" s="1">
        <v>642</v>
      </c>
      <c r="B148" s="1" t="s">
        <v>865</v>
      </c>
      <c r="C148" s="1" t="s">
        <v>647</v>
      </c>
      <c r="D148" s="1" t="s">
        <v>866</v>
      </c>
      <c r="E148" s="1" t="s">
        <v>758</v>
      </c>
      <c r="F148" s="10">
        <v>46190</v>
      </c>
      <c r="G148" s="10">
        <v>46210</v>
      </c>
      <c r="H148" s="11">
        <v>0.87</v>
      </c>
      <c r="L148" s="1" t="s">
        <v>35</v>
      </c>
      <c r="M148" s="1" t="s">
        <v>323</v>
      </c>
      <c r="N148" s="10">
        <v>46210</v>
      </c>
      <c r="P148" s="1" t="s">
        <v>645</v>
      </c>
      <c r="Q148" s="1" t="s">
        <v>133</v>
      </c>
      <c r="R148" s="1" t="s">
        <v>55</v>
      </c>
      <c r="S148" s="2">
        <v>46191</v>
      </c>
      <c r="T148" s="2">
        <v>46210</v>
      </c>
      <c r="V148" s="1">
        <v>0.87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</row>
    <row r="149" spans="1:33" hidden="1" x14ac:dyDescent="0.25">
      <c r="A149" s="1">
        <v>645</v>
      </c>
      <c r="B149" s="1" t="s">
        <v>870</v>
      </c>
      <c r="C149" s="1" t="s">
        <v>868</v>
      </c>
      <c r="D149" s="1" t="s">
        <v>102</v>
      </c>
      <c r="E149" s="1" t="s">
        <v>53</v>
      </c>
      <c r="F149" s="10">
        <v>46209</v>
      </c>
      <c r="G149" s="10">
        <v>46209</v>
      </c>
      <c r="H149" s="11">
        <v>0</v>
      </c>
      <c r="J149" s="1">
        <v>644</v>
      </c>
      <c r="K149" s="1">
        <v>646</v>
      </c>
      <c r="L149" s="1" t="s">
        <v>35</v>
      </c>
      <c r="M149" s="1" t="s">
        <v>191</v>
      </c>
      <c r="N149" s="10">
        <v>46209</v>
      </c>
      <c r="P149" s="1" t="s">
        <v>645</v>
      </c>
      <c r="Q149" s="1" t="s">
        <v>178</v>
      </c>
      <c r="R149" s="1" t="s">
        <v>55</v>
      </c>
      <c r="S149" s="2">
        <v>46206</v>
      </c>
      <c r="T149" s="2">
        <v>46209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1</v>
      </c>
      <c r="AE149" s="1">
        <v>0</v>
      </c>
      <c r="AF149" s="1">
        <v>0</v>
      </c>
      <c r="AG149" s="1">
        <v>0</v>
      </c>
    </row>
    <row r="150" spans="1:33" hidden="1" x14ac:dyDescent="0.25">
      <c r="A150" s="1">
        <v>646</v>
      </c>
      <c r="B150" s="1" t="s">
        <v>871</v>
      </c>
      <c r="C150" s="1" t="s">
        <v>868</v>
      </c>
      <c r="D150" s="1" t="s">
        <v>108</v>
      </c>
      <c r="E150" s="1" t="s">
        <v>53</v>
      </c>
      <c r="F150" s="10">
        <v>46210</v>
      </c>
      <c r="G150" s="10">
        <v>46210</v>
      </c>
      <c r="H150" s="11">
        <v>0</v>
      </c>
      <c r="J150" s="1">
        <v>645</v>
      </c>
      <c r="L150" s="1" t="s">
        <v>180</v>
      </c>
      <c r="M150" s="1" t="s">
        <v>295</v>
      </c>
      <c r="N150" s="10">
        <v>46210</v>
      </c>
      <c r="P150" s="1" t="s">
        <v>645</v>
      </c>
      <c r="Q150" s="1" t="s">
        <v>178</v>
      </c>
      <c r="R150" s="1" t="s">
        <v>55</v>
      </c>
      <c r="S150" s="2">
        <v>46210</v>
      </c>
      <c r="T150" s="2">
        <v>46210</v>
      </c>
      <c r="V150" s="1">
        <v>0</v>
      </c>
      <c r="W150" s="1">
        <v>0</v>
      </c>
      <c r="X150" s="1">
        <v>0</v>
      </c>
      <c r="Y150" s="1">
        <v>0</v>
      </c>
      <c r="Z150" s="1">
        <v>1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</row>
    <row r="151" spans="1:33" hidden="1" x14ac:dyDescent="0.25">
      <c r="A151" s="1">
        <v>647</v>
      </c>
      <c r="B151" s="1" t="s">
        <v>872</v>
      </c>
      <c r="C151" s="1" t="s">
        <v>647</v>
      </c>
      <c r="D151" s="1" t="s">
        <v>873</v>
      </c>
      <c r="E151" s="1" t="s">
        <v>758</v>
      </c>
      <c r="F151" s="10">
        <v>46190</v>
      </c>
      <c r="G151" s="10">
        <v>46210</v>
      </c>
      <c r="H151" s="11">
        <v>0.87</v>
      </c>
      <c r="L151" s="1" t="s">
        <v>35</v>
      </c>
      <c r="M151" s="1" t="s">
        <v>323</v>
      </c>
      <c r="N151" s="10">
        <v>46210</v>
      </c>
      <c r="P151" s="1" t="s">
        <v>645</v>
      </c>
      <c r="Q151" s="1" t="s">
        <v>133</v>
      </c>
      <c r="R151" s="1" t="s">
        <v>55</v>
      </c>
      <c r="S151" s="2">
        <v>46191</v>
      </c>
      <c r="T151" s="2">
        <v>46210</v>
      </c>
      <c r="U151" s="1" t="s">
        <v>288</v>
      </c>
      <c r="V151" s="1">
        <v>0.87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</row>
    <row r="152" spans="1:33" hidden="1" x14ac:dyDescent="0.25">
      <c r="A152" s="1">
        <v>650</v>
      </c>
      <c r="B152" s="1" t="s">
        <v>877</v>
      </c>
      <c r="C152" s="1" t="s">
        <v>875</v>
      </c>
      <c r="D152" s="1" t="s">
        <v>102</v>
      </c>
      <c r="E152" s="1" t="s">
        <v>53</v>
      </c>
      <c r="F152" s="10">
        <v>46209</v>
      </c>
      <c r="G152" s="10">
        <v>46209</v>
      </c>
      <c r="H152" s="11">
        <v>0</v>
      </c>
      <c r="J152" s="1">
        <v>649</v>
      </c>
      <c r="K152" s="1">
        <v>651</v>
      </c>
      <c r="L152" s="1" t="s">
        <v>35</v>
      </c>
      <c r="M152" s="1" t="s">
        <v>502</v>
      </c>
      <c r="N152" s="10">
        <v>46198</v>
      </c>
      <c r="P152" s="1" t="s">
        <v>645</v>
      </c>
      <c r="Q152" s="1" t="s">
        <v>178</v>
      </c>
      <c r="R152" s="1" t="s">
        <v>55</v>
      </c>
      <c r="S152" s="2">
        <v>46198</v>
      </c>
      <c r="T152" s="2">
        <v>46198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</v>
      </c>
      <c r="AE152" s="1">
        <v>0</v>
      </c>
      <c r="AF152" s="1">
        <v>0</v>
      </c>
      <c r="AG152" s="1">
        <v>0</v>
      </c>
    </row>
    <row r="153" spans="1:33" hidden="1" x14ac:dyDescent="0.25">
      <c r="A153" s="1">
        <v>651</v>
      </c>
      <c r="B153" s="1" t="s">
        <v>878</v>
      </c>
      <c r="C153" s="1" t="s">
        <v>875</v>
      </c>
      <c r="D153" s="1" t="s">
        <v>108</v>
      </c>
      <c r="E153" s="1" t="s">
        <v>53</v>
      </c>
      <c r="F153" s="10">
        <v>46210</v>
      </c>
      <c r="G153" s="10">
        <v>46210</v>
      </c>
      <c r="H153" s="11">
        <v>0</v>
      </c>
      <c r="J153" s="1">
        <v>650</v>
      </c>
      <c r="L153" s="1" t="s">
        <v>180</v>
      </c>
      <c r="M153" s="1" t="s">
        <v>394</v>
      </c>
      <c r="N153" s="10">
        <v>46199</v>
      </c>
      <c r="P153" s="1" t="s">
        <v>645</v>
      </c>
      <c r="Q153" s="1" t="s">
        <v>178</v>
      </c>
      <c r="R153" s="1" t="s">
        <v>55</v>
      </c>
      <c r="S153" s="2">
        <v>46199</v>
      </c>
      <c r="T153" s="2">
        <v>46199</v>
      </c>
      <c r="V153" s="1">
        <v>0</v>
      </c>
      <c r="W153" s="1">
        <v>0</v>
      </c>
      <c r="X153" s="1">
        <v>0</v>
      </c>
      <c r="Y153" s="1">
        <v>0</v>
      </c>
      <c r="Z153" s="1">
        <v>1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</row>
    <row r="154" spans="1:33" hidden="1" x14ac:dyDescent="0.25">
      <c r="A154" s="1">
        <v>652</v>
      </c>
      <c r="B154" s="1" t="s">
        <v>879</v>
      </c>
      <c r="C154" s="1" t="s">
        <v>647</v>
      </c>
      <c r="D154" s="1" t="s">
        <v>880</v>
      </c>
      <c r="E154" s="1" t="s">
        <v>758</v>
      </c>
      <c r="F154" s="10">
        <v>46190</v>
      </c>
      <c r="G154" s="10">
        <v>46210</v>
      </c>
      <c r="H154" s="11">
        <v>0.87</v>
      </c>
      <c r="L154" s="1" t="s">
        <v>35</v>
      </c>
      <c r="M154" s="1" t="s">
        <v>323</v>
      </c>
      <c r="N154" s="10">
        <v>46210</v>
      </c>
      <c r="P154" s="1" t="s">
        <v>645</v>
      </c>
      <c r="Q154" s="1" t="s">
        <v>133</v>
      </c>
      <c r="R154" s="1" t="s">
        <v>55</v>
      </c>
      <c r="S154" s="2">
        <v>46191</v>
      </c>
      <c r="T154" s="2">
        <v>46210</v>
      </c>
      <c r="U154" s="1" t="s">
        <v>288</v>
      </c>
      <c r="V154" s="1">
        <v>0.87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</row>
    <row r="155" spans="1:33" hidden="1" x14ac:dyDescent="0.25">
      <c r="A155" s="1">
        <v>655</v>
      </c>
      <c r="B155" s="1" t="s">
        <v>884</v>
      </c>
      <c r="C155" s="1" t="s">
        <v>882</v>
      </c>
      <c r="D155" s="1" t="s">
        <v>102</v>
      </c>
      <c r="E155" s="1" t="s">
        <v>53</v>
      </c>
      <c r="F155" s="10">
        <v>46209</v>
      </c>
      <c r="G155" s="10">
        <v>46209</v>
      </c>
      <c r="H155" s="11">
        <v>0</v>
      </c>
      <c r="J155" s="1">
        <v>654</v>
      </c>
      <c r="K155" s="1">
        <v>656</v>
      </c>
      <c r="L155" s="1" t="s">
        <v>35</v>
      </c>
      <c r="M155" s="1" t="s">
        <v>502</v>
      </c>
      <c r="N155" s="10">
        <v>46198</v>
      </c>
      <c r="P155" s="1" t="s">
        <v>645</v>
      </c>
      <c r="Q155" s="1" t="s">
        <v>178</v>
      </c>
      <c r="R155" s="1" t="s">
        <v>55</v>
      </c>
      <c r="S155" s="2">
        <v>46198</v>
      </c>
      <c r="T155" s="2">
        <v>46198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1</v>
      </c>
      <c r="AE155" s="1">
        <v>0</v>
      </c>
      <c r="AF155" s="1">
        <v>0</v>
      </c>
      <c r="AG155" s="1">
        <v>0</v>
      </c>
    </row>
    <row r="156" spans="1:33" hidden="1" x14ac:dyDescent="0.25">
      <c r="A156" s="1">
        <v>656</v>
      </c>
      <c r="B156" s="1" t="s">
        <v>885</v>
      </c>
      <c r="C156" s="1" t="s">
        <v>882</v>
      </c>
      <c r="D156" s="1" t="s">
        <v>108</v>
      </c>
      <c r="E156" s="1" t="s">
        <v>53</v>
      </c>
      <c r="F156" s="10">
        <v>46210</v>
      </c>
      <c r="G156" s="10">
        <v>46210</v>
      </c>
      <c r="H156" s="11">
        <v>0</v>
      </c>
      <c r="J156" s="1">
        <v>655</v>
      </c>
      <c r="L156" s="1" t="s">
        <v>180</v>
      </c>
      <c r="M156" s="1" t="s">
        <v>394</v>
      </c>
      <c r="N156" s="10">
        <v>46199</v>
      </c>
      <c r="P156" s="1" t="s">
        <v>645</v>
      </c>
      <c r="Q156" s="1" t="s">
        <v>178</v>
      </c>
      <c r="R156" s="1" t="s">
        <v>55</v>
      </c>
      <c r="S156" s="2">
        <v>46199</v>
      </c>
      <c r="T156" s="2">
        <v>46199</v>
      </c>
      <c r="V156" s="1">
        <v>0</v>
      </c>
      <c r="W156" s="1">
        <v>0</v>
      </c>
      <c r="X156" s="1">
        <v>0</v>
      </c>
      <c r="Y156" s="1">
        <v>0</v>
      </c>
      <c r="Z156" s="1">
        <v>1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</row>
    <row r="157" spans="1:33" hidden="1" x14ac:dyDescent="0.25">
      <c r="A157" s="1">
        <v>657</v>
      </c>
      <c r="B157" s="1" t="s">
        <v>886</v>
      </c>
      <c r="C157" s="1" t="s">
        <v>647</v>
      </c>
      <c r="D157" s="1" t="s">
        <v>887</v>
      </c>
      <c r="E157" s="1" t="s">
        <v>758</v>
      </c>
      <c r="F157" s="10">
        <v>46190</v>
      </c>
      <c r="G157" s="10">
        <v>46210</v>
      </c>
      <c r="H157" s="11">
        <v>0.87</v>
      </c>
      <c r="L157" s="1" t="s">
        <v>35</v>
      </c>
      <c r="M157" s="1" t="s">
        <v>323</v>
      </c>
      <c r="N157" s="10">
        <v>46210</v>
      </c>
      <c r="P157" s="1" t="s">
        <v>645</v>
      </c>
      <c r="Q157" s="1" t="s">
        <v>133</v>
      </c>
      <c r="R157" s="1" t="s">
        <v>55</v>
      </c>
      <c r="S157" s="2">
        <v>46191</v>
      </c>
      <c r="T157" s="2">
        <v>46210</v>
      </c>
      <c r="U157" s="1" t="s">
        <v>288</v>
      </c>
      <c r="V157" s="1">
        <v>0.87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</row>
    <row r="158" spans="1:33" hidden="1" x14ac:dyDescent="0.25">
      <c r="A158" s="1">
        <v>660</v>
      </c>
      <c r="B158" s="1" t="s">
        <v>891</v>
      </c>
      <c r="C158" s="1" t="s">
        <v>889</v>
      </c>
      <c r="D158" s="1" t="s">
        <v>102</v>
      </c>
      <c r="E158" s="1" t="s">
        <v>53</v>
      </c>
      <c r="F158" s="10">
        <v>46209</v>
      </c>
      <c r="G158" s="10">
        <v>46209</v>
      </c>
      <c r="H158" s="11">
        <v>0</v>
      </c>
      <c r="J158" s="1">
        <v>659</v>
      </c>
      <c r="K158" s="1">
        <v>661</v>
      </c>
      <c r="L158" s="1" t="s">
        <v>35</v>
      </c>
      <c r="M158" s="1" t="s">
        <v>502</v>
      </c>
      <c r="N158" s="10">
        <v>46198</v>
      </c>
      <c r="P158" s="1" t="s">
        <v>645</v>
      </c>
      <c r="Q158" s="1" t="s">
        <v>178</v>
      </c>
      <c r="R158" s="1" t="s">
        <v>55</v>
      </c>
      <c r="S158" s="2">
        <v>46198</v>
      </c>
      <c r="T158" s="2">
        <v>46198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1</v>
      </c>
      <c r="AE158" s="1">
        <v>0</v>
      </c>
      <c r="AF158" s="1">
        <v>0</v>
      </c>
      <c r="AG158" s="1">
        <v>0</v>
      </c>
    </row>
    <row r="159" spans="1:33" hidden="1" x14ac:dyDescent="0.25">
      <c r="A159" s="1">
        <v>661</v>
      </c>
      <c r="B159" s="1" t="s">
        <v>892</v>
      </c>
      <c r="C159" s="1" t="s">
        <v>889</v>
      </c>
      <c r="D159" s="1" t="s">
        <v>108</v>
      </c>
      <c r="E159" s="1" t="s">
        <v>53</v>
      </c>
      <c r="F159" s="10">
        <v>46210</v>
      </c>
      <c r="G159" s="10">
        <v>46210</v>
      </c>
      <c r="H159" s="11">
        <v>0</v>
      </c>
      <c r="J159" s="1">
        <v>660</v>
      </c>
      <c r="L159" s="1" t="s">
        <v>180</v>
      </c>
      <c r="M159" s="1" t="s">
        <v>394</v>
      </c>
      <c r="N159" s="10">
        <v>46199</v>
      </c>
      <c r="P159" s="1" t="s">
        <v>645</v>
      </c>
      <c r="Q159" s="1" t="s">
        <v>178</v>
      </c>
      <c r="R159" s="1" t="s">
        <v>55</v>
      </c>
      <c r="S159" s="2">
        <v>46199</v>
      </c>
      <c r="T159" s="2">
        <v>46199</v>
      </c>
      <c r="V159" s="1">
        <v>0</v>
      </c>
      <c r="W159" s="1">
        <v>0</v>
      </c>
      <c r="X159" s="1">
        <v>0</v>
      </c>
      <c r="Y159" s="1">
        <v>0</v>
      </c>
      <c r="Z159" s="1">
        <v>1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</row>
    <row r="160" spans="1:33" hidden="1" x14ac:dyDescent="0.25">
      <c r="A160" s="1">
        <v>662</v>
      </c>
      <c r="B160" s="1" t="s">
        <v>893</v>
      </c>
      <c r="C160" s="1" t="s">
        <v>647</v>
      </c>
      <c r="D160" s="1" t="s">
        <v>894</v>
      </c>
      <c r="E160" s="1" t="s">
        <v>758</v>
      </c>
      <c r="F160" s="10">
        <v>46190</v>
      </c>
      <c r="G160" s="10">
        <v>46210</v>
      </c>
      <c r="H160" s="11">
        <v>0.87</v>
      </c>
      <c r="L160" s="1" t="s">
        <v>35</v>
      </c>
      <c r="M160" s="1" t="s">
        <v>323</v>
      </c>
      <c r="N160" s="10">
        <v>46210</v>
      </c>
      <c r="P160" s="1" t="s">
        <v>645</v>
      </c>
      <c r="Q160" s="1" t="s">
        <v>133</v>
      </c>
      <c r="R160" s="1" t="s">
        <v>55</v>
      </c>
      <c r="S160" s="2">
        <v>46191</v>
      </c>
      <c r="T160" s="2">
        <v>46210</v>
      </c>
      <c r="U160" s="1" t="s">
        <v>288</v>
      </c>
      <c r="V160" s="1">
        <v>0.87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</row>
    <row r="161" spans="1:33" hidden="1" x14ac:dyDescent="0.25">
      <c r="A161" s="1">
        <v>665</v>
      </c>
      <c r="B161" s="1" t="s">
        <v>898</v>
      </c>
      <c r="C161" s="1" t="s">
        <v>896</v>
      </c>
      <c r="D161" s="1" t="s">
        <v>102</v>
      </c>
      <c r="E161" s="1" t="s">
        <v>53</v>
      </c>
      <c r="F161" s="10">
        <v>46209</v>
      </c>
      <c r="G161" s="10">
        <v>46209</v>
      </c>
      <c r="H161" s="11">
        <v>0</v>
      </c>
      <c r="J161" s="1">
        <v>664</v>
      </c>
      <c r="K161" s="1">
        <v>666</v>
      </c>
      <c r="L161" s="1" t="s">
        <v>35</v>
      </c>
      <c r="M161" s="1" t="s">
        <v>502</v>
      </c>
      <c r="N161" s="10">
        <v>46198</v>
      </c>
      <c r="P161" s="1" t="s">
        <v>645</v>
      </c>
      <c r="Q161" s="1" t="s">
        <v>178</v>
      </c>
      <c r="R161" s="1" t="s">
        <v>55</v>
      </c>
      <c r="S161" s="2">
        <v>46198</v>
      </c>
      <c r="T161" s="2">
        <v>46198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1</v>
      </c>
      <c r="AE161" s="1">
        <v>0</v>
      </c>
      <c r="AF161" s="1">
        <v>0</v>
      </c>
      <c r="AG161" s="1">
        <v>0</v>
      </c>
    </row>
    <row r="162" spans="1:33" hidden="1" x14ac:dyDescent="0.25">
      <c r="A162" s="1">
        <v>666</v>
      </c>
      <c r="B162" s="1" t="s">
        <v>899</v>
      </c>
      <c r="C162" s="1" t="s">
        <v>896</v>
      </c>
      <c r="D162" s="1" t="s">
        <v>108</v>
      </c>
      <c r="E162" s="1" t="s">
        <v>53</v>
      </c>
      <c r="F162" s="10">
        <v>46210</v>
      </c>
      <c r="G162" s="10">
        <v>46210</v>
      </c>
      <c r="H162" s="11">
        <v>0</v>
      </c>
      <c r="J162" s="1">
        <v>665</v>
      </c>
      <c r="L162" s="1" t="s">
        <v>180</v>
      </c>
      <c r="M162" s="1" t="s">
        <v>394</v>
      </c>
      <c r="N162" s="10">
        <v>46199</v>
      </c>
      <c r="P162" s="1" t="s">
        <v>645</v>
      </c>
      <c r="Q162" s="1" t="s">
        <v>178</v>
      </c>
      <c r="R162" s="1" t="s">
        <v>55</v>
      </c>
      <c r="S162" s="2">
        <v>46199</v>
      </c>
      <c r="T162" s="2">
        <v>46199</v>
      </c>
      <c r="V162" s="1">
        <v>0</v>
      </c>
      <c r="W162" s="1">
        <v>0</v>
      </c>
      <c r="X162" s="1">
        <v>0</v>
      </c>
      <c r="Y162" s="1">
        <v>0</v>
      </c>
      <c r="Z162" s="1">
        <v>1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</row>
    <row r="163" spans="1:33" hidden="1" x14ac:dyDescent="0.25">
      <c r="A163" s="1">
        <v>667</v>
      </c>
      <c r="B163" s="1" t="s">
        <v>900</v>
      </c>
      <c r="C163" s="1" t="s">
        <v>647</v>
      </c>
      <c r="D163" s="1" t="s">
        <v>901</v>
      </c>
      <c r="E163" s="1" t="s">
        <v>758</v>
      </c>
      <c r="F163" s="10">
        <v>46190</v>
      </c>
      <c r="G163" s="10">
        <v>46210</v>
      </c>
      <c r="H163" s="11">
        <v>0.87</v>
      </c>
      <c r="L163" s="1" t="s">
        <v>35</v>
      </c>
      <c r="M163" s="1" t="s">
        <v>323</v>
      </c>
      <c r="N163" s="10">
        <v>46210</v>
      </c>
      <c r="P163" s="1" t="s">
        <v>645</v>
      </c>
      <c r="Q163" s="1" t="s">
        <v>133</v>
      </c>
      <c r="R163" s="1" t="s">
        <v>55</v>
      </c>
      <c r="S163" s="2">
        <v>46191</v>
      </c>
      <c r="T163" s="2">
        <v>46210</v>
      </c>
      <c r="U163" s="1" t="s">
        <v>288</v>
      </c>
      <c r="V163" s="1">
        <v>0.87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</row>
    <row r="164" spans="1:33" hidden="1" x14ac:dyDescent="0.25">
      <c r="A164" s="1">
        <v>670</v>
      </c>
      <c r="B164" s="1" t="s">
        <v>905</v>
      </c>
      <c r="C164" s="1" t="s">
        <v>903</v>
      </c>
      <c r="D164" s="1" t="s">
        <v>102</v>
      </c>
      <c r="E164" s="1" t="s">
        <v>53</v>
      </c>
      <c r="F164" s="10">
        <v>46209</v>
      </c>
      <c r="G164" s="10">
        <v>46209</v>
      </c>
      <c r="H164" s="11">
        <v>0</v>
      </c>
      <c r="J164" s="1">
        <v>669</v>
      </c>
      <c r="K164" s="1">
        <v>671</v>
      </c>
      <c r="L164" s="1" t="s">
        <v>35</v>
      </c>
      <c r="M164" s="1" t="s">
        <v>502</v>
      </c>
      <c r="N164" s="10">
        <v>46198</v>
      </c>
      <c r="P164" s="1" t="s">
        <v>645</v>
      </c>
      <c r="Q164" s="1" t="s">
        <v>178</v>
      </c>
      <c r="R164" s="1" t="s">
        <v>55</v>
      </c>
      <c r="S164" s="2">
        <v>46198</v>
      </c>
      <c r="T164" s="2">
        <v>46198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1</v>
      </c>
      <c r="AE164" s="1">
        <v>0</v>
      </c>
      <c r="AF164" s="1">
        <v>0</v>
      </c>
      <c r="AG164" s="1">
        <v>0</v>
      </c>
    </row>
    <row r="165" spans="1:33" hidden="1" x14ac:dyDescent="0.25">
      <c r="A165" s="1">
        <v>671</v>
      </c>
      <c r="B165" s="1" t="s">
        <v>906</v>
      </c>
      <c r="C165" s="1" t="s">
        <v>903</v>
      </c>
      <c r="D165" s="1" t="s">
        <v>108</v>
      </c>
      <c r="E165" s="1" t="s">
        <v>53</v>
      </c>
      <c r="F165" s="10">
        <v>46210</v>
      </c>
      <c r="G165" s="10">
        <v>46210</v>
      </c>
      <c r="H165" s="11">
        <v>0</v>
      </c>
      <c r="J165" s="1">
        <v>670</v>
      </c>
      <c r="L165" s="1" t="s">
        <v>180</v>
      </c>
      <c r="M165" s="1" t="s">
        <v>394</v>
      </c>
      <c r="N165" s="10">
        <v>46199</v>
      </c>
      <c r="P165" s="1" t="s">
        <v>645</v>
      </c>
      <c r="Q165" s="1" t="s">
        <v>178</v>
      </c>
      <c r="R165" s="1" t="s">
        <v>55</v>
      </c>
      <c r="S165" s="2">
        <v>46199</v>
      </c>
      <c r="T165" s="2">
        <v>46199</v>
      </c>
      <c r="V165" s="1">
        <v>0</v>
      </c>
      <c r="W165" s="1">
        <v>0</v>
      </c>
      <c r="X165" s="1">
        <v>0</v>
      </c>
      <c r="Y165" s="1">
        <v>0</v>
      </c>
      <c r="Z165" s="1">
        <v>1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</row>
    <row r="166" spans="1:33" hidden="1" x14ac:dyDescent="0.25">
      <c r="A166" s="1">
        <v>672</v>
      </c>
      <c r="B166" s="1" t="s">
        <v>907</v>
      </c>
      <c r="C166" s="1" t="s">
        <v>647</v>
      </c>
      <c r="D166" s="1" t="s">
        <v>908</v>
      </c>
      <c r="E166" s="1" t="s">
        <v>758</v>
      </c>
      <c r="F166" s="10">
        <v>46190</v>
      </c>
      <c r="G166" s="10">
        <v>46210</v>
      </c>
      <c r="H166" s="11">
        <v>0.87</v>
      </c>
      <c r="L166" s="1" t="s">
        <v>35</v>
      </c>
      <c r="M166" s="1" t="s">
        <v>323</v>
      </c>
      <c r="N166" s="10">
        <v>46210</v>
      </c>
      <c r="P166" s="1" t="s">
        <v>645</v>
      </c>
      <c r="Q166" s="1" t="s">
        <v>133</v>
      </c>
      <c r="R166" s="1" t="s">
        <v>55</v>
      </c>
      <c r="S166" s="2">
        <v>46191</v>
      </c>
      <c r="T166" s="2">
        <v>46210</v>
      </c>
      <c r="U166" s="1" t="s">
        <v>288</v>
      </c>
      <c r="V166" s="1">
        <v>0.87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</row>
    <row r="167" spans="1:33" hidden="1" x14ac:dyDescent="0.25">
      <c r="A167" s="1">
        <v>675</v>
      </c>
      <c r="B167" s="1" t="s">
        <v>912</v>
      </c>
      <c r="C167" s="1" t="s">
        <v>910</v>
      </c>
      <c r="D167" s="1" t="s">
        <v>102</v>
      </c>
      <c r="E167" s="1" t="s">
        <v>53</v>
      </c>
      <c r="F167" s="10">
        <v>46209</v>
      </c>
      <c r="G167" s="10">
        <v>46209</v>
      </c>
      <c r="H167" s="11">
        <v>0</v>
      </c>
      <c r="J167" s="1">
        <v>674</v>
      </c>
      <c r="K167" s="1">
        <v>676</v>
      </c>
      <c r="L167" s="1" t="s">
        <v>35</v>
      </c>
      <c r="M167" s="1" t="s">
        <v>502</v>
      </c>
      <c r="N167" s="10">
        <v>46198</v>
      </c>
      <c r="P167" s="1" t="s">
        <v>645</v>
      </c>
      <c r="Q167" s="1" t="s">
        <v>178</v>
      </c>
      <c r="R167" s="1" t="s">
        <v>55</v>
      </c>
      <c r="S167" s="2">
        <v>46198</v>
      </c>
      <c r="T167" s="2">
        <v>46198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1</v>
      </c>
      <c r="AE167" s="1">
        <v>0</v>
      </c>
      <c r="AF167" s="1">
        <v>0</v>
      </c>
      <c r="AG167" s="1">
        <v>0</v>
      </c>
    </row>
    <row r="168" spans="1:33" hidden="1" x14ac:dyDescent="0.25">
      <c r="A168" s="1">
        <v>676</v>
      </c>
      <c r="B168" s="1" t="s">
        <v>913</v>
      </c>
      <c r="C168" s="1" t="s">
        <v>910</v>
      </c>
      <c r="D168" s="1" t="s">
        <v>108</v>
      </c>
      <c r="E168" s="1" t="s">
        <v>53</v>
      </c>
      <c r="F168" s="10">
        <v>46210</v>
      </c>
      <c r="G168" s="10">
        <v>46210</v>
      </c>
      <c r="H168" s="11">
        <v>0</v>
      </c>
      <c r="J168" s="1">
        <v>675</v>
      </c>
      <c r="L168" s="1" t="s">
        <v>180</v>
      </c>
      <c r="M168" s="1" t="s">
        <v>394</v>
      </c>
      <c r="N168" s="10">
        <v>46199</v>
      </c>
      <c r="P168" s="1" t="s">
        <v>645</v>
      </c>
      <c r="Q168" s="1" t="s">
        <v>178</v>
      </c>
      <c r="R168" s="1" t="s">
        <v>55</v>
      </c>
      <c r="S168" s="2">
        <v>46199</v>
      </c>
      <c r="T168" s="2">
        <v>46199</v>
      </c>
      <c r="V168" s="1">
        <v>0</v>
      </c>
      <c r="W168" s="1">
        <v>0</v>
      </c>
      <c r="X168" s="1">
        <v>0</v>
      </c>
      <c r="Y168" s="1">
        <v>0</v>
      </c>
      <c r="Z168" s="1">
        <v>1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</row>
    <row r="169" spans="1:33" hidden="1" x14ac:dyDescent="0.25">
      <c r="A169" s="1">
        <v>677</v>
      </c>
      <c r="B169" s="1" t="s">
        <v>914</v>
      </c>
      <c r="C169" s="1" t="s">
        <v>647</v>
      </c>
      <c r="D169" s="1" t="s">
        <v>915</v>
      </c>
      <c r="E169" s="1" t="s">
        <v>758</v>
      </c>
      <c r="F169" s="10">
        <v>46190</v>
      </c>
      <c r="G169" s="10">
        <v>46210</v>
      </c>
      <c r="H169" s="11">
        <v>0.87</v>
      </c>
      <c r="L169" s="1" t="s">
        <v>35</v>
      </c>
      <c r="M169" s="1" t="s">
        <v>323</v>
      </c>
      <c r="N169" s="10">
        <v>46210</v>
      </c>
      <c r="P169" s="1" t="s">
        <v>645</v>
      </c>
      <c r="Q169" s="1" t="s">
        <v>133</v>
      </c>
      <c r="R169" s="1" t="s">
        <v>55</v>
      </c>
      <c r="S169" s="2">
        <v>46191</v>
      </c>
      <c r="T169" s="2">
        <v>46210</v>
      </c>
      <c r="U169" s="1" t="s">
        <v>288</v>
      </c>
      <c r="V169" s="1">
        <v>0.87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</row>
    <row r="170" spans="1:33" hidden="1" x14ac:dyDescent="0.25">
      <c r="A170" s="1">
        <v>680</v>
      </c>
      <c r="B170" s="1" t="s">
        <v>920</v>
      </c>
      <c r="C170" s="1" t="s">
        <v>917</v>
      </c>
      <c r="D170" s="1" t="s">
        <v>102</v>
      </c>
      <c r="E170" s="1" t="s">
        <v>53</v>
      </c>
      <c r="F170" s="10">
        <v>46209</v>
      </c>
      <c r="G170" s="10">
        <v>46209</v>
      </c>
      <c r="H170" s="11">
        <v>0</v>
      </c>
      <c r="J170" s="1">
        <v>679</v>
      </c>
      <c r="K170" s="1">
        <v>681</v>
      </c>
      <c r="L170" s="1" t="s">
        <v>35</v>
      </c>
      <c r="M170" s="1" t="s">
        <v>505</v>
      </c>
      <c r="N170" s="10">
        <v>46204</v>
      </c>
      <c r="P170" s="1" t="s">
        <v>645</v>
      </c>
      <c r="Q170" s="1" t="s">
        <v>178</v>
      </c>
      <c r="R170" s="1" t="s">
        <v>55</v>
      </c>
      <c r="S170" s="2">
        <v>46203</v>
      </c>
      <c r="T170" s="2">
        <v>46204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1</v>
      </c>
      <c r="AE170" s="1">
        <v>0</v>
      </c>
      <c r="AF170" s="1">
        <v>0</v>
      </c>
      <c r="AG170" s="1">
        <v>0</v>
      </c>
    </row>
    <row r="171" spans="1:33" hidden="1" x14ac:dyDescent="0.25">
      <c r="A171" s="1">
        <v>681</v>
      </c>
      <c r="B171" s="1" t="s">
        <v>921</v>
      </c>
      <c r="C171" s="1" t="s">
        <v>917</v>
      </c>
      <c r="D171" s="1" t="s">
        <v>108</v>
      </c>
      <c r="E171" s="1" t="s">
        <v>53</v>
      </c>
      <c r="F171" s="10">
        <v>46210</v>
      </c>
      <c r="G171" s="10">
        <v>46210</v>
      </c>
      <c r="H171" s="11">
        <v>0</v>
      </c>
      <c r="J171" s="1">
        <v>680</v>
      </c>
      <c r="L171" s="1" t="s">
        <v>180</v>
      </c>
      <c r="M171" s="1" t="s">
        <v>398</v>
      </c>
      <c r="N171" s="10">
        <v>46205</v>
      </c>
      <c r="P171" s="1" t="s">
        <v>645</v>
      </c>
      <c r="Q171" s="1" t="s">
        <v>178</v>
      </c>
      <c r="R171" s="1" t="s">
        <v>55</v>
      </c>
      <c r="S171" s="2">
        <v>46204</v>
      </c>
      <c r="T171" s="2">
        <v>46205</v>
      </c>
      <c r="V171" s="1">
        <v>0</v>
      </c>
      <c r="W171" s="1">
        <v>0</v>
      </c>
      <c r="X171" s="1">
        <v>0</v>
      </c>
      <c r="Y171" s="1">
        <v>0</v>
      </c>
      <c r="Z171" s="1">
        <v>1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</row>
    <row r="172" spans="1:33" hidden="1" x14ac:dyDescent="0.25">
      <c r="A172" s="1">
        <v>682</v>
      </c>
      <c r="B172" s="1" t="s">
        <v>922</v>
      </c>
      <c r="C172" s="1" t="s">
        <v>647</v>
      </c>
      <c r="D172" s="1" t="s">
        <v>923</v>
      </c>
      <c r="E172" s="1" t="s">
        <v>758</v>
      </c>
      <c r="F172" s="10">
        <v>46190</v>
      </c>
      <c r="G172" s="10">
        <v>46210</v>
      </c>
      <c r="H172" s="11">
        <v>0.87</v>
      </c>
      <c r="L172" s="1" t="s">
        <v>35</v>
      </c>
      <c r="M172" s="1" t="s">
        <v>323</v>
      </c>
      <c r="N172" s="10">
        <v>46210</v>
      </c>
      <c r="P172" s="1" t="s">
        <v>645</v>
      </c>
      <c r="Q172" s="1" t="s">
        <v>133</v>
      </c>
      <c r="R172" s="1" t="s">
        <v>55</v>
      </c>
      <c r="S172" s="2">
        <v>46191</v>
      </c>
      <c r="T172" s="2">
        <v>46210</v>
      </c>
      <c r="U172" s="1" t="s">
        <v>288</v>
      </c>
      <c r="V172" s="1">
        <v>0.87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</row>
    <row r="173" spans="1:33" hidden="1" x14ac:dyDescent="0.25">
      <c r="A173" s="1">
        <v>685</v>
      </c>
      <c r="B173" s="1" t="s">
        <v>927</v>
      </c>
      <c r="C173" s="1" t="s">
        <v>925</v>
      </c>
      <c r="D173" s="1" t="s">
        <v>102</v>
      </c>
      <c r="E173" s="1" t="s">
        <v>53</v>
      </c>
      <c r="F173" s="10">
        <v>46209</v>
      </c>
      <c r="G173" s="10">
        <v>46209</v>
      </c>
      <c r="H173" s="11">
        <v>0</v>
      </c>
      <c r="J173" s="1">
        <v>684</v>
      </c>
      <c r="K173" s="1">
        <v>686</v>
      </c>
      <c r="L173" s="1" t="s">
        <v>35</v>
      </c>
      <c r="M173" s="1" t="s">
        <v>505</v>
      </c>
      <c r="N173" s="10">
        <v>46204</v>
      </c>
      <c r="P173" s="1" t="s">
        <v>645</v>
      </c>
      <c r="Q173" s="1" t="s">
        <v>178</v>
      </c>
      <c r="R173" s="1" t="s">
        <v>55</v>
      </c>
      <c r="S173" s="2">
        <v>46203</v>
      </c>
      <c r="T173" s="2">
        <v>46204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1</v>
      </c>
      <c r="AE173" s="1">
        <v>0</v>
      </c>
      <c r="AF173" s="1">
        <v>0</v>
      </c>
      <c r="AG173" s="1">
        <v>0</v>
      </c>
    </row>
    <row r="174" spans="1:33" hidden="1" x14ac:dyDescent="0.25">
      <c r="A174" s="1">
        <v>686</v>
      </c>
      <c r="B174" s="1" t="s">
        <v>928</v>
      </c>
      <c r="C174" s="1" t="s">
        <v>925</v>
      </c>
      <c r="D174" s="1" t="s">
        <v>108</v>
      </c>
      <c r="E174" s="1" t="s">
        <v>53</v>
      </c>
      <c r="F174" s="10">
        <v>46210</v>
      </c>
      <c r="G174" s="10">
        <v>46210</v>
      </c>
      <c r="H174" s="11">
        <v>0</v>
      </c>
      <c r="J174" s="1">
        <v>685</v>
      </c>
      <c r="L174" s="1" t="s">
        <v>180</v>
      </c>
      <c r="M174" s="1" t="s">
        <v>398</v>
      </c>
      <c r="N174" s="10">
        <v>46205</v>
      </c>
      <c r="P174" s="1" t="s">
        <v>645</v>
      </c>
      <c r="Q174" s="1" t="s">
        <v>178</v>
      </c>
      <c r="R174" s="1" t="s">
        <v>55</v>
      </c>
      <c r="S174" s="2">
        <v>46204</v>
      </c>
      <c r="T174" s="2">
        <v>46205</v>
      </c>
      <c r="V174" s="1">
        <v>0</v>
      </c>
      <c r="W174" s="1">
        <v>0</v>
      </c>
      <c r="X174" s="1">
        <v>0</v>
      </c>
      <c r="Y174" s="1">
        <v>0</v>
      </c>
      <c r="Z174" s="1">
        <v>1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</row>
    <row r="175" spans="1:33" hidden="1" x14ac:dyDescent="0.25">
      <c r="A175" s="1">
        <v>687</v>
      </c>
      <c r="B175" s="1" t="s">
        <v>929</v>
      </c>
      <c r="C175" s="1" t="s">
        <v>647</v>
      </c>
      <c r="D175" s="1" t="s">
        <v>930</v>
      </c>
      <c r="E175" s="1" t="s">
        <v>758</v>
      </c>
      <c r="F175" s="10">
        <v>46190</v>
      </c>
      <c r="G175" s="10">
        <v>46210</v>
      </c>
      <c r="H175" s="11">
        <v>0.8</v>
      </c>
      <c r="L175" s="1" t="s">
        <v>35</v>
      </c>
      <c r="M175" s="1" t="s">
        <v>323</v>
      </c>
      <c r="N175" s="10">
        <v>46210</v>
      </c>
      <c r="P175" s="1" t="s">
        <v>645</v>
      </c>
      <c r="Q175" s="1" t="s">
        <v>133</v>
      </c>
      <c r="R175" s="1" t="s">
        <v>55</v>
      </c>
      <c r="S175" s="2">
        <v>46191</v>
      </c>
      <c r="T175" s="2">
        <v>46210</v>
      </c>
      <c r="U175" s="1" t="s">
        <v>288</v>
      </c>
      <c r="V175" s="1">
        <v>0.8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</row>
    <row r="176" spans="1:33" hidden="1" x14ac:dyDescent="0.25">
      <c r="A176" s="1">
        <v>690</v>
      </c>
      <c r="B176" s="1" t="s">
        <v>934</v>
      </c>
      <c r="C176" s="1" t="s">
        <v>932</v>
      </c>
      <c r="D176" s="1" t="s">
        <v>102</v>
      </c>
      <c r="E176" s="1" t="s">
        <v>53</v>
      </c>
      <c r="F176" s="10">
        <v>46209</v>
      </c>
      <c r="G176" s="10">
        <v>46209</v>
      </c>
      <c r="H176" s="11">
        <v>0</v>
      </c>
      <c r="J176" s="1">
        <v>689</v>
      </c>
      <c r="K176" s="1">
        <v>691</v>
      </c>
      <c r="L176" s="1" t="s">
        <v>35</v>
      </c>
      <c r="M176" s="1" t="s">
        <v>505</v>
      </c>
      <c r="N176" s="10">
        <v>46204</v>
      </c>
      <c r="P176" s="1" t="s">
        <v>645</v>
      </c>
      <c r="Q176" s="1" t="s">
        <v>178</v>
      </c>
      <c r="R176" s="1" t="s">
        <v>55</v>
      </c>
      <c r="S176" s="2">
        <v>46203</v>
      </c>
      <c r="T176" s="2">
        <v>46204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1</v>
      </c>
      <c r="AE176" s="1">
        <v>0</v>
      </c>
      <c r="AF176" s="1">
        <v>0</v>
      </c>
      <c r="AG176" s="1">
        <v>0</v>
      </c>
    </row>
    <row r="177" spans="1:33" hidden="1" x14ac:dyDescent="0.25">
      <c r="A177" s="1">
        <v>691</v>
      </c>
      <c r="B177" s="1" t="s">
        <v>935</v>
      </c>
      <c r="C177" s="1" t="s">
        <v>932</v>
      </c>
      <c r="D177" s="1" t="s">
        <v>108</v>
      </c>
      <c r="E177" s="1" t="s">
        <v>53</v>
      </c>
      <c r="F177" s="10">
        <v>46210</v>
      </c>
      <c r="G177" s="10">
        <v>46210</v>
      </c>
      <c r="H177" s="11">
        <v>0</v>
      </c>
      <c r="J177" s="1">
        <v>690</v>
      </c>
      <c r="L177" s="1" t="s">
        <v>180</v>
      </c>
      <c r="M177" s="1" t="s">
        <v>398</v>
      </c>
      <c r="N177" s="10">
        <v>46205</v>
      </c>
      <c r="P177" s="1" t="s">
        <v>645</v>
      </c>
      <c r="Q177" s="1" t="s">
        <v>178</v>
      </c>
      <c r="R177" s="1" t="s">
        <v>55</v>
      </c>
      <c r="S177" s="2">
        <v>46204</v>
      </c>
      <c r="T177" s="2">
        <v>46205</v>
      </c>
      <c r="V177" s="1">
        <v>0</v>
      </c>
      <c r="W177" s="1">
        <v>0</v>
      </c>
      <c r="X177" s="1">
        <v>0</v>
      </c>
      <c r="Y177" s="1">
        <v>0</v>
      </c>
      <c r="Z177" s="1">
        <v>1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</row>
    <row r="178" spans="1:33" hidden="1" x14ac:dyDescent="0.25">
      <c r="A178" s="1">
        <v>31</v>
      </c>
      <c r="B178" s="1" t="s">
        <v>989</v>
      </c>
      <c r="C178" s="1" t="s">
        <v>990</v>
      </c>
      <c r="D178" s="1" t="s">
        <v>991</v>
      </c>
      <c r="E178" s="1" t="s">
        <v>769</v>
      </c>
      <c r="F178" s="10">
        <v>46170</v>
      </c>
      <c r="G178" s="10">
        <v>46178</v>
      </c>
      <c r="H178" s="11">
        <v>0</v>
      </c>
      <c r="L178" s="1" t="s">
        <v>180</v>
      </c>
      <c r="M178" s="1" t="s">
        <v>150</v>
      </c>
      <c r="N178" s="10">
        <v>46175</v>
      </c>
      <c r="P178" s="1" t="s">
        <v>986</v>
      </c>
      <c r="Q178" s="1" t="s">
        <v>987</v>
      </c>
      <c r="R178" s="1" t="s">
        <v>55</v>
      </c>
      <c r="S178" s="2">
        <v>46167</v>
      </c>
      <c r="T178" s="2">
        <v>46175</v>
      </c>
      <c r="U178" s="1" t="s">
        <v>988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</row>
    <row r="179" spans="1:33" hidden="1" x14ac:dyDescent="0.25">
      <c r="A179" s="1">
        <v>36</v>
      </c>
      <c r="B179" s="1" t="s">
        <v>992</v>
      </c>
      <c r="C179" s="1" t="s">
        <v>990</v>
      </c>
      <c r="D179" s="1" t="s">
        <v>993</v>
      </c>
      <c r="E179" s="1" t="s">
        <v>769</v>
      </c>
      <c r="F179" s="10">
        <v>46189</v>
      </c>
      <c r="G179" s="10">
        <v>46197</v>
      </c>
      <c r="H179" s="11">
        <v>0</v>
      </c>
      <c r="L179" s="1" t="s">
        <v>149</v>
      </c>
      <c r="M179" s="1" t="s">
        <v>262</v>
      </c>
      <c r="N179" s="10">
        <v>46192</v>
      </c>
      <c r="P179" s="1" t="s">
        <v>986</v>
      </c>
      <c r="Q179" s="1" t="s">
        <v>987</v>
      </c>
      <c r="R179" s="1" t="s">
        <v>55</v>
      </c>
      <c r="S179" s="2">
        <v>46184</v>
      </c>
      <c r="T179" s="2">
        <v>46192</v>
      </c>
      <c r="U179" s="1" t="s">
        <v>988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</row>
    <row r="180" spans="1:33" hidden="1" x14ac:dyDescent="0.25">
      <c r="A180" s="1">
        <v>46</v>
      </c>
      <c r="B180" s="1" t="s">
        <v>996</v>
      </c>
      <c r="C180" s="1" t="s">
        <v>990</v>
      </c>
      <c r="D180" s="1" t="s">
        <v>997</v>
      </c>
      <c r="E180" s="1" t="s">
        <v>998</v>
      </c>
      <c r="F180" s="10">
        <v>46139</v>
      </c>
      <c r="G180" s="10">
        <v>46189</v>
      </c>
      <c r="H180" s="11">
        <v>0.56999999999999995</v>
      </c>
      <c r="L180" s="1" t="s">
        <v>180</v>
      </c>
      <c r="M180" s="1" t="s">
        <v>36</v>
      </c>
      <c r="N180" s="10">
        <v>46189</v>
      </c>
      <c r="P180" s="1" t="s">
        <v>986</v>
      </c>
      <c r="Q180" s="1" t="s">
        <v>987</v>
      </c>
      <c r="R180" s="1" t="s">
        <v>55</v>
      </c>
      <c r="S180" s="2">
        <v>46139</v>
      </c>
      <c r="T180" s="2">
        <v>46189</v>
      </c>
      <c r="U180" s="1" t="s">
        <v>988</v>
      </c>
      <c r="V180" s="1">
        <v>0.56999999999999995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</row>
    <row r="181" spans="1:33" hidden="1" x14ac:dyDescent="0.25">
      <c r="A181" s="1">
        <v>199</v>
      </c>
      <c r="B181" s="1" t="s">
        <v>1001</v>
      </c>
      <c r="C181" s="1" t="s">
        <v>379</v>
      </c>
      <c r="D181" s="1" t="s">
        <v>1002</v>
      </c>
      <c r="E181" s="1" t="s">
        <v>769</v>
      </c>
      <c r="F181" s="10">
        <v>46197</v>
      </c>
      <c r="G181" s="10">
        <v>46205</v>
      </c>
      <c r="H181" s="11">
        <v>0</v>
      </c>
      <c r="L181" s="1" t="s">
        <v>149</v>
      </c>
      <c r="M181" s="1" t="s">
        <v>390</v>
      </c>
      <c r="N181" s="10">
        <v>46204</v>
      </c>
      <c r="P181" s="1" t="s">
        <v>377</v>
      </c>
      <c r="Q181" s="1" t="s">
        <v>987</v>
      </c>
      <c r="R181" s="1" t="s">
        <v>39</v>
      </c>
      <c r="S181" s="2">
        <v>46196</v>
      </c>
      <c r="T181" s="2">
        <v>46204</v>
      </c>
      <c r="U181" s="1" t="s">
        <v>988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</row>
    <row r="182" spans="1:33" hidden="1" x14ac:dyDescent="0.25">
      <c r="A182" s="1">
        <v>204</v>
      </c>
      <c r="B182" s="1" t="s">
        <v>1003</v>
      </c>
      <c r="C182" s="1" t="s">
        <v>379</v>
      </c>
      <c r="D182" s="1" t="s">
        <v>1004</v>
      </c>
      <c r="E182" s="1" t="s">
        <v>769</v>
      </c>
      <c r="F182" s="10">
        <v>46197</v>
      </c>
      <c r="G182" s="10">
        <v>46205</v>
      </c>
      <c r="H182" s="11">
        <v>0</v>
      </c>
      <c r="L182" s="1" t="s">
        <v>149</v>
      </c>
      <c r="M182" s="1" t="s">
        <v>390</v>
      </c>
      <c r="N182" s="10">
        <v>46204</v>
      </c>
      <c r="P182" s="1" t="s">
        <v>377</v>
      </c>
      <c r="Q182" s="1" t="s">
        <v>987</v>
      </c>
      <c r="R182" s="1" t="s">
        <v>55</v>
      </c>
      <c r="S182" s="2">
        <v>46196</v>
      </c>
      <c r="T182" s="2">
        <v>46204</v>
      </c>
      <c r="U182" s="1" t="s">
        <v>988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</row>
    <row r="183" spans="1:33" hidden="1" x14ac:dyDescent="0.25">
      <c r="A183" s="1">
        <v>214</v>
      </c>
      <c r="B183" s="1" t="s">
        <v>1005</v>
      </c>
      <c r="C183" s="1" t="s">
        <v>379</v>
      </c>
      <c r="D183" s="1" t="s">
        <v>1006</v>
      </c>
      <c r="E183" s="1" t="s">
        <v>769</v>
      </c>
      <c r="F183" s="10">
        <v>46192</v>
      </c>
      <c r="G183" s="10">
        <v>46202</v>
      </c>
      <c r="H183" s="11">
        <v>0</v>
      </c>
      <c r="L183" s="1" t="s">
        <v>149</v>
      </c>
      <c r="M183" s="1" t="s">
        <v>323</v>
      </c>
      <c r="N183" s="10">
        <v>46199</v>
      </c>
      <c r="P183" s="1" t="s">
        <v>377</v>
      </c>
      <c r="Q183" s="1" t="s">
        <v>987</v>
      </c>
      <c r="R183" s="1" t="s">
        <v>39</v>
      </c>
      <c r="S183" s="2">
        <v>46191</v>
      </c>
      <c r="T183" s="2">
        <v>46199</v>
      </c>
      <c r="U183" s="1" t="s">
        <v>988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</row>
    <row r="184" spans="1:33" hidden="1" x14ac:dyDescent="0.25">
      <c r="A184" s="1">
        <v>224</v>
      </c>
      <c r="B184" s="1" t="s">
        <v>1007</v>
      </c>
      <c r="C184" s="1" t="s">
        <v>379</v>
      </c>
      <c r="D184" s="1" t="s">
        <v>1008</v>
      </c>
      <c r="E184" s="1" t="s">
        <v>103</v>
      </c>
      <c r="F184" s="10">
        <v>46176</v>
      </c>
      <c r="G184" s="10">
        <v>46183</v>
      </c>
      <c r="H184" s="11">
        <v>0</v>
      </c>
      <c r="L184" s="1" t="s">
        <v>149</v>
      </c>
      <c r="M184" s="1" t="s">
        <v>142</v>
      </c>
      <c r="N184" s="10">
        <v>46169</v>
      </c>
      <c r="P184" s="1" t="s">
        <v>377</v>
      </c>
      <c r="Q184" s="1" t="s">
        <v>987</v>
      </c>
      <c r="R184" s="1" t="s">
        <v>55</v>
      </c>
      <c r="S184" s="2">
        <v>46162</v>
      </c>
      <c r="T184" s="2">
        <v>46169</v>
      </c>
      <c r="U184" s="1" t="s">
        <v>988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</row>
    <row r="185" spans="1:33" hidden="1" x14ac:dyDescent="0.25">
      <c r="A185" s="1">
        <v>264</v>
      </c>
      <c r="B185" s="1" t="s">
        <v>441</v>
      </c>
      <c r="C185" s="1" t="s">
        <v>379</v>
      </c>
      <c r="D185" s="1" t="s">
        <v>1009</v>
      </c>
      <c r="E185" s="1" t="s">
        <v>1010</v>
      </c>
      <c r="F185" s="10">
        <v>46171</v>
      </c>
      <c r="G185" s="10">
        <v>46190</v>
      </c>
      <c r="H185" s="11">
        <v>0</v>
      </c>
      <c r="L185" s="1" t="s">
        <v>149</v>
      </c>
      <c r="M185" s="1" t="s">
        <v>173</v>
      </c>
      <c r="N185" s="10">
        <v>46189</v>
      </c>
      <c r="P185" s="1" t="s">
        <v>377</v>
      </c>
      <c r="Q185" s="1" t="s">
        <v>987</v>
      </c>
      <c r="R185" s="1" t="s">
        <v>55</v>
      </c>
      <c r="S185" s="2">
        <v>46170</v>
      </c>
      <c r="T185" s="2">
        <v>46189</v>
      </c>
      <c r="U185" s="1" t="s">
        <v>988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</row>
    <row r="186" spans="1:33" hidden="1" x14ac:dyDescent="0.25">
      <c r="A186" s="1">
        <v>285</v>
      </c>
      <c r="B186" s="1" t="s">
        <v>1011</v>
      </c>
      <c r="C186" s="1" t="s">
        <v>491</v>
      </c>
      <c r="D186" s="1" t="s">
        <v>1012</v>
      </c>
      <c r="E186" s="1" t="s">
        <v>103</v>
      </c>
      <c r="F186" s="10">
        <v>46199</v>
      </c>
      <c r="G186" s="10">
        <v>46206</v>
      </c>
      <c r="H186" s="11">
        <v>0</v>
      </c>
      <c r="L186" s="1" t="s">
        <v>149</v>
      </c>
      <c r="M186" s="1" t="s">
        <v>394</v>
      </c>
      <c r="N186" s="10">
        <v>46206</v>
      </c>
      <c r="P186" s="1" t="s">
        <v>489</v>
      </c>
      <c r="Q186" s="1" t="s">
        <v>987</v>
      </c>
      <c r="R186" s="1" t="s">
        <v>55</v>
      </c>
      <c r="S186" s="2">
        <v>46199</v>
      </c>
      <c r="T186" s="2">
        <v>46206</v>
      </c>
      <c r="U186" s="1" t="s">
        <v>988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</row>
    <row r="187" spans="1:33" hidden="1" x14ac:dyDescent="0.25">
      <c r="A187" s="1">
        <v>356</v>
      </c>
      <c r="B187" s="1" t="s">
        <v>1013</v>
      </c>
      <c r="C187" s="1" t="s">
        <v>607</v>
      </c>
      <c r="D187" s="1" t="s">
        <v>1014</v>
      </c>
      <c r="E187" s="1" t="s">
        <v>1015</v>
      </c>
      <c r="F187" s="10">
        <v>46188</v>
      </c>
      <c r="G187" s="10">
        <v>46202</v>
      </c>
      <c r="H187" s="11">
        <v>0</v>
      </c>
      <c r="L187" s="1" t="s">
        <v>149</v>
      </c>
      <c r="M187" s="1" t="s">
        <v>264</v>
      </c>
      <c r="N187" s="10">
        <v>46202</v>
      </c>
      <c r="P187" s="1" t="s">
        <v>605</v>
      </c>
      <c r="Q187" s="1" t="s">
        <v>987</v>
      </c>
      <c r="R187" s="1" t="s">
        <v>55</v>
      </c>
      <c r="S187" s="2">
        <v>46188</v>
      </c>
      <c r="T187" s="2">
        <v>46202</v>
      </c>
      <c r="U187" s="1" t="s">
        <v>988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</row>
    <row r="188" spans="1:33" hidden="1" x14ac:dyDescent="0.25">
      <c r="A188" s="1">
        <v>366</v>
      </c>
      <c r="B188" s="1" t="s">
        <v>1016</v>
      </c>
      <c r="C188" s="1" t="s">
        <v>607</v>
      </c>
      <c r="D188" s="1" t="s">
        <v>1017</v>
      </c>
      <c r="E188" s="1" t="s">
        <v>769</v>
      </c>
      <c r="F188" s="10">
        <v>46195</v>
      </c>
      <c r="G188" s="10">
        <v>46203</v>
      </c>
      <c r="H188" s="11">
        <v>0</v>
      </c>
      <c r="L188" s="1" t="s">
        <v>149</v>
      </c>
      <c r="M188" s="1" t="s">
        <v>264</v>
      </c>
      <c r="N188" s="10">
        <v>46196</v>
      </c>
      <c r="P188" s="1" t="s">
        <v>605</v>
      </c>
      <c r="Q188" s="1" t="s">
        <v>987</v>
      </c>
      <c r="R188" s="1" t="s">
        <v>55</v>
      </c>
      <c r="S188" s="2">
        <v>46188</v>
      </c>
      <c r="T188" s="2">
        <v>46196</v>
      </c>
      <c r="U188" s="1" t="s">
        <v>988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</row>
    <row r="189" spans="1:33" hidden="1" x14ac:dyDescent="0.25">
      <c r="A189" s="1">
        <v>376</v>
      </c>
      <c r="B189" s="1" t="s">
        <v>1018</v>
      </c>
      <c r="C189" s="1" t="s">
        <v>607</v>
      </c>
      <c r="D189" s="1" t="s">
        <v>1019</v>
      </c>
      <c r="E189" s="1" t="s">
        <v>103</v>
      </c>
      <c r="F189" s="10">
        <v>46203</v>
      </c>
      <c r="G189" s="10">
        <v>46210</v>
      </c>
      <c r="H189" s="11">
        <v>0</v>
      </c>
      <c r="L189" s="1" t="s">
        <v>149</v>
      </c>
      <c r="M189" s="1" t="s">
        <v>505</v>
      </c>
      <c r="N189" s="10">
        <v>46210</v>
      </c>
      <c r="P189" s="1" t="s">
        <v>605</v>
      </c>
      <c r="Q189" s="1" t="s">
        <v>987</v>
      </c>
      <c r="R189" s="1" t="s">
        <v>55</v>
      </c>
      <c r="S189" s="2">
        <v>46203</v>
      </c>
      <c r="T189" s="2">
        <v>46210</v>
      </c>
      <c r="U189" s="1" t="s">
        <v>988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</row>
    <row r="190" spans="1:33" hidden="1" x14ac:dyDescent="0.25">
      <c r="A190" s="1">
        <v>396</v>
      </c>
      <c r="B190" s="1" t="s">
        <v>1022</v>
      </c>
      <c r="C190" s="1" t="s">
        <v>607</v>
      </c>
      <c r="D190" s="1" t="s">
        <v>1023</v>
      </c>
      <c r="E190" s="1" t="s">
        <v>769</v>
      </c>
      <c r="F190" s="10">
        <v>46197</v>
      </c>
      <c r="G190" s="10">
        <v>46205</v>
      </c>
      <c r="H190" s="11">
        <v>0</v>
      </c>
      <c r="L190" s="1" t="s">
        <v>149</v>
      </c>
      <c r="M190" s="1" t="s">
        <v>754</v>
      </c>
      <c r="N190" s="10">
        <v>46205</v>
      </c>
      <c r="P190" s="1" t="s">
        <v>605</v>
      </c>
      <c r="Q190" s="1" t="s">
        <v>987</v>
      </c>
      <c r="R190" s="1" t="s">
        <v>55</v>
      </c>
      <c r="S190" s="2">
        <v>46197</v>
      </c>
      <c r="T190" s="2">
        <v>46205</v>
      </c>
      <c r="U190" s="1" t="s">
        <v>988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</row>
    <row r="191" spans="1:33" hidden="1" x14ac:dyDescent="0.25">
      <c r="A191" s="1">
        <v>401</v>
      </c>
      <c r="B191" s="1" t="s">
        <v>1024</v>
      </c>
      <c r="C191" s="1" t="s">
        <v>607</v>
      </c>
      <c r="D191" s="1" t="s">
        <v>1025</v>
      </c>
      <c r="E191" s="1" t="s">
        <v>769</v>
      </c>
      <c r="F191" s="10">
        <v>46178</v>
      </c>
      <c r="G191" s="10">
        <v>46188</v>
      </c>
      <c r="H191" s="11">
        <v>0</v>
      </c>
      <c r="L191" s="1" t="s">
        <v>149</v>
      </c>
      <c r="M191" s="1" t="s">
        <v>255</v>
      </c>
      <c r="N191" s="10">
        <v>46181</v>
      </c>
      <c r="P191" s="1" t="s">
        <v>605</v>
      </c>
      <c r="Q191" s="1" t="s">
        <v>987</v>
      </c>
      <c r="R191" s="1" t="s">
        <v>55</v>
      </c>
      <c r="S191" s="2">
        <v>46171</v>
      </c>
      <c r="T191" s="2">
        <v>46181</v>
      </c>
      <c r="U191" s="1" t="s">
        <v>988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</row>
    <row r="192" spans="1:33" hidden="1" x14ac:dyDescent="0.25">
      <c r="A192" s="1">
        <v>406</v>
      </c>
      <c r="B192" s="1" t="s">
        <v>1026</v>
      </c>
      <c r="C192" s="1" t="s">
        <v>607</v>
      </c>
      <c r="D192" s="1" t="s">
        <v>1027</v>
      </c>
      <c r="E192" s="1" t="s">
        <v>258</v>
      </c>
      <c r="F192" s="10">
        <v>46197</v>
      </c>
      <c r="G192" s="10">
        <v>46206</v>
      </c>
      <c r="H192" s="11">
        <v>0</v>
      </c>
      <c r="L192" s="1" t="s">
        <v>149</v>
      </c>
      <c r="M192" s="1" t="s">
        <v>754</v>
      </c>
      <c r="N192" s="10">
        <v>46206</v>
      </c>
      <c r="P192" s="1" t="s">
        <v>605</v>
      </c>
      <c r="Q192" s="1" t="s">
        <v>987</v>
      </c>
      <c r="R192" s="1" t="s">
        <v>55</v>
      </c>
      <c r="S192" s="2">
        <v>46197</v>
      </c>
      <c r="T192" s="2">
        <v>46206</v>
      </c>
      <c r="U192" s="1" t="s">
        <v>988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</row>
    <row r="193" spans="1:33" hidden="1" x14ac:dyDescent="0.25">
      <c r="A193" s="1">
        <v>411</v>
      </c>
      <c r="B193" s="1" t="s">
        <v>1028</v>
      </c>
      <c r="C193" s="1" t="s">
        <v>607</v>
      </c>
      <c r="D193" s="1" t="s">
        <v>1029</v>
      </c>
      <c r="E193" s="1" t="s">
        <v>769</v>
      </c>
      <c r="F193" s="10">
        <v>46183</v>
      </c>
      <c r="G193" s="10">
        <v>46191</v>
      </c>
      <c r="H193" s="11">
        <v>0</v>
      </c>
      <c r="L193" s="1" t="s">
        <v>149</v>
      </c>
      <c r="M193" s="1" t="s">
        <v>181</v>
      </c>
      <c r="N193" s="10">
        <v>46184</v>
      </c>
      <c r="P193" s="1" t="s">
        <v>605</v>
      </c>
      <c r="Q193" s="1" t="s">
        <v>987</v>
      </c>
      <c r="R193" s="1" t="s">
        <v>55</v>
      </c>
      <c r="S193" s="2">
        <v>46176</v>
      </c>
      <c r="T193" s="2">
        <v>46184</v>
      </c>
      <c r="U193" s="1" t="s">
        <v>988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</row>
    <row r="194" spans="1:33" hidden="1" x14ac:dyDescent="0.25">
      <c r="A194" s="1">
        <v>432</v>
      </c>
      <c r="B194" s="1" t="s">
        <v>663</v>
      </c>
      <c r="C194" s="1" t="s">
        <v>647</v>
      </c>
      <c r="D194" s="1" t="s">
        <v>1030</v>
      </c>
      <c r="E194" s="1" t="s">
        <v>103</v>
      </c>
      <c r="F194" s="10">
        <v>46195</v>
      </c>
      <c r="G194" s="10">
        <v>46202</v>
      </c>
      <c r="H194" s="11">
        <v>0</v>
      </c>
      <c r="L194" s="1" t="s">
        <v>149</v>
      </c>
      <c r="M194" s="1" t="s">
        <v>264</v>
      </c>
      <c r="N194" s="10">
        <v>46196</v>
      </c>
      <c r="P194" s="1" t="s">
        <v>645</v>
      </c>
      <c r="Q194" s="1" t="s">
        <v>987</v>
      </c>
      <c r="R194" s="1" t="s">
        <v>55</v>
      </c>
      <c r="S194" s="2">
        <v>46188</v>
      </c>
      <c r="T194" s="2">
        <v>46196</v>
      </c>
      <c r="U194" s="1" t="s">
        <v>988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</row>
    <row r="195" spans="1:33" hidden="1" x14ac:dyDescent="0.25">
      <c r="A195" s="1">
        <v>437</v>
      </c>
      <c r="B195" s="1" t="s">
        <v>1031</v>
      </c>
      <c r="C195" s="1" t="s">
        <v>647</v>
      </c>
      <c r="D195" s="1" t="s">
        <v>1032</v>
      </c>
      <c r="E195" s="1" t="s">
        <v>103</v>
      </c>
      <c r="F195" s="10">
        <v>46202</v>
      </c>
      <c r="G195" s="10">
        <v>46209</v>
      </c>
      <c r="H195" s="11">
        <v>0</v>
      </c>
      <c r="L195" s="1" t="s">
        <v>149</v>
      </c>
      <c r="M195" s="1" t="s">
        <v>390</v>
      </c>
      <c r="N195" s="10">
        <v>46204</v>
      </c>
      <c r="P195" s="1" t="s">
        <v>645</v>
      </c>
      <c r="Q195" s="1" t="s">
        <v>987</v>
      </c>
      <c r="R195" s="1" t="s">
        <v>55</v>
      </c>
      <c r="S195" s="2">
        <v>46196</v>
      </c>
      <c r="T195" s="2">
        <v>46204</v>
      </c>
      <c r="U195" s="1" t="s">
        <v>988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</row>
    <row r="196" spans="1:33" hidden="1" x14ac:dyDescent="0.25">
      <c r="A196" s="1">
        <v>487</v>
      </c>
      <c r="B196" s="1" t="s">
        <v>731</v>
      </c>
      <c r="C196" s="1" t="s">
        <v>647</v>
      </c>
      <c r="D196" s="1" t="s">
        <v>1033</v>
      </c>
      <c r="E196" s="1" t="s">
        <v>103</v>
      </c>
      <c r="F196" s="10">
        <v>46202</v>
      </c>
      <c r="G196" s="10">
        <v>46209</v>
      </c>
      <c r="H196" s="11">
        <v>0</v>
      </c>
      <c r="L196" s="1" t="s">
        <v>149</v>
      </c>
      <c r="M196" s="1" t="s">
        <v>390</v>
      </c>
      <c r="N196" s="10">
        <v>46204</v>
      </c>
      <c r="P196" s="1" t="s">
        <v>645</v>
      </c>
      <c r="Q196" s="1" t="s">
        <v>987</v>
      </c>
      <c r="R196" s="1" t="s">
        <v>55</v>
      </c>
      <c r="S196" s="2">
        <v>46196</v>
      </c>
      <c r="T196" s="2">
        <v>46204</v>
      </c>
      <c r="U196" s="1" t="s">
        <v>988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</row>
    <row r="197" spans="1:33" hidden="1" x14ac:dyDescent="0.25">
      <c r="A197" s="1">
        <v>492</v>
      </c>
      <c r="B197" s="1" t="s">
        <v>1034</v>
      </c>
      <c r="C197" s="1" t="s">
        <v>647</v>
      </c>
      <c r="D197" s="1" t="s">
        <v>1035</v>
      </c>
      <c r="E197" s="1" t="s">
        <v>103</v>
      </c>
      <c r="F197" s="10">
        <v>46202</v>
      </c>
      <c r="G197" s="10">
        <v>46209</v>
      </c>
      <c r="H197" s="11">
        <v>0</v>
      </c>
      <c r="L197" s="1" t="s">
        <v>149</v>
      </c>
      <c r="M197" s="1" t="s">
        <v>390</v>
      </c>
      <c r="N197" s="10">
        <v>46204</v>
      </c>
      <c r="P197" s="1" t="s">
        <v>645</v>
      </c>
      <c r="Q197" s="1" t="s">
        <v>987</v>
      </c>
      <c r="R197" s="1" t="s">
        <v>55</v>
      </c>
      <c r="S197" s="2">
        <v>46196</v>
      </c>
      <c r="T197" s="2">
        <v>46204</v>
      </c>
      <c r="U197" s="1" t="s">
        <v>988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</row>
    <row r="199" spans="1:33" x14ac:dyDescent="0.25">
      <c r="H199" s="11">
        <v>1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{2170B82D-D0C9-45B0-B827-255A82371FEB}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70B82D-D0C9-45B0-B827-255A82371F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70"/>
  <sheetViews>
    <sheetView showGridLines="0" workbookViewId="0">
      <selection activeCell="O104" sqref="O104"/>
    </sheetView>
  </sheetViews>
  <sheetFormatPr defaultRowHeight="15" x14ac:dyDescent="0.25"/>
  <cols>
    <col min="1" max="1" width="14.5703125" style="1" bestFit="1" customWidth="1"/>
    <col min="2" max="2" width="7.28515625" style="1" bestFit="1" customWidth="1"/>
    <col min="3" max="3" width="10.28515625" style="1" bestFit="1" customWidth="1"/>
    <col min="4" max="4" width="30.42578125" style="1" bestFit="1" customWidth="1"/>
    <col min="5" max="5" width="34.5703125" style="1" bestFit="1" customWidth="1"/>
    <col min="6" max="6" width="12.42578125" style="1" bestFit="1" customWidth="1"/>
    <col min="7" max="7" width="16" style="11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</v>
      </c>
      <c r="G1" s="11" t="s">
        <v>7</v>
      </c>
      <c r="H1" s="1" t="s">
        <v>14</v>
      </c>
      <c r="I1" s="1" t="s">
        <v>15</v>
      </c>
      <c r="J1" s="1" t="s">
        <v>17</v>
      </c>
    </row>
    <row r="2" spans="1:10" hidden="1" x14ac:dyDescent="0.25">
      <c r="A2" s="1" t="s">
        <v>38</v>
      </c>
      <c r="B2" s="1">
        <v>1</v>
      </c>
      <c r="C2" s="1">
        <v>1</v>
      </c>
      <c r="E2" s="1" t="s">
        <v>33</v>
      </c>
      <c r="F2" s="1" t="s">
        <v>35</v>
      </c>
      <c r="G2" s="1">
        <v>0.59</v>
      </c>
      <c r="I2" s="1" t="s">
        <v>37</v>
      </c>
      <c r="J2" s="1" t="s">
        <v>39</v>
      </c>
    </row>
    <row r="3" spans="1:10" hidden="1" x14ac:dyDescent="0.25">
      <c r="A3" s="1" t="s">
        <v>45</v>
      </c>
      <c r="B3" s="1">
        <v>2</v>
      </c>
      <c r="C3" s="1" t="s">
        <v>40</v>
      </c>
      <c r="D3" s="1" t="s">
        <v>41</v>
      </c>
      <c r="E3" s="1" t="s">
        <v>42</v>
      </c>
      <c r="F3" s="1" t="s">
        <v>35</v>
      </c>
      <c r="G3" s="1">
        <v>0.5</v>
      </c>
      <c r="I3" s="1" t="s">
        <v>37</v>
      </c>
      <c r="J3" s="1" t="s">
        <v>39</v>
      </c>
    </row>
    <row r="4" spans="1:10" hidden="1" x14ac:dyDescent="0.25">
      <c r="A4" s="1" t="s">
        <v>45</v>
      </c>
      <c r="B4" s="1">
        <v>3</v>
      </c>
      <c r="C4" s="1" t="s">
        <v>46</v>
      </c>
      <c r="D4" s="1" t="s">
        <v>47</v>
      </c>
      <c r="E4" s="1" t="s">
        <v>48</v>
      </c>
      <c r="F4" s="1" t="s">
        <v>35</v>
      </c>
      <c r="G4" s="1">
        <v>0.5</v>
      </c>
      <c r="I4" s="1" t="s">
        <v>49</v>
      </c>
      <c r="J4" s="1" t="s">
        <v>39</v>
      </c>
    </row>
    <row r="5" spans="1:10" hidden="1" x14ac:dyDescent="0.25">
      <c r="A5" s="1" t="s">
        <v>38</v>
      </c>
      <c r="B5" s="1">
        <v>4</v>
      </c>
      <c r="C5" s="1" t="s">
        <v>50</v>
      </c>
      <c r="D5" s="1" t="s">
        <v>51</v>
      </c>
      <c r="E5" s="1" t="s">
        <v>52</v>
      </c>
      <c r="F5" s="1" t="s">
        <v>35</v>
      </c>
      <c r="G5" s="1">
        <v>0</v>
      </c>
      <c r="I5" s="1" t="s">
        <v>49</v>
      </c>
      <c r="J5" s="1" t="s">
        <v>55</v>
      </c>
    </row>
    <row r="6" spans="1:10" hidden="1" x14ac:dyDescent="0.25">
      <c r="A6" s="1" t="s">
        <v>65</v>
      </c>
      <c r="B6" s="1">
        <v>8</v>
      </c>
      <c r="C6" s="1" t="s">
        <v>66</v>
      </c>
      <c r="D6" s="1" t="s">
        <v>51</v>
      </c>
      <c r="E6" s="1" t="s">
        <v>67</v>
      </c>
      <c r="F6" s="1" t="s">
        <v>35</v>
      </c>
      <c r="G6" s="1">
        <v>0</v>
      </c>
      <c r="I6" s="1" t="s">
        <v>49</v>
      </c>
      <c r="J6" s="1" t="s">
        <v>55</v>
      </c>
    </row>
    <row r="7" spans="1:10" hidden="1" x14ac:dyDescent="0.25">
      <c r="A7" s="1" t="s">
        <v>38</v>
      </c>
      <c r="B7" s="1">
        <v>9</v>
      </c>
      <c r="C7" s="1" t="s">
        <v>68</v>
      </c>
      <c r="D7" s="1" t="s">
        <v>51</v>
      </c>
      <c r="E7" s="1" t="s">
        <v>69</v>
      </c>
      <c r="F7" s="1" t="s">
        <v>35</v>
      </c>
      <c r="G7" s="1">
        <v>0</v>
      </c>
      <c r="I7" s="1" t="s">
        <v>49</v>
      </c>
      <c r="J7" s="1" t="s">
        <v>55</v>
      </c>
    </row>
    <row r="8" spans="1:10" hidden="1" x14ac:dyDescent="0.25">
      <c r="A8" s="1" t="s">
        <v>38</v>
      </c>
      <c r="B8" s="1">
        <v>10</v>
      </c>
      <c r="C8" s="1" t="s">
        <v>70</v>
      </c>
      <c r="D8" s="1" t="s">
        <v>41</v>
      </c>
      <c r="E8" s="1" t="s">
        <v>71</v>
      </c>
      <c r="F8" s="1" t="s">
        <v>35</v>
      </c>
      <c r="G8" s="1">
        <v>0.59</v>
      </c>
      <c r="I8" s="1" t="s">
        <v>37</v>
      </c>
      <c r="J8" s="1" t="s">
        <v>39</v>
      </c>
    </row>
    <row r="9" spans="1:10" hidden="1" x14ac:dyDescent="0.25">
      <c r="A9" s="1" t="s">
        <v>133</v>
      </c>
      <c r="B9" s="1">
        <v>51</v>
      </c>
      <c r="C9" s="1" t="s">
        <v>129</v>
      </c>
      <c r="D9" s="1" t="s">
        <v>73</v>
      </c>
      <c r="E9" s="1" t="s">
        <v>130</v>
      </c>
      <c r="F9" s="1" t="s">
        <v>35</v>
      </c>
      <c r="G9" s="1">
        <v>0.6</v>
      </c>
      <c r="I9" s="1" t="s">
        <v>132</v>
      </c>
      <c r="J9" s="1" t="s">
        <v>55</v>
      </c>
    </row>
    <row r="10" spans="1:10" hidden="1" x14ac:dyDescent="0.25">
      <c r="A10" s="1" t="s">
        <v>133</v>
      </c>
      <c r="B10" s="1">
        <v>62</v>
      </c>
      <c r="C10" s="1" t="s">
        <v>134</v>
      </c>
      <c r="D10" s="1" t="s">
        <v>135</v>
      </c>
      <c r="E10" s="1" t="s">
        <v>136</v>
      </c>
      <c r="F10" s="1" t="s">
        <v>35</v>
      </c>
      <c r="G10" s="1">
        <v>0.6</v>
      </c>
      <c r="I10" s="1" t="s">
        <v>132</v>
      </c>
      <c r="J10" s="1" t="s">
        <v>55</v>
      </c>
    </row>
    <row r="11" spans="1:10" hidden="1" x14ac:dyDescent="0.25">
      <c r="A11" s="1" t="s">
        <v>146</v>
      </c>
      <c r="B11" s="1">
        <v>65</v>
      </c>
      <c r="C11" s="1" t="s">
        <v>143</v>
      </c>
      <c r="D11" s="1" t="s">
        <v>138</v>
      </c>
      <c r="E11" s="1" t="s">
        <v>102</v>
      </c>
      <c r="F11" s="1" t="s">
        <v>35</v>
      </c>
      <c r="G11" s="1">
        <v>0.5</v>
      </c>
      <c r="I11" s="1" t="s">
        <v>132</v>
      </c>
      <c r="J11" s="1" t="s">
        <v>55</v>
      </c>
    </row>
    <row r="12" spans="1:10" hidden="1" x14ac:dyDescent="0.25">
      <c r="A12" s="1" t="s">
        <v>125</v>
      </c>
      <c r="B12" s="1">
        <v>67</v>
      </c>
      <c r="C12" s="1" t="s">
        <v>152</v>
      </c>
      <c r="D12" s="1" t="s">
        <v>73</v>
      </c>
      <c r="E12" s="1" t="s">
        <v>153</v>
      </c>
      <c r="F12" s="1" t="s">
        <v>35</v>
      </c>
      <c r="G12" s="1">
        <v>0.51</v>
      </c>
      <c r="I12" s="1" t="s">
        <v>155</v>
      </c>
      <c r="J12" s="1" t="s">
        <v>55</v>
      </c>
    </row>
    <row r="13" spans="1:10" hidden="1" x14ac:dyDescent="0.25">
      <c r="A13" s="1" t="s">
        <v>133</v>
      </c>
      <c r="B13" s="1">
        <v>83</v>
      </c>
      <c r="C13" s="1" t="s">
        <v>170</v>
      </c>
      <c r="D13" s="1" t="s">
        <v>157</v>
      </c>
      <c r="E13" s="1" t="s">
        <v>171</v>
      </c>
      <c r="F13" s="1" t="s">
        <v>35</v>
      </c>
      <c r="G13" s="1">
        <v>0.42</v>
      </c>
      <c r="I13" s="1" t="s">
        <v>155</v>
      </c>
      <c r="J13" s="1" t="s">
        <v>55</v>
      </c>
    </row>
    <row r="14" spans="1:10" x14ac:dyDescent="0.25">
      <c r="A14" s="1" t="s">
        <v>133</v>
      </c>
      <c r="B14" s="1">
        <v>84</v>
      </c>
      <c r="C14" s="1" t="s">
        <v>174</v>
      </c>
      <c r="D14" s="1" t="s">
        <v>175</v>
      </c>
      <c r="E14" s="1" t="s">
        <v>94</v>
      </c>
      <c r="F14" s="1" t="s">
        <v>35</v>
      </c>
      <c r="G14" s="11">
        <v>0.99</v>
      </c>
      <c r="I14" s="1" t="s">
        <v>155</v>
      </c>
      <c r="J14" s="1" t="s">
        <v>55</v>
      </c>
    </row>
    <row r="15" spans="1:10" hidden="1" x14ac:dyDescent="0.25">
      <c r="A15" s="1" t="s">
        <v>178</v>
      </c>
      <c r="B15" s="1">
        <v>85</v>
      </c>
      <c r="C15" s="1" t="s">
        <v>176</v>
      </c>
      <c r="D15" s="1" t="s">
        <v>175</v>
      </c>
      <c r="E15" s="1" t="s">
        <v>98</v>
      </c>
      <c r="F15" s="1" t="s">
        <v>35</v>
      </c>
      <c r="G15" s="1">
        <v>0</v>
      </c>
      <c r="I15" s="1" t="s">
        <v>155</v>
      </c>
      <c r="J15" s="1" t="s">
        <v>55</v>
      </c>
    </row>
    <row r="16" spans="1:10" hidden="1" x14ac:dyDescent="0.25">
      <c r="A16" s="1" t="s">
        <v>178</v>
      </c>
      <c r="B16" s="1">
        <v>86</v>
      </c>
      <c r="C16" s="1" t="s">
        <v>179</v>
      </c>
      <c r="D16" s="1" t="s">
        <v>175</v>
      </c>
      <c r="E16" s="1" t="s">
        <v>102</v>
      </c>
      <c r="F16" s="1" t="s">
        <v>180</v>
      </c>
      <c r="G16" s="1">
        <v>0</v>
      </c>
      <c r="I16" s="1" t="s">
        <v>155</v>
      </c>
      <c r="J16" s="1" t="s">
        <v>55</v>
      </c>
    </row>
    <row r="17" spans="1:10" hidden="1" x14ac:dyDescent="0.25">
      <c r="A17" s="1" t="s">
        <v>133</v>
      </c>
      <c r="B17" s="1">
        <v>133</v>
      </c>
      <c r="C17" s="1" t="s">
        <v>252</v>
      </c>
      <c r="D17" s="1" t="s">
        <v>157</v>
      </c>
      <c r="E17" s="1" t="s">
        <v>253</v>
      </c>
      <c r="F17" s="1" t="s">
        <v>35</v>
      </c>
      <c r="G17" s="1">
        <v>0.67</v>
      </c>
      <c r="I17" s="1" t="s">
        <v>155</v>
      </c>
      <c r="J17" s="1" t="s">
        <v>55</v>
      </c>
    </row>
    <row r="18" spans="1:10" hidden="1" x14ac:dyDescent="0.25">
      <c r="A18" s="1" t="s">
        <v>178</v>
      </c>
      <c r="B18" s="1">
        <v>135</v>
      </c>
      <c r="C18" s="1" t="s">
        <v>259</v>
      </c>
      <c r="D18" s="1" t="s">
        <v>257</v>
      </c>
      <c r="E18" s="1" t="s">
        <v>98</v>
      </c>
      <c r="F18" s="1" t="s">
        <v>35</v>
      </c>
      <c r="G18" s="1">
        <v>0</v>
      </c>
      <c r="I18" s="1" t="s">
        <v>155</v>
      </c>
      <c r="J18" s="1" t="s">
        <v>55</v>
      </c>
    </row>
    <row r="19" spans="1:10" hidden="1" x14ac:dyDescent="0.25">
      <c r="A19" s="1" t="s">
        <v>178</v>
      </c>
      <c r="B19" s="1">
        <v>136</v>
      </c>
      <c r="C19" s="1" t="s">
        <v>261</v>
      </c>
      <c r="D19" s="1" t="s">
        <v>257</v>
      </c>
      <c r="E19" s="1" t="s">
        <v>102</v>
      </c>
      <c r="F19" s="1" t="s">
        <v>35</v>
      </c>
      <c r="G19" s="1">
        <v>0</v>
      </c>
      <c r="I19" s="1" t="s">
        <v>155</v>
      </c>
      <c r="J19" s="1" t="s">
        <v>55</v>
      </c>
    </row>
    <row r="20" spans="1:10" hidden="1" x14ac:dyDescent="0.25">
      <c r="A20" s="1" t="s">
        <v>146</v>
      </c>
      <c r="B20" s="1">
        <v>137</v>
      </c>
      <c r="C20" s="1" t="s">
        <v>263</v>
      </c>
      <c r="D20" s="1" t="s">
        <v>257</v>
      </c>
      <c r="E20" s="1" t="s">
        <v>108</v>
      </c>
      <c r="F20" s="1" t="s">
        <v>180</v>
      </c>
      <c r="G20" s="1">
        <v>0</v>
      </c>
      <c r="I20" s="1" t="s">
        <v>155</v>
      </c>
      <c r="J20" s="1" t="s">
        <v>55</v>
      </c>
    </row>
    <row r="21" spans="1:10" hidden="1" x14ac:dyDescent="0.25">
      <c r="A21" s="1" t="s">
        <v>133</v>
      </c>
      <c r="B21" s="1">
        <v>138</v>
      </c>
      <c r="C21" s="1" t="s">
        <v>265</v>
      </c>
      <c r="D21" s="1" t="s">
        <v>157</v>
      </c>
      <c r="E21" s="1" t="s">
        <v>266</v>
      </c>
      <c r="F21" s="1" t="s">
        <v>35</v>
      </c>
      <c r="G21" s="1">
        <v>0.67</v>
      </c>
      <c r="I21" s="1" t="s">
        <v>155</v>
      </c>
      <c r="J21" s="1" t="s">
        <v>55</v>
      </c>
    </row>
    <row r="22" spans="1:10" hidden="1" x14ac:dyDescent="0.25">
      <c r="A22" s="1" t="s">
        <v>178</v>
      </c>
      <c r="B22" s="1">
        <v>140</v>
      </c>
      <c r="C22" s="1" t="s">
        <v>269</v>
      </c>
      <c r="D22" s="1" t="s">
        <v>268</v>
      </c>
      <c r="E22" s="1" t="s">
        <v>98</v>
      </c>
      <c r="F22" s="1" t="s">
        <v>35</v>
      </c>
      <c r="G22" s="1">
        <v>0</v>
      </c>
      <c r="I22" s="1" t="s">
        <v>155</v>
      </c>
      <c r="J22" s="1" t="s">
        <v>55</v>
      </c>
    </row>
    <row r="23" spans="1:10" hidden="1" x14ac:dyDescent="0.25">
      <c r="A23" s="1" t="s">
        <v>178</v>
      </c>
      <c r="B23" s="1">
        <v>141</v>
      </c>
      <c r="C23" s="1" t="s">
        <v>270</v>
      </c>
      <c r="D23" s="1" t="s">
        <v>268</v>
      </c>
      <c r="E23" s="1" t="s">
        <v>102</v>
      </c>
      <c r="F23" s="1" t="s">
        <v>35</v>
      </c>
      <c r="G23" s="1">
        <v>0</v>
      </c>
      <c r="I23" s="1" t="s">
        <v>155</v>
      </c>
      <c r="J23" s="1" t="s">
        <v>55</v>
      </c>
    </row>
    <row r="24" spans="1:10" hidden="1" x14ac:dyDescent="0.25">
      <c r="A24" s="1" t="s">
        <v>146</v>
      </c>
      <c r="B24" s="1">
        <v>142</v>
      </c>
      <c r="C24" s="1" t="s">
        <v>271</v>
      </c>
      <c r="D24" s="1" t="s">
        <v>268</v>
      </c>
      <c r="E24" s="1" t="s">
        <v>108</v>
      </c>
      <c r="F24" s="1" t="s">
        <v>180</v>
      </c>
      <c r="G24" s="1">
        <v>0</v>
      </c>
      <c r="I24" s="1" t="s">
        <v>155</v>
      </c>
      <c r="J24" s="1" t="s">
        <v>55</v>
      </c>
    </row>
    <row r="25" spans="1:10" hidden="1" x14ac:dyDescent="0.25">
      <c r="A25" s="1" t="s">
        <v>133</v>
      </c>
      <c r="B25" s="1">
        <v>143</v>
      </c>
      <c r="C25" s="1" t="s">
        <v>272</v>
      </c>
      <c r="D25" s="1" t="s">
        <v>157</v>
      </c>
      <c r="E25" s="1" t="s">
        <v>273</v>
      </c>
      <c r="F25" s="1" t="s">
        <v>35</v>
      </c>
      <c r="G25" s="1">
        <v>0.67</v>
      </c>
      <c r="I25" s="1" t="s">
        <v>155</v>
      </c>
      <c r="J25" s="1" t="s">
        <v>55</v>
      </c>
    </row>
    <row r="26" spans="1:10" hidden="1" x14ac:dyDescent="0.25">
      <c r="A26" s="1" t="s">
        <v>178</v>
      </c>
      <c r="B26" s="1">
        <v>145</v>
      </c>
      <c r="C26" s="1" t="s">
        <v>276</v>
      </c>
      <c r="D26" s="1" t="s">
        <v>275</v>
      </c>
      <c r="E26" s="1" t="s">
        <v>98</v>
      </c>
      <c r="F26" s="1" t="s">
        <v>35</v>
      </c>
      <c r="G26" s="1">
        <v>0</v>
      </c>
      <c r="I26" s="1" t="s">
        <v>155</v>
      </c>
      <c r="J26" s="1" t="s">
        <v>55</v>
      </c>
    </row>
    <row r="27" spans="1:10" hidden="1" x14ac:dyDescent="0.25">
      <c r="A27" s="1" t="s">
        <v>178</v>
      </c>
      <c r="B27" s="1">
        <v>146</v>
      </c>
      <c r="C27" s="1" t="s">
        <v>277</v>
      </c>
      <c r="D27" s="1" t="s">
        <v>275</v>
      </c>
      <c r="E27" s="1" t="s">
        <v>102</v>
      </c>
      <c r="F27" s="1" t="s">
        <v>35</v>
      </c>
      <c r="G27" s="1">
        <v>0</v>
      </c>
      <c r="I27" s="1" t="s">
        <v>155</v>
      </c>
      <c r="J27" s="1" t="s">
        <v>55</v>
      </c>
    </row>
    <row r="28" spans="1:10" hidden="1" x14ac:dyDescent="0.25">
      <c r="A28" s="1" t="s">
        <v>146</v>
      </c>
      <c r="B28" s="1">
        <v>147</v>
      </c>
      <c r="C28" s="1" t="s">
        <v>278</v>
      </c>
      <c r="D28" s="1" t="s">
        <v>275</v>
      </c>
      <c r="E28" s="1" t="s">
        <v>108</v>
      </c>
      <c r="F28" s="1" t="s">
        <v>180</v>
      </c>
      <c r="G28" s="1">
        <v>0</v>
      </c>
      <c r="I28" s="1" t="s">
        <v>155</v>
      </c>
      <c r="J28" s="1" t="s">
        <v>55</v>
      </c>
    </row>
    <row r="29" spans="1:10" hidden="1" x14ac:dyDescent="0.25">
      <c r="A29" s="1" t="s">
        <v>133</v>
      </c>
      <c r="B29" s="1">
        <v>148</v>
      </c>
      <c r="C29" s="1" t="s">
        <v>279</v>
      </c>
      <c r="D29" s="1" t="s">
        <v>157</v>
      </c>
      <c r="E29" s="1" t="s">
        <v>280</v>
      </c>
      <c r="F29" s="1" t="s">
        <v>35</v>
      </c>
      <c r="G29" s="1">
        <v>0.67</v>
      </c>
      <c r="I29" s="1" t="s">
        <v>155</v>
      </c>
      <c r="J29" s="1" t="s">
        <v>55</v>
      </c>
    </row>
    <row r="30" spans="1:10" hidden="1" x14ac:dyDescent="0.25">
      <c r="A30" s="1" t="s">
        <v>178</v>
      </c>
      <c r="B30" s="1">
        <v>150</v>
      </c>
      <c r="C30" s="1" t="s">
        <v>283</v>
      </c>
      <c r="D30" s="1" t="s">
        <v>282</v>
      </c>
      <c r="E30" s="1" t="s">
        <v>98</v>
      </c>
      <c r="F30" s="1" t="s">
        <v>35</v>
      </c>
      <c r="G30" s="1">
        <v>0</v>
      </c>
      <c r="I30" s="1" t="s">
        <v>155</v>
      </c>
      <c r="J30" s="1" t="s">
        <v>55</v>
      </c>
    </row>
    <row r="31" spans="1:10" hidden="1" x14ac:dyDescent="0.25">
      <c r="A31" s="1" t="s">
        <v>178</v>
      </c>
      <c r="B31" s="1">
        <v>151</v>
      </c>
      <c r="C31" s="1" t="s">
        <v>284</v>
      </c>
      <c r="D31" s="1" t="s">
        <v>282</v>
      </c>
      <c r="E31" s="1" t="s">
        <v>102</v>
      </c>
      <c r="F31" s="1" t="s">
        <v>35</v>
      </c>
      <c r="G31" s="1">
        <v>0</v>
      </c>
      <c r="I31" s="1" t="s">
        <v>155</v>
      </c>
      <c r="J31" s="1" t="s">
        <v>55</v>
      </c>
    </row>
    <row r="32" spans="1:10" hidden="1" x14ac:dyDescent="0.25">
      <c r="A32" s="1" t="s">
        <v>146</v>
      </c>
      <c r="B32" s="1">
        <v>152</v>
      </c>
      <c r="C32" s="1" t="s">
        <v>285</v>
      </c>
      <c r="D32" s="1" t="s">
        <v>282</v>
      </c>
      <c r="E32" s="1" t="s">
        <v>108</v>
      </c>
      <c r="F32" s="1" t="s">
        <v>180</v>
      </c>
      <c r="G32" s="1">
        <v>0</v>
      </c>
      <c r="I32" s="1" t="s">
        <v>155</v>
      </c>
      <c r="J32" s="1" t="s">
        <v>55</v>
      </c>
    </row>
    <row r="33" spans="1:10" hidden="1" x14ac:dyDescent="0.25">
      <c r="A33" s="1" t="s">
        <v>133</v>
      </c>
      <c r="B33" s="1">
        <v>153</v>
      </c>
      <c r="C33" s="1" t="s">
        <v>286</v>
      </c>
      <c r="D33" s="1" t="s">
        <v>157</v>
      </c>
      <c r="E33" s="1" t="s">
        <v>287</v>
      </c>
      <c r="F33" s="1" t="s">
        <v>35</v>
      </c>
      <c r="G33" s="1">
        <v>0.67</v>
      </c>
      <c r="I33" s="1" t="s">
        <v>155</v>
      </c>
      <c r="J33" s="1" t="s">
        <v>55</v>
      </c>
    </row>
    <row r="34" spans="1:10" hidden="1" x14ac:dyDescent="0.25">
      <c r="A34" s="1" t="s">
        <v>178</v>
      </c>
      <c r="B34" s="1">
        <v>155</v>
      </c>
      <c r="C34" s="1" t="s">
        <v>291</v>
      </c>
      <c r="D34" s="1" t="s">
        <v>290</v>
      </c>
      <c r="E34" s="1" t="s">
        <v>98</v>
      </c>
      <c r="F34" s="1" t="s">
        <v>35</v>
      </c>
      <c r="G34" s="1">
        <v>0</v>
      </c>
      <c r="I34" s="1" t="s">
        <v>155</v>
      </c>
      <c r="J34" s="1" t="s">
        <v>55</v>
      </c>
    </row>
    <row r="35" spans="1:10" hidden="1" x14ac:dyDescent="0.25">
      <c r="A35" s="1" t="s">
        <v>178</v>
      </c>
      <c r="B35" s="1">
        <v>156</v>
      </c>
      <c r="C35" s="1" t="s">
        <v>293</v>
      </c>
      <c r="D35" s="1" t="s">
        <v>290</v>
      </c>
      <c r="E35" s="1" t="s">
        <v>102</v>
      </c>
      <c r="F35" s="1" t="s">
        <v>35</v>
      </c>
      <c r="G35" s="1">
        <v>0</v>
      </c>
      <c r="I35" s="1" t="s">
        <v>155</v>
      </c>
      <c r="J35" s="1" t="s">
        <v>55</v>
      </c>
    </row>
    <row r="36" spans="1:10" hidden="1" x14ac:dyDescent="0.25">
      <c r="A36" s="1" t="s">
        <v>146</v>
      </c>
      <c r="B36" s="1">
        <v>157</v>
      </c>
      <c r="C36" s="1" t="s">
        <v>294</v>
      </c>
      <c r="D36" s="1" t="s">
        <v>290</v>
      </c>
      <c r="E36" s="1" t="s">
        <v>108</v>
      </c>
      <c r="F36" s="1" t="s">
        <v>180</v>
      </c>
      <c r="G36" s="1">
        <v>0</v>
      </c>
      <c r="I36" s="1" t="s">
        <v>155</v>
      </c>
      <c r="J36" s="1" t="s">
        <v>55</v>
      </c>
    </row>
    <row r="37" spans="1:10" hidden="1" x14ac:dyDescent="0.25">
      <c r="A37" s="1" t="s">
        <v>133</v>
      </c>
      <c r="B37" s="1">
        <v>158</v>
      </c>
      <c r="C37" s="1" t="s">
        <v>296</v>
      </c>
      <c r="D37" s="1" t="s">
        <v>157</v>
      </c>
      <c r="E37" s="1" t="s">
        <v>297</v>
      </c>
      <c r="F37" s="1" t="s">
        <v>35</v>
      </c>
      <c r="G37" s="1">
        <v>0.67</v>
      </c>
      <c r="I37" s="1" t="s">
        <v>155</v>
      </c>
      <c r="J37" s="1" t="s">
        <v>55</v>
      </c>
    </row>
    <row r="38" spans="1:10" hidden="1" x14ac:dyDescent="0.25">
      <c r="A38" s="1" t="s">
        <v>178</v>
      </c>
      <c r="B38" s="1">
        <v>160</v>
      </c>
      <c r="C38" s="1" t="s">
        <v>300</v>
      </c>
      <c r="D38" s="1" t="s">
        <v>299</v>
      </c>
      <c r="E38" s="1" t="s">
        <v>98</v>
      </c>
      <c r="F38" s="1" t="s">
        <v>35</v>
      </c>
      <c r="G38" s="1">
        <v>0</v>
      </c>
      <c r="I38" s="1" t="s">
        <v>155</v>
      </c>
      <c r="J38" s="1" t="s">
        <v>55</v>
      </c>
    </row>
    <row r="39" spans="1:10" hidden="1" x14ac:dyDescent="0.25">
      <c r="A39" s="1" t="s">
        <v>178</v>
      </c>
      <c r="B39" s="1">
        <v>161</v>
      </c>
      <c r="C39" s="1" t="s">
        <v>301</v>
      </c>
      <c r="D39" s="1" t="s">
        <v>299</v>
      </c>
      <c r="E39" s="1" t="s">
        <v>102</v>
      </c>
      <c r="F39" s="1" t="s">
        <v>35</v>
      </c>
      <c r="G39" s="1">
        <v>0</v>
      </c>
      <c r="I39" s="1" t="s">
        <v>155</v>
      </c>
      <c r="J39" s="1" t="s">
        <v>55</v>
      </c>
    </row>
    <row r="40" spans="1:10" hidden="1" x14ac:dyDescent="0.25">
      <c r="A40" s="1" t="s">
        <v>146</v>
      </c>
      <c r="B40" s="1">
        <v>162</v>
      </c>
      <c r="C40" s="1" t="s">
        <v>302</v>
      </c>
      <c r="D40" s="1" t="s">
        <v>299</v>
      </c>
      <c r="E40" s="1" t="s">
        <v>108</v>
      </c>
      <c r="F40" s="1" t="s">
        <v>180</v>
      </c>
      <c r="G40" s="1">
        <v>0</v>
      </c>
      <c r="I40" s="1" t="s">
        <v>155</v>
      </c>
      <c r="J40" s="1" t="s">
        <v>55</v>
      </c>
    </row>
    <row r="41" spans="1:10" hidden="1" x14ac:dyDescent="0.25">
      <c r="A41" s="1" t="s">
        <v>169</v>
      </c>
      <c r="B41" s="1">
        <v>163</v>
      </c>
      <c r="C41" s="1" t="s">
        <v>303</v>
      </c>
      <c r="D41" s="1" t="s">
        <v>157</v>
      </c>
      <c r="E41" s="1" t="s">
        <v>304</v>
      </c>
      <c r="F41" s="1" t="s">
        <v>180</v>
      </c>
      <c r="G41" s="1">
        <v>0.86</v>
      </c>
      <c r="I41" s="1" t="s">
        <v>155</v>
      </c>
      <c r="J41" s="1" t="s">
        <v>55</v>
      </c>
    </row>
    <row r="42" spans="1:10" hidden="1" x14ac:dyDescent="0.25">
      <c r="A42" s="1" t="s">
        <v>133</v>
      </c>
      <c r="B42" s="1">
        <v>166</v>
      </c>
      <c r="C42" s="1" t="s">
        <v>312</v>
      </c>
      <c r="D42" s="1" t="s">
        <v>307</v>
      </c>
      <c r="E42" s="1" t="s">
        <v>102</v>
      </c>
      <c r="F42" s="1" t="s">
        <v>180</v>
      </c>
      <c r="G42" s="1">
        <v>0.5</v>
      </c>
      <c r="I42" s="1" t="s">
        <v>155</v>
      </c>
      <c r="J42" s="1" t="s">
        <v>55</v>
      </c>
    </row>
    <row r="43" spans="1:10" hidden="1" x14ac:dyDescent="0.25">
      <c r="A43" s="1" t="s">
        <v>178</v>
      </c>
      <c r="B43" s="1">
        <v>167</v>
      </c>
      <c r="C43" s="1" t="s">
        <v>313</v>
      </c>
      <c r="D43" s="1" t="s">
        <v>307</v>
      </c>
      <c r="E43" s="1" t="s">
        <v>108</v>
      </c>
      <c r="F43" s="1" t="s">
        <v>149</v>
      </c>
      <c r="G43" s="1">
        <v>0</v>
      </c>
      <c r="I43" s="1" t="s">
        <v>155</v>
      </c>
      <c r="J43" s="1" t="s">
        <v>55</v>
      </c>
    </row>
    <row r="44" spans="1:10" hidden="1" x14ac:dyDescent="0.25">
      <c r="A44" s="1" t="s">
        <v>169</v>
      </c>
      <c r="B44" s="1">
        <v>168</v>
      </c>
      <c r="C44" s="1" t="s">
        <v>315</v>
      </c>
      <c r="D44" s="1" t="s">
        <v>157</v>
      </c>
      <c r="E44" s="1" t="s">
        <v>316</v>
      </c>
      <c r="F44" s="1" t="s">
        <v>35</v>
      </c>
      <c r="G44" s="1">
        <v>0.75</v>
      </c>
      <c r="I44" s="1" t="s">
        <v>155</v>
      </c>
      <c r="J44" s="1" t="s">
        <v>55</v>
      </c>
    </row>
    <row r="45" spans="1:10" hidden="1" x14ac:dyDescent="0.25">
      <c r="A45" s="1" t="s">
        <v>133</v>
      </c>
      <c r="B45" s="1">
        <v>170</v>
      </c>
      <c r="C45" s="1" t="s">
        <v>321</v>
      </c>
      <c r="D45" s="1" t="s">
        <v>318</v>
      </c>
      <c r="E45" s="1" t="s">
        <v>98</v>
      </c>
      <c r="F45" s="1" t="s">
        <v>35</v>
      </c>
      <c r="G45" s="1">
        <v>0.5</v>
      </c>
      <c r="I45" s="1" t="s">
        <v>155</v>
      </c>
      <c r="J45" s="1" t="s">
        <v>55</v>
      </c>
    </row>
    <row r="46" spans="1:10" hidden="1" x14ac:dyDescent="0.25">
      <c r="A46" s="1" t="s">
        <v>133</v>
      </c>
      <c r="B46" s="1">
        <v>171</v>
      </c>
      <c r="C46" s="1" t="s">
        <v>322</v>
      </c>
      <c r="D46" s="1" t="s">
        <v>318</v>
      </c>
      <c r="E46" s="1" t="s">
        <v>102</v>
      </c>
      <c r="F46" s="1" t="s">
        <v>35</v>
      </c>
      <c r="G46" s="1">
        <v>0</v>
      </c>
      <c r="I46" s="1" t="s">
        <v>155</v>
      </c>
      <c r="J46" s="1" t="s">
        <v>55</v>
      </c>
    </row>
    <row r="47" spans="1:10" hidden="1" x14ac:dyDescent="0.25">
      <c r="A47" s="1" t="s">
        <v>178</v>
      </c>
      <c r="B47" s="1">
        <v>172</v>
      </c>
      <c r="C47" s="1" t="s">
        <v>324</v>
      </c>
      <c r="D47" s="1" t="s">
        <v>318</v>
      </c>
      <c r="E47" s="1" t="s">
        <v>108</v>
      </c>
      <c r="F47" s="1" t="s">
        <v>35</v>
      </c>
      <c r="G47" s="1">
        <v>0</v>
      </c>
      <c r="I47" s="1" t="s">
        <v>155</v>
      </c>
      <c r="J47" s="1" t="s">
        <v>55</v>
      </c>
    </row>
    <row r="48" spans="1:10" hidden="1" x14ac:dyDescent="0.25">
      <c r="A48" s="1" t="s">
        <v>169</v>
      </c>
      <c r="B48" s="1">
        <v>173</v>
      </c>
      <c r="C48" s="1" t="s">
        <v>325</v>
      </c>
      <c r="D48" s="1" t="s">
        <v>157</v>
      </c>
      <c r="E48" s="1" t="s">
        <v>326</v>
      </c>
      <c r="F48" s="1" t="s">
        <v>180</v>
      </c>
      <c r="G48" s="1">
        <v>0.86</v>
      </c>
      <c r="I48" s="1" t="s">
        <v>155</v>
      </c>
      <c r="J48" s="1" t="s">
        <v>55</v>
      </c>
    </row>
    <row r="49" spans="1:10" hidden="1" x14ac:dyDescent="0.25">
      <c r="A49" s="1" t="s">
        <v>133</v>
      </c>
      <c r="B49" s="1">
        <v>176</v>
      </c>
      <c r="C49" s="1" t="s">
        <v>331</v>
      </c>
      <c r="D49" s="1" t="s">
        <v>328</v>
      </c>
      <c r="E49" s="1" t="s">
        <v>102</v>
      </c>
      <c r="F49" s="1" t="s">
        <v>180</v>
      </c>
      <c r="G49" s="1">
        <v>0.5</v>
      </c>
      <c r="I49" s="1" t="s">
        <v>155</v>
      </c>
      <c r="J49" s="1" t="s">
        <v>55</v>
      </c>
    </row>
    <row r="50" spans="1:10" hidden="1" x14ac:dyDescent="0.25">
      <c r="A50" s="1" t="s">
        <v>178</v>
      </c>
      <c r="B50" s="1">
        <v>177</v>
      </c>
      <c r="C50" s="1" t="s">
        <v>332</v>
      </c>
      <c r="D50" s="1" t="s">
        <v>328</v>
      </c>
      <c r="E50" s="1" t="s">
        <v>108</v>
      </c>
      <c r="F50" s="1" t="s">
        <v>149</v>
      </c>
      <c r="G50" s="1">
        <v>0</v>
      </c>
      <c r="I50" s="1" t="s">
        <v>155</v>
      </c>
      <c r="J50" s="1" t="s">
        <v>55</v>
      </c>
    </row>
    <row r="51" spans="1:10" hidden="1" x14ac:dyDescent="0.25">
      <c r="A51" s="1" t="s">
        <v>169</v>
      </c>
      <c r="B51" s="1">
        <v>178</v>
      </c>
      <c r="C51" s="1" t="s">
        <v>333</v>
      </c>
      <c r="D51" s="1" t="s">
        <v>157</v>
      </c>
      <c r="E51" s="1" t="s">
        <v>334</v>
      </c>
      <c r="F51" s="1" t="s">
        <v>35</v>
      </c>
      <c r="G51" s="1">
        <v>0.75</v>
      </c>
      <c r="I51" s="1" t="s">
        <v>155</v>
      </c>
      <c r="J51" s="1" t="s">
        <v>55</v>
      </c>
    </row>
    <row r="52" spans="1:10" hidden="1" x14ac:dyDescent="0.25">
      <c r="A52" s="1" t="s">
        <v>133</v>
      </c>
      <c r="B52" s="1">
        <v>180</v>
      </c>
      <c r="C52" s="1" t="s">
        <v>338</v>
      </c>
      <c r="D52" s="1" t="s">
        <v>336</v>
      </c>
      <c r="E52" s="1" t="s">
        <v>98</v>
      </c>
      <c r="F52" s="1" t="s">
        <v>35</v>
      </c>
      <c r="G52" s="1">
        <v>0.5</v>
      </c>
      <c r="I52" s="1" t="s">
        <v>155</v>
      </c>
      <c r="J52" s="1" t="s">
        <v>55</v>
      </c>
    </row>
    <row r="53" spans="1:10" hidden="1" x14ac:dyDescent="0.25">
      <c r="A53" s="1" t="s">
        <v>133</v>
      </c>
      <c r="B53" s="1">
        <v>181</v>
      </c>
      <c r="C53" s="1" t="s">
        <v>339</v>
      </c>
      <c r="D53" s="1" t="s">
        <v>336</v>
      </c>
      <c r="E53" s="1" t="s">
        <v>102</v>
      </c>
      <c r="F53" s="1" t="s">
        <v>35</v>
      </c>
      <c r="G53" s="1">
        <v>0</v>
      </c>
      <c r="I53" s="1" t="s">
        <v>155</v>
      </c>
      <c r="J53" s="1" t="s">
        <v>55</v>
      </c>
    </row>
    <row r="54" spans="1:10" hidden="1" x14ac:dyDescent="0.25">
      <c r="A54" s="1" t="s">
        <v>178</v>
      </c>
      <c r="B54" s="1">
        <v>182</v>
      </c>
      <c r="C54" s="1" t="s">
        <v>340</v>
      </c>
      <c r="D54" s="1" t="s">
        <v>336</v>
      </c>
      <c r="E54" s="1" t="s">
        <v>108</v>
      </c>
      <c r="F54" s="1" t="s">
        <v>35</v>
      </c>
      <c r="G54" s="1">
        <v>0</v>
      </c>
      <c r="I54" s="1" t="s">
        <v>155</v>
      </c>
      <c r="J54" s="1" t="s">
        <v>55</v>
      </c>
    </row>
    <row r="55" spans="1:10" hidden="1" x14ac:dyDescent="0.25">
      <c r="A55" s="1" t="s">
        <v>125</v>
      </c>
      <c r="B55" s="1">
        <v>183</v>
      </c>
      <c r="C55" s="1" t="s">
        <v>341</v>
      </c>
      <c r="D55" s="1" t="s">
        <v>157</v>
      </c>
      <c r="E55" s="1" t="s">
        <v>342</v>
      </c>
      <c r="F55" s="1" t="s">
        <v>35</v>
      </c>
      <c r="G55" s="1">
        <v>0.92</v>
      </c>
      <c r="I55" s="1" t="s">
        <v>155</v>
      </c>
      <c r="J55" s="1" t="s">
        <v>55</v>
      </c>
    </row>
    <row r="56" spans="1:10" hidden="1" x14ac:dyDescent="0.25">
      <c r="A56" s="1" t="s">
        <v>169</v>
      </c>
      <c r="B56" s="1">
        <v>186</v>
      </c>
      <c r="C56" s="1" t="s">
        <v>350</v>
      </c>
      <c r="D56" s="1" t="s">
        <v>344</v>
      </c>
      <c r="E56" s="1" t="s">
        <v>102</v>
      </c>
      <c r="F56" s="1" t="s">
        <v>35</v>
      </c>
      <c r="G56" s="1">
        <v>0.75</v>
      </c>
      <c r="I56" s="1" t="s">
        <v>155</v>
      </c>
      <c r="J56" s="1" t="s">
        <v>55</v>
      </c>
    </row>
    <row r="57" spans="1:10" hidden="1" x14ac:dyDescent="0.25">
      <c r="A57" s="1" t="s">
        <v>169</v>
      </c>
      <c r="B57" s="1">
        <v>187</v>
      </c>
      <c r="C57" s="1" t="s">
        <v>352</v>
      </c>
      <c r="D57" s="1" t="s">
        <v>344</v>
      </c>
      <c r="E57" s="1" t="s">
        <v>108</v>
      </c>
      <c r="F57" s="1" t="s">
        <v>35</v>
      </c>
      <c r="G57" s="1">
        <v>0.5</v>
      </c>
      <c r="I57" s="1" t="s">
        <v>155</v>
      </c>
      <c r="J57" s="1" t="s">
        <v>55</v>
      </c>
    </row>
    <row r="58" spans="1:10" hidden="1" x14ac:dyDescent="0.25">
      <c r="A58" s="1" t="s">
        <v>133</v>
      </c>
      <c r="B58" s="1">
        <v>188</v>
      </c>
      <c r="C58" s="1" t="s">
        <v>353</v>
      </c>
      <c r="D58" s="1" t="s">
        <v>157</v>
      </c>
      <c r="E58" s="1" t="s">
        <v>354</v>
      </c>
      <c r="F58" s="1" t="s">
        <v>35</v>
      </c>
      <c r="G58" s="1">
        <v>0</v>
      </c>
      <c r="I58" s="1" t="s">
        <v>155</v>
      </c>
      <c r="J58" s="1" t="s">
        <v>55</v>
      </c>
    </row>
    <row r="59" spans="1:10" x14ac:dyDescent="0.25">
      <c r="A59" s="1" t="s">
        <v>133</v>
      </c>
      <c r="B59" s="1">
        <v>189</v>
      </c>
      <c r="C59" s="1" t="s">
        <v>355</v>
      </c>
      <c r="D59" s="1" t="s">
        <v>356</v>
      </c>
      <c r="E59" s="1" t="s">
        <v>94</v>
      </c>
      <c r="F59" s="1" t="s">
        <v>35</v>
      </c>
      <c r="G59" s="11">
        <v>0</v>
      </c>
      <c r="I59" s="1" t="s">
        <v>155</v>
      </c>
      <c r="J59" s="1" t="s">
        <v>55</v>
      </c>
    </row>
    <row r="60" spans="1:10" hidden="1" x14ac:dyDescent="0.25">
      <c r="A60" s="1" t="s">
        <v>178</v>
      </c>
      <c r="B60" s="1">
        <v>190</v>
      </c>
      <c r="C60" s="1" t="s">
        <v>358</v>
      </c>
      <c r="D60" s="1" t="s">
        <v>356</v>
      </c>
      <c r="E60" s="1" t="s">
        <v>98</v>
      </c>
      <c r="F60" s="1" t="s">
        <v>35</v>
      </c>
      <c r="G60" s="1">
        <v>0</v>
      </c>
      <c r="I60" s="1" t="s">
        <v>155</v>
      </c>
      <c r="J60" s="1" t="s">
        <v>55</v>
      </c>
    </row>
    <row r="61" spans="1:10" hidden="1" x14ac:dyDescent="0.25">
      <c r="A61" s="1" t="s">
        <v>178</v>
      </c>
      <c r="B61" s="1">
        <v>191</v>
      </c>
      <c r="C61" s="1" t="s">
        <v>359</v>
      </c>
      <c r="D61" s="1" t="s">
        <v>356</v>
      </c>
      <c r="E61" s="1" t="s">
        <v>102</v>
      </c>
      <c r="F61" s="1" t="s">
        <v>35</v>
      </c>
      <c r="G61" s="1">
        <v>0</v>
      </c>
      <c r="I61" s="1" t="s">
        <v>155</v>
      </c>
      <c r="J61" s="1" t="s">
        <v>55</v>
      </c>
    </row>
    <row r="62" spans="1:10" hidden="1" x14ac:dyDescent="0.25">
      <c r="A62" s="1" t="s">
        <v>178</v>
      </c>
      <c r="B62" s="1">
        <v>192</v>
      </c>
      <c r="C62" s="1" t="s">
        <v>360</v>
      </c>
      <c r="D62" s="1" t="s">
        <v>356</v>
      </c>
      <c r="E62" s="1" t="s">
        <v>108</v>
      </c>
      <c r="F62" s="1" t="s">
        <v>35</v>
      </c>
      <c r="G62" s="1">
        <v>0</v>
      </c>
      <c r="I62" s="1" t="s">
        <v>155</v>
      </c>
      <c r="J62" s="1" t="s">
        <v>55</v>
      </c>
    </row>
    <row r="63" spans="1:10" hidden="1" x14ac:dyDescent="0.25">
      <c r="A63" s="1" t="s">
        <v>133</v>
      </c>
      <c r="B63" s="1">
        <v>193</v>
      </c>
      <c r="C63" s="1" t="s">
        <v>361</v>
      </c>
      <c r="D63" s="1" t="s">
        <v>157</v>
      </c>
      <c r="E63" s="1" t="s">
        <v>362</v>
      </c>
      <c r="F63" s="1" t="s">
        <v>35</v>
      </c>
      <c r="G63" s="1">
        <v>0.5</v>
      </c>
      <c r="I63" s="1" t="s">
        <v>155</v>
      </c>
      <c r="J63" s="1" t="s">
        <v>55</v>
      </c>
    </row>
    <row r="64" spans="1:10" hidden="1" x14ac:dyDescent="0.25">
      <c r="A64" s="1" t="s">
        <v>178</v>
      </c>
      <c r="B64" s="1">
        <v>195</v>
      </c>
      <c r="C64" s="1" t="s">
        <v>365</v>
      </c>
      <c r="D64" s="1" t="s">
        <v>364</v>
      </c>
      <c r="E64" s="1" t="s">
        <v>98</v>
      </c>
      <c r="F64" s="1" t="s">
        <v>35</v>
      </c>
      <c r="G64" s="1">
        <v>0.5</v>
      </c>
      <c r="I64" s="1" t="s">
        <v>155</v>
      </c>
      <c r="J64" s="1" t="s">
        <v>55</v>
      </c>
    </row>
    <row r="65" spans="1:10" hidden="1" x14ac:dyDescent="0.25">
      <c r="A65" s="1" t="s">
        <v>178</v>
      </c>
      <c r="B65" s="1">
        <v>196</v>
      </c>
      <c r="C65" s="1" t="s">
        <v>366</v>
      </c>
      <c r="D65" s="1" t="s">
        <v>364</v>
      </c>
      <c r="E65" s="1" t="s">
        <v>102</v>
      </c>
      <c r="F65" s="1" t="s">
        <v>35</v>
      </c>
      <c r="G65" s="1">
        <v>0</v>
      </c>
      <c r="I65" s="1" t="s">
        <v>155</v>
      </c>
      <c r="J65" s="1" t="s">
        <v>55</v>
      </c>
    </row>
    <row r="66" spans="1:10" hidden="1" x14ac:dyDescent="0.25">
      <c r="A66" s="1" t="s">
        <v>178</v>
      </c>
      <c r="B66" s="1">
        <v>197</v>
      </c>
      <c r="C66" s="1" t="s">
        <v>367</v>
      </c>
      <c r="D66" s="1" t="s">
        <v>364</v>
      </c>
      <c r="E66" s="1" t="s">
        <v>108</v>
      </c>
      <c r="F66" s="1" t="s">
        <v>35</v>
      </c>
      <c r="G66" s="1">
        <v>0</v>
      </c>
      <c r="I66" s="1" t="s">
        <v>155</v>
      </c>
      <c r="J66" s="1" t="s">
        <v>55</v>
      </c>
    </row>
    <row r="67" spans="1:10" hidden="1" x14ac:dyDescent="0.25">
      <c r="A67" s="1" t="s">
        <v>133</v>
      </c>
      <c r="B67" s="1">
        <v>198</v>
      </c>
      <c r="C67" s="1" t="s">
        <v>368</v>
      </c>
      <c r="D67" s="1" t="s">
        <v>157</v>
      </c>
      <c r="E67" s="1" t="s">
        <v>369</v>
      </c>
      <c r="F67" s="1" t="s">
        <v>35</v>
      </c>
      <c r="G67" s="1">
        <v>0</v>
      </c>
      <c r="I67" s="1" t="s">
        <v>155</v>
      </c>
      <c r="J67" s="1" t="s">
        <v>55</v>
      </c>
    </row>
    <row r="68" spans="1:10" x14ac:dyDescent="0.25">
      <c r="A68" s="1" t="s">
        <v>133</v>
      </c>
      <c r="B68" s="1">
        <v>199</v>
      </c>
      <c r="C68" s="1" t="s">
        <v>370</v>
      </c>
      <c r="D68" s="1" t="s">
        <v>371</v>
      </c>
      <c r="E68" s="1" t="s">
        <v>94</v>
      </c>
      <c r="F68" s="1" t="s">
        <v>35</v>
      </c>
      <c r="G68" s="11">
        <v>0</v>
      </c>
      <c r="I68" s="1" t="s">
        <v>155</v>
      </c>
      <c r="J68" s="1" t="s">
        <v>55</v>
      </c>
    </row>
    <row r="69" spans="1:10" hidden="1" x14ac:dyDescent="0.25">
      <c r="A69" s="1" t="s">
        <v>178</v>
      </c>
      <c r="B69" s="1">
        <v>200</v>
      </c>
      <c r="C69" s="1" t="s">
        <v>372</v>
      </c>
      <c r="D69" s="1" t="s">
        <v>371</v>
      </c>
      <c r="E69" s="1" t="s">
        <v>98</v>
      </c>
      <c r="F69" s="1" t="s">
        <v>35</v>
      </c>
      <c r="G69" s="1">
        <v>0</v>
      </c>
      <c r="I69" s="1" t="s">
        <v>155</v>
      </c>
      <c r="J69" s="1" t="s">
        <v>55</v>
      </c>
    </row>
    <row r="70" spans="1:10" hidden="1" x14ac:dyDescent="0.25">
      <c r="A70" s="1" t="s">
        <v>178</v>
      </c>
      <c r="B70" s="1">
        <v>201</v>
      </c>
      <c r="C70" s="1" t="s">
        <v>373</v>
      </c>
      <c r="D70" s="1" t="s">
        <v>371</v>
      </c>
      <c r="E70" s="1" t="s">
        <v>102</v>
      </c>
      <c r="F70" s="1" t="s">
        <v>35</v>
      </c>
      <c r="G70" s="1">
        <v>0</v>
      </c>
      <c r="I70" s="1" t="s">
        <v>155</v>
      </c>
      <c r="J70" s="1" t="s">
        <v>55</v>
      </c>
    </row>
    <row r="71" spans="1:10" hidden="1" x14ac:dyDescent="0.25">
      <c r="A71" s="1" t="s">
        <v>178</v>
      </c>
      <c r="B71" s="1">
        <v>202</v>
      </c>
      <c r="C71" s="1" t="s">
        <v>374</v>
      </c>
      <c r="D71" s="1" t="s">
        <v>371</v>
      </c>
      <c r="E71" s="1" t="s">
        <v>108</v>
      </c>
      <c r="F71" s="1" t="s">
        <v>35</v>
      </c>
      <c r="G71" s="1">
        <v>0</v>
      </c>
      <c r="I71" s="1" t="s">
        <v>155</v>
      </c>
      <c r="J71" s="1" t="s">
        <v>55</v>
      </c>
    </row>
    <row r="72" spans="1:10" hidden="1" x14ac:dyDescent="0.25">
      <c r="A72" s="1" t="s">
        <v>65</v>
      </c>
      <c r="B72" s="1">
        <v>203</v>
      </c>
      <c r="C72" s="1" t="s">
        <v>375</v>
      </c>
      <c r="D72" s="1" t="s">
        <v>73</v>
      </c>
      <c r="E72" s="1" t="s">
        <v>376</v>
      </c>
      <c r="F72" s="1" t="s">
        <v>180</v>
      </c>
      <c r="G72" s="1">
        <v>0.32</v>
      </c>
      <c r="I72" s="1" t="s">
        <v>377</v>
      </c>
      <c r="J72" s="1" t="s">
        <v>55</v>
      </c>
    </row>
    <row r="73" spans="1:10" hidden="1" x14ac:dyDescent="0.25">
      <c r="A73" s="1" t="s">
        <v>178</v>
      </c>
      <c r="B73" s="1">
        <v>214</v>
      </c>
      <c r="C73" s="1" t="s">
        <v>378</v>
      </c>
      <c r="D73" s="1" t="s">
        <v>379</v>
      </c>
      <c r="E73" s="1" t="s">
        <v>380</v>
      </c>
      <c r="F73" s="1" t="s">
        <v>180</v>
      </c>
      <c r="G73" s="1">
        <v>0.39</v>
      </c>
      <c r="I73" s="1" t="s">
        <v>377</v>
      </c>
      <c r="J73" s="1" t="s">
        <v>55</v>
      </c>
    </row>
    <row r="74" spans="1:10" x14ac:dyDescent="0.25">
      <c r="A74" s="1" t="s">
        <v>178</v>
      </c>
      <c r="B74" s="1">
        <v>215</v>
      </c>
      <c r="C74" s="1" t="s">
        <v>381</v>
      </c>
      <c r="D74" s="1" t="s">
        <v>382</v>
      </c>
      <c r="E74" s="1" t="s">
        <v>94</v>
      </c>
      <c r="F74" s="1" t="s">
        <v>180</v>
      </c>
      <c r="G74" s="11">
        <v>0.9</v>
      </c>
      <c r="I74" s="1" t="s">
        <v>377</v>
      </c>
      <c r="J74" s="1" t="s">
        <v>55</v>
      </c>
    </row>
    <row r="75" spans="1:10" hidden="1" x14ac:dyDescent="0.25">
      <c r="A75" s="1" t="s">
        <v>146</v>
      </c>
      <c r="B75" s="1">
        <v>216</v>
      </c>
      <c r="C75" s="1" t="s">
        <v>384</v>
      </c>
      <c r="D75" s="1" t="s">
        <v>382</v>
      </c>
      <c r="E75" s="1" t="s">
        <v>98</v>
      </c>
      <c r="F75" s="1" t="s">
        <v>149</v>
      </c>
      <c r="G75" s="1">
        <v>0</v>
      </c>
      <c r="I75" s="1" t="s">
        <v>377</v>
      </c>
      <c r="J75" s="1" t="s">
        <v>55</v>
      </c>
    </row>
    <row r="76" spans="1:10" hidden="1" x14ac:dyDescent="0.25">
      <c r="A76" s="1" t="s">
        <v>146</v>
      </c>
      <c r="B76" s="1">
        <v>234</v>
      </c>
      <c r="C76" s="1" t="s">
        <v>388</v>
      </c>
      <c r="D76" s="1" t="s">
        <v>379</v>
      </c>
      <c r="E76" s="1" t="s">
        <v>389</v>
      </c>
      <c r="F76" s="1" t="s">
        <v>180</v>
      </c>
      <c r="G76" s="1">
        <v>0</v>
      </c>
      <c r="I76" s="1" t="s">
        <v>377</v>
      </c>
      <c r="J76" s="1" t="s">
        <v>55</v>
      </c>
    </row>
    <row r="77" spans="1:10" x14ac:dyDescent="0.25">
      <c r="A77" s="1" t="s">
        <v>146</v>
      </c>
      <c r="B77" s="1">
        <v>235</v>
      </c>
      <c r="C77" s="1" t="s">
        <v>391</v>
      </c>
      <c r="D77" s="1" t="s">
        <v>392</v>
      </c>
      <c r="E77" s="1" t="s">
        <v>94</v>
      </c>
      <c r="F77" s="1" t="s">
        <v>180</v>
      </c>
      <c r="G77" s="11">
        <v>0</v>
      </c>
      <c r="I77" s="1" t="s">
        <v>377</v>
      </c>
      <c r="J77" s="1" t="s">
        <v>55</v>
      </c>
    </row>
    <row r="78" spans="1:10" hidden="1" x14ac:dyDescent="0.25">
      <c r="A78" s="1" t="s">
        <v>65</v>
      </c>
      <c r="B78" s="1">
        <v>244</v>
      </c>
      <c r="C78" s="1" t="s">
        <v>399</v>
      </c>
      <c r="D78" s="1" t="s">
        <v>379</v>
      </c>
      <c r="E78" s="1" t="s">
        <v>400</v>
      </c>
      <c r="F78" s="1" t="s">
        <v>35</v>
      </c>
      <c r="G78" s="1">
        <v>0.5</v>
      </c>
      <c r="I78" s="1" t="s">
        <v>377</v>
      </c>
      <c r="J78" s="1" t="s">
        <v>55</v>
      </c>
    </row>
    <row r="79" spans="1:10" hidden="1" x14ac:dyDescent="0.25">
      <c r="A79" s="1" t="s">
        <v>133</v>
      </c>
      <c r="B79" s="1">
        <v>246</v>
      </c>
      <c r="C79" s="1" t="s">
        <v>406</v>
      </c>
      <c r="D79" s="1" t="s">
        <v>403</v>
      </c>
      <c r="E79" s="1" t="s">
        <v>98</v>
      </c>
      <c r="F79" s="1" t="s">
        <v>35</v>
      </c>
      <c r="G79" s="1">
        <v>0.5</v>
      </c>
      <c r="I79" s="1" t="s">
        <v>377</v>
      </c>
      <c r="J79" s="1" t="s">
        <v>55</v>
      </c>
    </row>
    <row r="80" spans="1:10" hidden="1" x14ac:dyDescent="0.25">
      <c r="A80" s="1" t="s">
        <v>133</v>
      </c>
      <c r="B80" s="1">
        <v>247</v>
      </c>
      <c r="C80" s="1" t="s">
        <v>407</v>
      </c>
      <c r="D80" s="1" t="s">
        <v>403</v>
      </c>
      <c r="E80" s="1" t="s">
        <v>102</v>
      </c>
      <c r="F80" s="1" t="s">
        <v>35</v>
      </c>
      <c r="G80" s="1">
        <v>0</v>
      </c>
      <c r="I80" s="1" t="s">
        <v>377</v>
      </c>
      <c r="J80" s="1" t="s">
        <v>55</v>
      </c>
    </row>
    <row r="81" spans="1:10" hidden="1" x14ac:dyDescent="0.25">
      <c r="A81" s="1" t="s">
        <v>133</v>
      </c>
      <c r="B81" s="1">
        <v>248</v>
      </c>
      <c r="C81" s="1" t="s">
        <v>408</v>
      </c>
      <c r="D81" s="1" t="s">
        <v>403</v>
      </c>
      <c r="E81" s="1" t="s">
        <v>108</v>
      </c>
      <c r="F81" s="1" t="s">
        <v>35</v>
      </c>
      <c r="G81" s="1">
        <v>0</v>
      </c>
      <c r="I81" s="1" t="s">
        <v>377</v>
      </c>
      <c r="J81" s="1" t="s">
        <v>55</v>
      </c>
    </row>
    <row r="82" spans="1:10" hidden="1" x14ac:dyDescent="0.25">
      <c r="A82" s="1" t="s">
        <v>146</v>
      </c>
      <c r="B82" s="1">
        <v>254</v>
      </c>
      <c r="C82" s="1" t="s">
        <v>410</v>
      </c>
      <c r="D82" s="1" t="s">
        <v>379</v>
      </c>
      <c r="E82" s="1" t="s">
        <v>411</v>
      </c>
      <c r="F82" s="1" t="s">
        <v>180</v>
      </c>
      <c r="G82" s="1">
        <v>0.32</v>
      </c>
      <c r="I82" s="1" t="s">
        <v>377</v>
      </c>
      <c r="J82" s="1" t="s">
        <v>55</v>
      </c>
    </row>
    <row r="83" spans="1:10" x14ac:dyDescent="0.25">
      <c r="A83" s="1" t="s">
        <v>146</v>
      </c>
      <c r="B83" s="1">
        <v>255</v>
      </c>
      <c r="C83" s="1" t="s">
        <v>413</v>
      </c>
      <c r="D83" s="1" t="s">
        <v>414</v>
      </c>
      <c r="E83" s="1" t="s">
        <v>94</v>
      </c>
      <c r="F83" s="1" t="s">
        <v>180</v>
      </c>
      <c r="G83" s="11">
        <v>0.75</v>
      </c>
      <c r="I83" s="1" t="s">
        <v>377</v>
      </c>
      <c r="J83" s="1" t="s">
        <v>55</v>
      </c>
    </row>
    <row r="84" spans="1:10" hidden="1" x14ac:dyDescent="0.25">
      <c r="A84" s="1" t="s">
        <v>146</v>
      </c>
      <c r="B84" s="1">
        <v>259</v>
      </c>
      <c r="C84" s="1" t="s">
        <v>420</v>
      </c>
      <c r="D84" s="1" t="s">
        <v>379</v>
      </c>
      <c r="E84" s="1" t="s">
        <v>421</v>
      </c>
      <c r="F84" s="1" t="s">
        <v>180</v>
      </c>
      <c r="G84" s="1">
        <v>0.32</v>
      </c>
      <c r="I84" s="1" t="s">
        <v>377</v>
      </c>
      <c r="J84" s="1" t="s">
        <v>55</v>
      </c>
    </row>
    <row r="85" spans="1:10" x14ac:dyDescent="0.25">
      <c r="A85" s="1" t="s">
        <v>146</v>
      </c>
      <c r="B85" s="1">
        <v>260</v>
      </c>
      <c r="C85" s="1" t="s">
        <v>422</v>
      </c>
      <c r="D85" s="1" t="s">
        <v>423</v>
      </c>
      <c r="E85" s="1" t="s">
        <v>94</v>
      </c>
      <c r="F85" s="1" t="s">
        <v>180</v>
      </c>
      <c r="G85" s="11">
        <v>0.75</v>
      </c>
      <c r="I85" s="1" t="s">
        <v>377</v>
      </c>
      <c r="J85" s="1" t="s">
        <v>55</v>
      </c>
    </row>
    <row r="86" spans="1:10" hidden="1" x14ac:dyDescent="0.25">
      <c r="A86" s="1" t="s">
        <v>146</v>
      </c>
      <c r="B86" s="1">
        <v>264</v>
      </c>
      <c r="C86" s="1" t="s">
        <v>427</v>
      </c>
      <c r="D86" s="1" t="s">
        <v>379</v>
      </c>
      <c r="E86" s="1" t="s">
        <v>428</v>
      </c>
      <c r="F86" s="1" t="s">
        <v>180</v>
      </c>
      <c r="G86" s="1">
        <v>0.32</v>
      </c>
      <c r="I86" s="1" t="s">
        <v>377</v>
      </c>
      <c r="J86" s="1" t="s">
        <v>55</v>
      </c>
    </row>
    <row r="87" spans="1:10" x14ac:dyDescent="0.25">
      <c r="A87" s="1" t="s">
        <v>146</v>
      </c>
      <c r="B87" s="1">
        <v>265</v>
      </c>
      <c r="C87" s="1" t="s">
        <v>429</v>
      </c>
      <c r="D87" s="1" t="s">
        <v>430</v>
      </c>
      <c r="E87" s="1" t="s">
        <v>94</v>
      </c>
      <c r="F87" s="1" t="s">
        <v>180</v>
      </c>
      <c r="G87" s="11">
        <v>0.75</v>
      </c>
      <c r="I87" s="1" t="s">
        <v>377</v>
      </c>
      <c r="J87" s="1" t="s">
        <v>55</v>
      </c>
    </row>
    <row r="88" spans="1:10" hidden="1" x14ac:dyDescent="0.25">
      <c r="A88" s="1" t="s">
        <v>146</v>
      </c>
      <c r="B88" s="1">
        <v>284</v>
      </c>
      <c r="C88" s="1" t="s">
        <v>434</v>
      </c>
      <c r="D88" s="1" t="s">
        <v>379</v>
      </c>
      <c r="E88" s="1" t="s">
        <v>435</v>
      </c>
      <c r="F88" s="1" t="s">
        <v>180</v>
      </c>
      <c r="G88" s="1">
        <v>0.32</v>
      </c>
      <c r="I88" s="1" t="s">
        <v>377</v>
      </c>
      <c r="J88" s="1" t="s">
        <v>55</v>
      </c>
    </row>
    <row r="89" spans="1:10" x14ac:dyDescent="0.25">
      <c r="A89" s="1" t="s">
        <v>146</v>
      </c>
      <c r="B89" s="1">
        <v>285</v>
      </c>
      <c r="C89" s="1" t="s">
        <v>436</v>
      </c>
      <c r="D89" s="1" t="s">
        <v>437</v>
      </c>
      <c r="E89" s="1" t="s">
        <v>94</v>
      </c>
      <c r="F89" s="1" t="s">
        <v>180</v>
      </c>
      <c r="G89" s="11">
        <v>0.75</v>
      </c>
      <c r="I89" s="1" t="s">
        <v>377</v>
      </c>
      <c r="J89" s="1" t="s">
        <v>55</v>
      </c>
    </row>
    <row r="90" spans="1:10" hidden="1" x14ac:dyDescent="0.25">
      <c r="A90" s="1" t="s">
        <v>146</v>
      </c>
      <c r="B90" s="1">
        <v>289</v>
      </c>
      <c r="C90" s="1" t="s">
        <v>441</v>
      </c>
      <c r="D90" s="1" t="s">
        <v>379</v>
      </c>
      <c r="E90" s="1" t="s">
        <v>442</v>
      </c>
      <c r="F90" s="1" t="s">
        <v>180</v>
      </c>
      <c r="G90" s="1">
        <v>0.32</v>
      </c>
      <c r="I90" s="1" t="s">
        <v>377</v>
      </c>
      <c r="J90" s="1" t="s">
        <v>55</v>
      </c>
    </row>
    <row r="91" spans="1:10" x14ac:dyDescent="0.25">
      <c r="A91" s="1" t="s">
        <v>146</v>
      </c>
      <c r="B91" s="1">
        <v>290</v>
      </c>
      <c r="C91" s="1" t="s">
        <v>443</v>
      </c>
      <c r="D91" s="1" t="s">
        <v>444</v>
      </c>
      <c r="E91" s="1" t="s">
        <v>94</v>
      </c>
      <c r="F91" s="1" t="s">
        <v>180</v>
      </c>
      <c r="G91" s="11">
        <v>0.75</v>
      </c>
      <c r="I91" s="1" t="s">
        <v>377</v>
      </c>
      <c r="J91" s="1" t="s">
        <v>55</v>
      </c>
    </row>
    <row r="92" spans="1:10" hidden="1" x14ac:dyDescent="0.25">
      <c r="A92" s="1" t="s">
        <v>146</v>
      </c>
      <c r="B92" s="1">
        <v>294</v>
      </c>
      <c r="C92" s="1" t="s">
        <v>448</v>
      </c>
      <c r="D92" s="1" t="s">
        <v>379</v>
      </c>
      <c r="E92" s="1" t="s">
        <v>449</v>
      </c>
      <c r="F92" s="1" t="s">
        <v>180</v>
      </c>
      <c r="G92" s="1">
        <v>0.32</v>
      </c>
      <c r="I92" s="1" t="s">
        <v>377</v>
      </c>
      <c r="J92" s="1" t="s">
        <v>55</v>
      </c>
    </row>
    <row r="93" spans="1:10" x14ac:dyDescent="0.25">
      <c r="A93" s="1" t="s">
        <v>146</v>
      </c>
      <c r="B93" s="1">
        <v>295</v>
      </c>
      <c r="C93" s="1" t="s">
        <v>450</v>
      </c>
      <c r="D93" s="1" t="s">
        <v>451</v>
      </c>
      <c r="E93" s="1" t="s">
        <v>94</v>
      </c>
      <c r="F93" s="1" t="s">
        <v>180</v>
      </c>
      <c r="G93" s="11">
        <v>0.75</v>
      </c>
      <c r="I93" s="1" t="s">
        <v>377</v>
      </c>
      <c r="J93" s="1" t="s">
        <v>55</v>
      </c>
    </row>
    <row r="94" spans="1:10" hidden="1" x14ac:dyDescent="0.25">
      <c r="A94" s="1" t="s">
        <v>146</v>
      </c>
      <c r="B94" s="1">
        <v>299</v>
      </c>
      <c r="C94" s="1" t="s">
        <v>455</v>
      </c>
      <c r="D94" s="1" t="s">
        <v>379</v>
      </c>
      <c r="E94" s="1" t="s">
        <v>456</v>
      </c>
      <c r="F94" s="1" t="s">
        <v>180</v>
      </c>
      <c r="G94" s="1">
        <v>0.32</v>
      </c>
      <c r="I94" s="1" t="s">
        <v>377</v>
      </c>
      <c r="J94" s="1" t="s">
        <v>55</v>
      </c>
    </row>
    <row r="95" spans="1:10" x14ac:dyDescent="0.25">
      <c r="A95" s="1" t="s">
        <v>146</v>
      </c>
      <c r="B95" s="1">
        <v>300</v>
      </c>
      <c r="C95" s="1" t="s">
        <v>457</v>
      </c>
      <c r="D95" s="1" t="s">
        <v>458</v>
      </c>
      <c r="E95" s="1" t="s">
        <v>94</v>
      </c>
      <c r="F95" s="1" t="s">
        <v>180</v>
      </c>
      <c r="G95" s="11">
        <v>0.75</v>
      </c>
      <c r="I95" s="1" t="s">
        <v>377</v>
      </c>
      <c r="J95" s="1" t="s">
        <v>55</v>
      </c>
    </row>
    <row r="96" spans="1:10" hidden="1" x14ac:dyDescent="0.25">
      <c r="A96" s="1" t="s">
        <v>146</v>
      </c>
      <c r="B96" s="1">
        <v>304</v>
      </c>
      <c r="C96" s="1" t="s">
        <v>465</v>
      </c>
      <c r="D96" s="1" t="s">
        <v>379</v>
      </c>
      <c r="E96" s="1" t="s">
        <v>466</v>
      </c>
      <c r="F96" s="1" t="s">
        <v>180</v>
      </c>
      <c r="G96" s="1">
        <v>0.32</v>
      </c>
      <c r="I96" s="1" t="s">
        <v>377</v>
      </c>
      <c r="J96" s="1" t="s">
        <v>55</v>
      </c>
    </row>
    <row r="97" spans="1:10" x14ac:dyDescent="0.25">
      <c r="A97" s="1" t="s">
        <v>146</v>
      </c>
      <c r="B97" s="1">
        <v>305</v>
      </c>
      <c r="C97" s="1" t="s">
        <v>467</v>
      </c>
      <c r="D97" s="1" t="s">
        <v>468</v>
      </c>
      <c r="E97" s="1" t="s">
        <v>94</v>
      </c>
      <c r="F97" s="1" t="s">
        <v>180</v>
      </c>
      <c r="G97" s="11">
        <v>0.75</v>
      </c>
      <c r="I97" s="1" t="s">
        <v>377</v>
      </c>
      <c r="J97" s="1" t="s">
        <v>55</v>
      </c>
    </row>
    <row r="98" spans="1:10" hidden="1" x14ac:dyDescent="0.25">
      <c r="A98" s="1" t="s">
        <v>146</v>
      </c>
      <c r="B98" s="1">
        <v>309</v>
      </c>
      <c r="C98" s="1" t="s">
        <v>472</v>
      </c>
      <c r="D98" s="1" t="s">
        <v>379</v>
      </c>
      <c r="E98" s="1" t="s">
        <v>473</v>
      </c>
      <c r="F98" s="1" t="s">
        <v>180</v>
      </c>
      <c r="G98" s="1">
        <v>0.32</v>
      </c>
      <c r="I98" s="1" t="s">
        <v>377</v>
      </c>
      <c r="J98" s="1" t="s">
        <v>55</v>
      </c>
    </row>
    <row r="99" spans="1:10" x14ac:dyDescent="0.25">
      <c r="A99" s="1" t="s">
        <v>146</v>
      </c>
      <c r="B99" s="1">
        <v>310</v>
      </c>
      <c r="C99" s="1" t="s">
        <v>474</v>
      </c>
      <c r="D99" s="1" t="s">
        <v>475</v>
      </c>
      <c r="E99" s="1" t="s">
        <v>94</v>
      </c>
      <c r="F99" s="1" t="s">
        <v>180</v>
      </c>
      <c r="G99" s="11">
        <v>0.75</v>
      </c>
      <c r="I99" s="1" t="s">
        <v>377</v>
      </c>
      <c r="J99" s="1" t="s">
        <v>55</v>
      </c>
    </row>
    <row r="100" spans="1:10" hidden="1" x14ac:dyDescent="0.25">
      <c r="A100" s="1" t="s">
        <v>146</v>
      </c>
      <c r="B100" s="1">
        <v>314</v>
      </c>
      <c r="C100" s="1" t="s">
        <v>479</v>
      </c>
      <c r="D100" s="1" t="s">
        <v>379</v>
      </c>
      <c r="E100" s="1" t="s">
        <v>480</v>
      </c>
      <c r="F100" s="1" t="s">
        <v>180</v>
      </c>
      <c r="G100" s="1">
        <v>0.43</v>
      </c>
      <c r="I100" s="1" t="s">
        <v>377</v>
      </c>
      <c r="J100" s="1" t="s">
        <v>55</v>
      </c>
    </row>
    <row r="101" spans="1:10" hidden="1" x14ac:dyDescent="0.25">
      <c r="A101" s="1" t="s">
        <v>146</v>
      </c>
      <c r="B101" s="1">
        <v>316</v>
      </c>
      <c r="C101" s="1" t="s">
        <v>483</v>
      </c>
      <c r="D101" s="1" t="s">
        <v>482</v>
      </c>
      <c r="E101" s="1" t="s">
        <v>98</v>
      </c>
      <c r="F101" s="1" t="s">
        <v>149</v>
      </c>
      <c r="G101" s="1">
        <v>0</v>
      </c>
      <c r="I101" s="1" t="s">
        <v>377</v>
      </c>
      <c r="J101" s="1" t="s">
        <v>55</v>
      </c>
    </row>
    <row r="102" spans="1:10" hidden="1" x14ac:dyDescent="0.25">
      <c r="A102" s="1" t="s">
        <v>133</v>
      </c>
      <c r="B102" s="1">
        <v>324</v>
      </c>
      <c r="C102" s="1" t="s">
        <v>486</v>
      </c>
      <c r="D102" s="1" t="s">
        <v>73</v>
      </c>
      <c r="E102" s="1" t="s">
        <v>487</v>
      </c>
      <c r="F102" s="1" t="s">
        <v>35</v>
      </c>
      <c r="G102" s="1">
        <v>0.02</v>
      </c>
      <c r="I102" s="1" t="s">
        <v>489</v>
      </c>
      <c r="J102" s="1" t="s">
        <v>55</v>
      </c>
    </row>
    <row r="103" spans="1:10" hidden="1" x14ac:dyDescent="0.25">
      <c r="A103" s="1" t="s">
        <v>178</v>
      </c>
      <c r="B103" s="1">
        <v>330</v>
      </c>
      <c r="C103" s="1" t="s">
        <v>490</v>
      </c>
      <c r="D103" s="1" t="s">
        <v>491</v>
      </c>
      <c r="E103" s="1" t="s">
        <v>492</v>
      </c>
      <c r="F103" s="1" t="s">
        <v>149</v>
      </c>
      <c r="G103" s="1">
        <v>0.38</v>
      </c>
      <c r="I103" s="1" t="s">
        <v>489</v>
      </c>
      <c r="J103" s="1" t="s">
        <v>55</v>
      </c>
    </row>
    <row r="104" spans="1:10" x14ac:dyDescent="0.25">
      <c r="A104" s="1" t="s">
        <v>178</v>
      </c>
      <c r="B104" s="1">
        <v>331</v>
      </c>
      <c r="C104" s="1" t="s">
        <v>494</v>
      </c>
      <c r="D104" s="1" t="s">
        <v>495</v>
      </c>
      <c r="E104" s="1" t="s">
        <v>94</v>
      </c>
      <c r="F104" s="1" t="s">
        <v>149</v>
      </c>
      <c r="G104" s="11">
        <v>0.75</v>
      </c>
      <c r="I104" s="1" t="s">
        <v>489</v>
      </c>
      <c r="J104" s="1" t="s">
        <v>55</v>
      </c>
    </row>
    <row r="105" spans="1:10" hidden="1" x14ac:dyDescent="0.25">
      <c r="A105" s="1" t="s">
        <v>133</v>
      </c>
      <c r="B105" s="1">
        <v>345</v>
      </c>
      <c r="C105" s="1" t="s">
        <v>512</v>
      </c>
      <c r="D105" s="1" t="s">
        <v>491</v>
      </c>
      <c r="E105" s="1" t="s">
        <v>513</v>
      </c>
      <c r="F105" s="1" t="s">
        <v>35</v>
      </c>
      <c r="G105" s="1">
        <v>0</v>
      </c>
      <c r="I105" s="1" t="s">
        <v>489</v>
      </c>
      <c r="J105" s="1" t="s">
        <v>39</v>
      </c>
    </row>
    <row r="106" spans="1:10" x14ac:dyDescent="0.25">
      <c r="A106" s="1" t="s">
        <v>133</v>
      </c>
      <c r="B106" s="1">
        <v>346</v>
      </c>
      <c r="C106" s="1" t="s">
        <v>514</v>
      </c>
      <c r="D106" s="1" t="s">
        <v>515</v>
      </c>
      <c r="E106" s="1" t="s">
        <v>94</v>
      </c>
      <c r="F106" s="1" t="s">
        <v>35</v>
      </c>
      <c r="G106" s="11">
        <v>0</v>
      </c>
      <c r="I106" s="1" t="s">
        <v>489</v>
      </c>
      <c r="J106" s="1" t="s">
        <v>39</v>
      </c>
    </row>
    <row r="107" spans="1:10" hidden="1" x14ac:dyDescent="0.25">
      <c r="A107" s="1" t="s">
        <v>146</v>
      </c>
      <c r="B107" s="1">
        <v>400</v>
      </c>
      <c r="C107" s="1" t="s">
        <v>592</v>
      </c>
      <c r="D107" s="1" t="s">
        <v>491</v>
      </c>
      <c r="E107" s="1" t="s">
        <v>593</v>
      </c>
      <c r="F107" s="1" t="s">
        <v>180</v>
      </c>
      <c r="G107" s="1">
        <v>0</v>
      </c>
      <c r="I107" s="1" t="s">
        <v>489</v>
      </c>
      <c r="J107" s="1" t="s">
        <v>55</v>
      </c>
    </row>
    <row r="108" spans="1:10" x14ac:dyDescent="0.25">
      <c r="A108" s="1" t="s">
        <v>146</v>
      </c>
      <c r="B108" s="1">
        <v>401</v>
      </c>
      <c r="C108" s="1" t="s">
        <v>595</v>
      </c>
      <c r="D108" s="1" t="s">
        <v>596</v>
      </c>
      <c r="E108" s="1" t="s">
        <v>94</v>
      </c>
      <c r="F108" s="1" t="s">
        <v>180</v>
      </c>
      <c r="G108" s="11">
        <v>0</v>
      </c>
      <c r="I108" s="1" t="s">
        <v>489</v>
      </c>
      <c r="J108" s="1" t="s">
        <v>55</v>
      </c>
    </row>
    <row r="109" spans="1:10" hidden="1" x14ac:dyDescent="0.25">
      <c r="A109" s="1" t="s">
        <v>110</v>
      </c>
      <c r="B109" s="1">
        <v>405</v>
      </c>
      <c r="C109" s="1" t="s">
        <v>602</v>
      </c>
      <c r="D109" s="1" t="s">
        <v>73</v>
      </c>
      <c r="E109" s="1" t="s">
        <v>603</v>
      </c>
      <c r="F109" s="1" t="s">
        <v>35</v>
      </c>
      <c r="G109" s="1">
        <v>0.73</v>
      </c>
      <c r="I109" s="1" t="s">
        <v>605</v>
      </c>
      <c r="J109" s="1" t="s">
        <v>55</v>
      </c>
    </row>
    <row r="110" spans="1:10" hidden="1" x14ac:dyDescent="0.25">
      <c r="A110" s="1" t="s">
        <v>169</v>
      </c>
      <c r="B110" s="1">
        <v>416</v>
      </c>
      <c r="C110" s="1" t="s">
        <v>606</v>
      </c>
      <c r="D110" s="1" t="s">
        <v>607</v>
      </c>
      <c r="E110" s="1" t="s">
        <v>608</v>
      </c>
      <c r="F110" s="1" t="s">
        <v>35</v>
      </c>
      <c r="G110" s="1">
        <v>0.7</v>
      </c>
      <c r="I110" s="1" t="s">
        <v>605</v>
      </c>
      <c r="J110" s="1" t="s">
        <v>55</v>
      </c>
    </row>
    <row r="111" spans="1:10" hidden="1" x14ac:dyDescent="0.25">
      <c r="A111" s="1" t="s">
        <v>65</v>
      </c>
      <c r="B111" s="1">
        <v>419</v>
      </c>
      <c r="C111" s="1" t="s">
        <v>615</v>
      </c>
      <c r="D111" s="1" t="s">
        <v>611</v>
      </c>
      <c r="E111" s="1" t="s">
        <v>102</v>
      </c>
      <c r="F111" s="1" t="s">
        <v>35</v>
      </c>
      <c r="G111" s="1">
        <v>0.5</v>
      </c>
      <c r="I111" s="1" t="s">
        <v>605</v>
      </c>
      <c r="J111" s="1" t="s">
        <v>55</v>
      </c>
    </row>
    <row r="112" spans="1:10" hidden="1" x14ac:dyDescent="0.25">
      <c r="A112" s="1" t="s">
        <v>65</v>
      </c>
      <c r="B112" s="1">
        <v>420</v>
      </c>
      <c r="C112" s="1" t="s">
        <v>616</v>
      </c>
      <c r="D112" s="1" t="s">
        <v>611</v>
      </c>
      <c r="E112" s="1" t="s">
        <v>108</v>
      </c>
      <c r="F112" s="1" t="s">
        <v>180</v>
      </c>
      <c r="G112" s="1">
        <v>0</v>
      </c>
      <c r="I112" s="1" t="s">
        <v>605</v>
      </c>
      <c r="J112" s="1" t="s">
        <v>55</v>
      </c>
    </row>
    <row r="113" spans="1:10" hidden="1" x14ac:dyDescent="0.25">
      <c r="A113" s="1" t="s">
        <v>110</v>
      </c>
      <c r="B113" s="1">
        <v>426</v>
      </c>
      <c r="C113" s="1" t="s">
        <v>617</v>
      </c>
      <c r="D113" s="1" t="s">
        <v>607</v>
      </c>
      <c r="E113" s="1" t="s">
        <v>618</v>
      </c>
      <c r="F113" s="1" t="s">
        <v>35</v>
      </c>
      <c r="G113" s="1">
        <v>0.85</v>
      </c>
      <c r="I113" s="1" t="s">
        <v>605</v>
      </c>
      <c r="J113" s="1" t="s">
        <v>55</v>
      </c>
    </row>
    <row r="114" spans="1:10" hidden="1" x14ac:dyDescent="0.25">
      <c r="A114" s="1" t="s">
        <v>169</v>
      </c>
      <c r="B114" s="1">
        <v>429</v>
      </c>
      <c r="C114" s="1" t="s">
        <v>625</v>
      </c>
      <c r="D114" s="1" t="s">
        <v>621</v>
      </c>
      <c r="E114" s="1" t="s">
        <v>102</v>
      </c>
      <c r="F114" s="1" t="s">
        <v>35</v>
      </c>
      <c r="G114" s="1">
        <v>0.5</v>
      </c>
      <c r="I114" s="1" t="s">
        <v>605</v>
      </c>
      <c r="J114" s="1" t="s">
        <v>55</v>
      </c>
    </row>
    <row r="115" spans="1:10" hidden="1" x14ac:dyDescent="0.25">
      <c r="A115" s="1" t="s">
        <v>169</v>
      </c>
      <c r="B115" s="1">
        <v>430</v>
      </c>
      <c r="C115" s="1" t="s">
        <v>627</v>
      </c>
      <c r="D115" s="1" t="s">
        <v>621</v>
      </c>
      <c r="E115" s="1" t="s">
        <v>108</v>
      </c>
      <c r="F115" s="1" t="s">
        <v>35</v>
      </c>
      <c r="G115" s="1">
        <v>0</v>
      </c>
      <c r="I115" s="1" t="s">
        <v>605</v>
      </c>
      <c r="J115" s="1" t="s">
        <v>55</v>
      </c>
    </row>
    <row r="116" spans="1:10" hidden="1" x14ac:dyDescent="0.25">
      <c r="A116" s="1" t="s">
        <v>169</v>
      </c>
      <c r="B116" s="1">
        <v>446</v>
      </c>
      <c r="C116" s="1" t="s">
        <v>629</v>
      </c>
      <c r="D116" s="1" t="s">
        <v>607</v>
      </c>
      <c r="E116" s="1" t="s">
        <v>630</v>
      </c>
      <c r="F116" s="1" t="s">
        <v>35</v>
      </c>
      <c r="G116" s="1">
        <v>0.5</v>
      </c>
      <c r="I116" s="1" t="s">
        <v>605</v>
      </c>
      <c r="J116" s="1" t="s">
        <v>55</v>
      </c>
    </row>
    <row r="117" spans="1:10" hidden="1" x14ac:dyDescent="0.25">
      <c r="A117" s="1" t="s">
        <v>65</v>
      </c>
      <c r="B117" s="1">
        <v>448</v>
      </c>
      <c r="C117" s="1" t="s">
        <v>636</v>
      </c>
      <c r="D117" s="1" t="s">
        <v>633</v>
      </c>
      <c r="E117" s="1" t="s">
        <v>98</v>
      </c>
      <c r="F117" s="1" t="s">
        <v>35</v>
      </c>
      <c r="G117" s="1">
        <v>0.5</v>
      </c>
      <c r="I117" s="1" t="s">
        <v>605</v>
      </c>
      <c r="J117" s="1" t="s">
        <v>55</v>
      </c>
    </row>
    <row r="118" spans="1:10" hidden="1" x14ac:dyDescent="0.25">
      <c r="A118" s="1" t="s">
        <v>65</v>
      </c>
      <c r="B118" s="1">
        <v>449</v>
      </c>
      <c r="C118" s="1" t="s">
        <v>637</v>
      </c>
      <c r="D118" s="1" t="s">
        <v>633</v>
      </c>
      <c r="E118" s="1" t="s">
        <v>102</v>
      </c>
      <c r="F118" s="1" t="s">
        <v>180</v>
      </c>
      <c r="G118" s="1">
        <v>0</v>
      </c>
      <c r="I118" s="1" t="s">
        <v>605</v>
      </c>
      <c r="J118" s="1" t="s">
        <v>55</v>
      </c>
    </row>
    <row r="119" spans="1:10" hidden="1" x14ac:dyDescent="0.25">
      <c r="A119" s="1" t="s">
        <v>65</v>
      </c>
      <c r="B119" s="1">
        <v>450</v>
      </c>
      <c r="C119" s="1" t="s">
        <v>640</v>
      </c>
      <c r="D119" s="1" t="s">
        <v>633</v>
      </c>
      <c r="E119" s="1" t="s">
        <v>108</v>
      </c>
      <c r="F119" s="1" t="s">
        <v>180</v>
      </c>
      <c r="G119" s="1">
        <v>0</v>
      </c>
      <c r="I119" s="1" t="s">
        <v>605</v>
      </c>
      <c r="J119" s="1" t="s">
        <v>55</v>
      </c>
    </row>
    <row r="120" spans="1:10" hidden="1" x14ac:dyDescent="0.25">
      <c r="A120" s="1" t="s">
        <v>169</v>
      </c>
      <c r="B120" s="1">
        <v>471</v>
      </c>
      <c r="C120" s="1" t="s">
        <v>642</v>
      </c>
      <c r="D120" s="1" t="s">
        <v>73</v>
      </c>
      <c r="E120" s="1" t="s">
        <v>643</v>
      </c>
      <c r="F120" s="1" t="s">
        <v>35</v>
      </c>
      <c r="G120" s="1">
        <v>0.76</v>
      </c>
      <c r="I120" s="1" t="s">
        <v>645</v>
      </c>
      <c r="J120" s="1" t="s">
        <v>39</v>
      </c>
    </row>
    <row r="121" spans="1:10" hidden="1" x14ac:dyDescent="0.25">
      <c r="A121" s="1" t="s">
        <v>133</v>
      </c>
      <c r="B121" s="1">
        <v>477</v>
      </c>
      <c r="C121" s="1" t="s">
        <v>646</v>
      </c>
      <c r="D121" s="1" t="s">
        <v>647</v>
      </c>
      <c r="E121" s="1" t="s">
        <v>648</v>
      </c>
      <c r="F121" s="1" t="s">
        <v>180</v>
      </c>
      <c r="G121" s="1">
        <v>0.56000000000000005</v>
      </c>
      <c r="I121" s="1" t="s">
        <v>645</v>
      </c>
      <c r="J121" s="1" t="s">
        <v>39</v>
      </c>
    </row>
    <row r="122" spans="1:10" hidden="1" x14ac:dyDescent="0.25">
      <c r="A122" s="1" t="s">
        <v>178</v>
      </c>
      <c r="B122" s="1">
        <v>479</v>
      </c>
      <c r="C122" s="1" t="s">
        <v>653</v>
      </c>
      <c r="D122" s="1" t="s">
        <v>651</v>
      </c>
      <c r="E122" s="1" t="s">
        <v>98</v>
      </c>
      <c r="F122" s="1" t="s">
        <v>149</v>
      </c>
      <c r="G122" s="1">
        <v>0</v>
      </c>
      <c r="I122" s="1" t="s">
        <v>645</v>
      </c>
      <c r="J122" s="1" t="s">
        <v>39</v>
      </c>
    </row>
    <row r="123" spans="1:10" hidden="1" x14ac:dyDescent="0.25">
      <c r="A123" s="1" t="s">
        <v>178</v>
      </c>
      <c r="B123" s="1">
        <v>482</v>
      </c>
      <c r="C123" s="1" t="s">
        <v>656</v>
      </c>
      <c r="D123" s="1" t="s">
        <v>647</v>
      </c>
      <c r="E123" s="1" t="s">
        <v>657</v>
      </c>
      <c r="F123" s="1" t="s">
        <v>35</v>
      </c>
      <c r="G123" s="1">
        <v>0.5</v>
      </c>
      <c r="I123" s="1" t="s">
        <v>645</v>
      </c>
      <c r="J123" s="1" t="s">
        <v>55</v>
      </c>
    </row>
    <row r="124" spans="1:10" hidden="1" x14ac:dyDescent="0.25">
      <c r="A124" s="1" t="s">
        <v>146</v>
      </c>
      <c r="B124" s="1">
        <v>484</v>
      </c>
      <c r="C124" s="1" t="s">
        <v>660</v>
      </c>
      <c r="D124" s="1" t="s">
        <v>659</v>
      </c>
      <c r="E124" s="1" t="s">
        <v>98</v>
      </c>
      <c r="F124" s="1" t="s">
        <v>35</v>
      </c>
      <c r="G124" s="1">
        <v>0</v>
      </c>
      <c r="I124" s="1" t="s">
        <v>645</v>
      </c>
      <c r="J124" s="1" t="s">
        <v>55</v>
      </c>
    </row>
    <row r="125" spans="1:10" hidden="1" x14ac:dyDescent="0.25">
      <c r="A125" s="1" t="s">
        <v>146</v>
      </c>
      <c r="B125" s="1">
        <v>485</v>
      </c>
      <c r="C125" s="1" t="s">
        <v>661</v>
      </c>
      <c r="D125" s="1" t="s">
        <v>659</v>
      </c>
      <c r="E125" s="1" t="s">
        <v>102</v>
      </c>
      <c r="F125" s="1" t="s">
        <v>180</v>
      </c>
      <c r="G125" s="1">
        <v>0</v>
      </c>
      <c r="I125" s="1" t="s">
        <v>645</v>
      </c>
      <c r="J125" s="1" t="s">
        <v>55</v>
      </c>
    </row>
    <row r="126" spans="1:10" hidden="1" x14ac:dyDescent="0.25">
      <c r="A126" s="1" t="s">
        <v>178</v>
      </c>
      <c r="B126" s="1">
        <v>487</v>
      </c>
      <c r="C126" s="1" t="s">
        <v>663</v>
      </c>
      <c r="D126" s="1" t="s">
        <v>647</v>
      </c>
      <c r="E126" s="1" t="s">
        <v>664</v>
      </c>
      <c r="F126" s="1" t="s">
        <v>35</v>
      </c>
      <c r="G126" s="1">
        <v>0.5</v>
      </c>
      <c r="I126" s="1" t="s">
        <v>645</v>
      </c>
      <c r="J126" s="1" t="s">
        <v>55</v>
      </c>
    </row>
    <row r="127" spans="1:10" hidden="1" x14ac:dyDescent="0.25">
      <c r="A127" s="1" t="s">
        <v>146</v>
      </c>
      <c r="B127" s="1">
        <v>489</v>
      </c>
      <c r="C127" s="1" t="s">
        <v>667</v>
      </c>
      <c r="D127" s="1" t="s">
        <v>666</v>
      </c>
      <c r="E127" s="1" t="s">
        <v>98</v>
      </c>
      <c r="F127" s="1" t="s">
        <v>35</v>
      </c>
      <c r="G127" s="1">
        <v>0</v>
      </c>
      <c r="I127" s="1" t="s">
        <v>645</v>
      </c>
      <c r="J127" s="1" t="s">
        <v>55</v>
      </c>
    </row>
    <row r="128" spans="1:10" hidden="1" x14ac:dyDescent="0.25">
      <c r="A128" s="1" t="s">
        <v>146</v>
      </c>
      <c r="B128" s="1">
        <v>490</v>
      </c>
      <c r="C128" s="1" t="s">
        <v>668</v>
      </c>
      <c r="D128" s="1" t="s">
        <v>666</v>
      </c>
      <c r="E128" s="1" t="s">
        <v>102</v>
      </c>
      <c r="F128" s="1" t="s">
        <v>180</v>
      </c>
      <c r="G128" s="1">
        <v>0</v>
      </c>
      <c r="I128" s="1" t="s">
        <v>645</v>
      </c>
      <c r="J128" s="1" t="s">
        <v>55</v>
      </c>
    </row>
    <row r="129" spans="1:10" hidden="1" x14ac:dyDescent="0.25">
      <c r="A129" s="1" t="s">
        <v>178</v>
      </c>
      <c r="B129" s="1">
        <v>502</v>
      </c>
      <c r="C129" s="1" t="s">
        <v>670</v>
      </c>
      <c r="D129" s="1" t="s">
        <v>647</v>
      </c>
      <c r="E129" s="1" t="s">
        <v>671</v>
      </c>
      <c r="F129" s="1" t="s">
        <v>180</v>
      </c>
      <c r="G129" s="1">
        <v>0.31</v>
      </c>
      <c r="I129" s="1" t="s">
        <v>645</v>
      </c>
      <c r="J129" s="1" t="s">
        <v>55</v>
      </c>
    </row>
    <row r="130" spans="1:10" x14ac:dyDescent="0.25">
      <c r="A130" s="1" t="s">
        <v>178</v>
      </c>
      <c r="B130" s="1">
        <v>503</v>
      </c>
      <c r="C130" s="1" t="s">
        <v>672</v>
      </c>
      <c r="D130" s="1" t="s">
        <v>673</v>
      </c>
      <c r="E130" s="1" t="s">
        <v>94</v>
      </c>
      <c r="F130" s="1" t="s">
        <v>180</v>
      </c>
      <c r="G130" s="11">
        <v>0.5</v>
      </c>
      <c r="I130" s="1" t="s">
        <v>645</v>
      </c>
      <c r="J130" s="1" t="s">
        <v>55</v>
      </c>
    </row>
    <row r="131" spans="1:10" hidden="1" x14ac:dyDescent="0.25">
      <c r="A131" s="1" t="s">
        <v>169</v>
      </c>
      <c r="B131" s="1">
        <v>507</v>
      </c>
      <c r="C131" s="1" t="s">
        <v>678</v>
      </c>
      <c r="D131" s="1" t="s">
        <v>647</v>
      </c>
      <c r="E131" s="1" t="s">
        <v>679</v>
      </c>
      <c r="F131" s="1" t="s">
        <v>35</v>
      </c>
      <c r="G131" s="1">
        <v>0.74</v>
      </c>
      <c r="I131" s="1" t="s">
        <v>645</v>
      </c>
      <c r="J131" s="1" t="s">
        <v>55</v>
      </c>
    </row>
    <row r="132" spans="1:10" hidden="1" x14ac:dyDescent="0.25">
      <c r="A132" s="1" t="s">
        <v>133</v>
      </c>
      <c r="B132" s="1">
        <v>510</v>
      </c>
      <c r="C132" s="1" t="s">
        <v>684</v>
      </c>
      <c r="D132" s="1" t="s">
        <v>681</v>
      </c>
      <c r="E132" s="1" t="s">
        <v>102</v>
      </c>
      <c r="F132" s="1" t="s">
        <v>35</v>
      </c>
      <c r="G132" s="1">
        <v>0.5</v>
      </c>
      <c r="I132" s="1" t="s">
        <v>645</v>
      </c>
      <c r="J132" s="1" t="s">
        <v>55</v>
      </c>
    </row>
    <row r="133" spans="1:10" hidden="1" x14ac:dyDescent="0.25">
      <c r="A133" s="1" t="s">
        <v>133</v>
      </c>
      <c r="B133" s="1">
        <v>511</v>
      </c>
      <c r="C133" s="1" t="s">
        <v>686</v>
      </c>
      <c r="D133" s="1" t="s">
        <v>681</v>
      </c>
      <c r="E133" s="1" t="s">
        <v>108</v>
      </c>
      <c r="F133" s="1" t="s">
        <v>35</v>
      </c>
      <c r="G133" s="1">
        <v>0</v>
      </c>
      <c r="I133" s="1" t="s">
        <v>645</v>
      </c>
      <c r="J133" s="1" t="s">
        <v>55</v>
      </c>
    </row>
    <row r="134" spans="1:10" hidden="1" x14ac:dyDescent="0.25">
      <c r="A134" s="1" t="s">
        <v>169</v>
      </c>
      <c r="B134" s="1">
        <v>512</v>
      </c>
      <c r="C134" s="1" t="s">
        <v>687</v>
      </c>
      <c r="D134" s="1" t="s">
        <v>647</v>
      </c>
      <c r="E134" s="1" t="s">
        <v>688</v>
      </c>
      <c r="F134" s="1" t="s">
        <v>35</v>
      </c>
      <c r="G134" s="1">
        <v>0.74</v>
      </c>
      <c r="I134" s="1" t="s">
        <v>645</v>
      </c>
      <c r="J134" s="1" t="s">
        <v>55</v>
      </c>
    </row>
    <row r="135" spans="1:10" hidden="1" x14ac:dyDescent="0.25">
      <c r="A135" s="1" t="s">
        <v>133</v>
      </c>
      <c r="B135" s="1">
        <v>515</v>
      </c>
      <c r="C135" s="1" t="s">
        <v>693</v>
      </c>
      <c r="D135" s="1" t="s">
        <v>690</v>
      </c>
      <c r="E135" s="1" t="s">
        <v>102</v>
      </c>
      <c r="F135" s="1" t="s">
        <v>35</v>
      </c>
      <c r="G135" s="1">
        <v>0.5</v>
      </c>
      <c r="I135" s="1" t="s">
        <v>645</v>
      </c>
      <c r="J135" s="1" t="s">
        <v>55</v>
      </c>
    </row>
    <row r="136" spans="1:10" hidden="1" x14ac:dyDescent="0.25">
      <c r="A136" s="1" t="s">
        <v>133</v>
      </c>
      <c r="B136" s="1">
        <v>516</v>
      </c>
      <c r="C136" s="1" t="s">
        <v>694</v>
      </c>
      <c r="D136" s="1" t="s">
        <v>690</v>
      </c>
      <c r="E136" s="1" t="s">
        <v>108</v>
      </c>
      <c r="F136" s="1" t="s">
        <v>35</v>
      </c>
      <c r="G136" s="1">
        <v>0</v>
      </c>
      <c r="I136" s="1" t="s">
        <v>645</v>
      </c>
      <c r="J136" s="1" t="s">
        <v>55</v>
      </c>
    </row>
    <row r="137" spans="1:10" hidden="1" x14ac:dyDescent="0.25">
      <c r="A137" s="1" t="s">
        <v>169</v>
      </c>
      <c r="B137" s="1">
        <v>517</v>
      </c>
      <c r="C137" s="1" t="s">
        <v>695</v>
      </c>
      <c r="D137" s="1" t="s">
        <v>647</v>
      </c>
      <c r="E137" s="1" t="s">
        <v>696</v>
      </c>
      <c r="F137" s="1" t="s">
        <v>35</v>
      </c>
      <c r="G137" s="1">
        <v>0.74</v>
      </c>
      <c r="I137" s="1" t="s">
        <v>645</v>
      </c>
      <c r="J137" s="1" t="s">
        <v>55</v>
      </c>
    </row>
    <row r="138" spans="1:10" hidden="1" x14ac:dyDescent="0.25">
      <c r="A138" s="1" t="s">
        <v>133</v>
      </c>
      <c r="B138" s="1">
        <v>520</v>
      </c>
      <c r="C138" s="1" t="s">
        <v>700</v>
      </c>
      <c r="D138" s="1" t="s">
        <v>698</v>
      </c>
      <c r="E138" s="1" t="s">
        <v>102</v>
      </c>
      <c r="F138" s="1" t="s">
        <v>35</v>
      </c>
      <c r="G138" s="1">
        <v>0.5</v>
      </c>
      <c r="I138" s="1" t="s">
        <v>645</v>
      </c>
      <c r="J138" s="1" t="s">
        <v>55</v>
      </c>
    </row>
    <row r="139" spans="1:10" hidden="1" x14ac:dyDescent="0.25">
      <c r="A139" s="1" t="s">
        <v>133</v>
      </c>
      <c r="B139" s="1">
        <v>521</v>
      </c>
      <c r="C139" s="1" t="s">
        <v>701</v>
      </c>
      <c r="D139" s="1" t="s">
        <v>698</v>
      </c>
      <c r="E139" s="1" t="s">
        <v>108</v>
      </c>
      <c r="F139" s="1" t="s">
        <v>35</v>
      </c>
      <c r="G139" s="1">
        <v>0</v>
      </c>
      <c r="I139" s="1" t="s">
        <v>645</v>
      </c>
      <c r="J139" s="1" t="s">
        <v>55</v>
      </c>
    </row>
    <row r="140" spans="1:10" hidden="1" x14ac:dyDescent="0.25">
      <c r="A140" s="1" t="s">
        <v>178</v>
      </c>
      <c r="B140" s="1">
        <v>522</v>
      </c>
      <c r="C140" s="1" t="s">
        <v>702</v>
      </c>
      <c r="D140" s="1" t="s">
        <v>647</v>
      </c>
      <c r="E140" s="1" t="s">
        <v>703</v>
      </c>
      <c r="F140" s="1" t="s">
        <v>35</v>
      </c>
      <c r="G140" s="1">
        <v>0.56000000000000005</v>
      </c>
      <c r="I140" s="1" t="s">
        <v>645</v>
      </c>
      <c r="J140" s="1" t="s">
        <v>55</v>
      </c>
    </row>
    <row r="141" spans="1:10" hidden="1" x14ac:dyDescent="0.25">
      <c r="A141" s="1" t="s">
        <v>146</v>
      </c>
      <c r="B141" s="1">
        <v>524</v>
      </c>
      <c r="C141" s="1" t="s">
        <v>707</v>
      </c>
      <c r="D141" s="1" t="s">
        <v>706</v>
      </c>
      <c r="E141" s="1" t="s">
        <v>98</v>
      </c>
      <c r="F141" s="1" t="s">
        <v>35</v>
      </c>
      <c r="G141" s="1">
        <v>0.5</v>
      </c>
      <c r="I141" s="1" t="s">
        <v>645</v>
      </c>
      <c r="J141" s="1" t="s">
        <v>55</v>
      </c>
    </row>
    <row r="142" spans="1:10" hidden="1" x14ac:dyDescent="0.25">
      <c r="A142" s="1" t="s">
        <v>146</v>
      </c>
      <c r="B142" s="1">
        <v>525</v>
      </c>
      <c r="C142" s="1" t="s">
        <v>708</v>
      </c>
      <c r="D142" s="1" t="s">
        <v>706</v>
      </c>
      <c r="E142" s="1" t="s">
        <v>102</v>
      </c>
      <c r="F142" s="1" t="s">
        <v>35</v>
      </c>
      <c r="G142" s="1">
        <v>0</v>
      </c>
      <c r="I142" s="1" t="s">
        <v>645</v>
      </c>
      <c r="J142" s="1" t="s">
        <v>55</v>
      </c>
    </row>
    <row r="143" spans="1:10" hidden="1" x14ac:dyDescent="0.25">
      <c r="A143" s="1" t="s">
        <v>146</v>
      </c>
      <c r="B143" s="1">
        <v>526</v>
      </c>
      <c r="C143" s="1" t="s">
        <v>709</v>
      </c>
      <c r="D143" s="1" t="s">
        <v>706</v>
      </c>
      <c r="E143" s="1" t="s">
        <v>108</v>
      </c>
      <c r="F143" s="1" t="s">
        <v>35</v>
      </c>
      <c r="G143" s="1">
        <v>0</v>
      </c>
      <c r="I143" s="1" t="s">
        <v>645</v>
      </c>
      <c r="J143" s="1" t="s">
        <v>55</v>
      </c>
    </row>
    <row r="144" spans="1:10" hidden="1" x14ac:dyDescent="0.25">
      <c r="A144" s="1" t="s">
        <v>133</v>
      </c>
      <c r="B144" s="1">
        <v>527</v>
      </c>
      <c r="C144" s="1" t="s">
        <v>710</v>
      </c>
      <c r="D144" s="1" t="s">
        <v>647</v>
      </c>
      <c r="E144" s="1" t="s">
        <v>711</v>
      </c>
      <c r="F144" s="1" t="s">
        <v>180</v>
      </c>
      <c r="G144" s="1">
        <v>0.75</v>
      </c>
      <c r="I144" s="1" t="s">
        <v>645</v>
      </c>
      <c r="J144" s="1" t="s">
        <v>55</v>
      </c>
    </row>
    <row r="145" spans="1:10" hidden="1" x14ac:dyDescent="0.25">
      <c r="A145" s="1" t="s">
        <v>178</v>
      </c>
      <c r="B145" s="1">
        <v>530</v>
      </c>
      <c r="C145" s="1" t="s">
        <v>715</v>
      </c>
      <c r="D145" s="1" t="s">
        <v>713</v>
      </c>
      <c r="E145" s="1" t="s">
        <v>102</v>
      </c>
      <c r="F145" s="1" t="s">
        <v>180</v>
      </c>
      <c r="G145" s="1">
        <v>0.5</v>
      </c>
      <c r="I145" s="1" t="s">
        <v>645</v>
      </c>
      <c r="J145" s="1" t="s">
        <v>55</v>
      </c>
    </row>
    <row r="146" spans="1:10" hidden="1" x14ac:dyDescent="0.25">
      <c r="A146" s="1" t="s">
        <v>146</v>
      </c>
      <c r="B146" s="1">
        <v>531</v>
      </c>
      <c r="C146" s="1" t="s">
        <v>716</v>
      </c>
      <c r="D146" s="1" t="s">
        <v>713</v>
      </c>
      <c r="E146" s="1" t="s">
        <v>108</v>
      </c>
      <c r="F146" s="1" t="s">
        <v>149</v>
      </c>
      <c r="G146" s="1">
        <v>0</v>
      </c>
      <c r="I146" s="1" t="s">
        <v>645</v>
      </c>
      <c r="J146" s="1" t="s">
        <v>55</v>
      </c>
    </row>
    <row r="147" spans="1:10" hidden="1" x14ac:dyDescent="0.25">
      <c r="A147" s="1" t="s">
        <v>178</v>
      </c>
      <c r="B147" s="1">
        <v>532</v>
      </c>
      <c r="C147" s="1" t="s">
        <v>717</v>
      </c>
      <c r="D147" s="1" t="s">
        <v>647</v>
      </c>
      <c r="E147" s="1" t="s">
        <v>718</v>
      </c>
      <c r="F147" s="1" t="s">
        <v>35</v>
      </c>
      <c r="G147" s="1">
        <v>0.5</v>
      </c>
      <c r="I147" s="1" t="s">
        <v>645</v>
      </c>
      <c r="J147" s="1" t="s">
        <v>55</v>
      </c>
    </row>
    <row r="148" spans="1:10" hidden="1" x14ac:dyDescent="0.25">
      <c r="A148" s="1" t="s">
        <v>146</v>
      </c>
      <c r="B148" s="1">
        <v>534</v>
      </c>
      <c r="C148" s="1" t="s">
        <v>721</v>
      </c>
      <c r="D148" s="1" t="s">
        <v>720</v>
      </c>
      <c r="E148" s="1" t="s">
        <v>98</v>
      </c>
      <c r="F148" s="1" t="s">
        <v>35</v>
      </c>
      <c r="G148" s="1">
        <v>0.5</v>
      </c>
      <c r="I148" s="1" t="s">
        <v>645</v>
      </c>
      <c r="J148" s="1" t="s">
        <v>55</v>
      </c>
    </row>
    <row r="149" spans="1:10" hidden="1" x14ac:dyDescent="0.25">
      <c r="A149" s="1" t="s">
        <v>146</v>
      </c>
      <c r="B149" s="1">
        <v>535</v>
      </c>
      <c r="C149" s="1" t="s">
        <v>722</v>
      </c>
      <c r="D149" s="1" t="s">
        <v>720</v>
      </c>
      <c r="E149" s="1" t="s">
        <v>102</v>
      </c>
      <c r="F149" s="1" t="s">
        <v>35</v>
      </c>
      <c r="G149" s="1">
        <v>0</v>
      </c>
      <c r="I149" s="1" t="s">
        <v>645</v>
      </c>
      <c r="J149" s="1" t="s">
        <v>55</v>
      </c>
    </row>
    <row r="150" spans="1:10" hidden="1" x14ac:dyDescent="0.25">
      <c r="A150" s="1" t="s">
        <v>146</v>
      </c>
      <c r="B150" s="1">
        <v>536</v>
      </c>
      <c r="C150" s="1" t="s">
        <v>723</v>
      </c>
      <c r="D150" s="1" t="s">
        <v>720</v>
      </c>
      <c r="E150" s="1" t="s">
        <v>108</v>
      </c>
      <c r="F150" s="1" t="s">
        <v>35</v>
      </c>
      <c r="G150" s="1">
        <v>0</v>
      </c>
      <c r="I150" s="1" t="s">
        <v>645</v>
      </c>
      <c r="J150" s="1" t="s">
        <v>55</v>
      </c>
    </row>
    <row r="151" spans="1:10" hidden="1" x14ac:dyDescent="0.25">
      <c r="A151" s="1" t="s">
        <v>133</v>
      </c>
      <c r="B151" s="1">
        <v>537</v>
      </c>
      <c r="C151" s="1" t="s">
        <v>724</v>
      </c>
      <c r="D151" s="1" t="s">
        <v>647</v>
      </c>
      <c r="E151" s="1" t="s">
        <v>725</v>
      </c>
      <c r="F151" s="1" t="s">
        <v>35</v>
      </c>
      <c r="G151" s="1">
        <v>0.56000000000000005</v>
      </c>
      <c r="I151" s="1" t="s">
        <v>645</v>
      </c>
      <c r="J151" s="1" t="s">
        <v>55</v>
      </c>
    </row>
    <row r="152" spans="1:10" hidden="1" x14ac:dyDescent="0.25">
      <c r="A152" s="1" t="s">
        <v>178</v>
      </c>
      <c r="B152" s="1">
        <v>539</v>
      </c>
      <c r="C152" s="1" t="s">
        <v>728</v>
      </c>
      <c r="D152" s="1" t="s">
        <v>727</v>
      </c>
      <c r="E152" s="1" t="s">
        <v>98</v>
      </c>
      <c r="F152" s="1" t="s">
        <v>35</v>
      </c>
      <c r="G152" s="1">
        <v>0.5</v>
      </c>
      <c r="I152" s="1" t="s">
        <v>645</v>
      </c>
      <c r="J152" s="1" t="s">
        <v>55</v>
      </c>
    </row>
    <row r="153" spans="1:10" hidden="1" x14ac:dyDescent="0.25">
      <c r="A153" s="1" t="s">
        <v>178</v>
      </c>
      <c r="B153" s="1">
        <v>540</v>
      </c>
      <c r="C153" s="1" t="s">
        <v>729</v>
      </c>
      <c r="D153" s="1" t="s">
        <v>727</v>
      </c>
      <c r="E153" s="1" t="s">
        <v>102</v>
      </c>
      <c r="F153" s="1" t="s">
        <v>35</v>
      </c>
      <c r="G153" s="1">
        <v>0</v>
      </c>
      <c r="I153" s="1" t="s">
        <v>645</v>
      </c>
      <c r="J153" s="1" t="s">
        <v>55</v>
      </c>
    </row>
    <row r="154" spans="1:10" hidden="1" x14ac:dyDescent="0.25">
      <c r="A154" s="1" t="s">
        <v>146</v>
      </c>
      <c r="B154" s="1">
        <v>541</v>
      </c>
      <c r="C154" s="1" t="s">
        <v>730</v>
      </c>
      <c r="D154" s="1" t="s">
        <v>727</v>
      </c>
      <c r="E154" s="1" t="s">
        <v>108</v>
      </c>
      <c r="F154" s="1" t="s">
        <v>35</v>
      </c>
      <c r="G154" s="1">
        <v>0</v>
      </c>
      <c r="I154" s="1" t="s">
        <v>645</v>
      </c>
      <c r="J154" s="1" t="s">
        <v>55</v>
      </c>
    </row>
    <row r="155" spans="1:10" hidden="1" x14ac:dyDescent="0.25">
      <c r="A155" s="1" t="s">
        <v>133</v>
      </c>
      <c r="B155" s="1">
        <v>542</v>
      </c>
      <c r="C155" s="1" t="s">
        <v>731</v>
      </c>
      <c r="D155" s="1" t="s">
        <v>647</v>
      </c>
      <c r="E155" s="1" t="s">
        <v>732</v>
      </c>
      <c r="F155" s="1" t="s">
        <v>35</v>
      </c>
      <c r="G155" s="1">
        <v>0.25</v>
      </c>
      <c r="I155" s="1" t="s">
        <v>645</v>
      </c>
      <c r="J155" s="1" t="s">
        <v>55</v>
      </c>
    </row>
    <row r="156" spans="1:10" x14ac:dyDescent="0.25">
      <c r="A156" s="1" t="s">
        <v>133</v>
      </c>
      <c r="B156" s="1">
        <v>543</v>
      </c>
      <c r="C156" s="1" t="s">
        <v>733</v>
      </c>
      <c r="D156" s="1" t="s">
        <v>734</v>
      </c>
      <c r="E156" s="1" t="s">
        <v>94</v>
      </c>
      <c r="F156" s="1" t="s">
        <v>35</v>
      </c>
      <c r="G156" s="11">
        <v>0.5</v>
      </c>
      <c r="I156" s="1" t="s">
        <v>645</v>
      </c>
      <c r="J156" s="1" t="s">
        <v>55</v>
      </c>
    </row>
    <row r="157" spans="1:10" hidden="1" x14ac:dyDescent="0.25">
      <c r="A157" s="1" t="s">
        <v>178</v>
      </c>
      <c r="B157" s="1">
        <v>544</v>
      </c>
      <c r="C157" s="1" t="s">
        <v>736</v>
      </c>
      <c r="D157" s="1" t="s">
        <v>734</v>
      </c>
      <c r="E157" s="1" t="s">
        <v>98</v>
      </c>
      <c r="F157" s="1" t="s">
        <v>180</v>
      </c>
      <c r="G157" s="1">
        <v>0</v>
      </c>
      <c r="I157" s="1" t="s">
        <v>645</v>
      </c>
      <c r="J157" s="1" t="s">
        <v>55</v>
      </c>
    </row>
    <row r="158" spans="1:10" hidden="1" x14ac:dyDescent="0.25">
      <c r="A158" s="1" t="s">
        <v>178</v>
      </c>
      <c r="B158" s="1">
        <v>545</v>
      </c>
      <c r="C158" s="1" t="s">
        <v>737</v>
      </c>
      <c r="D158" s="1" t="s">
        <v>734</v>
      </c>
      <c r="E158" s="1" t="s">
        <v>102</v>
      </c>
      <c r="F158" s="1" t="s">
        <v>149</v>
      </c>
      <c r="G158" s="1">
        <v>0</v>
      </c>
      <c r="I158" s="1" t="s">
        <v>645</v>
      </c>
      <c r="J158" s="1" t="s">
        <v>55</v>
      </c>
    </row>
    <row r="159" spans="1:10" hidden="1" x14ac:dyDescent="0.25">
      <c r="A159" s="1" t="s">
        <v>178</v>
      </c>
      <c r="B159" s="1">
        <v>562</v>
      </c>
      <c r="C159" s="1" t="s">
        <v>748</v>
      </c>
      <c r="D159" s="1" t="s">
        <v>647</v>
      </c>
      <c r="E159" s="1" t="s">
        <v>749</v>
      </c>
      <c r="F159" s="1" t="s">
        <v>180</v>
      </c>
      <c r="G159" s="1">
        <v>0</v>
      </c>
      <c r="I159" s="1" t="s">
        <v>645</v>
      </c>
      <c r="J159" s="1" t="s">
        <v>55</v>
      </c>
    </row>
    <row r="160" spans="1:10" x14ac:dyDescent="0.25">
      <c r="A160" s="1" t="s">
        <v>178</v>
      </c>
      <c r="B160" s="1">
        <v>563</v>
      </c>
      <c r="C160" s="1" t="s">
        <v>750</v>
      </c>
      <c r="D160" s="1" t="s">
        <v>751</v>
      </c>
      <c r="E160" s="1" t="s">
        <v>94</v>
      </c>
      <c r="F160" s="1" t="s">
        <v>180</v>
      </c>
      <c r="G160" s="11">
        <v>0</v>
      </c>
      <c r="I160" s="1" t="s">
        <v>645</v>
      </c>
      <c r="J160" s="1" t="s">
        <v>55</v>
      </c>
    </row>
    <row r="161" spans="1:10" hidden="1" x14ac:dyDescent="0.25">
      <c r="A161" s="1" t="s">
        <v>133</v>
      </c>
      <c r="B161" s="1">
        <v>567</v>
      </c>
      <c r="C161" s="1" t="s">
        <v>756</v>
      </c>
      <c r="D161" s="1" t="s">
        <v>647</v>
      </c>
      <c r="E161" s="1" t="s">
        <v>757</v>
      </c>
      <c r="F161" s="1" t="s">
        <v>35</v>
      </c>
      <c r="G161" s="1">
        <v>0.87</v>
      </c>
      <c r="I161" s="1" t="s">
        <v>645</v>
      </c>
      <c r="J161" s="1" t="s">
        <v>55</v>
      </c>
    </row>
    <row r="162" spans="1:10" hidden="1" x14ac:dyDescent="0.25">
      <c r="A162" s="1" t="s">
        <v>178</v>
      </c>
      <c r="B162" s="1">
        <v>570</v>
      </c>
      <c r="C162" s="1" t="s">
        <v>763</v>
      </c>
      <c r="D162" s="1" t="s">
        <v>760</v>
      </c>
      <c r="E162" s="1" t="s">
        <v>102</v>
      </c>
      <c r="F162" s="1" t="s">
        <v>35</v>
      </c>
      <c r="G162" s="1">
        <v>0</v>
      </c>
      <c r="I162" s="1" t="s">
        <v>645</v>
      </c>
      <c r="J162" s="1" t="s">
        <v>55</v>
      </c>
    </row>
    <row r="163" spans="1:10" hidden="1" x14ac:dyDescent="0.25">
      <c r="A163" s="1" t="s">
        <v>178</v>
      </c>
      <c r="B163" s="1">
        <v>571</v>
      </c>
      <c r="C163" s="1" t="s">
        <v>764</v>
      </c>
      <c r="D163" s="1" t="s">
        <v>760</v>
      </c>
      <c r="E163" s="1" t="s">
        <v>108</v>
      </c>
      <c r="F163" s="1" t="s">
        <v>180</v>
      </c>
      <c r="G163" s="1">
        <v>0</v>
      </c>
      <c r="I163" s="1" t="s">
        <v>645</v>
      </c>
      <c r="J163" s="1" t="s">
        <v>55</v>
      </c>
    </row>
    <row r="164" spans="1:10" hidden="1" x14ac:dyDescent="0.25">
      <c r="A164" s="1" t="s">
        <v>133</v>
      </c>
      <c r="B164" s="1">
        <v>572</v>
      </c>
      <c r="C164" s="1" t="s">
        <v>765</v>
      </c>
      <c r="D164" s="1" t="s">
        <v>647</v>
      </c>
      <c r="E164" s="1" t="s">
        <v>766</v>
      </c>
      <c r="F164" s="1" t="s">
        <v>35</v>
      </c>
      <c r="G164" s="1">
        <v>0.87</v>
      </c>
      <c r="I164" s="1" t="s">
        <v>645</v>
      </c>
      <c r="J164" s="1" t="s">
        <v>55</v>
      </c>
    </row>
    <row r="165" spans="1:10" hidden="1" x14ac:dyDescent="0.25">
      <c r="A165" s="1" t="s">
        <v>178</v>
      </c>
      <c r="B165" s="1">
        <v>575</v>
      </c>
      <c r="C165" s="1" t="s">
        <v>772</v>
      </c>
      <c r="D165" s="1" t="s">
        <v>768</v>
      </c>
      <c r="E165" s="1" t="s">
        <v>102</v>
      </c>
      <c r="F165" s="1" t="s">
        <v>35</v>
      </c>
      <c r="G165" s="1">
        <v>0</v>
      </c>
      <c r="I165" s="1" t="s">
        <v>645</v>
      </c>
      <c r="J165" s="1" t="s">
        <v>55</v>
      </c>
    </row>
    <row r="166" spans="1:10" hidden="1" x14ac:dyDescent="0.25">
      <c r="A166" s="1" t="s">
        <v>146</v>
      </c>
      <c r="B166" s="1">
        <v>576</v>
      </c>
      <c r="C166" s="1" t="s">
        <v>773</v>
      </c>
      <c r="D166" s="1" t="s">
        <v>768</v>
      </c>
      <c r="E166" s="1" t="s">
        <v>108</v>
      </c>
      <c r="F166" s="1" t="s">
        <v>180</v>
      </c>
      <c r="G166" s="1">
        <v>0</v>
      </c>
      <c r="I166" s="1" t="s">
        <v>645</v>
      </c>
      <c r="J166" s="1" t="s">
        <v>55</v>
      </c>
    </row>
    <row r="167" spans="1:10" hidden="1" x14ac:dyDescent="0.25">
      <c r="A167" s="1" t="s">
        <v>133</v>
      </c>
      <c r="B167" s="1">
        <v>577</v>
      </c>
      <c r="C167" s="1" t="s">
        <v>774</v>
      </c>
      <c r="D167" s="1" t="s">
        <v>647</v>
      </c>
      <c r="E167" s="1" t="s">
        <v>775</v>
      </c>
      <c r="F167" s="1" t="s">
        <v>35</v>
      </c>
      <c r="G167" s="1">
        <v>0.87</v>
      </c>
      <c r="I167" s="1" t="s">
        <v>645</v>
      </c>
      <c r="J167" s="1" t="s">
        <v>55</v>
      </c>
    </row>
    <row r="168" spans="1:10" hidden="1" x14ac:dyDescent="0.25">
      <c r="A168" s="1" t="s">
        <v>178</v>
      </c>
      <c r="B168" s="1">
        <v>580</v>
      </c>
      <c r="C168" s="1" t="s">
        <v>779</v>
      </c>
      <c r="D168" s="1" t="s">
        <v>777</v>
      </c>
      <c r="E168" s="1" t="s">
        <v>102</v>
      </c>
      <c r="F168" s="1" t="s">
        <v>35</v>
      </c>
      <c r="G168" s="1">
        <v>0</v>
      </c>
      <c r="I168" s="1" t="s">
        <v>645</v>
      </c>
      <c r="J168" s="1" t="s">
        <v>55</v>
      </c>
    </row>
    <row r="169" spans="1:10" hidden="1" x14ac:dyDescent="0.25">
      <c r="A169" s="1" t="s">
        <v>146</v>
      </c>
      <c r="B169" s="1">
        <v>581</v>
      </c>
      <c r="C169" s="1" t="s">
        <v>780</v>
      </c>
      <c r="D169" s="1" t="s">
        <v>777</v>
      </c>
      <c r="E169" s="1" t="s">
        <v>108</v>
      </c>
      <c r="F169" s="1" t="s">
        <v>180</v>
      </c>
      <c r="G169" s="1">
        <v>0</v>
      </c>
      <c r="I169" s="1" t="s">
        <v>645</v>
      </c>
      <c r="J169" s="1" t="s">
        <v>55</v>
      </c>
    </row>
    <row r="170" spans="1:10" hidden="1" x14ac:dyDescent="0.25">
      <c r="A170" s="1" t="s">
        <v>133</v>
      </c>
      <c r="B170" s="1">
        <v>582</v>
      </c>
      <c r="C170" s="1" t="s">
        <v>781</v>
      </c>
      <c r="D170" s="1" t="s">
        <v>647</v>
      </c>
      <c r="E170" s="1" t="s">
        <v>782</v>
      </c>
      <c r="F170" s="1" t="s">
        <v>35</v>
      </c>
      <c r="G170" s="1">
        <v>0.87</v>
      </c>
      <c r="I170" s="1" t="s">
        <v>645</v>
      </c>
      <c r="J170" s="1" t="s">
        <v>55</v>
      </c>
    </row>
    <row r="171" spans="1:10" hidden="1" x14ac:dyDescent="0.25">
      <c r="A171" s="1" t="s">
        <v>178</v>
      </c>
      <c r="B171" s="1">
        <v>585</v>
      </c>
      <c r="C171" s="1" t="s">
        <v>786</v>
      </c>
      <c r="D171" s="1" t="s">
        <v>784</v>
      </c>
      <c r="E171" s="1" t="s">
        <v>102</v>
      </c>
      <c r="F171" s="1" t="s">
        <v>35</v>
      </c>
      <c r="G171" s="1">
        <v>0</v>
      </c>
      <c r="I171" s="1" t="s">
        <v>645</v>
      </c>
      <c r="J171" s="1" t="s">
        <v>55</v>
      </c>
    </row>
    <row r="172" spans="1:10" hidden="1" x14ac:dyDescent="0.25">
      <c r="A172" s="1" t="s">
        <v>146</v>
      </c>
      <c r="B172" s="1">
        <v>586</v>
      </c>
      <c r="C172" s="1" t="s">
        <v>787</v>
      </c>
      <c r="D172" s="1" t="s">
        <v>784</v>
      </c>
      <c r="E172" s="1" t="s">
        <v>108</v>
      </c>
      <c r="F172" s="1" t="s">
        <v>180</v>
      </c>
      <c r="G172" s="1">
        <v>0</v>
      </c>
      <c r="I172" s="1" t="s">
        <v>645</v>
      </c>
      <c r="J172" s="1" t="s">
        <v>55</v>
      </c>
    </row>
    <row r="173" spans="1:10" hidden="1" x14ac:dyDescent="0.25">
      <c r="A173" s="1" t="s">
        <v>133</v>
      </c>
      <c r="B173" s="1">
        <v>587</v>
      </c>
      <c r="C173" s="1" t="s">
        <v>788</v>
      </c>
      <c r="D173" s="1" t="s">
        <v>647</v>
      </c>
      <c r="E173" s="1" t="s">
        <v>789</v>
      </c>
      <c r="F173" s="1" t="s">
        <v>35</v>
      </c>
      <c r="G173" s="1">
        <v>0.87</v>
      </c>
      <c r="I173" s="1" t="s">
        <v>645</v>
      </c>
      <c r="J173" s="1" t="s">
        <v>55</v>
      </c>
    </row>
    <row r="174" spans="1:10" hidden="1" x14ac:dyDescent="0.25">
      <c r="A174" s="1" t="s">
        <v>178</v>
      </c>
      <c r="B174" s="1">
        <v>590</v>
      </c>
      <c r="C174" s="1" t="s">
        <v>793</v>
      </c>
      <c r="D174" s="1" t="s">
        <v>791</v>
      </c>
      <c r="E174" s="1" t="s">
        <v>102</v>
      </c>
      <c r="F174" s="1" t="s">
        <v>35</v>
      </c>
      <c r="G174" s="1">
        <v>0</v>
      </c>
      <c r="I174" s="1" t="s">
        <v>645</v>
      </c>
      <c r="J174" s="1" t="s">
        <v>55</v>
      </c>
    </row>
    <row r="175" spans="1:10" hidden="1" x14ac:dyDescent="0.25">
      <c r="A175" s="1" t="s">
        <v>146</v>
      </c>
      <c r="B175" s="1">
        <v>591</v>
      </c>
      <c r="C175" s="1" t="s">
        <v>794</v>
      </c>
      <c r="D175" s="1" t="s">
        <v>791</v>
      </c>
      <c r="E175" s="1" t="s">
        <v>108</v>
      </c>
      <c r="F175" s="1" t="s">
        <v>180</v>
      </c>
      <c r="G175" s="1">
        <v>0</v>
      </c>
      <c r="I175" s="1" t="s">
        <v>645</v>
      </c>
      <c r="J175" s="1" t="s">
        <v>55</v>
      </c>
    </row>
    <row r="176" spans="1:10" hidden="1" x14ac:dyDescent="0.25">
      <c r="A176" s="1" t="s">
        <v>133</v>
      </c>
      <c r="B176" s="1">
        <v>592</v>
      </c>
      <c r="C176" s="1" t="s">
        <v>795</v>
      </c>
      <c r="D176" s="1" t="s">
        <v>647</v>
      </c>
      <c r="E176" s="1" t="s">
        <v>796</v>
      </c>
      <c r="F176" s="1" t="s">
        <v>35</v>
      </c>
      <c r="G176" s="1">
        <v>0.87</v>
      </c>
      <c r="I176" s="1" t="s">
        <v>645</v>
      </c>
      <c r="J176" s="1" t="s">
        <v>55</v>
      </c>
    </row>
    <row r="177" spans="1:10" hidden="1" x14ac:dyDescent="0.25">
      <c r="A177" s="1" t="s">
        <v>178</v>
      </c>
      <c r="B177" s="1">
        <v>595</v>
      </c>
      <c r="C177" s="1" t="s">
        <v>800</v>
      </c>
      <c r="D177" s="1" t="s">
        <v>798</v>
      </c>
      <c r="E177" s="1" t="s">
        <v>102</v>
      </c>
      <c r="F177" s="1" t="s">
        <v>35</v>
      </c>
      <c r="G177" s="1">
        <v>0</v>
      </c>
      <c r="I177" s="1" t="s">
        <v>645</v>
      </c>
      <c r="J177" s="1" t="s">
        <v>55</v>
      </c>
    </row>
    <row r="178" spans="1:10" hidden="1" x14ac:dyDescent="0.25">
      <c r="A178" s="1" t="s">
        <v>146</v>
      </c>
      <c r="B178" s="1">
        <v>596</v>
      </c>
      <c r="C178" s="1" t="s">
        <v>801</v>
      </c>
      <c r="D178" s="1" t="s">
        <v>798</v>
      </c>
      <c r="E178" s="1" t="s">
        <v>108</v>
      </c>
      <c r="F178" s="1" t="s">
        <v>180</v>
      </c>
      <c r="G178" s="1">
        <v>0</v>
      </c>
      <c r="I178" s="1" t="s">
        <v>645</v>
      </c>
      <c r="J178" s="1" t="s">
        <v>55</v>
      </c>
    </row>
    <row r="179" spans="1:10" hidden="1" x14ac:dyDescent="0.25">
      <c r="A179" s="1" t="s">
        <v>133</v>
      </c>
      <c r="B179" s="1">
        <v>597</v>
      </c>
      <c r="C179" s="1" t="s">
        <v>802</v>
      </c>
      <c r="D179" s="1" t="s">
        <v>647</v>
      </c>
      <c r="E179" s="1" t="s">
        <v>803</v>
      </c>
      <c r="F179" s="1" t="s">
        <v>35</v>
      </c>
      <c r="G179" s="1">
        <v>0.87</v>
      </c>
      <c r="I179" s="1" t="s">
        <v>645</v>
      </c>
      <c r="J179" s="1" t="s">
        <v>55</v>
      </c>
    </row>
    <row r="180" spans="1:10" hidden="1" x14ac:dyDescent="0.25">
      <c r="A180" s="1" t="s">
        <v>178</v>
      </c>
      <c r="B180" s="1">
        <v>600</v>
      </c>
      <c r="C180" s="1" t="s">
        <v>807</v>
      </c>
      <c r="D180" s="1" t="s">
        <v>805</v>
      </c>
      <c r="E180" s="1" t="s">
        <v>102</v>
      </c>
      <c r="F180" s="1" t="s">
        <v>35</v>
      </c>
      <c r="G180" s="1">
        <v>0</v>
      </c>
      <c r="I180" s="1" t="s">
        <v>645</v>
      </c>
      <c r="J180" s="1" t="s">
        <v>55</v>
      </c>
    </row>
    <row r="181" spans="1:10" hidden="1" x14ac:dyDescent="0.25">
      <c r="A181" s="1" t="s">
        <v>146</v>
      </c>
      <c r="B181" s="1">
        <v>601</v>
      </c>
      <c r="C181" s="1" t="s">
        <v>808</v>
      </c>
      <c r="D181" s="1" t="s">
        <v>805</v>
      </c>
      <c r="E181" s="1" t="s">
        <v>108</v>
      </c>
      <c r="F181" s="1" t="s">
        <v>180</v>
      </c>
      <c r="G181" s="1">
        <v>0</v>
      </c>
      <c r="I181" s="1" t="s">
        <v>645</v>
      </c>
      <c r="J181" s="1" t="s">
        <v>55</v>
      </c>
    </row>
    <row r="182" spans="1:10" hidden="1" x14ac:dyDescent="0.25">
      <c r="A182" s="1" t="s">
        <v>133</v>
      </c>
      <c r="B182" s="1">
        <v>602</v>
      </c>
      <c r="C182" s="1" t="s">
        <v>809</v>
      </c>
      <c r="D182" s="1" t="s">
        <v>647</v>
      </c>
      <c r="E182" s="1" t="s">
        <v>810</v>
      </c>
      <c r="F182" s="1" t="s">
        <v>35</v>
      </c>
      <c r="G182" s="1">
        <v>0.87</v>
      </c>
      <c r="I182" s="1" t="s">
        <v>645</v>
      </c>
      <c r="J182" s="1" t="s">
        <v>55</v>
      </c>
    </row>
    <row r="183" spans="1:10" hidden="1" x14ac:dyDescent="0.25">
      <c r="A183" s="1" t="s">
        <v>178</v>
      </c>
      <c r="B183" s="1">
        <v>605</v>
      </c>
      <c r="C183" s="1" t="s">
        <v>814</v>
      </c>
      <c r="D183" s="1" t="s">
        <v>812</v>
      </c>
      <c r="E183" s="1" t="s">
        <v>102</v>
      </c>
      <c r="F183" s="1" t="s">
        <v>35</v>
      </c>
      <c r="G183" s="1">
        <v>0</v>
      </c>
      <c r="I183" s="1" t="s">
        <v>645</v>
      </c>
      <c r="J183" s="1" t="s">
        <v>55</v>
      </c>
    </row>
    <row r="184" spans="1:10" hidden="1" x14ac:dyDescent="0.25">
      <c r="A184" s="1" t="s">
        <v>146</v>
      </c>
      <c r="B184" s="1">
        <v>606</v>
      </c>
      <c r="C184" s="1" t="s">
        <v>815</v>
      </c>
      <c r="D184" s="1" t="s">
        <v>812</v>
      </c>
      <c r="E184" s="1" t="s">
        <v>108</v>
      </c>
      <c r="F184" s="1" t="s">
        <v>180</v>
      </c>
      <c r="G184" s="1">
        <v>0</v>
      </c>
      <c r="I184" s="1" t="s">
        <v>645</v>
      </c>
      <c r="J184" s="1" t="s">
        <v>55</v>
      </c>
    </row>
    <row r="185" spans="1:10" hidden="1" x14ac:dyDescent="0.25">
      <c r="A185" s="1" t="s">
        <v>133</v>
      </c>
      <c r="B185" s="1">
        <v>607</v>
      </c>
      <c r="C185" s="1" t="s">
        <v>816</v>
      </c>
      <c r="D185" s="1" t="s">
        <v>647</v>
      </c>
      <c r="E185" s="1" t="s">
        <v>817</v>
      </c>
      <c r="F185" s="1" t="s">
        <v>35</v>
      </c>
      <c r="G185" s="1">
        <v>0.87</v>
      </c>
      <c r="I185" s="1" t="s">
        <v>645</v>
      </c>
      <c r="J185" s="1" t="s">
        <v>55</v>
      </c>
    </row>
    <row r="186" spans="1:10" hidden="1" x14ac:dyDescent="0.25">
      <c r="A186" s="1" t="s">
        <v>178</v>
      </c>
      <c r="B186" s="1">
        <v>610</v>
      </c>
      <c r="C186" s="1" t="s">
        <v>821</v>
      </c>
      <c r="D186" s="1" t="s">
        <v>819</v>
      </c>
      <c r="E186" s="1" t="s">
        <v>102</v>
      </c>
      <c r="F186" s="1" t="s">
        <v>35</v>
      </c>
      <c r="G186" s="1">
        <v>0</v>
      </c>
      <c r="I186" s="1" t="s">
        <v>645</v>
      </c>
      <c r="J186" s="1" t="s">
        <v>55</v>
      </c>
    </row>
    <row r="187" spans="1:10" hidden="1" x14ac:dyDescent="0.25">
      <c r="A187" s="1" t="s">
        <v>178</v>
      </c>
      <c r="B187" s="1">
        <v>611</v>
      </c>
      <c r="C187" s="1" t="s">
        <v>822</v>
      </c>
      <c r="D187" s="1" t="s">
        <v>819</v>
      </c>
      <c r="E187" s="1" t="s">
        <v>108</v>
      </c>
      <c r="F187" s="1" t="s">
        <v>180</v>
      </c>
      <c r="G187" s="1">
        <v>0</v>
      </c>
      <c r="I187" s="1" t="s">
        <v>645</v>
      </c>
      <c r="J187" s="1" t="s">
        <v>55</v>
      </c>
    </row>
    <row r="188" spans="1:10" hidden="1" x14ac:dyDescent="0.25">
      <c r="A188" s="1" t="s">
        <v>133</v>
      </c>
      <c r="B188" s="1">
        <v>612</v>
      </c>
      <c r="C188" s="1" t="s">
        <v>823</v>
      </c>
      <c r="D188" s="1" t="s">
        <v>647</v>
      </c>
      <c r="E188" s="1" t="s">
        <v>824</v>
      </c>
      <c r="F188" s="1" t="s">
        <v>35</v>
      </c>
      <c r="G188" s="1">
        <v>0.87</v>
      </c>
      <c r="I188" s="1" t="s">
        <v>645</v>
      </c>
      <c r="J188" s="1" t="s">
        <v>55</v>
      </c>
    </row>
    <row r="189" spans="1:10" hidden="1" x14ac:dyDescent="0.25">
      <c r="A189" s="1" t="s">
        <v>178</v>
      </c>
      <c r="B189" s="1">
        <v>615</v>
      </c>
      <c r="C189" s="1" t="s">
        <v>828</v>
      </c>
      <c r="D189" s="1" t="s">
        <v>826</v>
      </c>
      <c r="E189" s="1" t="s">
        <v>102</v>
      </c>
      <c r="F189" s="1" t="s">
        <v>35</v>
      </c>
      <c r="G189" s="1">
        <v>0</v>
      </c>
      <c r="I189" s="1" t="s">
        <v>645</v>
      </c>
      <c r="J189" s="1" t="s">
        <v>55</v>
      </c>
    </row>
    <row r="190" spans="1:10" hidden="1" x14ac:dyDescent="0.25">
      <c r="A190" s="1" t="s">
        <v>178</v>
      </c>
      <c r="B190" s="1">
        <v>616</v>
      </c>
      <c r="C190" s="1" t="s">
        <v>829</v>
      </c>
      <c r="D190" s="1" t="s">
        <v>826</v>
      </c>
      <c r="E190" s="1" t="s">
        <v>108</v>
      </c>
      <c r="F190" s="1" t="s">
        <v>180</v>
      </c>
      <c r="G190" s="1">
        <v>0</v>
      </c>
      <c r="I190" s="1" t="s">
        <v>645</v>
      </c>
      <c r="J190" s="1" t="s">
        <v>55</v>
      </c>
    </row>
    <row r="191" spans="1:10" hidden="1" x14ac:dyDescent="0.25">
      <c r="A191" s="1" t="s">
        <v>133</v>
      </c>
      <c r="B191" s="1">
        <v>617</v>
      </c>
      <c r="C191" s="1" t="s">
        <v>830</v>
      </c>
      <c r="D191" s="1" t="s">
        <v>647</v>
      </c>
      <c r="E191" s="1" t="s">
        <v>831</v>
      </c>
      <c r="F191" s="1" t="s">
        <v>35</v>
      </c>
      <c r="G191" s="1">
        <v>0.87</v>
      </c>
      <c r="I191" s="1" t="s">
        <v>645</v>
      </c>
      <c r="J191" s="1" t="s">
        <v>55</v>
      </c>
    </row>
    <row r="192" spans="1:10" hidden="1" x14ac:dyDescent="0.25">
      <c r="A192" s="1" t="s">
        <v>178</v>
      </c>
      <c r="B192" s="1">
        <v>620</v>
      </c>
      <c r="C192" s="1" t="s">
        <v>835</v>
      </c>
      <c r="D192" s="1" t="s">
        <v>833</v>
      </c>
      <c r="E192" s="1" t="s">
        <v>102</v>
      </c>
      <c r="F192" s="1" t="s">
        <v>35</v>
      </c>
      <c r="G192" s="1">
        <v>0</v>
      </c>
      <c r="I192" s="1" t="s">
        <v>645</v>
      </c>
      <c r="J192" s="1" t="s">
        <v>55</v>
      </c>
    </row>
    <row r="193" spans="1:10" hidden="1" x14ac:dyDescent="0.25">
      <c r="A193" s="1" t="s">
        <v>178</v>
      </c>
      <c r="B193" s="1">
        <v>621</v>
      </c>
      <c r="C193" s="1" t="s">
        <v>836</v>
      </c>
      <c r="D193" s="1" t="s">
        <v>833</v>
      </c>
      <c r="E193" s="1" t="s">
        <v>108</v>
      </c>
      <c r="F193" s="1" t="s">
        <v>180</v>
      </c>
      <c r="G193" s="1">
        <v>0</v>
      </c>
      <c r="I193" s="1" t="s">
        <v>645</v>
      </c>
      <c r="J193" s="1" t="s">
        <v>55</v>
      </c>
    </row>
    <row r="194" spans="1:10" hidden="1" x14ac:dyDescent="0.25">
      <c r="A194" s="1" t="s">
        <v>133</v>
      </c>
      <c r="B194" s="1">
        <v>622</v>
      </c>
      <c r="C194" s="1" t="s">
        <v>837</v>
      </c>
      <c r="D194" s="1" t="s">
        <v>647</v>
      </c>
      <c r="E194" s="1" t="s">
        <v>838</v>
      </c>
      <c r="F194" s="1" t="s">
        <v>35</v>
      </c>
      <c r="G194" s="1">
        <v>0.87</v>
      </c>
      <c r="I194" s="1" t="s">
        <v>645</v>
      </c>
      <c r="J194" s="1" t="s">
        <v>55</v>
      </c>
    </row>
    <row r="195" spans="1:10" hidden="1" x14ac:dyDescent="0.25">
      <c r="A195" s="1" t="s">
        <v>178</v>
      </c>
      <c r="B195" s="1">
        <v>625</v>
      </c>
      <c r="C195" s="1" t="s">
        <v>842</v>
      </c>
      <c r="D195" s="1" t="s">
        <v>840</v>
      </c>
      <c r="E195" s="1" t="s">
        <v>102</v>
      </c>
      <c r="F195" s="1" t="s">
        <v>35</v>
      </c>
      <c r="G195" s="1">
        <v>0</v>
      </c>
      <c r="I195" s="1" t="s">
        <v>645</v>
      </c>
      <c r="J195" s="1" t="s">
        <v>55</v>
      </c>
    </row>
    <row r="196" spans="1:10" hidden="1" x14ac:dyDescent="0.25">
      <c r="A196" s="1" t="s">
        <v>178</v>
      </c>
      <c r="B196" s="1">
        <v>626</v>
      </c>
      <c r="C196" s="1" t="s">
        <v>843</v>
      </c>
      <c r="D196" s="1" t="s">
        <v>840</v>
      </c>
      <c r="E196" s="1" t="s">
        <v>108</v>
      </c>
      <c r="F196" s="1" t="s">
        <v>180</v>
      </c>
      <c r="G196" s="1">
        <v>0</v>
      </c>
      <c r="I196" s="1" t="s">
        <v>645</v>
      </c>
      <c r="J196" s="1" t="s">
        <v>55</v>
      </c>
    </row>
    <row r="197" spans="1:10" hidden="1" x14ac:dyDescent="0.25">
      <c r="A197" s="1" t="s">
        <v>133</v>
      </c>
      <c r="B197" s="1">
        <v>627</v>
      </c>
      <c r="C197" s="1" t="s">
        <v>844</v>
      </c>
      <c r="D197" s="1" t="s">
        <v>647</v>
      </c>
      <c r="E197" s="1" t="s">
        <v>845</v>
      </c>
      <c r="F197" s="1" t="s">
        <v>35</v>
      </c>
      <c r="G197" s="1">
        <v>0.87</v>
      </c>
      <c r="I197" s="1" t="s">
        <v>645</v>
      </c>
      <c r="J197" s="1" t="s">
        <v>55</v>
      </c>
    </row>
    <row r="198" spans="1:10" hidden="1" x14ac:dyDescent="0.25">
      <c r="A198" s="1" t="s">
        <v>178</v>
      </c>
      <c r="B198" s="1">
        <v>630</v>
      </c>
      <c r="C198" s="1" t="s">
        <v>849</v>
      </c>
      <c r="D198" s="1" t="s">
        <v>847</v>
      </c>
      <c r="E198" s="1" t="s">
        <v>102</v>
      </c>
      <c r="F198" s="1" t="s">
        <v>35</v>
      </c>
      <c r="G198" s="1">
        <v>0</v>
      </c>
      <c r="I198" s="1" t="s">
        <v>645</v>
      </c>
      <c r="J198" s="1" t="s">
        <v>55</v>
      </c>
    </row>
    <row r="199" spans="1:10" hidden="1" x14ac:dyDescent="0.25">
      <c r="A199" s="1" t="s">
        <v>178</v>
      </c>
      <c r="B199" s="1">
        <v>631</v>
      </c>
      <c r="C199" s="1" t="s">
        <v>850</v>
      </c>
      <c r="D199" s="1" t="s">
        <v>847</v>
      </c>
      <c r="E199" s="1" t="s">
        <v>108</v>
      </c>
      <c r="F199" s="1" t="s">
        <v>180</v>
      </c>
      <c r="G199" s="1">
        <v>0</v>
      </c>
      <c r="I199" s="1" t="s">
        <v>645</v>
      </c>
      <c r="J199" s="1" t="s">
        <v>55</v>
      </c>
    </row>
    <row r="200" spans="1:10" hidden="1" x14ac:dyDescent="0.25">
      <c r="A200" s="1" t="s">
        <v>133</v>
      </c>
      <c r="B200" s="1">
        <v>632</v>
      </c>
      <c r="C200" s="1" t="s">
        <v>851</v>
      </c>
      <c r="D200" s="1" t="s">
        <v>647</v>
      </c>
      <c r="E200" s="1" t="s">
        <v>852</v>
      </c>
      <c r="F200" s="1" t="s">
        <v>35</v>
      </c>
      <c r="G200" s="1">
        <v>0.87</v>
      </c>
      <c r="I200" s="1" t="s">
        <v>645</v>
      </c>
      <c r="J200" s="1" t="s">
        <v>55</v>
      </c>
    </row>
    <row r="201" spans="1:10" hidden="1" x14ac:dyDescent="0.25">
      <c r="A201" s="1" t="s">
        <v>178</v>
      </c>
      <c r="B201" s="1">
        <v>635</v>
      </c>
      <c r="C201" s="1" t="s">
        <v>856</v>
      </c>
      <c r="D201" s="1" t="s">
        <v>854</v>
      </c>
      <c r="E201" s="1" t="s">
        <v>102</v>
      </c>
      <c r="F201" s="1" t="s">
        <v>35</v>
      </c>
      <c r="G201" s="1">
        <v>0</v>
      </c>
      <c r="I201" s="1" t="s">
        <v>645</v>
      </c>
      <c r="J201" s="1" t="s">
        <v>55</v>
      </c>
    </row>
    <row r="202" spans="1:10" hidden="1" x14ac:dyDescent="0.25">
      <c r="A202" s="1" t="s">
        <v>178</v>
      </c>
      <c r="B202" s="1">
        <v>636</v>
      </c>
      <c r="C202" s="1" t="s">
        <v>857</v>
      </c>
      <c r="D202" s="1" t="s">
        <v>854</v>
      </c>
      <c r="E202" s="1" t="s">
        <v>108</v>
      </c>
      <c r="F202" s="1" t="s">
        <v>180</v>
      </c>
      <c r="G202" s="1">
        <v>0</v>
      </c>
      <c r="I202" s="1" t="s">
        <v>645</v>
      </c>
      <c r="J202" s="1" t="s">
        <v>55</v>
      </c>
    </row>
    <row r="203" spans="1:10" hidden="1" x14ac:dyDescent="0.25">
      <c r="A203" s="1" t="s">
        <v>133</v>
      </c>
      <c r="B203" s="1">
        <v>637</v>
      </c>
      <c r="C203" s="1" t="s">
        <v>858</v>
      </c>
      <c r="D203" s="1" t="s">
        <v>647</v>
      </c>
      <c r="E203" s="1" t="s">
        <v>859</v>
      </c>
      <c r="F203" s="1" t="s">
        <v>35</v>
      </c>
      <c r="G203" s="1">
        <v>0.87</v>
      </c>
      <c r="I203" s="1" t="s">
        <v>645</v>
      </c>
      <c r="J203" s="1" t="s">
        <v>55</v>
      </c>
    </row>
    <row r="204" spans="1:10" hidden="1" x14ac:dyDescent="0.25">
      <c r="A204" s="1" t="s">
        <v>178</v>
      </c>
      <c r="B204" s="1">
        <v>640</v>
      </c>
      <c r="C204" s="1" t="s">
        <v>863</v>
      </c>
      <c r="D204" s="1" t="s">
        <v>861</v>
      </c>
      <c r="E204" s="1" t="s">
        <v>102</v>
      </c>
      <c r="F204" s="1" t="s">
        <v>35</v>
      </c>
      <c r="G204" s="1">
        <v>0</v>
      </c>
      <c r="I204" s="1" t="s">
        <v>645</v>
      </c>
      <c r="J204" s="1" t="s">
        <v>55</v>
      </c>
    </row>
    <row r="205" spans="1:10" hidden="1" x14ac:dyDescent="0.25">
      <c r="A205" s="1" t="s">
        <v>178</v>
      </c>
      <c r="B205" s="1">
        <v>641</v>
      </c>
      <c r="C205" s="1" t="s">
        <v>864</v>
      </c>
      <c r="D205" s="1" t="s">
        <v>861</v>
      </c>
      <c r="E205" s="1" t="s">
        <v>108</v>
      </c>
      <c r="F205" s="1" t="s">
        <v>180</v>
      </c>
      <c r="G205" s="1">
        <v>0</v>
      </c>
      <c r="I205" s="1" t="s">
        <v>645</v>
      </c>
      <c r="J205" s="1" t="s">
        <v>55</v>
      </c>
    </row>
    <row r="206" spans="1:10" hidden="1" x14ac:dyDescent="0.25">
      <c r="A206" s="1" t="s">
        <v>133</v>
      </c>
      <c r="B206" s="1">
        <v>642</v>
      </c>
      <c r="C206" s="1" t="s">
        <v>865</v>
      </c>
      <c r="D206" s="1" t="s">
        <v>647</v>
      </c>
      <c r="E206" s="1" t="s">
        <v>866</v>
      </c>
      <c r="F206" s="1" t="s">
        <v>35</v>
      </c>
      <c r="G206" s="1">
        <v>0.87</v>
      </c>
      <c r="I206" s="1" t="s">
        <v>645</v>
      </c>
      <c r="J206" s="1" t="s">
        <v>55</v>
      </c>
    </row>
    <row r="207" spans="1:10" hidden="1" x14ac:dyDescent="0.25">
      <c r="A207" s="1" t="s">
        <v>178</v>
      </c>
      <c r="B207" s="1">
        <v>645</v>
      </c>
      <c r="C207" s="1" t="s">
        <v>870</v>
      </c>
      <c r="D207" s="1" t="s">
        <v>868</v>
      </c>
      <c r="E207" s="1" t="s">
        <v>102</v>
      </c>
      <c r="F207" s="1" t="s">
        <v>35</v>
      </c>
      <c r="G207" s="1">
        <v>0</v>
      </c>
      <c r="I207" s="1" t="s">
        <v>645</v>
      </c>
      <c r="J207" s="1" t="s">
        <v>55</v>
      </c>
    </row>
    <row r="208" spans="1:10" hidden="1" x14ac:dyDescent="0.25">
      <c r="A208" s="1" t="s">
        <v>178</v>
      </c>
      <c r="B208" s="1">
        <v>646</v>
      </c>
      <c r="C208" s="1" t="s">
        <v>871</v>
      </c>
      <c r="D208" s="1" t="s">
        <v>868</v>
      </c>
      <c r="E208" s="1" t="s">
        <v>108</v>
      </c>
      <c r="F208" s="1" t="s">
        <v>180</v>
      </c>
      <c r="G208" s="1">
        <v>0</v>
      </c>
      <c r="I208" s="1" t="s">
        <v>645</v>
      </c>
      <c r="J208" s="1" t="s">
        <v>55</v>
      </c>
    </row>
    <row r="209" spans="1:10" hidden="1" x14ac:dyDescent="0.25">
      <c r="A209" s="1" t="s">
        <v>133</v>
      </c>
      <c r="B209" s="1">
        <v>647</v>
      </c>
      <c r="C209" s="1" t="s">
        <v>872</v>
      </c>
      <c r="D209" s="1" t="s">
        <v>647</v>
      </c>
      <c r="E209" s="1" t="s">
        <v>873</v>
      </c>
      <c r="F209" s="1" t="s">
        <v>35</v>
      </c>
      <c r="G209" s="1">
        <v>0.87</v>
      </c>
      <c r="I209" s="1" t="s">
        <v>645</v>
      </c>
      <c r="J209" s="1" t="s">
        <v>55</v>
      </c>
    </row>
    <row r="210" spans="1:10" hidden="1" x14ac:dyDescent="0.25">
      <c r="A210" s="1" t="s">
        <v>178</v>
      </c>
      <c r="B210" s="1">
        <v>650</v>
      </c>
      <c r="C210" s="1" t="s">
        <v>877</v>
      </c>
      <c r="D210" s="1" t="s">
        <v>875</v>
      </c>
      <c r="E210" s="1" t="s">
        <v>102</v>
      </c>
      <c r="F210" s="1" t="s">
        <v>35</v>
      </c>
      <c r="G210" s="1">
        <v>0</v>
      </c>
      <c r="I210" s="1" t="s">
        <v>645</v>
      </c>
      <c r="J210" s="1" t="s">
        <v>55</v>
      </c>
    </row>
    <row r="211" spans="1:10" hidden="1" x14ac:dyDescent="0.25">
      <c r="A211" s="1" t="s">
        <v>178</v>
      </c>
      <c r="B211" s="1">
        <v>651</v>
      </c>
      <c r="C211" s="1" t="s">
        <v>878</v>
      </c>
      <c r="D211" s="1" t="s">
        <v>875</v>
      </c>
      <c r="E211" s="1" t="s">
        <v>108</v>
      </c>
      <c r="F211" s="1" t="s">
        <v>180</v>
      </c>
      <c r="G211" s="1">
        <v>0</v>
      </c>
      <c r="I211" s="1" t="s">
        <v>645</v>
      </c>
      <c r="J211" s="1" t="s">
        <v>55</v>
      </c>
    </row>
    <row r="212" spans="1:10" hidden="1" x14ac:dyDescent="0.25">
      <c r="A212" s="1" t="s">
        <v>133</v>
      </c>
      <c r="B212" s="1">
        <v>652</v>
      </c>
      <c r="C212" s="1" t="s">
        <v>879</v>
      </c>
      <c r="D212" s="1" t="s">
        <v>647</v>
      </c>
      <c r="E212" s="1" t="s">
        <v>880</v>
      </c>
      <c r="F212" s="1" t="s">
        <v>35</v>
      </c>
      <c r="G212" s="1">
        <v>0.87</v>
      </c>
      <c r="I212" s="1" t="s">
        <v>645</v>
      </c>
      <c r="J212" s="1" t="s">
        <v>55</v>
      </c>
    </row>
    <row r="213" spans="1:10" hidden="1" x14ac:dyDescent="0.25">
      <c r="A213" s="1" t="s">
        <v>178</v>
      </c>
      <c r="B213" s="1">
        <v>655</v>
      </c>
      <c r="C213" s="1" t="s">
        <v>884</v>
      </c>
      <c r="D213" s="1" t="s">
        <v>882</v>
      </c>
      <c r="E213" s="1" t="s">
        <v>102</v>
      </c>
      <c r="F213" s="1" t="s">
        <v>35</v>
      </c>
      <c r="G213" s="1">
        <v>0</v>
      </c>
      <c r="I213" s="1" t="s">
        <v>645</v>
      </c>
      <c r="J213" s="1" t="s">
        <v>55</v>
      </c>
    </row>
    <row r="214" spans="1:10" hidden="1" x14ac:dyDescent="0.25">
      <c r="A214" s="1" t="s">
        <v>178</v>
      </c>
      <c r="B214" s="1">
        <v>656</v>
      </c>
      <c r="C214" s="1" t="s">
        <v>885</v>
      </c>
      <c r="D214" s="1" t="s">
        <v>882</v>
      </c>
      <c r="E214" s="1" t="s">
        <v>108</v>
      </c>
      <c r="F214" s="1" t="s">
        <v>180</v>
      </c>
      <c r="G214" s="1">
        <v>0</v>
      </c>
      <c r="I214" s="1" t="s">
        <v>645</v>
      </c>
      <c r="J214" s="1" t="s">
        <v>55</v>
      </c>
    </row>
    <row r="215" spans="1:10" hidden="1" x14ac:dyDescent="0.25">
      <c r="A215" s="1" t="s">
        <v>133</v>
      </c>
      <c r="B215" s="1">
        <v>657</v>
      </c>
      <c r="C215" s="1" t="s">
        <v>886</v>
      </c>
      <c r="D215" s="1" t="s">
        <v>647</v>
      </c>
      <c r="E215" s="1" t="s">
        <v>887</v>
      </c>
      <c r="F215" s="1" t="s">
        <v>35</v>
      </c>
      <c r="G215" s="1">
        <v>0.87</v>
      </c>
      <c r="I215" s="1" t="s">
        <v>645</v>
      </c>
      <c r="J215" s="1" t="s">
        <v>55</v>
      </c>
    </row>
    <row r="216" spans="1:10" hidden="1" x14ac:dyDescent="0.25">
      <c r="A216" s="1" t="s">
        <v>178</v>
      </c>
      <c r="B216" s="1">
        <v>660</v>
      </c>
      <c r="C216" s="1" t="s">
        <v>891</v>
      </c>
      <c r="D216" s="1" t="s">
        <v>889</v>
      </c>
      <c r="E216" s="1" t="s">
        <v>102</v>
      </c>
      <c r="F216" s="1" t="s">
        <v>35</v>
      </c>
      <c r="G216" s="1">
        <v>0</v>
      </c>
      <c r="I216" s="1" t="s">
        <v>645</v>
      </c>
      <c r="J216" s="1" t="s">
        <v>55</v>
      </c>
    </row>
    <row r="217" spans="1:10" hidden="1" x14ac:dyDescent="0.25">
      <c r="A217" s="1" t="s">
        <v>178</v>
      </c>
      <c r="B217" s="1">
        <v>661</v>
      </c>
      <c r="C217" s="1" t="s">
        <v>892</v>
      </c>
      <c r="D217" s="1" t="s">
        <v>889</v>
      </c>
      <c r="E217" s="1" t="s">
        <v>108</v>
      </c>
      <c r="F217" s="1" t="s">
        <v>180</v>
      </c>
      <c r="G217" s="1">
        <v>0</v>
      </c>
      <c r="I217" s="1" t="s">
        <v>645</v>
      </c>
      <c r="J217" s="1" t="s">
        <v>55</v>
      </c>
    </row>
    <row r="218" spans="1:10" hidden="1" x14ac:dyDescent="0.25">
      <c r="A218" s="1" t="s">
        <v>133</v>
      </c>
      <c r="B218" s="1">
        <v>662</v>
      </c>
      <c r="C218" s="1" t="s">
        <v>893</v>
      </c>
      <c r="D218" s="1" t="s">
        <v>647</v>
      </c>
      <c r="E218" s="1" t="s">
        <v>894</v>
      </c>
      <c r="F218" s="1" t="s">
        <v>35</v>
      </c>
      <c r="G218" s="1">
        <v>0.87</v>
      </c>
      <c r="I218" s="1" t="s">
        <v>645</v>
      </c>
      <c r="J218" s="1" t="s">
        <v>55</v>
      </c>
    </row>
    <row r="219" spans="1:10" hidden="1" x14ac:dyDescent="0.25">
      <c r="A219" s="1" t="s">
        <v>178</v>
      </c>
      <c r="B219" s="1">
        <v>665</v>
      </c>
      <c r="C219" s="1" t="s">
        <v>898</v>
      </c>
      <c r="D219" s="1" t="s">
        <v>896</v>
      </c>
      <c r="E219" s="1" t="s">
        <v>102</v>
      </c>
      <c r="F219" s="1" t="s">
        <v>35</v>
      </c>
      <c r="G219" s="1">
        <v>0</v>
      </c>
      <c r="I219" s="1" t="s">
        <v>645</v>
      </c>
      <c r="J219" s="1" t="s">
        <v>55</v>
      </c>
    </row>
    <row r="220" spans="1:10" hidden="1" x14ac:dyDescent="0.25">
      <c r="A220" s="1" t="s">
        <v>178</v>
      </c>
      <c r="B220" s="1">
        <v>666</v>
      </c>
      <c r="C220" s="1" t="s">
        <v>899</v>
      </c>
      <c r="D220" s="1" t="s">
        <v>896</v>
      </c>
      <c r="E220" s="1" t="s">
        <v>108</v>
      </c>
      <c r="F220" s="1" t="s">
        <v>180</v>
      </c>
      <c r="G220" s="1">
        <v>0</v>
      </c>
      <c r="I220" s="1" t="s">
        <v>645</v>
      </c>
      <c r="J220" s="1" t="s">
        <v>55</v>
      </c>
    </row>
    <row r="221" spans="1:10" hidden="1" x14ac:dyDescent="0.25">
      <c r="A221" s="1" t="s">
        <v>133</v>
      </c>
      <c r="B221" s="1">
        <v>667</v>
      </c>
      <c r="C221" s="1" t="s">
        <v>900</v>
      </c>
      <c r="D221" s="1" t="s">
        <v>647</v>
      </c>
      <c r="E221" s="1" t="s">
        <v>901</v>
      </c>
      <c r="F221" s="1" t="s">
        <v>35</v>
      </c>
      <c r="G221" s="1">
        <v>0.87</v>
      </c>
      <c r="I221" s="1" t="s">
        <v>645</v>
      </c>
      <c r="J221" s="1" t="s">
        <v>55</v>
      </c>
    </row>
    <row r="222" spans="1:10" hidden="1" x14ac:dyDescent="0.25">
      <c r="A222" s="1" t="s">
        <v>178</v>
      </c>
      <c r="B222" s="1">
        <v>670</v>
      </c>
      <c r="C222" s="1" t="s">
        <v>905</v>
      </c>
      <c r="D222" s="1" t="s">
        <v>903</v>
      </c>
      <c r="E222" s="1" t="s">
        <v>102</v>
      </c>
      <c r="F222" s="1" t="s">
        <v>35</v>
      </c>
      <c r="G222" s="1">
        <v>0</v>
      </c>
      <c r="I222" s="1" t="s">
        <v>645</v>
      </c>
      <c r="J222" s="1" t="s">
        <v>55</v>
      </c>
    </row>
    <row r="223" spans="1:10" hidden="1" x14ac:dyDescent="0.25">
      <c r="A223" s="1" t="s">
        <v>178</v>
      </c>
      <c r="B223" s="1">
        <v>671</v>
      </c>
      <c r="C223" s="1" t="s">
        <v>906</v>
      </c>
      <c r="D223" s="1" t="s">
        <v>903</v>
      </c>
      <c r="E223" s="1" t="s">
        <v>108</v>
      </c>
      <c r="F223" s="1" t="s">
        <v>180</v>
      </c>
      <c r="G223" s="1">
        <v>0</v>
      </c>
      <c r="I223" s="1" t="s">
        <v>645</v>
      </c>
      <c r="J223" s="1" t="s">
        <v>55</v>
      </c>
    </row>
    <row r="224" spans="1:10" hidden="1" x14ac:dyDescent="0.25">
      <c r="A224" s="1" t="s">
        <v>133</v>
      </c>
      <c r="B224" s="1">
        <v>672</v>
      </c>
      <c r="C224" s="1" t="s">
        <v>907</v>
      </c>
      <c r="D224" s="1" t="s">
        <v>647</v>
      </c>
      <c r="E224" s="1" t="s">
        <v>908</v>
      </c>
      <c r="F224" s="1" t="s">
        <v>35</v>
      </c>
      <c r="G224" s="1">
        <v>0.87</v>
      </c>
      <c r="I224" s="1" t="s">
        <v>645</v>
      </c>
      <c r="J224" s="1" t="s">
        <v>55</v>
      </c>
    </row>
    <row r="225" spans="1:10" hidden="1" x14ac:dyDescent="0.25">
      <c r="A225" s="1" t="s">
        <v>178</v>
      </c>
      <c r="B225" s="1">
        <v>675</v>
      </c>
      <c r="C225" s="1" t="s">
        <v>912</v>
      </c>
      <c r="D225" s="1" t="s">
        <v>910</v>
      </c>
      <c r="E225" s="1" t="s">
        <v>102</v>
      </c>
      <c r="F225" s="1" t="s">
        <v>35</v>
      </c>
      <c r="G225" s="1">
        <v>0</v>
      </c>
      <c r="I225" s="1" t="s">
        <v>645</v>
      </c>
      <c r="J225" s="1" t="s">
        <v>55</v>
      </c>
    </row>
    <row r="226" spans="1:10" hidden="1" x14ac:dyDescent="0.25">
      <c r="A226" s="1" t="s">
        <v>178</v>
      </c>
      <c r="B226" s="1">
        <v>676</v>
      </c>
      <c r="C226" s="1" t="s">
        <v>913</v>
      </c>
      <c r="D226" s="1" t="s">
        <v>910</v>
      </c>
      <c r="E226" s="1" t="s">
        <v>108</v>
      </c>
      <c r="F226" s="1" t="s">
        <v>180</v>
      </c>
      <c r="G226" s="1">
        <v>0</v>
      </c>
      <c r="I226" s="1" t="s">
        <v>645</v>
      </c>
      <c r="J226" s="1" t="s">
        <v>55</v>
      </c>
    </row>
    <row r="227" spans="1:10" hidden="1" x14ac:dyDescent="0.25">
      <c r="A227" s="1" t="s">
        <v>133</v>
      </c>
      <c r="B227" s="1">
        <v>677</v>
      </c>
      <c r="C227" s="1" t="s">
        <v>914</v>
      </c>
      <c r="D227" s="1" t="s">
        <v>647</v>
      </c>
      <c r="E227" s="1" t="s">
        <v>915</v>
      </c>
      <c r="F227" s="1" t="s">
        <v>35</v>
      </c>
      <c r="G227" s="1">
        <v>0.87</v>
      </c>
      <c r="I227" s="1" t="s">
        <v>645</v>
      </c>
      <c r="J227" s="1" t="s">
        <v>55</v>
      </c>
    </row>
    <row r="228" spans="1:10" hidden="1" x14ac:dyDescent="0.25">
      <c r="A228" s="1" t="s">
        <v>178</v>
      </c>
      <c r="B228" s="1">
        <v>680</v>
      </c>
      <c r="C228" s="1" t="s">
        <v>920</v>
      </c>
      <c r="D228" s="1" t="s">
        <v>917</v>
      </c>
      <c r="E228" s="1" t="s">
        <v>102</v>
      </c>
      <c r="F228" s="1" t="s">
        <v>35</v>
      </c>
      <c r="G228" s="1">
        <v>0</v>
      </c>
      <c r="I228" s="1" t="s">
        <v>645</v>
      </c>
      <c r="J228" s="1" t="s">
        <v>55</v>
      </c>
    </row>
    <row r="229" spans="1:10" hidden="1" x14ac:dyDescent="0.25">
      <c r="A229" s="1" t="s">
        <v>178</v>
      </c>
      <c r="B229" s="1">
        <v>681</v>
      </c>
      <c r="C229" s="1" t="s">
        <v>921</v>
      </c>
      <c r="D229" s="1" t="s">
        <v>917</v>
      </c>
      <c r="E229" s="1" t="s">
        <v>108</v>
      </c>
      <c r="F229" s="1" t="s">
        <v>180</v>
      </c>
      <c r="G229" s="1">
        <v>0</v>
      </c>
      <c r="I229" s="1" t="s">
        <v>645</v>
      </c>
      <c r="J229" s="1" t="s">
        <v>55</v>
      </c>
    </row>
    <row r="230" spans="1:10" hidden="1" x14ac:dyDescent="0.25">
      <c r="A230" s="1" t="s">
        <v>133</v>
      </c>
      <c r="B230" s="1">
        <v>682</v>
      </c>
      <c r="C230" s="1" t="s">
        <v>922</v>
      </c>
      <c r="D230" s="1" t="s">
        <v>647</v>
      </c>
      <c r="E230" s="1" t="s">
        <v>923</v>
      </c>
      <c r="F230" s="1" t="s">
        <v>35</v>
      </c>
      <c r="G230" s="1">
        <v>0.87</v>
      </c>
      <c r="I230" s="1" t="s">
        <v>645</v>
      </c>
      <c r="J230" s="1" t="s">
        <v>55</v>
      </c>
    </row>
    <row r="231" spans="1:10" hidden="1" x14ac:dyDescent="0.25">
      <c r="A231" s="1" t="s">
        <v>178</v>
      </c>
      <c r="B231" s="1">
        <v>685</v>
      </c>
      <c r="C231" s="1" t="s">
        <v>927</v>
      </c>
      <c r="D231" s="1" t="s">
        <v>925</v>
      </c>
      <c r="E231" s="1" t="s">
        <v>102</v>
      </c>
      <c r="F231" s="1" t="s">
        <v>35</v>
      </c>
      <c r="G231" s="1">
        <v>0</v>
      </c>
      <c r="I231" s="1" t="s">
        <v>645</v>
      </c>
      <c r="J231" s="1" t="s">
        <v>55</v>
      </c>
    </row>
    <row r="232" spans="1:10" hidden="1" x14ac:dyDescent="0.25">
      <c r="A232" s="1" t="s">
        <v>178</v>
      </c>
      <c r="B232" s="1">
        <v>686</v>
      </c>
      <c r="C232" s="1" t="s">
        <v>928</v>
      </c>
      <c r="D232" s="1" t="s">
        <v>925</v>
      </c>
      <c r="E232" s="1" t="s">
        <v>108</v>
      </c>
      <c r="F232" s="1" t="s">
        <v>180</v>
      </c>
      <c r="G232" s="1">
        <v>0</v>
      </c>
      <c r="I232" s="1" t="s">
        <v>645</v>
      </c>
      <c r="J232" s="1" t="s">
        <v>55</v>
      </c>
    </row>
    <row r="233" spans="1:10" hidden="1" x14ac:dyDescent="0.25">
      <c r="A233" s="1" t="s">
        <v>133</v>
      </c>
      <c r="B233" s="1">
        <v>687</v>
      </c>
      <c r="C233" s="1" t="s">
        <v>929</v>
      </c>
      <c r="D233" s="1" t="s">
        <v>647</v>
      </c>
      <c r="E233" s="1" t="s">
        <v>930</v>
      </c>
      <c r="F233" s="1" t="s">
        <v>35</v>
      </c>
      <c r="G233" s="1">
        <v>0.8</v>
      </c>
      <c r="I233" s="1" t="s">
        <v>645</v>
      </c>
      <c r="J233" s="1" t="s">
        <v>55</v>
      </c>
    </row>
    <row r="234" spans="1:10" hidden="1" x14ac:dyDescent="0.25">
      <c r="A234" s="1" t="s">
        <v>178</v>
      </c>
      <c r="B234" s="1">
        <v>690</v>
      </c>
      <c r="C234" s="1" t="s">
        <v>934</v>
      </c>
      <c r="D234" s="1" t="s">
        <v>932</v>
      </c>
      <c r="E234" s="1" t="s">
        <v>102</v>
      </c>
      <c r="F234" s="1" t="s">
        <v>35</v>
      </c>
      <c r="G234" s="1">
        <v>0</v>
      </c>
      <c r="I234" s="1" t="s">
        <v>645</v>
      </c>
      <c r="J234" s="1" t="s">
        <v>55</v>
      </c>
    </row>
    <row r="235" spans="1:10" hidden="1" x14ac:dyDescent="0.25">
      <c r="A235" s="1" t="s">
        <v>178</v>
      </c>
      <c r="B235" s="1">
        <v>691</v>
      </c>
      <c r="C235" s="1" t="s">
        <v>935</v>
      </c>
      <c r="D235" s="1" t="s">
        <v>932</v>
      </c>
      <c r="E235" s="1" t="s">
        <v>108</v>
      </c>
      <c r="F235" s="1" t="s">
        <v>180</v>
      </c>
      <c r="G235" s="1">
        <v>0</v>
      </c>
      <c r="I235" s="1" t="s">
        <v>645</v>
      </c>
      <c r="J235" s="1" t="s">
        <v>55</v>
      </c>
    </row>
    <row r="236" spans="1:10" hidden="1" x14ac:dyDescent="0.25">
      <c r="A236" s="1" t="s">
        <v>133</v>
      </c>
      <c r="B236" s="1">
        <v>692</v>
      </c>
      <c r="C236" s="1" t="s">
        <v>936</v>
      </c>
      <c r="D236" s="1" t="s">
        <v>647</v>
      </c>
      <c r="E236" s="1" t="s">
        <v>937</v>
      </c>
      <c r="F236" s="1" t="s">
        <v>180</v>
      </c>
      <c r="G236" s="1">
        <v>0.25</v>
      </c>
      <c r="I236" s="1" t="s">
        <v>645</v>
      </c>
      <c r="J236" s="1" t="s">
        <v>55</v>
      </c>
    </row>
    <row r="237" spans="1:10" x14ac:dyDescent="0.25">
      <c r="A237" s="1" t="s">
        <v>133</v>
      </c>
      <c r="B237" s="1">
        <v>693</v>
      </c>
      <c r="C237" s="1" t="s">
        <v>938</v>
      </c>
      <c r="D237" s="1" t="s">
        <v>939</v>
      </c>
      <c r="E237" s="1" t="s">
        <v>94</v>
      </c>
      <c r="F237" s="1" t="s">
        <v>180</v>
      </c>
      <c r="G237" s="11">
        <v>0.5</v>
      </c>
      <c r="I237" s="1" t="s">
        <v>645</v>
      </c>
      <c r="J237" s="1" t="s">
        <v>55</v>
      </c>
    </row>
    <row r="238" spans="1:10" hidden="1" x14ac:dyDescent="0.25">
      <c r="A238" s="1" t="s">
        <v>133</v>
      </c>
      <c r="B238" s="1">
        <v>697</v>
      </c>
      <c r="C238" s="1" t="s">
        <v>945</v>
      </c>
      <c r="D238" s="1" t="s">
        <v>647</v>
      </c>
      <c r="E238" s="1" t="s">
        <v>946</v>
      </c>
      <c r="F238" s="1" t="s">
        <v>180</v>
      </c>
      <c r="G238" s="1">
        <v>0.5</v>
      </c>
      <c r="I238" s="1" t="s">
        <v>645</v>
      </c>
      <c r="J238" s="1" t="s">
        <v>55</v>
      </c>
    </row>
    <row r="239" spans="1:10" hidden="1" x14ac:dyDescent="0.25">
      <c r="A239" s="1" t="s">
        <v>178</v>
      </c>
      <c r="B239" s="1">
        <v>699</v>
      </c>
      <c r="C239" s="1" t="s">
        <v>950</v>
      </c>
      <c r="D239" s="1" t="s">
        <v>948</v>
      </c>
      <c r="E239" s="1" t="s">
        <v>98</v>
      </c>
      <c r="F239" s="1" t="s">
        <v>149</v>
      </c>
      <c r="G239" s="1">
        <v>0</v>
      </c>
      <c r="I239" s="1" t="s">
        <v>645</v>
      </c>
      <c r="J239" s="1" t="s">
        <v>55</v>
      </c>
    </row>
    <row r="240" spans="1:10" hidden="1" x14ac:dyDescent="0.25">
      <c r="A240" s="1" t="s">
        <v>133</v>
      </c>
      <c r="B240" s="1">
        <v>702</v>
      </c>
      <c r="C240" s="1" t="s">
        <v>953</v>
      </c>
      <c r="D240" s="1" t="s">
        <v>647</v>
      </c>
      <c r="E240" s="1" t="s">
        <v>954</v>
      </c>
      <c r="F240" s="1" t="s">
        <v>180</v>
      </c>
      <c r="G240" s="1">
        <v>0.56000000000000005</v>
      </c>
      <c r="I240" s="1" t="s">
        <v>645</v>
      </c>
      <c r="J240" s="1" t="s">
        <v>55</v>
      </c>
    </row>
    <row r="241" spans="1:10" hidden="1" x14ac:dyDescent="0.25">
      <c r="A241" s="1" t="s">
        <v>178</v>
      </c>
      <c r="B241" s="1">
        <v>704</v>
      </c>
      <c r="C241" s="1" t="s">
        <v>958</v>
      </c>
      <c r="D241" s="1" t="s">
        <v>956</v>
      </c>
      <c r="E241" s="1" t="s">
        <v>98</v>
      </c>
      <c r="F241" s="1" t="s">
        <v>149</v>
      </c>
      <c r="G241" s="1">
        <v>0</v>
      </c>
      <c r="I241" s="1" t="s">
        <v>645</v>
      </c>
      <c r="J241" s="1" t="s">
        <v>55</v>
      </c>
    </row>
    <row r="242" spans="1:10" hidden="1" x14ac:dyDescent="0.25">
      <c r="A242" s="1" t="s">
        <v>178</v>
      </c>
      <c r="B242" s="1">
        <v>707</v>
      </c>
      <c r="C242" s="1" t="s">
        <v>961</v>
      </c>
      <c r="D242" s="1" t="s">
        <v>73</v>
      </c>
      <c r="E242" s="1" t="s">
        <v>962</v>
      </c>
      <c r="F242" s="1" t="s">
        <v>180</v>
      </c>
      <c r="G242" s="1">
        <v>0.04</v>
      </c>
      <c r="I242" s="1" t="s">
        <v>964</v>
      </c>
      <c r="J242" s="1" t="s">
        <v>55</v>
      </c>
    </row>
    <row r="243" spans="1:10" hidden="1" x14ac:dyDescent="0.25">
      <c r="A243" s="1" t="s">
        <v>178</v>
      </c>
      <c r="B243" s="1">
        <v>708</v>
      </c>
      <c r="C243" s="1" t="s">
        <v>965</v>
      </c>
      <c r="D243" s="1" t="s">
        <v>966</v>
      </c>
      <c r="E243" s="1" t="s">
        <v>967</v>
      </c>
      <c r="F243" s="1" t="s">
        <v>180</v>
      </c>
      <c r="G243" s="1">
        <v>0.06</v>
      </c>
      <c r="I243" s="1" t="s">
        <v>964</v>
      </c>
      <c r="J243" s="1" t="s">
        <v>55</v>
      </c>
    </row>
    <row r="244" spans="1:10" x14ac:dyDescent="0.25">
      <c r="A244" s="1" t="s">
        <v>178</v>
      </c>
      <c r="B244" s="1">
        <v>709</v>
      </c>
      <c r="C244" s="1" t="s">
        <v>969</v>
      </c>
      <c r="D244" s="1" t="s">
        <v>970</v>
      </c>
      <c r="E244" s="1" t="s">
        <v>94</v>
      </c>
      <c r="F244" s="1" t="s">
        <v>180</v>
      </c>
      <c r="G244" s="11">
        <v>0.1</v>
      </c>
      <c r="I244" s="1" t="s">
        <v>964</v>
      </c>
      <c r="J244" s="1" t="s">
        <v>55</v>
      </c>
    </row>
    <row r="245" spans="1:10" hidden="1" x14ac:dyDescent="0.25">
      <c r="A245" s="1" t="s">
        <v>987</v>
      </c>
      <c r="B245" s="1">
        <v>30</v>
      </c>
      <c r="C245" s="1" t="s">
        <v>983</v>
      </c>
      <c r="D245" s="1" t="s">
        <v>73</v>
      </c>
      <c r="E245" s="1" t="s">
        <v>984</v>
      </c>
      <c r="F245" s="1" t="s">
        <v>180</v>
      </c>
      <c r="G245" s="1">
        <v>0.16</v>
      </c>
      <c r="I245" s="1" t="s">
        <v>986</v>
      </c>
      <c r="J245" s="1" t="s">
        <v>55</v>
      </c>
    </row>
    <row r="246" spans="1:10" hidden="1" x14ac:dyDescent="0.25">
      <c r="A246" s="1" t="s">
        <v>987</v>
      </c>
      <c r="B246" s="1">
        <v>31</v>
      </c>
      <c r="C246" s="1" t="s">
        <v>989</v>
      </c>
      <c r="D246" s="1" t="s">
        <v>990</v>
      </c>
      <c r="E246" s="1" t="s">
        <v>991</v>
      </c>
      <c r="F246" s="1" t="s">
        <v>180</v>
      </c>
      <c r="G246" s="1">
        <v>0</v>
      </c>
      <c r="I246" s="1" t="s">
        <v>986</v>
      </c>
      <c r="J246" s="1" t="s">
        <v>55</v>
      </c>
    </row>
    <row r="247" spans="1:10" hidden="1" x14ac:dyDescent="0.25">
      <c r="A247" s="1" t="s">
        <v>987</v>
      </c>
      <c r="B247" s="1">
        <v>36</v>
      </c>
      <c r="C247" s="1" t="s">
        <v>992</v>
      </c>
      <c r="D247" s="1" t="s">
        <v>990</v>
      </c>
      <c r="E247" s="1" t="s">
        <v>993</v>
      </c>
      <c r="F247" s="1" t="s">
        <v>149</v>
      </c>
      <c r="G247" s="1">
        <v>0</v>
      </c>
      <c r="I247" s="1" t="s">
        <v>986</v>
      </c>
      <c r="J247" s="1" t="s">
        <v>55</v>
      </c>
    </row>
    <row r="248" spans="1:10" hidden="1" x14ac:dyDescent="0.25">
      <c r="A248" s="1" t="s">
        <v>987</v>
      </c>
      <c r="B248" s="1">
        <v>41</v>
      </c>
      <c r="C248" s="1" t="s">
        <v>994</v>
      </c>
      <c r="D248" s="1" t="s">
        <v>990</v>
      </c>
      <c r="E248" s="1" t="s">
        <v>995</v>
      </c>
      <c r="F248" s="1" t="s">
        <v>149</v>
      </c>
      <c r="G248" s="1">
        <v>0</v>
      </c>
      <c r="I248" s="1" t="s">
        <v>986</v>
      </c>
      <c r="J248" s="1" t="s">
        <v>55</v>
      </c>
    </row>
    <row r="249" spans="1:10" hidden="1" x14ac:dyDescent="0.25">
      <c r="A249" s="1" t="s">
        <v>987</v>
      </c>
      <c r="B249" s="1">
        <v>46</v>
      </c>
      <c r="C249" s="1" t="s">
        <v>996</v>
      </c>
      <c r="D249" s="1" t="s">
        <v>990</v>
      </c>
      <c r="E249" s="1" t="s">
        <v>997</v>
      </c>
      <c r="F249" s="1" t="s">
        <v>180</v>
      </c>
      <c r="G249" s="1">
        <v>0.56999999999999995</v>
      </c>
      <c r="I249" s="1" t="s">
        <v>986</v>
      </c>
      <c r="J249" s="1" t="s">
        <v>55</v>
      </c>
    </row>
    <row r="250" spans="1:10" hidden="1" x14ac:dyDescent="0.25">
      <c r="A250" s="1" t="s">
        <v>987</v>
      </c>
      <c r="B250" s="1">
        <v>194</v>
      </c>
      <c r="C250" s="1" t="s">
        <v>999</v>
      </c>
      <c r="D250" s="1" t="s">
        <v>379</v>
      </c>
      <c r="E250" s="1" t="s">
        <v>1000</v>
      </c>
      <c r="F250" s="1" t="s">
        <v>149</v>
      </c>
      <c r="G250" s="1">
        <v>0</v>
      </c>
      <c r="I250" s="1" t="s">
        <v>377</v>
      </c>
      <c r="J250" s="1" t="s">
        <v>39</v>
      </c>
    </row>
    <row r="251" spans="1:10" hidden="1" x14ac:dyDescent="0.25">
      <c r="A251" s="1" t="s">
        <v>987</v>
      </c>
      <c r="B251" s="1">
        <v>199</v>
      </c>
      <c r="C251" s="1" t="s">
        <v>1001</v>
      </c>
      <c r="D251" s="1" t="s">
        <v>379</v>
      </c>
      <c r="E251" s="1" t="s">
        <v>1002</v>
      </c>
      <c r="F251" s="1" t="s">
        <v>149</v>
      </c>
      <c r="G251" s="1">
        <v>0</v>
      </c>
      <c r="I251" s="1" t="s">
        <v>377</v>
      </c>
      <c r="J251" s="1" t="s">
        <v>39</v>
      </c>
    </row>
    <row r="252" spans="1:10" hidden="1" x14ac:dyDescent="0.25">
      <c r="A252" s="1" t="s">
        <v>987</v>
      </c>
      <c r="B252" s="1">
        <v>204</v>
      </c>
      <c r="C252" s="1" t="s">
        <v>1003</v>
      </c>
      <c r="D252" s="1" t="s">
        <v>379</v>
      </c>
      <c r="E252" s="1" t="s">
        <v>1004</v>
      </c>
      <c r="F252" s="1" t="s">
        <v>149</v>
      </c>
      <c r="G252" s="1">
        <v>0</v>
      </c>
      <c r="I252" s="1" t="s">
        <v>377</v>
      </c>
      <c r="J252" s="1" t="s">
        <v>55</v>
      </c>
    </row>
    <row r="253" spans="1:10" hidden="1" x14ac:dyDescent="0.25">
      <c r="A253" s="1" t="s">
        <v>987</v>
      </c>
      <c r="B253" s="1">
        <v>214</v>
      </c>
      <c r="C253" s="1" t="s">
        <v>1005</v>
      </c>
      <c r="D253" s="1" t="s">
        <v>379</v>
      </c>
      <c r="E253" s="1" t="s">
        <v>1006</v>
      </c>
      <c r="F253" s="1" t="s">
        <v>149</v>
      </c>
      <c r="G253" s="1">
        <v>0</v>
      </c>
      <c r="I253" s="1" t="s">
        <v>377</v>
      </c>
      <c r="J253" s="1" t="s">
        <v>39</v>
      </c>
    </row>
    <row r="254" spans="1:10" hidden="1" x14ac:dyDescent="0.25">
      <c r="A254" s="1" t="s">
        <v>987</v>
      </c>
      <c r="B254" s="1">
        <v>224</v>
      </c>
      <c r="C254" s="1" t="s">
        <v>1007</v>
      </c>
      <c r="D254" s="1" t="s">
        <v>379</v>
      </c>
      <c r="E254" s="1" t="s">
        <v>1008</v>
      </c>
      <c r="F254" s="1" t="s">
        <v>149</v>
      </c>
      <c r="G254" s="1">
        <v>0</v>
      </c>
      <c r="I254" s="1" t="s">
        <v>377</v>
      </c>
      <c r="J254" s="1" t="s">
        <v>55</v>
      </c>
    </row>
    <row r="255" spans="1:10" hidden="1" x14ac:dyDescent="0.25">
      <c r="A255" s="1" t="s">
        <v>987</v>
      </c>
      <c r="B255" s="1">
        <v>264</v>
      </c>
      <c r="C255" s="1" t="s">
        <v>441</v>
      </c>
      <c r="D255" s="1" t="s">
        <v>379</v>
      </c>
      <c r="E255" s="1" t="s">
        <v>1009</v>
      </c>
      <c r="F255" s="1" t="s">
        <v>149</v>
      </c>
      <c r="G255" s="1">
        <v>0</v>
      </c>
      <c r="I255" s="1" t="s">
        <v>377</v>
      </c>
      <c r="J255" s="1" t="s">
        <v>55</v>
      </c>
    </row>
    <row r="256" spans="1:10" hidden="1" x14ac:dyDescent="0.25">
      <c r="A256" s="1" t="s">
        <v>987</v>
      </c>
      <c r="B256" s="1">
        <v>285</v>
      </c>
      <c r="C256" s="1" t="s">
        <v>1011</v>
      </c>
      <c r="D256" s="1" t="s">
        <v>491</v>
      </c>
      <c r="E256" s="1" t="s">
        <v>1012</v>
      </c>
      <c r="F256" s="1" t="s">
        <v>149</v>
      </c>
      <c r="G256" s="1">
        <v>0</v>
      </c>
      <c r="I256" s="1" t="s">
        <v>489</v>
      </c>
      <c r="J256" s="1" t="s">
        <v>55</v>
      </c>
    </row>
    <row r="257" spans="1:10" hidden="1" x14ac:dyDescent="0.25">
      <c r="A257" s="1" t="s">
        <v>987</v>
      </c>
      <c r="B257" s="1">
        <v>356</v>
      </c>
      <c r="C257" s="1" t="s">
        <v>1013</v>
      </c>
      <c r="D257" s="1" t="s">
        <v>607</v>
      </c>
      <c r="E257" s="1" t="s">
        <v>1014</v>
      </c>
      <c r="F257" s="1" t="s">
        <v>149</v>
      </c>
      <c r="G257" s="1">
        <v>0</v>
      </c>
      <c r="I257" s="1" t="s">
        <v>605</v>
      </c>
      <c r="J257" s="1" t="s">
        <v>55</v>
      </c>
    </row>
    <row r="258" spans="1:10" hidden="1" x14ac:dyDescent="0.25">
      <c r="A258" s="1" t="s">
        <v>987</v>
      </c>
      <c r="B258" s="1">
        <v>366</v>
      </c>
      <c r="C258" s="1" t="s">
        <v>1016</v>
      </c>
      <c r="D258" s="1" t="s">
        <v>607</v>
      </c>
      <c r="E258" s="1" t="s">
        <v>1017</v>
      </c>
      <c r="F258" s="1" t="s">
        <v>149</v>
      </c>
      <c r="G258" s="1">
        <v>0</v>
      </c>
      <c r="I258" s="1" t="s">
        <v>605</v>
      </c>
      <c r="J258" s="1" t="s">
        <v>55</v>
      </c>
    </row>
    <row r="259" spans="1:10" hidden="1" x14ac:dyDescent="0.25">
      <c r="A259" s="1" t="s">
        <v>987</v>
      </c>
      <c r="B259" s="1">
        <v>376</v>
      </c>
      <c r="C259" s="1" t="s">
        <v>1018</v>
      </c>
      <c r="D259" s="1" t="s">
        <v>607</v>
      </c>
      <c r="E259" s="1" t="s">
        <v>1019</v>
      </c>
      <c r="F259" s="1" t="s">
        <v>149</v>
      </c>
      <c r="G259" s="1">
        <v>0</v>
      </c>
      <c r="I259" s="1" t="s">
        <v>605</v>
      </c>
      <c r="J259" s="1" t="s">
        <v>55</v>
      </c>
    </row>
    <row r="260" spans="1:10" hidden="1" x14ac:dyDescent="0.25">
      <c r="A260" s="1" t="s">
        <v>987</v>
      </c>
      <c r="B260" s="1">
        <v>381</v>
      </c>
      <c r="C260" s="1" t="s">
        <v>1020</v>
      </c>
      <c r="D260" s="1" t="s">
        <v>607</v>
      </c>
      <c r="E260" s="1" t="s">
        <v>1021</v>
      </c>
      <c r="F260" s="1" t="s">
        <v>149</v>
      </c>
      <c r="G260" s="1">
        <v>0</v>
      </c>
      <c r="I260" s="1" t="s">
        <v>605</v>
      </c>
      <c r="J260" s="1" t="s">
        <v>55</v>
      </c>
    </row>
    <row r="261" spans="1:10" hidden="1" x14ac:dyDescent="0.25">
      <c r="A261" s="1" t="s">
        <v>987</v>
      </c>
      <c r="B261" s="1">
        <v>396</v>
      </c>
      <c r="C261" s="1" t="s">
        <v>1022</v>
      </c>
      <c r="D261" s="1" t="s">
        <v>607</v>
      </c>
      <c r="E261" s="1" t="s">
        <v>1023</v>
      </c>
      <c r="F261" s="1" t="s">
        <v>149</v>
      </c>
      <c r="G261" s="1">
        <v>0</v>
      </c>
      <c r="I261" s="1" t="s">
        <v>605</v>
      </c>
      <c r="J261" s="1" t="s">
        <v>55</v>
      </c>
    </row>
    <row r="262" spans="1:10" hidden="1" x14ac:dyDescent="0.25">
      <c r="A262" s="1" t="s">
        <v>987</v>
      </c>
      <c r="B262" s="1">
        <v>401</v>
      </c>
      <c r="C262" s="1" t="s">
        <v>1024</v>
      </c>
      <c r="D262" s="1" t="s">
        <v>607</v>
      </c>
      <c r="E262" s="1" t="s">
        <v>1025</v>
      </c>
      <c r="F262" s="1" t="s">
        <v>149</v>
      </c>
      <c r="G262" s="1">
        <v>0</v>
      </c>
      <c r="I262" s="1" t="s">
        <v>605</v>
      </c>
      <c r="J262" s="1" t="s">
        <v>55</v>
      </c>
    </row>
    <row r="263" spans="1:10" hidden="1" x14ac:dyDescent="0.25">
      <c r="A263" s="1" t="s">
        <v>987</v>
      </c>
      <c r="B263" s="1">
        <v>406</v>
      </c>
      <c r="C263" s="1" t="s">
        <v>1026</v>
      </c>
      <c r="D263" s="1" t="s">
        <v>607</v>
      </c>
      <c r="E263" s="1" t="s">
        <v>1027</v>
      </c>
      <c r="F263" s="1" t="s">
        <v>149</v>
      </c>
      <c r="G263" s="1">
        <v>0</v>
      </c>
      <c r="I263" s="1" t="s">
        <v>605</v>
      </c>
      <c r="J263" s="1" t="s">
        <v>55</v>
      </c>
    </row>
    <row r="264" spans="1:10" hidden="1" x14ac:dyDescent="0.25">
      <c r="A264" s="1" t="s">
        <v>987</v>
      </c>
      <c r="B264" s="1">
        <v>411</v>
      </c>
      <c r="C264" s="1" t="s">
        <v>1028</v>
      </c>
      <c r="D264" s="1" t="s">
        <v>607</v>
      </c>
      <c r="E264" s="1" t="s">
        <v>1029</v>
      </c>
      <c r="F264" s="1" t="s">
        <v>149</v>
      </c>
      <c r="G264" s="1">
        <v>0</v>
      </c>
      <c r="I264" s="1" t="s">
        <v>605</v>
      </c>
      <c r="J264" s="1" t="s">
        <v>55</v>
      </c>
    </row>
    <row r="265" spans="1:10" hidden="1" x14ac:dyDescent="0.25">
      <c r="A265" s="1" t="s">
        <v>987</v>
      </c>
      <c r="B265" s="1">
        <v>432</v>
      </c>
      <c r="C265" s="1" t="s">
        <v>663</v>
      </c>
      <c r="D265" s="1" t="s">
        <v>647</v>
      </c>
      <c r="E265" s="1" t="s">
        <v>1030</v>
      </c>
      <c r="F265" s="1" t="s">
        <v>149</v>
      </c>
      <c r="G265" s="1">
        <v>0</v>
      </c>
      <c r="I265" s="1" t="s">
        <v>645</v>
      </c>
      <c r="J265" s="1" t="s">
        <v>55</v>
      </c>
    </row>
    <row r="266" spans="1:10" hidden="1" x14ac:dyDescent="0.25">
      <c r="A266" s="1" t="s">
        <v>987</v>
      </c>
      <c r="B266" s="1">
        <v>437</v>
      </c>
      <c r="C266" s="1" t="s">
        <v>1031</v>
      </c>
      <c r="D266" s="1" t="s">
        <v>647</v>
      </c>
      <c r="E266" s="1" t="s">
        <v>1032</v>
      </c>
      <c r="F266" s="1" t="s">
        <v>149</v>
      </c>
      <c r="G266" s="1">
        <v>0</v>
      </c>
      <c r="I266" s="1" t="s">
        <v>645</v>
      </c>
      <c r="J266" s="1" t="s">
        <v>55</v>
      </c>
    </row>
    <row r="267" spans="1:10" hidden="1" x14ac:dyDescent="0.25">
      <c r="A267" s="1" t="s">
        <v>987</v>
      </c>
      <c r="B267" s="1">
        <v>487</v>
      </c>
      <c r="C267" s="1" t="s">
        <v>731</v>
      </c>
      <c r="D267" s="1" t="s">
        <v>647</v>
      </c>
      <c r="E267" s="1" t="s">
        <v>1033</v>
      </c>
      <c r="F267" s="1" t="s">
        <v>149</v>
      </c>
      <c r="G267" s="1">
        <v>0</v>
      </c>
      <c r="I267" s="1" t="s">
        <v>645</v>
      </c>
      <c r="J267" s="1" t="s">
        <v>55</v>
      </c>
    </row>
    <row r="268" spans="1:10" hidden="1" x14ac:dyDescent="0.25">
      <c r="A268" s="1" t="s">
        <v>987</v>
      </c>
      <c r="B268" s="1">
        <v>492</v>
      </c>
      <c r="C268" s="1" t="s">
        <v>1034</v>
      </c>
      <c r="D268" s="1" t="s">
        <v>647</v>
      </c>
      <c r="E268" s="1" t="s">
        <v>1035</v>
      </c>
      <c r="F268" s="1" t="s">
        <v>149</v>
      </c>
      <c r="G268" s="1">
        <v>0</v>
      </c>
      <c r="I268" s="1" t="s">
        <v>645</v>
      </c>
      <c r="J268" s="1" t="s">
        <v>55</v>
      </c>
    </row>
    <row r="270" spans="1:10" x14ac:dyDescent="0.25">
      <c r="G270" s="11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{887367E4-9F41-464C-BC93-63184602BBF2}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7367E4-9F41-464C-BC93-63184602BB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8"/>
  <sheetViews>
    <sheetView workbookViewId="0">
      <selection activeCell="H133" sqref="H133"/>
    </sheetView>
  </sheetViews>
  <sheetFormatPr defaultRowHeight="15" x14ac:dyDescent="0.25"/>
  <cols>
    <col min="1" max="1" width="10.85546875" style="1" bestFit="1" customWidth="1"/>
    <col min="2" max="2" width="7.28515625" style="1" bestFit="1" customWidth="1"/>
    <col min="3" max="3" width="10.28515625" style="1" bestFit="1" customWidth="1"/>
    <col min="4" max="4" width="30.42578125" style="1" bestFit="1" customWidth="1"/>
    <col min="5" max="5" width="27.28515625" style="1" bestFit="1" customWidth="1"/>
    <col min="6" max="6" width="12.42578125" style="1" bestFit="1" customWidth="1"/>
    <col min="7" max="7" width="16" style="1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</v>
      </c>
      <c r="G1" s="1" t="s">
        <v>7</v>
      </c>
      <c r="H1" s="1" t="s">
        <v>14</v>
      </c>
      <c r="I1" s="1" t="s">
        <v>15</v>
      </c>
      <c r="J1" s="1" t="s">
        <v>17</v>
      </c>
    </row>
    <row r="2" spans="1:10" hidden="1" x14ac:dyDescent="0.25">
      <c r="A2" s="1" t="s">
        <v>151</v>
      </c>
      <c r="B2" s="1">
        <v>66</v>
      </c>
      <c r="C2" s="1" t="s">
        <v>147</v>
      </c>
      <c r="D2" s="1" t="s">
        <v>138</v>
      </c>
      <c r="E2" s="1" t="s">
        <v>108</v>
      </c>
      <c r="F2" s="1" t="s">
        <v>149</v>
      </c>
      <c r="G2" s="1">
        <v>0</v>
      </c>
      <c r="I2" s="1" t="s">
        <v>132</v>
      </c>
      <c r="J2" s="1" t="s">
        <v>55</v>
      </c>
    </row>
    <row r="3" spans="1:10" hidden="1" x14ac:dyDescent="0.25">
      <c r="A3" s="1" t="s">
        <v>178</v>
      </c>
      <c r="B3" s="1">
        <v>87</v>
      </c>
      <c r="C3" s="1" t="s">
        <v>182</v>
      </c>
      <c r="D3" s="1" t="s">
        <v>175</v>
      </c>
      <c r="E3" s="1" t="s">
        <v>108</v>
      </c>
      <c r="F3" s="1" t="s">
        <v>149</v>
      </c>
      <c r="G3" s="1">
        <v>0</v>
      </c>
      <c r="I3" s="1" t="s">
        <v>155</v>
      </c>
      <c r="J3" s="1" t="s">
        <v>55</v>
      </c>
    </row>
    <row r="4" spans="1:10" hidden="1" x14ac:dyDescent="0.25">
      <c r="A4" s="1" t="s">
        <v>146</v>
      </c>
      <c r="B4" s="1">
        <v>88</v>
      </c>
      <c r="C4" s="1" t="s">
        <v>184</v>
      </c>
      <c r="D4" s="1" t="s">
        <v>157</v>
      </c>
      <c r="E4" s="1" t="s">
        <v>185</v>
      </c>
      <c r="F4" s="1" t="s">
        <v>149</v>
      </c>
      <c r="G4" s="1">
        <v>0</v>
      </c>
      <c r="I4" s="1" t="s">
        <v>155</v>
      </c>
      <c r="J4" s="1" t="s">
        <v>55</v>
      </c>
    </row>
    <row r="5" spans="1:10" x14ac:dyDescent="0.25">
      <c r="A5" s="1" t="s">
        <v>146</v>
      </c>
      <c r="B5" s="1">
        <v>89</v>
      </c>
      <c r="C5" s="1" t="s">
        <v>188</v>
      </c>
      <c r="D5" s="1" t="s">
        <v>189</v>
      </c>
      <c r="E5" s="1" t="s">
        <v>94</v>
      </c>
      <c r="F5" s="1" t="s">
        <v>149</v>
      </c>
      <c r="G5" s="1">
        <v>0</v>
      </c>
      <c r="I5" s="1" t="s">
        <v>155</v>
      </c>
      <c r="J5" s="1" t="s">
        <v>55</v>
      </c>
    </row>
    <row r="6" spans="1:10" hidden="1" x14ac:dyDescent="0.25">
      <c r="A6" s="1" t="s">
        <v>146</v>
      </c>
      <c r="B6" s="1">
        <v>90</v>
      </c>
      <c r="C6" s="1" t="s">
        <v>190</v>
      </c>
      <c r="D6" s="1" t="s">
        <v>189</v>
      </c>
      <c r="E6" s="1" t="s">
        <v>98</v>
      </c>
      <c r="F6" s="1" t="s">
        <v>149</v>
      </c>
      <c r="G6" s="1">
        <v>0</v>
      </c>
      <c r="I6" s="1" t="s">
        <v>155</v>
      </c>
      <c r="J6" s="1" t="s">
        <v>55</v>
      </c>
    </row>
    <row r="7" spans="1:10" hidden="1" x14ac:dyDescent="0.25">
      <c r="A7" s="1" t="s">
        <v>146</v>
      </c>
      <c r="B7" s="1">
        <v>91</v>
      </c>
      <c r="C7" s="1" t="s">
        <v>192</v>
      </c>
      <c r="D7" s="1" t="s">
        <v>189</v>
      </c>
      <c r="E7" s="1" t="s">
        <v>102</v>
      </c>
      <c r="F7" s="1" t="s">
        <v>149</v>
      </c>
      <c r="G7" s="1">
        <v>0</v>
      </c>
      <c r="I7" s="1" t="s">
        <v>155</v>
      </c>
      <c r="J7" s="1" t="s">
        <v>55</v>
      </c>
    </row>
    <row r="8" spans="1:10" hidden="1" x14ac:dyDescent="0.25">
      <c r="A8" s="1" t="s">
        <v>146</v>
      </c>
      <c r="B8" s="1">
        <v>93</v>
      </c>
      <c r="C8" s="1" t="s">
        <v>196</v>
      </c>
      <c r="D8" s="1" t="s">
        <v>157</v>
      </c>
      <c r="E8" s="1" t="s">
        <v>197</v>
      </c>
      <c r="F8" s="1" t="s">
        <v>149</v>
      </c>
      <c r="G8" s="1">
        <v>0</v>
      </c>
      <c r="I8" s="1" t="s">
        <v>155</v>
      </c>
      <c r="J8" s="1" t="s">
        <v>55</v>
      </c>
    </row>
    <row r="9" spans="1:10" x14ac:dyDescent="0.25">
      <c r="A9" s="1" t="s">
        <v>146</v>
      </c>
      <c r="B9" s="1">
        <v>94</v>
      </c>
      <c r="C9" s="1" t="s">
        <v>198</v>
      </c>
      <c r="D9" s="1" t="s">
        <v>199</v>
      </c>
      <c r="E9" s="1" t="s">
        <v>94</v>
      </c>
      <c r="F9" s="1" t="s">
        <v>149</v>
      </c>
      <c r="G9" s="1">
        <v>0</v>
      </c>
      <c r="I9" s="1" t="s">
        <v>155</v>
      </c>
      <c r="J9" s="1" t="s">
        <v>55</v>
      </c>
    </row>
    <row r="10" spans="1:10" hidden="1" x14ac:dyDescent="0.25">
      <c r="A10" s="1" t="s">
        <v>146</v>
      </c>
      <c r="B10" s="1">
        <v>95</v>
      </c>
      <c r="C10" s="1" t="s">
        <v>200</v>
      </c>
      <c r="D10" s="1" t="s">
        <v>199</v>
      </c>
      <c r="E10" s="1" t="s">
        <v>98</v>
      </c>
      <c r="F10" s="1" t="s">
        <v>149</v>
      </c>
      <c r="G10" s="1">
        <v>0</v>
      </c>
      <c r="I10" s="1" t="s">
        <v>155</v>
      </c>
      <c r="J10" s="1" t="s">
        <v>55</v>
      </c>
    </row>
    <row r="11" spans="1:10" hidden="1" x14ac:dyDescent="0.25">
      <c r="A11" s="1" t="s">
        <v>146</v>
      </c>
      <c r="B11" s="1">
        <v>96</v>
      </c>
      <c r="C11" s="1" t="s">
        <v>201</v>
      </c>
      <c r="D11" s="1" t="s">
        <v>199</v>
      </c>
      <c r="E11" s="1" t="s">
        <v>102</v>
      </c>
      <c r="F11" s="1" t="s">
        <v>149</v>
      </c>
      <c r="G11" s="1">
        <v>0</v>
      </c>
      <c r="I11" s="1" t="s">
        <v>155</v>
      </c>
      <c r="J11" s="1" t="s">
        <v>55</v>
      </c>
    </row>
    <row r="12" spans="1:10" hidden="1" x14ac:dyDescent="0.25">
      <c r="A12" s="1" t="s">
        <v>146</v>
      </c>
      <c r="B12" s="1">
        <v>98</v>
      </c>
      <c r="C12" s="1" t="s">
        <v>203</v>
      </c>
      <c r="D12" s="1" t="s">
        <v>157</v>
      </c>
      <c r="E12" s="1" t="s">
        <v>204</v>
      </c>
      <c r="F12" s="1" t="s">
        <v>149</v>
      </c>
      <c r="G12" s="1">
        <v>0</v>
      </c>
      <c r="I12" s="1" t="s">
        <v>155</v>
      </c>
      <c r="J12" s="1" t="s">
        <v>55</v>
      </c>
    </row>
    <row r="13" spans="1:10" x14ac:dyDescent="0.25">
      <c r="A13" s="1" t="s">
        <v>146</v>
      </c>
      <c r="B13" s="1">
        <v>99</v>
      </c>
      <c r="C13" s="1" t="s">
        <v>205</v>
      </c>
      <c r="D13" s="1" t="s">
        <v>206</v>
      </c>
      <c r="E13" s="1" t="s">
        <v>94</v>
      </c>
      <c r="F13" s="1" t="s">
        <v>149</v>
      </c>
      <c r="G13" s="1">
        <v>0</v>
      </c>
      <c r="I13" s="1" t="s">
        <v>155</v>
      </c>
      <c r="J13" s="1" t="s">
        <v>55</v>
      </c>
    </row>
    <row r="14" spans="1:10" hidden="1" x14ac:dyDescent="0.25">
      <c r="A14" s="1" t="s">
        <v>146</v>
      </c>
      <c r="B14" s="1">
        <v>100</v>
      </c>
      <c r="C14" s="1" t="s">
        <v>207</v>
      </c>
      <c r="D14" s="1" t="s">
        <v>206</v>
      </c>
      <c r="E14" s="1" t="s">
        <v>98</v>
      </c>
      <c r="F14" s="1" t="s">
        <v>149</v>
      </c>
      <c r="G14" s="1">
        <v>0</v>
      </c>
      <c r="I14" s="1" t="s">
        <v>155</v>
      </c>
      <c r="J14" s="1" t="s">
        <v>55</v>
      </c>
    </row>
    <row r="15" spans="1:10" hidden="1" x14ac:dyDescent="0.25">
      <c r="A15" s="1" t="s">
        <v>146</v>
      </c>
      <c r="B15" s="1">
        <v>101</v>
      </c>
      <c r="C15" s="1" t="s">
        <v>208</v>
      </c>
      <c r="D15" s="1" t="s">
        <v>206</v>
      </c>
      <c r="E15" s="1" t="s">
        <v>102</v>
      </c>
      <c r="F15" s="1" t="s">
        <v>149</v>
      </c>
      <c r="G15" s="1">
        <v>0</v>
      </c>
      <c r="I15" s="1" t="s">
        <v>155</v>
      </c>
      <c r="J15" s="1" t="s">
        <v>55</v>
      </c>
    </row>
    <row r="16" spans="1:10" hidden="1" x14ac:dyDescent="0.25">
      <c r="A16" s="1" t="s">
        <v>146</v>
      </c>
      <c r="B16" s="1">
        <v>103</v>
      </c>
      <c r="C16" s="1" t="s">
        <v>210</v>
      </c>
      <c r="D16" s="1" t="s">
        <v>157</v>
      </c>
      <c r="E16" s="1" t="s">
        <v>211</v>
      </c>
      <c r="F16" s="1" t="s">
        <v>149</v>
      </c>
      <c r="G16" s="1">
        <v>0</v>
      </c>
      <c r="I16" s="1" t="s">
        <v>155</v>
      </c>
      <c r="J16" s="1" t="s">
        <v>55</v>
      </c>
    </row>
    <row r="17" spans="1:10" x14ac:dyDescent="0.25">
      <c r="A17" s="1" t="s">
        <v>146</v>
      </c>
      <c r="B17" s="1">
        <v>104</v>
      </c>
      <c r="C17" s="1" t="s">
        <v>212</v>
      </c>
      <c r="D17" s="1" t="s">
        <v>213</v>
      </c>
      <c r="E17" s="1" t="s">
        <v>94</v>
      </c>
      <c r="F17" s="1" t="s">
        <v>149</v>
      </c>
      <c r="G17" s="1">
        <v>0</v>
      </c>
      <c r="I17" s="1" t="s">
        <v>155</v>
      </c>
      <c r="J17" s="1" t="s">
        <v>55</v>
      </c>
    </row>
    <row r="18" spans="1:10" hidden="1" x14ac:dyDescent="0.25">
      <c r="A18" s="1" t="s">
        <v>146</v>
      </c>
      <c r="B18" s="1">
        <v>105</v>
      </c>
      <c r="C18" s="1" t="s">
        <v>214</v>
      </c>
      <c r="D18" s="1" t="s">
        <v>213</v>
      </c>
      <c r="E18" s="1" t="s">
        <v>98</v>
      </c>
      <c r="F18" s="1" t="s">
        <v>149</v>
      </c>
      <c r="G18" s="1">
        <v>0</v>
      </c>
      <c r="I18" s="1" t="s">
        <v>155</v>
      </c>
      <c r="J18" s="1" t="s">
        <v>55</v>
      </c>
    </row>
    <row r="19" spans="1:10" hidden="1" x14ac:dyDescent="0.25">
      <c r="A19" s="1" t="s">
        <v>146</v>
      </c>
      <c r="B19" s="1">
        <v>106</v>
      </c>
      <c r="C19" s="1" t="s">
        <v>215</v>
      </c>
      <c r="D19" s="1" t="s">
        <v>213</v>
      </c>
      <c r="E19" s="1" t="s">
        <v>102</v>
      </c>
      <c r="F19" s="1" t="s">
        <v>149</v>
      </c>
      <c r="G19" s="1">
        <v>0</v>
      </c>
      <c r="I19" s="1" t="s">
        <v>155</v>
      </c>
      <c r="J19" s="1" t="s">
        <v>55</v>
      </c>
    </row>
    <row r="20" spans="1:10" hidden="1" x14ac:dyDescent="0.25">
      <c r="A20" s="1" t="s">
        <v>146</v>
      </c>
      <c r="B20" s="1">
        <v>108</v>
      </c>
      <c r="C20" s="1" t="s">
        <v>217</v>
      </c>
      <c r="D20" s="1" t="s">
        <v>157</v>
      </c>
      <c r="E20" s="1" t="s">
        <v>218</v>
      </c>
      <c r="F20" s="1" t="s">
        <v>149</v>
      </c>
      <c r="G20" s="1">
        <v>0</v>
      </c>
      <c r="I20" s="1" t="s">
        <v>155</v>
      </c>
      <c r="J20" s="1" t="s">
        <v>55</v>
      </c>
    </row>
    <row r="21" spans="1:10" x14ac:dyDescent="0.25">
      <c r="A21" s="1" t="s">
        <v>146</v>
      </c>
      <c r="B21" s="1">
        <v>109</v>
      </c>
      <c r="C21" s="1" t="s">
        <v>219</v>
      </c>
      <c r="D21" s="1" t="s">
        <v>220</v>
      </c>
      <c r="E21" s="1" t="s">
        <v>94</v>
      </c>
      <c r="F21" s="1" t="s">
        <v>149</v>
      </c>
      <c r="G21" s="1">
        <v>0</v>
      </c>
      <c r="I21" s="1" t="s">
        <v>155</v>
      </c>
      <c r="J21" s="1" t="s">
        <v>55</v>
      </c>
    </row>
    <row r="22" spans="1:10" hidden="1" x14ac:dyDescent="0.25">
      <c r="A22" s="1" t="s">
        <v>146</v>
      </c>
      <c r="B22" s="1">
        <v>110</v>
      </c>
      <c r="C22" s="1" t="s">
        <v>221</v>
      </c>
      <c r="D22" s="1" t="s">
        <v>220</v>
      </c>
      <c r="E22" s="1" t="s">
        <v>98</v>
      </c>
      <c r="F22" s="1" t="s">
        <v>149</v>
      </c>
      <c r="G22" s="1">
        <v>0</v>
      </c>
      <c r="I22" s="1" t="s">
        <v>155</v>
      </c>
      <c r="J22" s="1" t="s">
        <v>55</v>
      </c>
    </row>
    <row r="23" spans="1:10" hidden="1" x14ac:dyDescent="0.25">
      <c r="A23" s="1" t="s">
        <v>146</v>
      </c>
      <c r="B23" s="1">
        <v>111</v>
      </c>
      <c r="C23" s="1" t="s">
        <v>222</v>
      </c>
      <c r="D23" s="1" t="s">
        <v>220</v>
      </c>
      <c r="E23" s="1" t="s">
        <v>102</v>
      </c>
      <c r="F23" s="1" t="s">
        <v>149</v>
      </c>
      <c r="G23" s="1">
        <v>0</v>
      </c>
      <c r="I23" s="1" t="s">
        <v>155</v>
      </c>
      <c r="J23" s="1" t="s">
        <v>55</v>
      </c>
    </row>
    <row r="24" spans="1:10" hidden="1" x14ac:dyDescent="0.25">
      <c r="A24" s="1" t="s">
        <v>146</v>
      </c>
      <c r="B24" s="1">
        <v>113</v>
      </c>
      <c r="C24" s="1" t="s">
        <v>224</v>
      </c>
      <c r="D24" s="1" t="s">
        <v>157</v>
      </c>
      <c r="E24" s="1" t="s">
        <v>225</v>
      </c>
      <c r="F24" s="1" t="s">
        <v>149</v>
      </c>
      <c r="G24" s="1">
        <v>0</v>
      </c>
      <c r="I24" s="1" t="s">
        <v>155</v>
      </c>
      <c r="J24" s="1" t="s">
        <v>55</v>
      </c>
    </row>
    <row r="25" spans="1:10" x14ac:dyDescent="0.25">
      <c r="A25" s="1" t="s">
        <v>146</v>
      </c>
      <c r="B25" s="1">
        <v>114</v>
      </c>
      <c r="C25" s="1" t="s">
        <v>226</v>
      </c>
      <c r="D25" s="1" t="s">
        <v>227</v>
      </c>
      <c r="E25" s="1" t="s">
        <v>94</v>
      </c>
      <c r="F25" s="1" t="s">
        <v>149</v>
      </c>
      <c r="G25" s="1">
        <v>0</v>
      </c>
      <c r="I25" s="1" t="s">
        <v>155</v>
      </c>
      <c r="J25" s="1" t="s">
        <v>55</v>
      </c>
    </row>
    <row r="26" spans="1:10" hidden="1" x14ac:dyDescent="0.25">
      <c r="A26" s="1" t="s">
        <v>146</v>
      </c>
      <c r="B26" s="1">
        <v>115</v>
      </c>
      <c r="C26" s="1" t="s">
        <v>228</v>
      </c>
      <c r="D26" s="1" t="s">
        <v>227</v>
      </c>
      <c r="E26" s="1" t="s">
        <v>98</v>
      </c>
      <c r="F26" s="1" t="s">
        <v>149</v>
      </c>
      <c r="G26" s="1">
        <v>0</v>
      </c>
      <c r="I26" s="1" t="s">
        <v>155</v>
      </c>
      <c r="J26" s="1" t="s">
        <v>55</v>
      </c>
    </row>
    <row r="27" spans="1:10" hidden="1" x14ac:dyDescent="0.25">
      <c r="A27" s="1" t="s">
        <v>146</v>
      </c>
      <c r="B27" s="1">
        <v>116</v>
      </c>
      <c r="C27" s="1" t="s">
        <v>229</v>
      </c>
      <c r="D27" s="1" t="s">
        <v>227</v>
      </c>
      <c r="E27" s="1" t="s">
        <v>102</v>
      </c>
      <c r="F27" s="1" t="s">
        <v>149</v>
      </c>
      <c r="G27" s="1">
        <v>0</v>
      </c>
      <c r="I27" s="1" t="s">
        <v>155</v>
      </c>
      <c r="J27" s="1" t="s">
        <v>55</v>
      </c>
    </row>
    <row r="28" spans="1:10" hidden="1" x14ac:dyDescent="0.25">
      <c r="A28" s="1" t="s">
        <v>146</v>
      </c>
      <c r="B28" s="1">
        <v>118</v>
      </c>
      <c r="C28" s="1" t="s">
        <v>231</v>
      </c>
      <c r="D28" s="1" t="s">
        <v>157</v>
      </c>
      <c r="E28" s="1" t="s">
        <v>232</v>
      </c>
      <c r="F28" s="1" t="s">
        <v>149</v>
      </c>
      <c r="G28" s="1">
        <v>0</v>
      </c>
      <c r="I28" s="1" t="s">
        <v>155</v>
      </c>
      <c r="J28" s="1" t="s">
        <v>55</v>
      </c>
    </row>
    <row r="29" spans="1:10" x14ac:dyDescent="0.25">
      <c r="A29" s="1" t="s">
        <v>146</v>
      </c>
      <c r="B29" s="1">
        <v>119</v>
      </c>
      <c r="C29" s="1" t="s">
        <v>233</v>
      </c>
      <c r="D29" s="1" t="s">
        <v>234</v>
      </c>
      <c r="E29" s="1" t="s">
        <v>94</v>
      </c>
      <c r="F29" s="1" t="s">
        <v>149</v>
      </c>
      <c r="G29" s="1">
        <v>0</v>
      </c>
      <c r="I29" s="1" t="s">
        <v>155</v>
      </c>
      <c r="J29" s="1" t="s">
        <v>55</v>
      </c>
    </row>
    <row r="30" spans="1:10" hidden="1" x14ac:dyDescent="0.25">
      <c r="A30" s="1" t="s">
        <v>146</v>
      </c>
      <c r="B30" s="1">
        <v>120</v>
      </c>
      <c r="C30" s="1" t="s">
        <v>235</v>
      </c>
      <c r="D30" s="1" t="s">
        <v>234</v>
      </c>
      <c r="E30" s="1" t="s">
        <v>98</v>
      </c>
      <c r="F30" s="1" t="s">
        <v>149</v>
      </c>
      <c r="G30" s="1">
        <v>0</v>
      </c>
      <c r="I30" s="1" t="s">
        <v>155</v>
      </c>
      <c r="J30" s="1" t="s">
        <v>55</v>
      </c>
    </row>
    <row r="31" spans="1:10" hidden="1" x14ac:dyDescent="0.25">
      <c r="A31" s="1" t="s">
        <v>146</v>
      </c>
      <c r="B31" s="1">
        <v>121</v>
      </c>
      <c r="C31" s="1" t="s">
        <v>236</v>
      </c>
      <c r="D31" s="1" t="s">
        <v>234</v>
      </c>
      <c r="E31" s="1" t="s">
        <v>102</v>
      </c>
      <c r="F31" s="1" t="s">
        <v>149</v>
      </c>
      <c r="G31" s="1">
        <v>0</v>
      </c>
      <c r="I31" s="1" t="s">
        <v>155</v>
      </c>
      <c r="J31" s="1" t="s">
        <v>55</v>
      </c>
    </row>
    <row r="32" spans="1:10" hidden="1" x14ac:dyDescent="0.25">
      <c r="A32" s="1" t="s">
        <v>146</v>
      </c>
      <c r="B32" s="1">
        <v>123</v>
      </c>
      <c r="C32" s="1" t="s">
        <v>238</v>
      </c>
      <c r="D32" s="1" t="s">
        <v>157</v>
      </c>
      <c r="E32" s="1" t="s">
        <v>239</v>
      </c>
      <c r="F32" s="1" t="s">
        <v>149</v>
      </c>
      <c r="G32" s="1">
        <v>0</v>
      </c>
      <c r="I32" s="1" t="s">
        <v>155</v>
      </c>
      <c r="J32" s="1" t="s">
        <v>55</v>
      </c>
    </row>
    <row r="33" spans="1:10" x14ac:dyDescent="0.25">
      <c r="A33" s="1" t="s">
        <v>146</v>
      </c>
      <c r="B33" s="1">
        <v>124</v>
      </c>
      <c r="C33" s="1" t="s">
        <v>240</v>
      </c>
      <c r="D33" s="1" t="s">
        <v>241</v>
      </c>
      <c r="E33" s="1" t="s">
        <v>94</v>
      </c>
      <c r="F33" s="1" t="s">
        <v>149</v>
      </c>
      <c r="G33" s="1">
        <v>0</v>
      </c>
      <c r="I33" s="1" t="s">
        <v>155</v>
      </c>
      <c r="J33" s="1" t="s">
        <v>55</v>
      </c>
    </row>
    <row r="34" spans="1:10" hidden="1" x14ac:dyDescent="0.25">
      <c r="A34" s="1" t="s">
        <v>146</v>
      </c>
      <c r="B34" s="1">
        <v>125</v>
      </c>
      <c r="C34" s="1" t="s">
        <v>242</v>
      </c>
      <c r="D34" s="1" t="s">
        <v>241</v>
      </c>
      <c r="E34" s="1" t="s">
        <v>98</v>
      </c>
      <c r="F34" s="1" t="s">
        <v>149</v>
      </c>
      <c r="G34" s="1">
        <v>0</v>
      </c>
      <c r="I34" s="1" t="s">
        <v>155</v>
      </c>
      <c r="J34" s="1" t="s">
        <v>55</v>
      </c>
    </row>
    <row r="35" spans="1:10" hidden="1" x14ac:dyDescent="0.25">
      <c r="A35" s="1" t="s">
        <v>146</v>
      </c>
      <c r="B35" s="1">
        <v>126</v>
      </c>
      <c r="C35" s="1" t="s">
        <v>243</v>
      </c>
      <c r="D35" s="1" t="s">
        <v>241</v>
      </c>
      <c r="E35" s="1" t="s">
        <v>102</v>
      </c>
      <c r="F35" s="1" t="s">
        <v>149</v>
      </c>
      <c r="G35" s="1">
        <v>0</v>
      </c>
      <c r="I35" s="1" t="s">
        <v>155</v>
      </c>
      <c r="J35" s="1" t="s">
        <v>55</v>
      </c>
    </row>
    <row r="36" spans="1:10" hidden="1" x14ac:dyDescent="0.25">
      <c r="A36" s="1" t="s">
        <v>146</v>
      </c>
      <c r="B36" s="1">
        <v>128</v>
      </c>
      <c r="C36" s="1" t="s">
        <v>245</v>
      </c>
      <c r="D36" s="1" t="s">
        <v>157</v>
      </c>
      <c r="E36" s="1" t="s">
        <v>246</v>
      </c>
      <c r="F36" s="1" t="s">
        <v>149</v>
      </c>
      <c r="G36" s="1">
        <v>0</v>
      </c>
      <c r="I36" s="1" t="s">
        <v>155</v>
      </c>
      <c r="J36" s="1" t="s">
        <v>55</v>
      </c>
    </row>
    <row r="37" spans="1:10" x14ac:dyDescent="0.25">
      <c r="A37" s="1" t="s">
        <v>146</v>
      </c>
      <c r="B37" s="1">
        <v>129</v>
      </c>
      <c r="C37" s="1" t="s">
        <v>247</v>
      </c>
      <c r="D37" s="1" t="s">
        <v>248</v>
      </c>
      <c r="E37" s="1" t="s">
        <v>94</v>
      </c>
      <c r="F37" s="1" t="s">
        <v>149</v>
      </c>
      <c r="G37" s="1">
        <v>0</v>
      </c>
      <c r="I37" s="1" t="s">
        <v>155</v>
      </c>
      <c r="J37" s="1" t="s">
        <v>55</v>
      </c>
    </row>
    <row r="38" spans="1:10" hidden="1" x14ac:dyDescent="0.25">
      <c r="A38" s="1" t="s">
        <v>146</v>
      </c>
      <c r="B38" s="1">
        <v>130</v>
      </c>
      <c r="C38" s="1" t="s">
        <v>249</v>
      </c>
      <c r="D38" s="1" t="s">
        <v>248</v>
      </c>
      <c r="E38" s="1" t="s">
        <v>98</v>
      </c>
      <c r="F38" s="1" t="s">
        <v>149</v>
      </c>
      <c r="G38" s="1">
        <v>0</v>
      </c>
      <c r="I38" s="1" t="s">
        <v>155</v>
      </c>
      <c r="J38" s="1" t="s">
        <v>55</v>
      </c>
    </row>
    <row r="39" spans="1:10" hidden="1" x14ac:dyDescent="0.25">
      <c r="A39" s="1" t="s">
        <v>146</v>
      </c>
      <c r="B39" s="1">
        <v>131</v>
      </c>
      <c r="C39" s="1" t="s">
        <v>250</v>
      </c>
      <c r="D39" s="1" t="s">
        <v>248</v>
      </c>
      <c r="E39" s="1" t="s">
        <v>102</v>
      </c>
      <c r="F39" s="1" t="s">
        <v>149</v>
      </c>
      <c r="G39" s="1">
        <v>0</v>
      </c>
      <c r="I39" s="1" t="s">
        <v>155</v>
      </c>
      <c r="J39" s="1" t="s">
        <v>55</v>
      </c>
    </row>
    <row r="40" spans="1:10" hidden="1" x14ac:dyDescent="0.25">
      <c r="A40" s="1" t="s">
        <v>146</v>
      </c>
      <c r="B40" s="1">
        <v>217</v>
      </c>
      <c r="C40" s="1" t="s">
        <v>386</v>
      </c>
      <c r="D40" s="1" t="s">
        <v>382</v>
      </c>
      <c r="E40" s="1" t="s">
        <v>102</v>
      </c>
      <c r="F40" s="1" t="s">
        <v>149</v>
      </c>
      <c r="G40" s="1">
        <v>0</v>
      </c>
      <c r="I40" s="1" t="s">
        <v>377</v>
      </c>
      <c r="J40" s="1" t="s">
        <v>55</v>
      </c>
    </row>
    <row r="41" spans="1:10" hidden="1" x14ac:dyDescent="0.25">
      <c r="A41" s="1" t="s">
        <v>146</v>
      </c>
      <c r="B41" s="1">
        <v>218</v>
      </c>
      <c r="C41" s="1" t="s">
        <v>387</v>
      </c>
      <c r="D41" s="1" t="s">
        <v>382</v>
      </c>
      <c r="E41" s="1" t="s">
        <v>108</v>
      </c>
      <c r="F41" s="1" t="s">
        <v>149</v>
      </c>
      <c r="G41" s="1">
        <v>0</v>
      </c>
      <c r="I41" s="1" t="s">
        <v>377</v>
      </c>
      <c r="J41" s="1" t="s">
        <v>55</v>
      </c>
    </row>
    <row r="42" spans="1:10" hidden="1" x14ac:dyDescent="0.25">
      <c r="A42" s="1" t="s">
        <v>146</v>
      </c>
      <c r="B42" s="1">
        <v>236</v>
      </c>
      <c r="C42" s="1" t="s">
        <v>393</v>
      </c>
      <c r="D42" s="1" t="s">
        <v>392</v>
      </c>
      <c r="E42" s="1" t="s">
        <v>98</v>
      </c>
      <c r="F42" s="1" t="s">
        <v>149</v>
      </c>
      <c r="G42" s="1">
        <v>0</v>
      </c>
      <c r="I42" s="1" t="s">
        <v>377</v>
      </c>
      <c r="J42" s="1" t="s">
        <v>55</v>
      </c>
    </row>
    <row r="43" spans="1:10" hidden="1" x14ac:dyDescent="0.25">
      <c r="A43" s="1" t="s">
        <v>146</v>
      </c>
      <c r="B43" s="1">
        <v>237</v>
      </c>
      <c r="C43" s="1" t="s">
        <v>395</v>
      </c>
      <c r="D43" s="1" t="s">
        <v>392</v>
      </c>
      <c r="E43" s="1" t="s">
        <v>102</v>
      </c>
      <c r="F43" s="1" t="s">
        <v>149</v>
      </c>
      <c r="G43" s="1">
        <v>0</v>
      </c>
      <c r="I43" s="1" t="s">
        <v>377</v>
      </c>
      <c r="J43" s="1" t="s">
        <v>55</v>
      </c>
    </row>
    <row r="44" spans="1:10" hidden="1" x14ac:dyDescent="0.25">
      <c r="A44" s="1" t="s">
        <v>151</v>
      </c>
      <c r="B44" s="1">
        <v>238</v>
      </c>
      <c r="C44" s="1" t="s">
        <v>397</v>
      </c>
      <c r="D44" s="1" t="s">
        <v>392</v>
      </c>
      <c r="E44" s="1" t="s">
        <v>108</v>
      </c>
      <c r="F44" s="1" t="s">
        <v>149</v>
      </c>
      <c r="G44" s="1">
        <v>0</v>
      </c>
      <c r="I44" s="1" t="s">
        <v>377</v>
      </c>
      <c r="J44" s="1" t="s">
        <v>55</v>
      </c>
    </row>
    <row r="45" spans="1:10" hidden="1" x14ac:dyDescent="0.25">
      <c r="A45" s="1" t="s">
        <v>146</v>
      </c>
      <c r="B45" s="1">
        <v>256</v>
      </c>
      <c r="C45" s="1" t="s">
        <v>416</v>
      </c>
      <c r="D45" s="1" t="s">
        <v>414</v>
      </c>
      <c r="E45" s="1" t="s">
        <v>98</v>
      </c>
      <c r="F45" s="1" t="s">
        <v>149</v>
      </c>
      <c r="G45" s="1">
        <v>0</v>
      </c>
      <c r="I45" s="1" t="s">
        <v>377</v>
      </c>
      <c r="J45" s="1" t="s">
        <v>55</v>
      </c>
    </row>
    <row r="46" spans="1:10" hidden="1" x14ac:dyDescent="0.25">
      <c r="A46" s="1" t="s">
        <v>151</v>
      </c>
      <c r="B46" s="1">
        <v>257</v>
      </c>
      <c r="C46" s="1" t="s">
        <v>417</v>
      </c>
      <c r="D46" s="1" t="s">
        <v>414</v>
      </c>
      <c r="E46" s="1" t="s">
        <v>102</v>
      </c>
      <c r="F46" s="1" t="s">
        <v>149</v>
      </c>
      <c r="G46" s="1">
        <v>0</v>
      </c>
      <c r="I46" s="1" t="s">
        <v>377</v>
      </c>
      <c r="J46" s="1" t="s">
        <v>55</v>
      </c>
    </row>
    <row r="47" spans="1:10" hidden="1" x14ac:dyDescent="0.25">
      <c r="A47" s="1" t="s">
        <v>151</v>
      </c>
      <c r="B47" s="1">
        <v>258</v>
      </c>
      <c r="C47" s="1" t="s">
        <v>419</v>
      </c>
      <c r="D47" s="1" t="s">
        <v>414</v>
      </c>
      <c r="E47" s="1" t="s">
        <v>108</v>
      </c>
      <c r="F47" s="1" t="s">
        <v>149</v>
      </c>
      <c r="G47" s="1">
        <v>0</v>
      </c>
      <c r="I47" s="1" t="s">
        <v>377</v>
      </c>
      <c r="J47" s="1" t="s">
        <v>55</v>
      </c>
    </row>
    <row r="48" spans="1:10" hidden="1" x14ac:dyDescent="0.25">
      <c r="A48" s="1" t="s">
        <v>146</v>
      </c>
      <c r="B48" s="1">
        <v>261</v>
      </c>
      <c r="C48" s="1" t="s">
        <v>424</v>
      </c>
      <c r="D48" s="1" t="s">
        <v>423</v>
      </c>
      <c r="E48" s="1" t="s">
        <v>98</v>
      </c>
      <c r="F48" s="1" t="s">
        <v>149</v>
      </c>
      <c r="G48" s="1">
        <v>0</v>
      </c>
      <c r="I48" s="1" t="s">
        <v>377</v>
      </c>
      <c r="J48" s="1" t="s">
        <v>55</v>
      </c>
    </row>
    <row r="49" spans="1:10" hidden="1" x14ac:dyDescent="0.25">
      <c r="A49" s="1" t="s">
        <v>151</v>
      </c>
      <c r="B49" s="1">
        <v>262</v>
      </c>
      <c r="C49" s="1" t="s">
        <v>425</v>
      </c>
      <c r="D49" s="1" t="s">
        <v>423</v>
      </c>
      <c r="E49" s="1" t="s">
        <v>102</v>
      </c>
      <c r="F49" s="1" t="s">
        <v>149</v>
      </c>
      <c r="G49" s="1">
        <v>0</v>
      </c>
      <c r="I49" s="1" t="s">
        <v>377</v>
      </c>
      <c r="J49" s="1" t="s">
        <v>55</v>
      </c>
    </row>
    <row r="50" spans="1:10" hidden="1" x14ac:dyDescent="0.25">
      <c r="A50" s="1" t="s">
        <v>151</v>
      </c>
      <c r="B50" s="1">
        <v>263</v>
      </c>
      <c r="C50" s="1" t="s">
        <v>426</v>
      </c>
      <c r="D50" s="1" t="s">
        <v>423</v>
      </c>
      <c r="E50" s="1" t="s">
        <v>108</v>
      </c>
      <c r="F50" s="1" t="s">
        <v>149</v>
      </c>
      <c r="G50" s="1">
        <v>0</v>
      </c>
      <c r="I50" s="1" t="s">
        <v>377</v>
      </c>
      <c r="J50" s="1" t="s">
        <v>55</v>
      </c>
    </row>
    <row r="51" spans="1:10" hidden="1" x14ac:dyDescent="0.25">
      <c r="A51" s="1" t="s">
        <v>146</v>
      </c>
      <c r="B51" s="1">
        <v>266</v>
      </c>
      <c r="C51" s="1" t="s">
        <v>431</v>
      </c>
      <c r="D51" s="1" t="s">
        <v>430</v>
      </c>
      <c r="E51" s="1" t="s">
        <v>98</v>
      </c>
      <c r="F51" s="1" t="s">
        <v>149</v>
      </c>
      <c r="G51" s="1">
        <v>0</v>
      </c>
      <c r="I51" s="1" t="s">
        <v>377</v>
      </c>
      <c r="J51" s="1" t="s">
        <v>55</v>
      </c>
    </row>
    <row r="52" spans="1:10" hidden="1" x14ac:dyDescent="0.25">
      <c r="A52" s="1" t="s">
        <v>151</v>
      </c>
      <c r="B52" s="1">
        <v>267</v>
      </c>
      <c r="C52" s="1" t="s">
        <v>432</v>
      </c>
      <c r="D52" s="1" t="s">
        <v>430</v>
      </c>
      <c r="E52" s="1" t="s">
        <v>102</v>
      </c>
      <c r="F52" s="1" t="s">
        <v>149</v>
      </c>
      <c r="G52" s="1">
        <v>0</v>
      </c>
      <c r="I52" s="1" t="s">
        <v>377</v>
      </c>
      <c r="J52" s="1" t="s">
        <v>55</v>
      </c>
    </row>
    <row r="53" spans="1:10" hidden="1" x14ac:dyDescent="0.25">
      <c r="A53" s="1" t="s">
        <v>151</v>
      </c>
      <c r="B53" s="1">
        <v>268</v>
      </c>
      <c r="C53" s="1" t="s">
        <v>433</v>
      </c>
      <c r="D53" s="1" t="s">
        <v>430</v>
      </c>
      <c r="E53" s="1" t="s">
        <v>108</v>
      </c>
      <c r="F53" s="1" t="s">
        <v>149</v>
      </c>
      <c r="G53" s="1">
        <v>0</v>
      </c>
      <c r="I53" s="1" t="s">
        <v>377</v>
      </c>
      <c r="J53" s="1" t="s">
        <v>55</v>
      </c>
    </row>
    <row r="54" spans="1:10" hidden="1" x14ac:dyDescent="0.25">
      <c r="A54" s="1" t="s">
        <v>146</v>
      </c>
      <c r="B54" s="1">
        <v>286</v>
      </c>
      <c r="C54" s="1" t="s">
        <v>438</v>
      </c>
      <c r="D54" s="1" t="s">
        <v>437</v>
      </c>
      <c r="E54" s="1" t="s">
        <v>98</v>
      </c>
      <c r="F54" s="1" t="s">
        <v>149</v>
      </c>
      <c r="G54" s="1">
        <v>0</v>
      </c>
      <c r="I54" s="1" t="s">
        <v>377</v>
      </c>
      <c r="J54" s="1" t="s">
        <v>55</v>
      </c>
    </row>
    <row r="55" spans="1:10" hidden="1" x14ac:dyDescent="0.25">
      <c r="A55" s="1" t="s">
        <v>151</v>
      </c>
      <c r="B55" s="1">
        <v>287</v>
      </c>
      <c r="C55" s="1" t="s">
        <v>439</v>
      </c>
      <c r="D55" s="1" t="s">
        <v>437</v>
      </c>
      <c r="E55" s="1" t="s">
        <v>102</v>
      </c>
      <c r="F55" s="1" t="s">
        <v>149</v>
      </c>
      <c r="G55" s="1">
        <v>0</v>
      </c>
      <c r="I55" s="1" t="s">
        <v>377</v>
      </c>
      <c r="J55" s="1" t="s">
        <v>55</v>
      </c>
    </row>
    <row r="56" spans="1:10" hidden="1" x14ac:dyDescent="0.25">
      <c r="A56" s="1" t="s">
        <v>151</v>
      </c>
      <c r="B56" s="1">
        <v>288</v>
      </c>
      <c r="C56" s="1" t="s">
        <v>440</v>
      </c>
      <c r="D56" s="1" t="s">
        <v>437</v>
      </c>
      <c r="E56" s="1" t="s">
        <v>108</v>
      </c>
      <c r="F56" s="1" t="s">
        <v>149</v>
      </c>
      <c r="G56" s="1">
        <v>0</v>
      </c>
      <c r="I56" s="1" t="s">
        <v>377</v>
      </c>
      <c r="J56" s="1" t="s">
        <v>55</v>
      </c>
    </row>
    <row r="57" spans="1:10" hidden="1" x14ac:dyDescent="0.25">
      <c r="A57" s="1" t="s">
        <v>146</v>
      </c>
      <c r="B57" s="1">
        <v>291</v>
      </c>
      <c r="C57" s="1" t="s">
        <v>445</v>
      </c>
      <c r="D57" s="1" t="s">
        <v>444</v>
      </c>
      <c r="E57" s="1" t="s">
        <v>98</v>
      </c>
      <c r="F57" s="1" t="s">
        <v>149</v>
      </c>
      <c r="G57" s="1">
        <v>0</v>
      </c>
      <c r="I57" s="1" t="s">
        <v>377</v>
      </c>
      <c r="J57" s="1" t="s">
        <v>55</v>
      </c>
    </row>
    <row r="58" spans="1:10" hidden="1" x14ac:dyDescent="0.25">
      <c r="A58" s="1" t="s">
        <v>151</v>
      </c>
      <c r="B58" s="1">
        <v>292</v>
      </c>
      <c r="C58" s="1" t="s">
        <v>446</v>
      </c>
      <c r="D58" s="1" t="s">
        <v>444</v>
      </c>
      <c r="E58" s="1" t="s">
        <v>102</v>
      </c>
      <c r="F58" s="1" t="s">
        <v>149</v>
      </c>
      <c r="G58" s="1">
        <v>0</v>
      </c>
      <c r="I58" s="1" t="s">
        <v>377</v>
      </c>
      <c r="J58" s="1" t="s">
        <v>55</v>
      </c>
    </row>
    <row r="59" spans="1:10" hidden="1" x14ac:dyDescent="0.25">
      <c r="A59" s="1" t="s">
        <v>151</v>
      </c>
      <c r="B59" s="1">
        <v>293</v>
      </c>
      <c r="C59" s="1" t="s">
        <v>447</v>
      </c>
      <c r="D59" s="1" t="s">
        <v>444</v>
      </c>
      <c r="E59" s="1" t="s">
        <v>108</v>
      </c>
      <c r="F59" s="1" t="s">
        <v>149</v>
      </c>
      <c r="G59" s="1">
        <v>0</v>
      </c>
      <c r="I59" s="1" t="s">
        <v>377</v>
      </c>
      <c r="J59" s="1" t="s">
        <v>55</v>
      </c>
    </row>
    <row r="60" spans="1:10" hidden="1" x14ac:dyDescent="0.25">
      <c r="A60" s="1" t="s">
        <v>146</v>
      </c>
      <c r="B60" s="1">
        <v>296</v>
      </c>
      <c r="C60" s="1" t="s">
        <v>452</v>
      </c>
      <c r="D60" s="1" t="s">
        <v>451</v>
      </c>
      <c r="E60" s="1" t="s">
        <v>98</v>
      </c>
      <c r="F60" s="1" t="s">
        <v>149</v>
      </c>
      <c r="G60" s="1">
        <v>0</v>
      </c>
      <c r="I60" s="1" t="s">
        <v>377</v>
      </c>
      <c r="J60" s="1" t="s">
        <v>55</v>
      </c>
    </row>
    <row r="61" spans="1:10" hidden="1" x14ac:dyDescent="0.25">
      <c r="A61" s="1" t="s">
        <v>151</v>
      </c>
      <c r="B61" s="1">
        <v>297</v>
      </c>
      <c r="C61" s="1" t="s">
        <v>453</v>
      </c>
      <c r="D61" s="1" t="s">
        <v>451</v>
      </c>
      <c r="E61" s="1" t="s">
        <v>102</v>
      </c>
      <c r="F61" s="1" t="s">
        <v>149</v>
      </c>
      <c r="G61" s="1">
        <v>0</v>
      </c>
      <c r="I61" s="1" t="s">
        <v>377</v>
      </c>
      <c r="J61" s="1" t="s">
        <v>55</v>
      </c>
    </row>
    <row r="62" spans="1:10" hidden="1" x14ac:dyDescent="0.25">
      <c r="A62" s="1" t="s">
        <v>151</v>
      </c>
      <c r="B62" s="1">
        <v>298</v>
      </c>
      <c r="C62" s="1" t="s">
        <v>454</v>
      </c>
      <c r="D62" s="1" t="s">
        <v>451</v>
      </c>
      <c r="E62" s="1" t="s">
        <v>108</v>
      </c>
      <c r="F62" s="1" t="s">
        <v>149</v>
      </c>
      <c r="G62" s="1">
        <v>0</v>
      </c>
      <c r="I62" s="1" t="s">
        <v>377</v>
      </c>
      <c r="J62" s="1" t="s">
        <v>55</v>
      </c>
    </row>
    <row r="63" spans="1:10" hidden="1" x14ac:dyDescent="0.25">
      <c r="A63" s="1" t="s">
        <v>146</v>
      </c>
      <c r="B63" s="1">
        <v>301</v>
      </c>
      <c r="C63" s="1" t="s">
        <v>459</v>
      </c>
      <c r="D63" s="1" t="s">
        <v>458</v>
      </c>
      <c r="E63" s="1" t="s">
        <v>98</v>
      </c>
      <c r="F63" s="1" t="s">
        <v>149</v>
      </c>
      <c r="G63" s="1">
        <v>0</v>
      </c>
      <c r="I63" s="1" t="s">
        <v>377</v>
      </c>
      <c r="J63" s="1" t="s">
        <v>55</v>
      </c>
    </row>
    <row r="64" spans="1:10" hidden="1" x14ac:dyDescent="0.25">
      <c r="A64" s="1" t="s">
        <v>151</v>
      </c>
      <c r="B64" s="1">
        <v>302</v>
      </c>
      <c r="C64" s="1" t="s">
        <v>461</v>
      </c>
      <c r="D64" s="1" t="s">
        <v>458</v>
      </c>
      <c r="E64" s="1" t="s">
        <v>102</v>
      </c>
      <c r="F64" s="1" t="s">
        <v>149</v>
      </c>
      <c r="G64" s="1">
        <v>0</v>
      </c>
      <c r="I64" s="1" t="s">
        <v>377</v>
      </c>
      <c r="J64" s="1" t="s">
        <v>55</v>
      </c>
    </row>
    <row r="65" spans="1:10" hidden="1" x14ac:dyDescent="0.25">
      <c r="A65" s="1" t="s">
        <v>151</v>
      </c>
      <c r="B65" s="1">
        <v>303</v>
      </c>
      <c r="C65" s="1" t="s">
        <v>463</v>
      </c>
      <c r="D65" s="1" t="s">
        <v>458</v>
      </c>
      <c r="E65" s="1" t="s">
        <v>108</v>
      </c>
      <c r="F65" s="1" t="s">
        <v>149</v>
      </c>
      <c r="G65" s="1">
        <v>0</v>
      </c>
      <c r="I65" s="1" t="s">
        <v>377</v>
      </c>
      <c r="J65" s="1" t="s">
        <v>55</v>
      </c>
    </row>
    <row r="66" spans="1:10" hidden="1" x14ac:dyDescent="0.25">
      <c r="A66" s="1" t="s">
        <v>146</v>
      </c>
      <c r="B66" s="1">
        <v>306</v>
      </c>
      <c r="C66" s="1" t="s">
        <v>469</v>
      </c>
      <c r="D66" s="1" t="s">
        <v>468</v>
      </c>
      <c r="E66" s="1" t="s">
        <v>98</v>
      </c>
      <c r="F66" s="1" t="s">
        <v>149</v>
      </c>
      <c r="G66" s="1">
        <v>0</v>
      </c>
      <c r="I66" s="1" t="s">
        <v>377</v>
      </c>
      <c r="J66" s="1" t="s">
        <v>55</v>
      </c>
    </row>
    <row r="67" spans="1:10" hidden="1" x14ac:dyDescent="0.25">
      <c r="A67" s="1" t="s">
        <v>151</v>
      </c>
      <c r="B67" s="1">
        <v>307</v>
      </c>
      <c r="C67" s="1" t="s">
        <v>470</v>
      </c>
      <c r="D67" s="1" t="s">
        <v>468</v>
      </c>
      <c r="E67" s="1" t="s">
        <v>102</v>
      </c>
      <c r="F67" s="1" t="s">
        <v>149</v>
      </c>
      <c r="G67" s="1">
        <v>0</v>
      </c>
      <c r="I67" s="1" t="s">
        <v>377</v>
      </c>
      <c r="J67" s="1" t="s">
        <v>55</v>
      </c>
    </row>
    <row r="68" spans="1:10" hidden="1" x14ac:dyDescent="0.25">
      <c r="A68" s="1" t="s">
        <v>151</v>
      </c>
      <c r="B68" s="1">
        <v>308</v>
      </c>
      <c r="C68" s="1" t="s">
        <v>471</v>
      </c>
      <c r="D68" s="1" t="s">
        <v>468</v>
      </c>
      <c r="E68" s="1" t="s">
        <v>108</v>
      </c>
      <c r="F68" s="1" t="s">
        <v>149</v>
      </c>
      <c r="G68" s="1">
        <v>0</v>
      </c>
      <c r="I68" s="1" t="s">
        <v>377</v>
      </c>
      <c r="J68" s="1" t="s">
        <v>55</v>
      </c>
    </row>
    <row r="69" spans="1:10" hidden="1" x14ac:dyDescent="0.25">
      <c r="A69" s="1" t="s">
        <v>146</v>
      </c>
      <c r="B69" s="1">
        <v>311</v>
      </c>
      <c r="C69" s="1" t="s">
        <v>476</v>
      </c>
      <c r="D69" s="1" t="s">
        <v>475</v>
      </c>
      <c r="E69" s="1" t="s">
        <v>98</v>
      </c>
      <c r="F69" s="1" t="s">
        <v>149</v>
      </c>
      <c r="G69" s="1">
        <v>0</v>
      </c>
      <c r="I69" s="1" t="s">
        <v>377</v>
      </c>
      <c r="J69" s="1" t="s">
        <v>55</v>
      </c>
    </row>
    <row r="70" spans="1:10" hidden="1" x14ac:dyDescent="0.25">
      <c r="A70" s="1" t="s">
        <v>151</v>
      </c>
      <c r="B70" s="1">
        <v>312</v>
      </c>
      <c r="C70" s="1" t="s">
        <v>477</v>
      </c>
      <c r="D70" s="1" t="s">
        <v>475</v>
      </c>
      <c r="E70" s="1" t="s">
        <v>102</v>
      </c>
      <c r="F70" s="1" t="s">
        <v>149</v>
      </c>
      <c r="G70" s="1">
        <v>0</v>
      </c>
      <c r="I70" s="1" t="s">
        <v>377</v>
      </c>
      <c r="J70" s="1" t="s">
        <v>55</v>
      </c>
    </row>
    <row r="71" spans="1:10" hidden="1" x14ac:dyDescent="0.25">
      <c r="A71" s="1" t="s">
        <v>151</v>
      </c>
      <c r="B71" s="1">
        <v>313</v>
      </c>
      <c r="C71" s="1" t="s">
        <v>478</v>
      </c>
      <c r="D71" s="1" t="s">
        <v>475</v>
      </c>
      <c r="E71" s="1" t="s">
        <v>108</v>
      </c>
      <c r="F71" s="1" t="s">
        <v>149</v>
      </c>
      <c r="G71" s="1">
        <v>0</v>
      </c>
      <c r="I71" s="1" t="s">
        <v>377</v>
      </c>
      <c r="J71" s="1" t="s">
        <v>55</v>
      </c>
    </row>
    <row r="72" spans="1:10" hidden="1" x14ac:dyDescent="0.25">
      <c r="A72" s="1" t="s">
        <v>151</v>
      </c>
      <c r="B72" s="1">
        <v>317</v>
      </c>
      <c r="C72" s="1" t="s">
        <v>484</v>
      </c>
      <c r="D72" s="1" t="s">
        <v>482</v>
      </c>
      <c r="E72" s="1" t="s">
        <v>102</v>
      </c>
      <c r="F72" s="1" t="s">
        <v>149</v>
      </c>
      <c r="G72" s="1">
        <v>0</v>
      </c>
      <c r="I72" s="1" t="s">
        <v>377</v>
      </c>
      <c r="J72" s="1" t="s">
        <v>55</v>
      </c>
    </row>
    <row r="73" spans="1:10" hidden="1" x14ac:dyDescent="0.25">
      <c r="A73" s="1" t="s">
        <v>151</v>
      </c>
      <c r="B73" s="1">
        <v>318</v>
      </c>
      <c r="C73" s="1" t="s">
        <v>485</v>
      </c>
      <c r="D73" s="1" t="s">
        <v>482</v>
      </c>
      <c r="E73" s="1" t="s">
        <v>108</v>
      </c>
      <c r="F73" s="1" t="s">
        <v>149</v>
      </c>
      <c r="G73" s="1">
        <v>0</v>
      </c>
      <c r="I73" s="1" t="s">
        <v>377</v>
      </c>
      <c r="J73" s="1" t="s">
        <v>55</v>
      </c>
    </row>
    <row r="74" spans="1:10" hidden="1" x14ac:dyDescent="0.25">
      <c r="A74" s="1" t="s">
        <v>146</v>
      </c>
      <c r="B74" s="1">
        <v>332</v>
      </c>
      <c r="C74" s="1" t="s">
        <v>498</v>
      </c>
      <c r="D74" s="1" t="s">
        <v>495</v>
      </c>
      <c r="E74" s="1" t="s">
        <v>98</v>
      </c>
      <c r="F74" s="1" t="s">
        <v>149</v>
      </c>
      <c r="G74" s="1">
        <v>0</v>
      </c>
      <c r="I74" s="1" t="s">
        <v>489</v>
      </c>
      <c r="J74" s="1" t="s">
        <v>55</v>
      </c>
    </row>
    <row r="75" spans="1:10" hidden="1" x14ac:dyDescent="0.25">
      <c r="A75" s="1" t="s">
        <v>146</v>
      </c>
      <c r="B75" s="1">
        <v>333</v>
      </c>
      <c r="C75" s="1" t="s">
        <v>499</v>
      </c>
      <c r="D75" s="1" t="s">
        <v>495</v>
      </c>
      <c r="E75" s="1" t="s">
        <v>102</v>
      </c>
      <c r="F75" s="1" t="s">
        <v>149</v>
      </c>
      <c r="G75" s="1">
        <v>0</v>
      </c>
      <c r="I75" s="1" t="s">
        <v>489</v>
      </c>
      <c r="J75" s="1" t="s">
        <v>55</v>
      </c>
    </row>
    <row r="76" spans="1:10" hidden="1" x14ac:dyDescent="0.25">
      <c r="A76" s="1" t="s">
        <v>146</v>
      </c>
      <c r="B76" s="1">
        <v>334</v>
      </c>
      <c r="C76" s="1" t="s">
        <v>501</v>
      </c>
      <c r="D76" s="1" t="s">
        <v>495</v>
      </c>
      <c r="E76" s="1" t="s">
        <v>108</v>
      </c>
      <c r="F76" s="1" t="s">
        <v>149</v>
      </c>
      <c r="G76" s="1">
        <v>0</v>
      </c>
      <c r="I76" s="1" t="s">
        <v>489</v>
      </c>
      <c r="J76" s="1" t="s">
        <v>55</v>
      </c>
    </row>
    <row r="77" spans="1:10" hidden="1" x14ac:dyDescent="0.25">
      <c r="A77" s="1" t="s">
        <v>151</v>
      </c>
      <c r="B77" s="1">
        <v>335</v>
      </c>
      <c r="C77" s="1" t="s">
        <v>503</v>
      </c>
      <c r="D77" s="1" t="s">
        <v>491</v>
      </c>
      <c r="E77" s="1" t="s">
        <v>504</v>
      </c>
      <c r="F77" s="1" t="s">
        <v>149</v>
      </c>
      <c r="G77" s="1">
        <v>0</v>
      </c>
      <c r="I77" s="1" t="s">
        <v>489</v>
      </c>
      <c r="J77" s="1" t="s">
        <v>55</v>
      </c>
    </row>
    <row r="78" spans="1:10" x14ac:dyDescent="0.25">
      <c r="A78" s="1" t="s">
        <v>151</v>
      </c>
      <c r="B78" s="1">
        <v>336</v>
      </c>
      <c r="C78" s="1" t="s">
        <v>506</v>
      </c>
      <c r="D78" s="1" t="s">
        <v>507</v>
      </c>
      <c r="E78" s="1" t="s">
        <v>94</v>
      </c>
      <c r="F78" s="1" t="s">
        <v>149</v>
      </c>
      <c r="G78" s="1">
        <v>0</v>
      </c>
      <c r="I78" s="1" t="s">
        <v>489</v>
      </c>
      <c r="J78" s="1" t="s">
        <v>55</v>
      </c>
    </row>
    <row r="79" spans="1:10" hidden="1" x14ac:dyDescent="0.25">
      <c r="A79" s="1" t="s">
        <v>151</v>
      </c>
      <c r="B79" s="1">
        <v>337</v>
      </c>
      <c r="C79" s="1" t="s">
        <v>508</v>
      </c>
      <c r="D79" s="1" t="s">
        <v>507</v>
      </c>
      <c r="E79" s="1" t="s">
        <v>98</v>
      </c>
      <c r="F79" s="1" t="s">
        <v>149</v>
      </c>
      <c r="G79" s="1">
        <v>0</v>
      </c>
      <c r="I79" s="1" t="s">
        <v>489</v>
      </c>
      <c r="J79" s="1" t="s">
        <v>55</v>
      </c>
    </row>
    <row r="80" spans="1:10" hidden="1" x14ac:dyDescent="0.25">
      <c r="A80" s="1" t="s">
        <v>151</v>
      </c>
      <c r="B80" s="1">
        <v>338</v>
      </c>
      <c r="C80" s="1" t="s">
        <v>509</v>
      </c>
      <c r="D80" s="1" t="s">
        <v>507</v>
      </c>
      <c r="E80" s="1" t="s">
        <v>102</v>
      </c>
      <c r="F80" s="1" t="s">
        <v>149</v>
      </c>
      <c r="G80" s="1">
        <v>0</v>
      </c>
      <c r="I80" s="1" t="s">
        <v>489</v>
      </c>
      <c r="J80" s="1" t="s">
        <v>55</v>
      </c>
    </row>
    <row r="81" spans="1:10" hidden="1" x14ac:dyDescent="0.25">
      <c r="A81" s="1" t="s">
        <v>178</v>
      </c>
      <c r="B81" s="1">
        <v>347</v>
      </c>
      <c r="C81" s="1" t="s">
        <v>518</v>
      </c>
      <c r="D81" s="1" t="s">
        <v>515</v>
      </c>
      <c r="E81" s="1" t="s">
        <v>98</v>
      </c>
      <c r="F81" s="1" t="s">
        <v>149</v>
      </c>
      <c r="G81" s="1">
        <v>0</v>
      </c>
      <c r="I81" s="1" t="s">
        <v>489</v>
      </c>
      <c r="J81" s="1" t="s">
        <v>55</v>
      </c>
    </row>
    <row r="82" spans="1:10" hidden="1" x14ac:dyDescent="0.25">
      <c r="A82" s="1" t="s">
        <v>178</v>
      </c>
      <c r="B82" s="1">
        <v>348</v>
      </c>
      <c r="C82" s="1" t="s">
        <v>519</v>
      </c>
      <c r="D82" s="1" t="s">
        <v>515</v>
      </c>
      <c r="E82" s="1" t="s">
        <v>102</v>
      </c>
      <c r="F82" s="1" t="s">
        <v>149</v>
      </c>
      <c r="G82" s="1">
        <v>0</v>
      </c>
      <c r="I82" s="1" t="s">
        <v>489</v>
      </c>
      <c r="J82" s="1" t="s">
        <v>55</v>
      </c>
    </row>
    <row r="83" spans="1:10" hidden="1" x14ac:dyDescent="0.25">
      <c r="A83" s="1" t="s">
        <v>178</v>
      </c>
      <c r="B83" s="1">
        <v>349</v>
      </c>
      <c r="C83" s="1" t="s">
        <v>520</v>
      </c>
      <c r="D83" s="1" t="s">
        <v>515</v>
      </c>
      <c r="E83" s="1" t="s">
        <v>108</v>
      </c>
      <c r="F83" s="1" t="s">
        <v>149</v>
      </c>
      <c r="G83" s="1">
        <v>0</v>
      </c>
      <c r="I83" s="1" t="s">
        <v>489</v>
      </c>
      <c r="J83" s="1" t="s">
        <v>55</v>
      </c>
    </row>
    <row r="84" spans="1:10" hidden="1" x14ac:dyDescent="0.25">
      <c r="A84" s="1" t="s">
        <v>146</v>
      </c>
      <c r="B84" s="1">
        <v>350</v>
      </c>
      <c r="C84" s="1" t="s">
        <v>521</v>
      </c>
      <c r="D84" s="1" t="s">
        <v>491</v>
      </c>
      <c r="E84" s="1" t="s">
        <v>522</v>
      </c>
      <c r="F84" s="1" t="s">
        <v>149</v>
      </c>
      <c r="G84" s="1">
        <v>0</v>
      </c>
      <c r="I84" s="1" t="s">
        <v>489</v>
      </c>
      <c r="J84" s="1" t="s">
        <v>55</v>
      </c>
    </row>
    <row r="85" spans="1:10" x14ac:dyDescent="0.25">
      <c r="A85" s="1" t="s">
        <v>146</v>
      </c>
      <c r="B85" s="1">
        <v>351</v>
      </c>
      <c r="C85" s="1" t="s">
        <v>523</v>
      </c>
      <c r="D85" s="1" t="s">
        <v>524</v>
      </c>
      <c r="E85" s="1" t="s">
        <v>94</v>
      </c>
      <c r="F85" s="1" t="s">
        <v>149</v>
      </c>
      <c r="G85" s="1">
        <v>0</v>
      </c>
      <c r="I85" s="1" t="s">
        <v>489</v>
      </c>
      <c r="J85" s="1" t="s">
        <v>55</v>
      </c>
    </row>
    <row r="86" spans="1:10" hidden="1" x14ac:dyDescent="0.25">
      <c r="A86" s="1" t="s">
        <v>146</v>
      </c>
      <c r="B86" s="1">
        <v>355</v>
      </c>
      <c r="C86" s="1" t="s">
        <v>529</v>
      </c>
      <c r="D86" s="1" t="s">
        <v>491</v>
      </c>
      <c r="E86" s="1" t="s">
        <v>530</v>
      </c>
      <c r="F86" s="1" t="s">
        <v>149</v>
      </c>
      <c r="G86" s="1">
        <v>0</v>
      </c>
      <c r="I86" s="1" t="s">
        <v>489</v>
      </c>
      <c r="J86" s="1" t="s">
        <v>55</v>
      </c>
    </row>
    <row r="87" spans="1:10" x14ac:dyDescent="0.25">
      <c r="A87" s="1" t="s">
        <v>146</v>
      </c>
      <c r="B87" s="1">
        <v>356</v>
      </c>
      <c r="C87" s="1" t="s">
        <v>531</v>
      </c>
      <c r="D87" s="1" t="s">
        <v>532</v>
      </c>
      <c r="E87" s="1" t="s">
        <v>94</v>
      </c>
      <c r="F87" s="1" t="s">
        <v>149</v>
      </c>
      <c r="G87" s="1">
        <v>0</v>
      </c>
      <c r="I87" s="1" t="s">
        <v>489</v>
      </c>
      <c r="J87" s="1" t="s">
        <v>55</v>
      </c>
    </row>
    <row r="88" spans="1:10" hidden="1" x14ac:dyDescent="0.25">
      <c r="A88" s="1" t="s">
        <v>146</v>
      </c>
      <c r="B88" s="1">
        <v>360</v>
      </c>
      <c r="C88" s="1" t="s">
        <v>536</v>
      </c>
      <c r="D88" s="1" t="s">
        <v>491</v>
      </c>
      <c r="E88" s="1" t="s">
        <v>537</v>
      </c>
      <c r="F88" s="1" t="s">
        <v>149</v>
      </c>
      <c r="G88" s="1">
        <v>0</v>
      </c>
      <c r="I88" s="1" t="s">
        <v>489</v>
      </c>
      <c r="J88" s="1" t="s">
        <v>55</v>
      </c>
    </row>
    <row r="89" spans="1:10" x14ac:dyDescent="0.25">
      <c r="A89" s="1" t="s">
        <v>146</v>
      </c>
      <c r="B89" s="1">
        <v>361</v>
      </c>
      <c r="C89" s="1" t="s">
        <v>538</v>
      </c>
      <c r="D89" s="1" t="s">
        <v>539</v>
      </c>
      <c r="E89" s="1" t="s">
        <v>94</v>
      </c>
      <c r="F89" s="1" t="s">
        <v>149</v>
      </c>
      <c r="G89" s="1">
        <v>0</v>
      </c>
      <c r="I89" s="1" t="s">
        <v>489</v>
      </c>
      <c r="J89" s="1" t="s">
        <v>55</v>
      </c>
    </row>
    <row r="90" spans="1:10" hidden="1" x14ac:dyDescent="0.25">
      <c r="A90" s="1" t="s">
        <v>146</v>
      </c>
      <c r="B90" s="1">
        <v>365</v>
      </c>
      <c r="C90" s="1" t="s">
        <v>543</v>
      </c>
      <c r="D90" s="1" t="s">
        <v>491</v>
      </c>
      <c r="E90" s="1" t="s">
        <v>544</v>
      </c>
      <c r="F90" s="1" t="s">
        <v>149</v>
      </c>
      <c r="G90" s="1">
        <v>0</v>
      </c>
      <c r="I90" s="1" t="s">
        <v>489</v>
      </c>
      <c r="J90" s="1" t="s">
        <v>55</v>
      </c>
    </row>
    <row r="91" spans="1:10" x14ac:dyDescent="0.25">
      <c r="A91" s="1" t="s">
        <v>146</v>
      </c>
      <c r="B91" s="1">
        <v>366</v>
      </c>
      <c r="C91" s="1" t="s">
        <v>545</v>
      </c>
      <c r="D91" s="1" t="s">
        <v>546</v>
      </c>
      <c r="E91" s="1" t="s">
        <v>94</v>
      </c>
      <c r="F91" s="1" t="s">
        <v>149</v>
      </c>
      <c r="G91" s="1">
        <v>0</v>
      </c>
      <c r="I91" s="1" t="s">
        <v>489</v>
      </c>
      <c r="J91" s="1" t="s">
        <v>55</v>
      </c>
    </row>
    <row r="92" spans="1:10" hidden="1" x14ac:dyDescent="0.25">
      <c r="A92" s="1" t="s">
        <v>146</v>
      </c>
      <c r="B92" s="1">
        <v>370</v>
      </c>
      <c r="C92" s="1" t="s">
        <v>550</v>
      </c>
      <c r="D92" s="1" t="s">
        <v>491</v>
      </c>
      <c r="E92" s="1" t="s">
        <v>551</v>
      </c>
      <c r="F92" s="1" t="s">
        <v>149</v>
      </c>
      <c r="G92" s="1">
        <v>0</v>
      </c>
      <c r="I92" s="1" t="s">
        <v>489</v>
      </c>
      <c r="J92" s="1" t="s">
        <v>55</v>
      </c>
    </row>
    <row r="93" spans="1:10" x14ac:dyDescent="0.25">
      <c r="A93" s="1" t="s">
        <v>146</v>
      </c>
      <c r="B93" s="1">
        <v>371</v>
      </c>
      <c r="C93" s="1" t="s">
        <v>552</v>
      </c>
      <c r="D93" s="1" t="s">
        <v>553</v>
      </c>
      <c r="E93" s="1" t="s">
        <v>94</v>
      </c>
      <c r="F93" s="1" t="s">
        <v>149</v>
      </c>
      <c r="G93" s="1">
        <v>0</v>
      </c>
      <c r="I93" s="1" t="s">
        <v>489</v>
      </c>
      <c r="J93" s="1" t="s">
        <v>55</v>
      </c>
    </row>
    <row r="94" spans="1:10" hidden="1" x14ac:dyDescent="0.25">
      <c r="A94" s="1" t="s">
        <v>146</v>
      </c>
      <c r="B94" s="1">
        <v>375</v>
      </c>
      <c r="C94" s="1" t="s">
        <v>557</v>
      </c>
      <c r="D94" s="1" t="s">
        <v>491</v>
      </c>
      <c r="E94" s="1" t="s">
        <v>558</v>
      </c>
      <c r="F94" s="1" t="s">
        <v>149</v>
      </c>
      <c r="G94" s="1">
        <v>0</v>
      </c>
      <c r="I94" s="1" t="s">
        <v>489</v>
      </c>
      <c r="J94" s="1" t="s">
        <v>55</v>
      </c>
    </row>
    <row r="95" spans="1:10" x14ac:dyDescent="0.25">
      <c r="A95" s="1" t="s">
        <v>146</v>
      </c>
      <c r="B95" s="1">
        <v>376</v>
      </c>
      <c r="C95" s="1" t="s">
        <v>559</v>
      </c>
      <c r="D95" s="1" t="s">
        <v>560</v>
      </c>
      <c r="E95" s="1" t="s">
        <v>94</v>
      </c>
      <c r="F95" s="1" t="s">
        <v>149</v>
      </c>
      <c r="G95" s="1">
        <v>0</v>
      </c>
      <c r="I95" s="1" t="s">
        <v>489</v>
      </c>
      <c r="J95" s="1" t="s">
        <v>55</v>
      </c>
    </row>
    <row r="96" spans="1:10" hidden="1" x14ac:dyDescent="0.25">
      <c r="A96" s="1" t="s">
        <v>146</v>
      </c>
      <c r="B96" s="1">
        <v>380</v>
      </c>
      <c r="C96" s="1" t="s">
        <v>564</v>
      </c>
      <c r="D96" s="1" t="s">
        <v>491</v>
      </c>
      <c r="E96" s="1" t="s">
        <v>565</v>
      </c>
      <c r="F96" s="1" t="s">
        <v>149</v>
      </c>
      <c r="G96" s="1">
        <v>0</v>
      </c>
      <c r="I96" s="1" t="s">
        <v>489</v>
      </c>
      <c r="J96" s="1" t="s">
        <v>55</v>
      </c>
    </row>
    <row r="97" spans="1:10" x14ac:dyDescent="0.25">
      <c r="A97" s="1" t="s">
        <v>146</v>
      </c>
      <c r="B97" s="1">
        <v>381</v>
      </c>
      <c r="C97" s="1" t="s">
        <v>566</v>
      </c>
      <c r="D97" s="1" t="s">
        <v>567</v>
      </c>
      <c r="E97" s="1" t="s">
        <v>94</v>
      </c>
      <c r="F97" s="1" t="s">
        <v>149</v>
      </c>
      <c r="G97" s="1">
        <v>0</v>
      </c>
      <c r="I97" s="1" t="s">
        <v>489</v>
      </c>
      <c r="J97" s="1" t="s">
        <v>55</v>
      </c>
    </row>
    <row r="98" spans="1:10" hidden="1" x14ac:dyDescent="0.25">
      <c r="A98" s="1" t="s">
        <v>146</v>
      </c>
      <c r="B98" s="1">
        <v>385</v>
      </c>
      <c r="C98" s="1" t="s">
        <v>571</v>
      </c>
      <c r="D98" s="1" t="s">
        <v>491</v>
      </c>
      <c r="E98" s="1" t="s">
        <v>572</v>
      </c>
      <c r="F98" s="1" t="s">
        <v>149</v>
      </c>
      <c r="G98" s="1">
        <v>0</v>
      </c>
      <c r="I98" s="1" t="s">
        <v>489</v>
      </c>
      <c r="J98" s="1" t="s">
        <v>55</v>
      </c>
    </row>
    <row r="99" spans="1:10" x14ac:dyDescent="0.25">
      <c r="A99" s="1" t="s">
        <v>146</v>
      </c>
      <c r="B99" s="1">
        <v>386</v>
      </c>
      <c r="C99" s="1" t="s">
        <v>573</v>
      </c>
      <c r="D99" s="1" t="s">
        <v>574</v>
      </c>
      <c r="E99" s="1" t="s">
        <v>94</v>
      </c>
      <c r="F99" s="1" t="s">
        <v>149</v>
      </c>
      <c r="G99" s="1">
        <v>0</v>
      </c>
      <c r="I99" s="1" t="s">
        <v>489</v>
      </c>
      <c r="J99" s="1" t="s">
        <v>55</v>
      </c>
    </row>
    <row r="100" spans="1:10" hidden="1" x14ac:dyDescent="0.25">
      <c r="A100" s="1" t="s">
        <v>146</v>
      </c>
      <c r="B100" s="1">
        <v>390</v>
      </c>
      <c r="C100" s="1" t="s">
        <v>578</v>
      </c>
      <c r="D100" s="1" t="s">
        <v>491</v>
      </c>
      <c r="E100" s="1" t="s">
        <v>579</v>
      </c>
      <c r="F100" s="1" t="s">
        <v>149</v>
      </c>
      <c r="G100" s="1">
        <v>0</v>
      </c>
      <c r="I100" s="1" t="s">
        <v>489</v>
      </c>
      <c r="J100" s="1" t="s">
        <v>55</v>
      </c>
    </row>
    <row r="101" spans="1:10" x14ac:dyDescent="0.25">
      <c r="A101" s="1" t="s">
        <v>146</v>
      </c>
      <c r="B101" s="1">
        <v>391</v>
      </c>
      <c r="C101" s="1" t="s">
        <v>580</v>
      </c>
      <c r="D101" s="1" t="s">
        <v>581</v>
      </c>
      <c r="E101" s="1" t="s">
        <v>94</v>
      </c>
      <c r="F101" s="1" t="s">
        <v>149</v>
      </c>
      <c r="G101" s="1">
        <v>0</v>
      </c>
      <c r="I101" s="1" t="s">
        <v>489</v>
      </c>
      <c r="J101" s="1" t="s">
        <v>55</v>
      </c>
    </row>
    <row r="102" spans="1:10" hidden="1" x14ac:dyDescent="0.25">
      <c r="A102" s="1" t="s">
        <v>146</v>
      </c>
      <c r="B102" s="1">
        <v>395</v>
      </c>
      <c r="C102" s="1" t="s">
        <v>585</v>
      </c>
      <c r="D102" s="1" t="s">
        <v>491</v>
      </c>
      <c r="E102" s="1" t="s">
        <v>586</v>
      </c>
      <c r="F102" s="1" t="s">
        <v>149</v>
      </c>
      <c r="G102" s="1">
        <v>0</v>
      </c>
      <c r="I102" s="1" t="s">
        <v>489</v>
      </c>
      <c r="J102" s="1" t="s">
        <v>55</v>
      </c>
    </row>
    <row r="103" spans="1:10" x14ac:dyDescent="0.25">
      <c r="A103" s="1" t="s">
        <v>146</v>
      </c>
      <c r="B103" s="1">
        <v>396</v>
      </c>
      <c r="C103" s="1" t="s">
        <v>587</v>
      </c>
      <c r="D103" s="1" t="s">
        <v>588</v>
      </c>
      <c r="E103" s="1" t="s">
        <v>94</v>
      </c>
      <c r="F103" s="1" t="s">
        <v>149</v>
      </c>
      <c r="G103" s="1">
        <v>0</v>
      </c>
      <c r="I103" s="1" t="s">
        <v>489</v>
      </c>
      <c r="J103" s="1" t="s">
        <v>55</v>
      </c>
    </row>
    <row r="104" spans="1:10" hidden="1" x14ac:dyDescent="0.25">
      <c r="A104" s="1" t="s">
        <v>151</v>
      </c>
      <c r="B104" s="1">
        <v>402</v>
      </c>
      <c r="C104" s="1" t="s">
        <v>599</v>
      </c>
      <c r="D104" s="1" t="s">
        <v>596</v>
      </c>
      <c r="E104" s="1" t="s">
        <v>98</v>
      </c>
      <c r="F104" s="1" t="s">
        <v>149</v>
      </c>
      <c r="G104" s="1">
        <v>0</v>
      </c>
      <c r="I104" s="1" t="s">
        <v>489</v>
      </c>
      <c r="J104" s="1" t="s">
        <v>55</v>
      </c>
    </row>
    <row r="105" spans="1:10" hidden="1" x14ac:dyDescent="0.25">
      <c r="A105" s="1" t="s">
        <v>151</v>
      </c>
      <c r="B105" s="1">
        <v>403</v>
      </c>
      <c r="C105" s="1" t="s">
        <v>600</v>
      </c>
      <c r="D105" s="1" t="s">
        <v>596</v>
      </c>
      <c r="E105" s="1" t="s">
        <v>102</v>
      </c>
      <c r="F105" s="1" t="s">
        <v>149</v>
      </c>
      <c r="G105" s="1">
        <v>0</v>
      </c>
      <c r="I105" s="1" t="s">
        <v>489</v>
      </c>
      <c r="J105" s="1" t="s">
        <v>55</v>
      </c>
    </row>
    <row r="106" spans="1:10" hidden="1" x14ac:dyDescent="0.25">
      <c r="A106" s="1" t="s">
        <v>178</v>
      </c>
      <c r="B106" s="1">
        <v>480</v>
      </c>
      <c r="C106" s="1" t="s">
        <v>654</v>
      </c>
      <c r="D106" s="1" t="s">
        <v>651</v>
      </c>
      <c r="E106" s="1" t="s">
        <v>102</v>
      </c>
      <c r="F106" s="1" t="s">
        <v>149</v>
      </c>
      <c r="G106" s="1">
        <v>0</v>
      </c>
      <c r="I106" s="1" t="s">
        <v>645</v>
      </c>
      <c r="J106" s="1" t="s">
        <v>39</v>
      </c>
    </row>
    <row r="107" spans="1:10" hidden="1" x14ac:dyDescent="0.25">
      <c r="A107" s="1" t="s">
        <v>146</v>
      </c>
      <c r="B107" s="1">
        <v>481</v>
      </c>
      <c r="C107" s="1" t="s">
        <v>655</v>
      </c>
      <c r="D107" s="1" t="s">
        <v>651</v>
      </c>
      <c r="E107" s="1" t="s">
        <v>108</v>
      </c>
      <c r="F107" s="1" t="s">
        <v>149</v>
      </c>
      <c r="G107" s="1">
        <v>0</v>
      </c>
      <c r="I107" s="1" t="s">
        <v>645</v>
      </c>
      <c r="J107" s="1" t="s">
        <v>39</v>
      </c>
    </row>
    <row r="108" spans="1:10" hidden="1" x14ac:dyDescent="0.25">
      <c r="A108" s="1" t="s">
        <v>151</v>
      </c>
      <c r="B108" s="1">
        <v>486</v>
      </c>
      <c r="C108" s="1" t="s">
        <v>662</v>
      </c>
      <c r="D108" s="1" t="s">
        <v>659</v>
      </c>
      <c r="E108" s="1" t="s">
        <v>108</v>
      </c>
      <c r="F108" s="1" t="s">
        <v>149</v>
      </c>
      <c r="G108" s="1">
        <v>0</v>
      </c>
      <c r="I108" s="1" t="s">
        <v>645</v>
      </c>
      <c r="J108" s="1" t="s">
        <v>55</v>
      </c>
    </row>
    <row r="109" spans="1:10" hidden="1" x14ac:dyDescent="0.25">
      <c r="A109" s="1" t="s">
        <v>151</v>
      </c>
      <c r="B109" s="1">
        <v>491</v>
      </c>
      <c r="C109" s="1" t="s">
        <v>669</v>
      </c>
      <c r="D109" s="1" t="s">
        <v>666</v>
      </c>
      <c r="E109" s="1" t="s">
        <v>108</v>
      </c>
      <c r="F109" s="1" t="s">
        <v>149</v>
      </c>
      <c r="G109" s="1">
        <v>0</v>
      </c>
      <c r="I109" s="1" t="s">
        <v>645</v>
      </c>
      <c r="J109" s="1" t="s">
        <v>55</v>
      </c>
    </row>
    <row r="110" spans="1:10" hidden="1" x14ac:dyDescent="0.25">
      <c r="A110" s="1" t="s">
        <v>146</v>
      </c>
      <c r="B110" s="1">
        <v>504</v>
      </c>
      <c r="C110" s="1" t="s">
        <v>675</v>
      </c>
      <c r="D110" s="1" t="s">
        <v>673</v>
      </c>
      <c r="E110" s="1" t="s">
        <v>98</v>
      </c>
      <c r="F110" s="1" t="s">
        <v>149</v>
      </c>
      <c r="G110" s="1">
        <v>0</v>
      </c>
      <c r="I110" s="1" t="s">
        <v>645</v>
      </c>
      <c r="J110" s="1" t="s">
        <v>55</v>
      </c>
    </row>
    <row r="111" spans="1:10" hidden="1" x14ac:dyDescent="0.25">
      <c r="A111" s="1" t="s">
        <v>151</v>
      </c>
      <c r="B111" s="1">
        <v>505</v>
      </c>
      <c r="C111" s="1" t="s">
        <v>676</v>
      </c>
      <c r="D111" s="1" t="s">
        <v>673</v>
      </c>
      <c r="E111" s="1" t="s">
        <v>102</v>
      </c>
      <c r="F111" s="1" t="s">
        <v>149</v>
      </c>
      <c r="G111" s="1">
        <v>0</v>
      </c>
      <c r="I111" s="1" t="s">
        <v>645</v>
      </c>
      <c r="J111" s="1" t="s">
        <v>55</v>
      </c>
    </row>
    <row r="112" spans="1:10" hidden="1" x14ac:dyDescent="0.25">
      <c r="A112" s="1" t="s">
        <v>151</v>
      </c>
      <c r="B112" s="1">
        <v>506</v>
      </c>
      <c r="C112" s="1" t="s">
        <v>677</v>
      </c>
      <c r="D112" s="1" t="s">
        <v>673</v>
      </c>
      <c r="E112" s="1" t="s">
        <v>108</v>
      </c>
      <c r="F112" s="1" t="s">
        <v>149</v>
      </c>
      <c r="G112" s="1">
        <v>0</v>
      </c>
      <c r="I112" s="1" t="s">
        <v>645</v>
      </c>
      <c r="J112" s="1" t="s">
        <v>55</v>
      </c>
    </row>
    <row r="113" spans="1:10" hidden="1" x14ac:dyDescent="0.25">
      <c r="A113" s="1" t="s">
        <v>178</v>
      </c>
      <c r="B113" s="1">
        <v>546</v>
      </c>
      <c r="C113" s="1" t="s">
        <v>738</v>
      </c>
      <c r="D113" s="1" t="s">
        <v>734</v>
      </c>
      <c r="E113" s="1" t="s">
        <v>108</v>
      </c>
      <c r="F113" s="1" t="s">
        <v>149</v>
      </c>
      <c r="G113" s="1">
        <v>0</v>
      </c>
      <c r="I113" s="1" t="s">
        <v>645</v>
      </c>
      <c r="J113" s="1" t="s">
        <v>55</v>
      </c>
    </row>
    <row r="114" spans="1:10" hidden="1" x14ac:dyDescent="0.25">
      <c r="A114" s="1" t="s">
        <v>178</v>
      </c>
      <c r="B114" s="1">
        <v>557</v>
      </c>
      <c r="C114" s="1" t="s">
        <v>739</v>
      </c>
      <c r="D114" s="1" t="s">
        <v>647</v>
      </c>
      <c r="E114" s="1" t="s">
        <v>740</v>
      </c>
      <c r="F114" s="1" t="s">
        <v>149</v>
      </c>
      <c r="G114" s="1">
        <v>0</v>
      </c>
      <c r="I114" s="1" t="s">
        <v>645</v>
      </c>
      <c r="J114" s="1" t="s">
        <v>39</v>
      </c>
    </row>
    <row r="115" spans="1:10" x14ac:dyDescent="0.25">
      <c r="A115" s="1" t="s">
        <v>178</v>
      </c>
      <c r="B115" s="1">
        <v>558</v>
      </c>
      <c r="C115" s="1" t="s">
        <v>741</v>
      </c>
      <c r="D115" s="1" t="s">
        <v>742</v>
      </c>
      <c r="E115" s="1" t="s">
        <v>94</v>
      </c>
      <c r="F115" s="1" t="s">
        <v>149</v>
      </c>
      <c r="G115" s="1">
        <v>0</v>
      </c>
      <c r="I115" s="1" t="s">
        <v>645</v>
      </c>
      <c r="J115" s="1" t="s">
        <v>39</v>
      </c>
    </row>
    <row r="116" spans="1:10" hidden="1" x14ac:dyDescent="0.25">
      <c r="A116" s="1" t="s">
        <v>146</v>
      </c>
      <c r="B116" s="1">
        <v>564</v>
      </c>
      <c r="C116" s="1" t="s">
        <v>752</v>
      </c>
      <c r="D116" s="1" t="s">
        <v>751</v>
      </c>
      <c r="E116" s="1" t="s">
        <v>98</v>
      </c>
      <c r="F116" s="1" t="s">
        <v>149</v>
      </c>
      <c r="G116" s="1">
        <v>0</v>
      </c>
      <c r="I116" s="1" t="s">
        <v>645</v>
      </c>
      <c r="J116" s="1" t="s">
        <v>55</v>
      </c>
    </row>
    <row r="117" spans="1:10" hidden="1" x14ac:dyDescent="0.25">
      <c r="A117" s="1" t="s">
        <v>146</v>
      </c>
      <c r="B117" s="1">
        <v>565</v>
      </c>
      <c r="C117" s="1" t="s">
        <v>753</v>
      </c>
      <c r="D117" s="1" t="s">
        <v>751</v>
      </c>
      <c r="E117" s="1" t="s">
        <v>102</v>
      </c>
      <c r="F117" s="1" t="s">
        <v>149</v>
      </c>
      <c r="G117" s="1">
        <v>0</v>
      </c>
      <c r="I117" s="1" t="s">
        <v>645</v>
      </c>
      <c r="J117" s="1" t="s">
        <v>55</v>
      </c>
    </row>
    <row r="118" spans="1:10" hidden="1" x14ac:dyDescent="0.25">
      <c r="A118" s="1" t="s">
        <v>151</v>
      </c>
      <c r="B118" s="1">
        <v>566</v>
      </c>
      <c r="C118" s="1" t="s">
        <v>755</v>
      </c>
      <c r="D118" s="1" t="s">
        <v>751</v>
      </c>
      <c r="E118" s="1" t="s">
        <v>108</v>
      </c>
      <c r="F118" s="1" t="s">
        <v>149</v>
      </c>
      <c r="G118" s="1">
        <v>0</v>
      </c>
      <c r="I118" s="1" t="s">
        <v>645</v>
      </c>
      <c r="J118" s="1" t="s">
        <v>55</v>
      </c>
    </row>
    <row r="119" spans="1:10" hidden="1" x14ac:dyDescent="0.25">
      <c r="A119" s="1" t="s">
        <v>178</v>
      </c>
      <c r="B119" s="1">
        <v>694</v>
      </c>
      <c r="C119" s="1" t="s">
        <v>942</v>
      </c>
      <c r="D119" s="1" t="s">
        <v>939</v>
      </c>
      <c r="E119" s="1" t="s">
        <v>98</v>
      </c>
      <c r="F119" s="1" t="s">
        <v>149</v>
      </c>
      <c r="G119" s="1">
        <v>0</v>
      </c>
      <c r="I119" s="1" t="s">
        <v>645</v>
      </c>
      <c r="J119" s="1" t="s">
        <v>55</v>
      </c>
    </row>
    <row r="120" spans="1:10" hidden="1" x14ac:dyDescent="0.25">
      <c r="A120" s="1" t="s">
        <v>178</v>
      </c>
      <c r="B120" s="1">
        <v>695</v>
      </c>
      <c r="C120" s="1" t="s">
        <v>943</v>
      </c>
      <c r="D120" s="1" t="s">
        <v>939</v>
      </c>
      <c r="E120" s="1" t="s">
        <v>102</v>
      </c>
      <c r="F120" s="1" t="s">
        <v>149</v>
      </c>
      <c r="G120" s="1">
        <v>0</v>
      </c>
      <c r="I120" s="1" t="s">
        <v>645</v>
      </c>
      <c r="J120" s="1" t="s">
        <v>55</v>
      </c>
    </row>
    <row r="121" spans="1:10" hidden="1" x14ac:dyDescent="0.25">
      <c r="A121" s="1" t="s">
        <v>146</v>
      </c>
      <c r="B121" s="1">
        <v>696</v>
      </c>
      <c r="C121" s="1" t="s">
        <v>944</v>
      </c>
      <c r="D121" s="1" t="s">
        <v>939</v>
      </c>
      <c r="E121" s="1" t="s">
        <v>108</v>
      </c>
      <c r="F121" s="1" t="s">
        <v>149</v>
      </c>
      <c r="G121" s="1">
        <v>0</v>
      </c>
      <c r="I121" s="1" t="s">
        <v>645</v>
      </c>
      <c r="J121" s="1" t="s">
        <v>55</v>
      </c>
    </row>
    <row r="122" spans="1:10" hidden="1" x14ac:dyDescent="0.25">
      <c r="A122" s="1" t="s">
        <v>178</v>
      </c>
      <c r="B122" s="1">
        <v>700</v>
      </c>
      <c r="C122" s="1" t="s">
        <v>951</v>
      </c>
      <c r="D122" s="1" t="s">
        <v>948</v>
      </c>
      <c r="E122" s="1" t="s">
        <v>102</v>
      </c>
      <c r="F122" s="1" t="s">
        <v>149</v>
      </c>
      <c r="G122" s="1">
        <v>0</v>
      </c>
      <c r="I122" s="1" t="s">
        <v>645</v>
      </c>
      <c r="J122" s="1" t="s">
        <v>55</v>
      </c>
    </row>
    <row r="123" spans="1:10" hidden="1" x14ac:dyDescent="0.25">
      <c r="A123" s="1" t="s">
        <v>146</v>
      </c>
      <c r="B123" s="1">
        <v>701</v>
      </c>
      <c r="C123" s="1" t="s">
        <v>952</v>
      </c>
      <c r="D123" s="1" t="s">
        <v>948</v>
      </c>
      <c r="E123" s="1" t="s">
        <v>108</v>
      </c>
      <c r="F123" s="1" t="s">
        <v>149</v>
      </c>
      <c r="G123" s="1">
        <v>0</v>
      </c>
      <c r="I123" s="1" t="s">
        <v>645</v>
      </c>
      <c r="J123" s="1" t="s">
        <v>55</v>
      </c>
    </row>
    <row r="124" spans="1:10" hidden="1" x14ac:dyDescent="0.25">
      <c r="A124" s="1" t="s">
        <v>178</v>
      </c>
      <c r="B124" s="1">
        <v>705</v>
      </c>
      <c r="C124" s="1" t="s">
        <v>959</v>
      </c>
      <c r="D124" s="1" t="s">
        <v>956</v>
      </c>
      <c r="E124" s="1" t="s">
        <v>102</v>
      </c>
      <c r="F124" s="1" t="s">
        <v>149</v>
      </c>
      <c r="G124" s="1">
        <v>0</v>
      </c>
      <c r="I124" s="1" t="s">
        <v>645</v>
      </c>
      <c r="J124" s="1" t="s">
        <v>55</v>
      </c>
    </row>
    <row r="125" spans="1:10" hidden="1" x14ac:dyDescent="0.25">
      <c r="A125" s="1" t="s">
        <v>178</v>
      </c>
      <c r="B125" s="1">
        <v>706</v>
      </c>
      <c r="C125" s="1" t="s">
        <v>960</v>
      </c>
      <c r="D125" s="1" t="s">
        <v>956</v>
      </c>
      <c r="E125" s="1" t="s">
        <v>108</v>
      </c>
      <c r="F125" s="1" t="s">
        <v>149</v>
      </c>
      <c r="G125" s="1">
        <v>0</v>
      </c>
      <c r="I125" s="1" t="s">
        <v>645</v>
      </c>
      <c r="J125" s="1" t="s">
        <v>55</v>
      </c>
    </row>
    <row r="126" spans="1:10" hidden="1" x14ac:dyDescent="0.25">
      <c r="A126" s="1" t="s">
        <v>146</v>
      </c>
      <c r="B126" s="1">
        <v>710</v>
      </c>
      <c r="C126" s="1" t="s">
        <v>972</v>
      </c>
      <c r="D126" s="1" t="s">
        <v>970</v>
      </c>
      <c r="E126" s="1" t="s">
        <v>98</v>
      </c>
      <c r="F126" s="1" t="s">
        <v>149</v>
      </c>
      <c r="G126" s="1">
        <v>0</v>
      </c>
      <c r="I126" s="1" t="s">
        <v>964</v>
      </c>
      <c r="J126" s="1" t="s">
        <v>55</v>
      </c>
    </row>
    <row r="127" spans="1:10" hidden="1" x14ac:dyDescent="0.25">
      <c r="A127" s="1" t="s">
        <v>146</v>
      </c>
      <c r="B127" s="1">
        <v>713</v>
      </c>
      <c r="C127" s="1" t="s">
        <v>975</v>
      </c>
      <c r="D127" s="1" t="s">
        <v>966</v>
      </c>
      <c r="E127" s="1" t="s">
        <v>976</v>
      </c>
      <c r="F127" s="1" t="s">
        <v>149</v>
      </c>
      <c r="G127" s="1">
        <v>0</v>
      </c>
      <c r="I127" s="1" t="s">
        <v>964</v>
      </c>
      <c r="J127" s="1" t="s">
        <v>55</v>
      </c>
    </row>
    <row r="128" spans="1:10" x14ac:dyDescent="0.25">
      <c r="A128" s="1" t="s">
        <v>146</v>
      </c>
      <c r="B128" s="1">
        <v>714</v>
      </c>
      <c r="C128" s="1" t="s">
        <v>978</v>
      </c>
      <c r="D128" s="1" t="s">
        <v>979</v>
      </c>
      <c r="E128" s="1" t="s">
        <v>94</v>
      </c>
      <c r="F128" s="1" t="s">
        <v>149</v>
      </c>
      <c r="G128" s="1">
        <v>0</v>
      </c>
      <c r="I128" s="1" t="s">
        <v>964</v>
      </c>
      <c r="J128" s="1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93CFB2-77E2-4DDE-BED0-55ACB223A0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A3CCA0-8DAD-41DC-A976-9BC5E07EFA6A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3.xml><?xml version="1.0" encoding="utf-8"?>
<ds:datastoreItem xmlns:ds="http://schemas.openxmlformats.org/officeDocument/2006/customXml" ds:itemID="{53A92237-EC04-4A8E-B7C1-D93C22215F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2026-07-07T19:43:36Z</dcterms:created>
  <dcterms:modified xsi:type="dcterms:W3CDTF">2026-07-08T11:24:42Z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2026-07-07T19:44:33Z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33296028-d0a1-4306-bb99-3a4aef06ebea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